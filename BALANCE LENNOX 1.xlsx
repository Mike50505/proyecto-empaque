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omments2.xml" ContentType="application/vnd.openxmlformats-officedocument.spreadsheetml.comments+xml"/>
  <Override PartName="/xl/pivotTables/pivotTable4.xml" ContentType="application/vnd.openxmlformats-officedocument.spreadsheetml.pivotTable+xml"/>
  <Override PartName="/xl/comments3.xml" ContentType="application/vnd.openxmlformats-officedocument.spreadsheetml.comments+xml"/>
  <Override PartName="/xl/pivotTables/pivotTable5.xml" ContentType="application/vnd.openxmlformats-officedocument.spreadsheetml.pivotTable+xml"/>
  <Override PartName="/xl/comments4.xml" ContentType="application/vnd.openxmlformats-officedocument.spreadsheetml.comments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omments5.xml" ContentType="application/vnd.openxmlformats-officedocument.spreadsheetml.comments+xml"/>
  <Override PartName="/xl/pivotTables/pivotTable8.xml" ContentType="application/vnd.openxmlformats-officedocument.spreadsheetml.pivotTable+xml"/>
  <Override PartName="/xl/comments6.xml" ContentType="application/vnd.openxmlformats-officedocument.spreadsheetml.comments+xml"/>
  <Override PartName="/xl/pivotTables/pivotTable9.xml" ContentType="application/vnd.openxmlformats-officedocument.spreadsheetml.pivotTable+xml"/>
  <Override PartName="/xl/comments7.xml" ContentType="application/vnd.openxmlformats-officedocument.spreadsheetml.comments+xml"/>
  <Override PartName="/xl/pivotTables/pivotTable10.xml" ContentType="application/vnd.openxmlformats-officedocument.spreadsheetml.pivotTable+xml"/>
  <Override PartName="/xl/comments8.xml" ContentType="application/vnd.openxmlformats-officedocument.spreadsheetml.comments+xml"/>
  <Override PartName="/xl/pivotTables/pivotTable11.xml" ContentType="application/vnd.openxmlformats-officedocument.spreadsheetml.pivotTable+xml"/>
  <Override PartName="/xl/comments9.xml" ContentType="application/vnd.openxmlformats-officedocument.spreadsheetml.comments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pivotTables/pivotTable13.xml" ContentType="application/vnd.openxmlformats-officedocument.spreadsheetml.pivotTable+xml"/>
  <Override PartName="/xl/drawings/drawing2.xml" ContentType="application/vnd.openxmlformats-officedocument.drawing+xml"/>
  <Override PartName="/xl/pivotTables/pivotTable14.xml" ContentType="application/vnd.openxmlformats-officedocument.spreadsheetml.pivotTable+xml"/>
  <Override PartName="/xl/drawings/drawing3.xml" ContentType="application/vnd.openxmlformats-officedocument.drawing+xml"/>
  <Override PartName="/xl/comments10.xml" ContentType="application/vnd.openxmlformats-officedocument.spreadsheetml.comments+xml"/>
  <Override PartName="/xl/pivotTables/pivotTable15.xml" ContentType="application/vnd.openxmlformats-officedocument.spreadsheetml.pivotTable+xml"/>
  <Override PartName="/xl/drawings/drawing4.xml" ContentType="application/vnd.openxmlformats-officedocument.drawing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25.54\Mesa Ramos\PLANEACIÓN\BALANCES Fco\EMPAQUE\"/>
    </mc:Choice>
  </mc:AlternateContent>
  <xr:revisionPtr revIDLastSave="0" documentId="13_ncr:1_{3A02DC6A-09D5-4DEE-992F-A8115E7A18D5}" xr6:coauthVersionLast="47" xr6:coauthVersionMax="47" xr10:uidLastSave="{00000000-0000-0000-0000-000000000000}"/>
  <bookViews>
    <workbookView xWindow="-120" yWindow="-120" windowWidth="29040" windowHeight="15720" firstSheet="8" activeTab="16" xr2:uid="{00000000-000D-0000-FFFF-FFFF00000000}"/>
  </bookViews>
  <sheets>
    <sheet name="HELIAN" sheetId="4" r:id="rId1"/>
    <sheet name="SEMANA 29,30" sheetId="1" r:id="rId2"/>
    <sheet name="SEMANA 30" sheetId="2" r:id="rId3"/>
    <sheet name="SEMANA 31" sheetId="5" r:id="rId4"/>
    <sheet name="SEMANA 32" sheetId="6" r:id="rId5"/>
    <sheet name="SEMANA 33" sheetId="11" r:id="rId6"/>
    <sheet name="SEMANA 34" sheetId="8" r:id="rId7"/>
    <sheet name="EMPAQUE" sheetId="3" r:id="rId8"/>
    <sheet name="SEMANA 35" sheetId="9" r:id="rId9"/>
    <sheet name="SEMANA 36" sheetId="10" r:id="rId10"/>
    <sheet name="SEMANA 37" sheetId="12" r:id="rId11"/>
    <sheet name="SEMANA 38" sheetId="13" r:id="rId12"/>
    <sheet name="SEMANA 39" sheetId="15" r:id="rId13"/>
    <sheet name="SEMANA 40" sheetId="16" r:id="rId14"/>
    <sheet name="SEMANA 41" sheetId="19" r:id="rId15"/>
    <sheet name="SEMANA 42" sheetId="20" r:id="rId16"/>
    <sheet name="SEMANA 43" sheetId="22" r:id="rId17"/>
  </sheets>
  <externalReferences>
    <externalReference r:id="rId18"/>
    <externalReference r:id="rId19"/>
  </externalReferences>
  <definedNames>
    <definedName name="_xlnm._FilterDatabase" localSheetId="7" hidden="1">EMPAQUE!$K$28:$N$47</definedName>
    <definedName name="_xlnm._FilterDatabase" localSheetId="1" hidden="1">'SEMANA 29,30'!$B$5:$AT$80</definedName>
    <definedName name="_xlnm._FilterDatabase" localSheetId="2" hidden="1">'SEMANA 30'!$B$5:$AJ$80</definedName>
    <definedName name="_xlnm._FilterDatabase" localSheetId="3" hidden="1">'SEMANA 31'!$B$5:$AJ$80</definedName>
    <definedName name="_xlnm._FilterDatabase" localSheetId="4" hidden="1">'SEMANA 32'!$B$5:$AJ$80</definedName>
    <definedName name="_xlnm._FilterDatabase" localSheetId="5" hidden="1">'SEMANA 33'!$B$5:$AJ$80</definedName>
    <definedName name="_xlnm._FilterDatabase" localSheetId="6" hidden="1">'SEMANA 34'!$B$5:$AJ$80</definedName>
    <definedName name="_xlnm._FilterDatabase" localSheetId="8" hidden="1">'SEMANA 35'!$B$5:$AJ$80</definedName>
    <definedName name="_xlnm._FilterDatabase" localSheetId="9" hidden="1">'SEMANA 36'!$B$5:$AJ$80</definedName>
    <definedName name="_xlnm._FilterDatabase" localSheetId="10" hidden="1">'SEMANA 37'!$B$5:$AJ$80</definedName>
    <definedName name="_xlnm._FilterDatabase" localSheetId="11" hidden="1">'SEMANA 38'!$B$5:$AT$80</definedName>
    <definedName name="_xlnm._FilterDatabase" localSheetId="12" hidden="1">'SEMANA 39'!$B$5:$AT$80</definedName>
    <definedName name="_xlnm._FilterDatabase" localSheetId="13" hidden="1">'SEMANA 40'!$B$10:$AT$85</definedName>
    <definedName name="_xlnm._FilterDatabase" localSheetId="14" hidden="1">'SEMANA 41'!$B$10:$BF$85</definedName>
    <definedName name="_xlnm._FilterDatabase" localSheetId="15" hidden="1">'SEMANA 42'!$B$10:$AT$85</definedName>
    <definedName name="_xlnm._FilterDatabase" localSheetId="16" hidden="1">'SEMANA 43'!$B$10:$AJ$85</definedName>
    <definedName name="_xlnm.Print_Area" localSheetId="7">EMPAQUE!$C$1:$P$54</definedName>
    <definedName name="_xlnm.Print_Area" localSheetId="3">'SEMANA 31'!$A$1:$N$78</definedName>
    <definedName name="_xlnm.Print_Area" localSheetId="4">'SEMANA 32'!$A$1:$N$78</definedName>
    <definedName name="_xlnm.Print_Area" localSheetId="5">'SEMANA 33'!$A$1:$N$78</definedName>
    <definedName name="_xlnm.Print_Area" localSheetId="13">'SEMANA 40'!$A$7:$N$94</definedName>
    <definedName name="_xlnm.Print_Area" localSheetId="14">'SEMANA 41'!$A$7:$N$100</definedName>
    <definedName name="_xlnm.Print_Area" localSheetId="15">'SEMANA 42'!$A$7:$N$94</definedName>
    <definedName name="_xlnm.Print_Area" localSheetId="16">'SEMANA 43'!$A$7:$N$94</definedName>
  </definedNames>
  <calcPr calcId="191029"/>
  <pivotCaches>
    <pivotCache cacheId="2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3" i="22" l="1"/>
  <c r="F91" i="22"/>
  <c r="C91" i="22"/>
  <c r="C92" i="22" s="1"/>
  <c r="D89" i="22"/>
  <c r="E89" i="22" s="1"/>
  <c r="M86" i="22"/>
  <c r="L86" i="22"/>
  <c r="K86" i="22"/>
  <c r="J86" i="22"/>
  <c r="AD84" i="22"/>
  <c r="AB84" i="22"/>
  <c r="Y84" i="22"/>
  <c r="Y85" i="22" s="1"/>
  <c r="X84" i="22"/>
  <c r="W84" i="22"/>
  <c r="W85" i="22" s="1"/>
  <c r="V84" i="22"/>
  <c r="U84" i="22"/>
  <c r="U85" i="22" s="1"/>
  <c r="T84" i="22"/>
  <c r="S84" i="22"/>
  <c r="S85" i="22" s="1"/>
  <c r="R84" i="22"/>
  <c r="Q84" i="22"/>
  <c r="Q85" i="22" s="1"/>
  <c r="P84" i="22"/>
  <c r="O84" i="22"/>
  <c r="O85" i="22" s="1"/>
  <c r="M84" i="22"/>
  <c r="L84" i="22"/>
  <c r="K84" i="22"/>
  <c r="J84" i="22"/>
  <c r="I17" i="22"/>
  <c r="I16" i="22"/>
  <c r="B8" i="22"/>
  <c r="Y84" i="20"/>
  <c r="Z84" i="20"/>
  <c r="AA84" i="20"/>
  <c r="AB84" i="20"/>
  <c r="AC84" i="20"/>
  <c r="AD84" i="20"/>
  <c r="AE84" i="20"/>
  <c r="AF84" i="20"/>
  <c r="AG84" i="20"/>
  <c r="AH84" i="20"/>
  <c r="AE17" i="22" l="1"/>
  <c r="AF17" i="22" s="1"/>
  <c r="AC17" i="22"/>
  <c r="AE78" i="22"/>
  <c r="AF78" i="22" s="1"/>
  <c r="AC78" i="22"/>
  <c r="AE79" i="22"/>
  <c r="AF79" i="22" s="1"/>
  <c r="AC79" i="22"/>
  <c r="AE19" i="22"/>
  <c r="AF19" i="22" s="1"/>
  <c r="AC19" i="22"/>
  <c r="AC20" i="22"/>
  <c r="AE20" i="22"/>
  <c r="AF20" i="22" s="1"/>
  <c r="AE21" i="22"/>
  <c r="AF21" i="22" s="1"/>
  <c r="AC21" i="22"/>
  <c r="AE22" i="22"/>
  <c r="AF22" i="22" s="1"/>
  <c r="AC22" i="22"/>
  <c r="AE23" i="22"/>
  <c r="AF23" i="22" s="1"/>
  <c r="AC23" i="22"/>
  <c r="AE24" i="22"/>
  <c r="AF24" i="22" s="1"/>
  <c r="AC24" i="22"/>
  <c r="AC25" i="22"/>
  <c r="AE25" i="22"/>
  <c r="AF25" i="22" s="1"/>
  <c r="AC26" i="22"/>
  <c r="AE26" i="22"/>
  <c r="AF26" i="22" s="1"/>
  <c r="AC27" i="22"/>
  <c r="AE27" i="22"/>
  <c r="AF27" i="22" s="1"/>
  <c r="AC28" i="22"/>
  <c r="AE28" i="22"/>
  <c r="AF28" i="22" s="1"/>
  <c r="AC29" i="22"/>
  <c r="AE29" i="22"/>
  <c r="AF29" i="22" s="1"/>
  <c r="AE30" i="22"/>
  <c r="AF30" i="22" s="1"/>
  <c r="AC30" i="22"/>
  <c r="AC31" i="22"/>
  <c r="AE31" i="22"/>
  <c r="AF31" i="22" s="1"/>
  <c r="AC32" i="22"/>
  <c r="AE32" i="22"/>
  <c r="AF32" i="22" s="1"/>
  <c r="AE33" i="22"/>
  <c r="AF33" i="22" s="1"/>
  <c r="AC33" i="22"/>
  <c r="AE34" i="22"/>
  <c r="AF34" i="22" s="1"/>
  <c r="AC34" i="22"/>
  <c r="AE35" i="22"/>
  <c r="AC35" i="22"/>
  <c r="AE36" i="22"/>
  <c r="AF36" i="22" s="1"/>
  <c r="AC36" i="22"/>
  <c r="AC37" i="22"/>
  <c r="AE37" i="22"/>
  <c r="AF37" i="22" s="1"/>
  <c r="AE38" i="22"/>
  <c r="AF38" i="22" s="1"/>
  <c r="AC38" i="22"/>
  <c r="AC39" i="22"/>
  <c r="AE39" i="22"/>
  <c r="AF39" i="22" s="1"/>
  <c r="AC40" i="22"/>
  <c r="AE40" i="22"/>
  <c r="AF40" i="22" s="1"/>
  <c r="AC41" i="22"/>
  <c r="AE41" i="22"/>
  <c r="AF41" i="22" s="1"/>
  <c r="AC42" i="22"/>
  <c r="AE42" i="22"/>
  <c r="AF42" i="22" s="1"/>
  <c r="AE43" i="22"/>
  <c r="AF43" i="22" s="1"/>
  <c r="AC43" i="22"/>
  <c r="AE44" i="22"/>
  <c r="AF44" i="22" s="1"/>
  <c r="AC44" i="22"/>
  <c r="AE45" i="22"/>
  <c r="AF45" i="22" s="1"/>
  <c r="AC45" i="22"/>
  <c r="AC46" i="22"/>
  <c r="AE46" i="22"/>
  <c r="AF46" i="22" s="1"/>
  <c r="AC47" i="22"/>
  <c r="AE47" i="22"/>
  <c r="AF47" i="22" s="1"/>
  <c r="AE48" i="22"/>
  <c r="AF48" i="22" s="1"/>
  <c r="AC48" i="22"/>
  <c r="AC49" i="22"/>
  <c r="AE49" i="22"/>
  <c r="AF49" i="22" s="1"/>
  <c r="AE50" i="22"/>
  <c r="AF50" i="22" s="1"/>
  <c r="AC50" i="22"/>
  <c r="AC51" i="22"/>
  <c r="AE51" i="22"/>
  <c r="AF51" i="22" s="1"/>
  <c r="AE52" i="22"/>
  <c r="AF52" i="22" s="1"/>
  <c r="AC52" i="22"/>
  <c r="AC53" i="22"/>
  <c r="AE53" i="22"/>
  <c r="AF53" i="22" s="1"/>
  <c r="AE54" i="22"/>
  <c r="AF54" i="22" s="1"/>
  <c r="AC54" i="22"/>
  <c r="AC55" i="22"/>
  <c r="AE55" i="22"/>
  <c r="AF55" i="22" s="1"/>
  <c r="AE56" i="22"/>
  <c r="AF56" i="22" s="1"/>
  <c r="AC56" i="22"/>
  <c r="AE57" i="22"/>
  <c r="AF57" i="22" s="1"/>
  <c r="AC57" i="22"/>
  <c r="AC58" i="22"/>
  <c r="AE58" i="22"/>
  <c r="AF58" i="22" s="1"/>
  <c r="AE59" i="22"/>
  <c r="AF59" i="22" s="1"/>
  <c r="AC59" i="22"/>
  <c r="AC60" i="22"/>
  <c r="AE60" i="22"/>
  <c r="AF60" i="22" s="1"/>
  <c r="AE61" i="22"/>
  <c r="AF61" i="22" s="1"/>
  <c r="AC61" i="22"/>
  <c r="AC62" i="22"/>
  <c r="AE62" i="22"/>
  <c r="AF62" i="22" s="1"/>
  <c r="AC63" i="22"/>
  <c r="AE63" i="22"/>
  <c r="AF63" i="22" s="1"/>
  <c r="AE64" i="22"/>
  <c r="AF64" i="22" s="1"/>
  <c r="AC64" i="22"/>
  <c r="AE65" i="22"/>
  <c r="AF65" i="22" s="1"/>
  <c r="AC65" i="22"/>
  <c r="AE66" i="22"/>
  <c r="AF66" i="22" s="1"/>
  <c r="AC66" i="22"/>
  <c r="AE67" i="22"/>
  <c r="AF67" i="22" s="1"/>
  <c r="AC67" i="22"/>
  <c r="AE68" i="22"/>
  <c r="AF68" i="22" s="1"/>
  <c r="AC68" i="22"/>
  <c r="AC69" i="22"/>
  <c r="AE69" i="22"/>
  <c r="AF69" i="22" s="1"/>
  <c r="AE70" i="22"/>
  <c r="AF70" i="22" s="1"/>
  <c r="AC70" i="22"/>
  <c r="AC71" i="22"/>
  <c r="AE71" i="22"/>
  <c r="AF71" i="22" s="1"/>
  <c r="AC72" i="22"/>
  <c r="AE72" i="22"/>
  <c r="AF72" i="22" s="1"/>
  <c r="AE73" i="22"/>
  <c r="AF73" i="22" s="1"/>
  <c r="AC73" i="22"/>
  <c r="AC74" i="22"/>
  <c r="AE74" i="22"/>
  <c r="AF74" i="22" s="1"/>
  <c r="AC75" i="22"/>
  <c r="AE75" i="22"/>
  <c r="AF75" i="22" s="1"/>
  <c r="AC76" i="22"/>
  <c r="AE76" i="22"/>
  <c r="AF76" i="22" s="1"/>
  <c r="AC77" i="22"/>
  <c r="AE77" i="22"/>
  <c r="AF77" i="22" s="1"/>
  <c r="AE80" i="22"/>
  <c r="AF80" i="22" s="1"/>
  <c r="AC80" i="22"/>
  <c r="AE81" i="22"/>
  <c r="AF81" i="22" s="1"/>
  <c r="AC81" i="22"/>
  <c r="AE82" i="22"/>
  <c r="AF82" i="22" s="1"/>
  <c r="AC82" i="22"/>
  <c r="AC83" i="22"/>
  <c r="AE83" i="22"/>
  <c r="AF83" i="22" s="1"/>
  <c r="AC12" i="22"/>
  <c r="AE12" i="22"/>
  <c r="AF12" i="22" s="1"/>
  <c r="AC13" i="22"/>
  <c r="AE13" i="22"/>
  <c r="AF13" i="22" s="1"/>
  <c r="AE14" i="22"/>
  <c r="AF14" i="22" s="1"/>
  <c r="AC14" i="22"/>
  <c r="AE15" i="22"/>
  <c r="AF15" i="22" s="1"/>
  <c r="AC15" i="22"/>
  <c r="AE16" i="22"/>
  <c r="AF16" i="22" s="1"/>
  <c r="AC16" i="22"/>
  <c r="AE11" i="22"/>
  <c r="AF11" i="22" s="1"/>
  <c r="AC11" i="22"/>
  <c r="AE18" i="22"/>
  <c r="AF18" i="22" s="1"/>
  <c r="AC18" i="22"/>
  <c r="H84" i="22"/>
  <c r="N83" i="22"/>
  <c r="AH83" i="22"/>
  <c r="Z83" i="22"/>
  <c r="N82" i="22"/>
  <c r="Z82" i="22"/>
  <c r="AH82" i="22"/>
  <c r="N81" i="22"/>
  <c r="AH81" i="22"/>
  <c r="Z81" i="22"/>
  <c r="Z80" i="22"/>
  <c r="N80" i="22"/>
  <c r="AH80" i="22"/>
  <c r="N79" i="22"/>
  <c r="Z79" i="22"/>
  <c r="AH79" i="22"/>
  <c r="AH78" i="22"/>
  <c r="N78" i="22"/>
  <c r="Z78" i="22"/>
  <c r="Z77" i="22"/>
  <c r="AH77" i="22"/>
  <c r="N77" i="22"/>
  <c r="AH76" i="22"/>
  <c r="N76" i="22"/>
  <c r="Z76" i="22"/>
  <c r="AH75" i="22"/>
  <c r="Z75" i="22"/>
  <c r="N75" i="22"/>
  <c r="N74" i="22"/>
  <c r="Z74" i="22"/>
  <c r="AH74" i="22"/>
  <c r="AH73" i="22"/>
  <c r="N73" i="22"/>
  <c r="Z73" i="22"/>
  <c r="N72" i="22"/>
  <c r="Z72" i="22"/>
  <c r="AH72" i="22"/>
  <c r="Z71" i="22"/>
  <c r="N71" i="22"/>
  <c r="AH71" i="22"/>
  <c r="Z70" i="22"/>
  <c r="N70" i="22"/>
  <c r="AH70" i="22"/>
  <c r="Z69" i="22"/>
  <c r="AH69" i="22"/>
  <c r="N69" i="22"/>
  <c r="AH68" i="22"/>
  <c r="N68" i="22"/>
  <c r="Z68" i="22"/>
  <c r="AH67" i="22"/>
  <c r="Z67" i="22"/>
  <c r="N67" i="22"/>
  <c r="AH66" i="22"/>
  <c r="Z66" i="22"/>
  <c r="N66" i="22"/>
  <c r="AH65" i="22"/>
  <c r="N65" i="22"/>
  <c r="Z65" i="22"/>
  <c r="AH64" i="22"/>
  <c r="N64" i="22"/>
  <c r="Z64" i="22"/>
  <c r="Z63" i="22"/>
  <c r="N63" i="22"/>
  <c r="Z62" i="22"/>
  <c r="N62" i="22"/>
  <c r="N61" i="22"/>
  <c r="Z61" i="22"/>
  <c r="Z60" i="22"/>
  <c r="N60" i="22"/>
  <c r="Z59" i="22"/>
  <c r="N59" i="22"/>
  <c r="N58" i="22"/>
  <c r="Z58" i="22"/>
  <c r="N57" i="22"/>
  <c r="Z57" i="22"/>
  <c r="N56" i="22"/>
  <c r="Z56" i="22"/>
  <c r="N55" i="22"/>
  <c r="Z55" i="22"/>
  <c r="Z54" i="22"/>
  <c r="N54" i="22"/>
  <c r="Z53" i="22"/>
  <c r="N53" i="22"/>
  <c r="Z52" i="22"/>
  <c r="N52" i="22"/>
  <c r="Z51" i="22"/>
  <c r="N51" i="22"/>
  <c r="N50" i="22"/>
  <c r="Z50" i="22"/>
  <c r="Z49" i="22"/>
  <c r="N49" i="22"/>
  <c r="N48" i="22"/>
  <c r="Z48" i="22"/>
  <c r="N47" i="22"/>
  <c r="Z47" i="22"/>
  <c r="Z46" i="22"/>
  <c r="N46" i="22"/>
  <c r="Z45" i="22"/>
  <c r="N45" i="22"/>
  <c r="Z44" i="22"/>
  <c r="N44" i="22"/>
  <c r="N43" i="22"/>
  <c r="Z43" i="22"/>
  <c r="Z42" i="22"/>
  <c r="N42" i="22"/>
  <c r="N41" i="22"/>
  <c r="Z41" i="22"/>
  <c r="N40" i="22"/>
  <c r="Z40" i="22"/>
  <c r="N39" i="22"/>
  <c r="Z39" i="22"/>
  <c r="N38" i="22"/>
  <c r="Z38" i="22"/>
  <c r="N37" i="22"/>
  <c r="Z37" i="22"/>
  <c r="Z36" i="22"/>
  <c r="N36" i="22"/>
  <c r="Z35" i="22"/>
  <c r="N35" i="22"/>
  <c r="Z34" i="22"/>
  <c r="N34" i="22"/>
  <c r="N33" i="22"/>
  <c r="Z33" i="22"/>
  <c r="N32" i="22"/>
  <c r="Z32" i="22"/>
  <c r="Z31" i="22"/>
  <c r="N31" i="22"/>
  <c r="Z30" i="22"/>
  <c r="N30" i="22"/>
  <c r="Z29" i="22"/>
  <c r="N29" i="22"/>
  <c r="N28" i="22"/>
  <c r="Z28" i="22"/>
  <c r="Z27" i="22"/>
  <c r="N27" i="22"/>
  <c r="Z26" i="22"/>
  <c r="N26" i="22"/>
  <c r="N25" i="22"/>
  <c r="Z25" i="22"/>
  <c r="Z24" i="22"/>
  <c r="N24" i="22"/>
  <c r="Z23" i="22"/>
  <c r="N23" i="22"/>
  <c r="N22" i="22"/>
  <c r="Z22" i="22"/>
  <c r="N21" i="22"/>
  <c r="Z21" i="22"/>
  <c r="N20" i="22"/>
  <c r="Z20" i="22"/>
  <c r="N19" i="22"/>
  <c r="Z19" i="22"/>
  <c r="N18" i="22"/>
  <c r="I86" i="22"/>
  <c r="Z18" i="22"/>
  <c r="Z17" i="22"/>
  <c r="N17" i="22"/>
  <c r="N16" i="22"/>
  <c r="Z16" i="22"/>
  <c r="Z15" i="22"/>
  <c r="N15" i="22"/>
  <c r="N14" i="22"/>
  <c r="Z14" i="22"/>
  <c r="Z13" i="22"/>
  <c r="N13" i="22"/>
  <c r="Z12" i="22"/>
  <c r="N12" i="22"/>
  <c r="N11" i="22"/>
  <c r="Z11" i="22"/>
  <c r="I84" i="22"/>
  <c r="AA85" i="20"/>
  <c r="AE85" i="20"/>
  <c r="AC85" i="20"/>
  <c r="AG85" i="20"/>
  <c r="Y85" i="20"/>
  <c r="H84" i="20"/>
  <c r="AC84" i="22" l="1"/>
  <c r="AF35" i="22"/>
  <c r="AF84" i="22" s="1"/>
  <c r="AE84" i="22"/>
  <c r="H85" i="22"/>
  <c r="AH84" i="22"/>
  <c r="Z84" i="22"/>
  <c r="N84" i="22"/>
  <c r="AI84" i="20"/>
  <c r="P84" i="20"/>
  <c r="Q84" i="20"/>
  <c r="R84" i="20"/>
  <c r="S84" i="20"/>
  <c r="T84" i="20"/>
  <c r="U84" i="20"/>
  <c r="V84" i="20"/>
  <c r="W84" i="20"/>
  <c r="X84" i="20"/>
  <c r="O84" i="20"/>
  <c r="O84" i="19"/>
  <c r="W85" i="20" l="1"/>
  <c r="Q85" i="20"/>
  <c r="U85" i="20"/>
  <c r="S85" i="20"/>
  <c r="O85" i="20"/>
  <c r="C93" i="20"/>
  <c r="F91" i="20"/>
  <c r="C91" i="20"/>
  <c r="C92" i="20" s="1"/>
  <c r="D89" i="20"/>
  <c r="E89" i="20" s="1"/>
  <c r="M86" i="20"/>
  <c r="L86" i="20"/>
  <c r="K86" i="20"/>
  <c r="J86" i="20"/>
  <c r="AN84" i="20"/>
  <c r="AL84" i="20"/>
  <c r="AI85" i="20"/>
  <c r="M84" i="20"/>
  <c r="L84" i="20"/>
  <c r="K84" i="20"/>
  <c r="J84" i="20"/>
  <c r="AO17" i="20"/>
  <c r="AP17" i="20" s="1"/>
  <c r="AM17" i="20"/>
  <c r="AO16" i="20"/>
  <c r="AP16" i="20" s="1"/>
  <c r="AM16" i="20"/>
  <c r="AO15" i="20"/>
  <c r="AP15" i="20" s="1"/>
  <c r="AM15" i="20"/>
  <c r="AO14" i="20"/>
  <c r="AP14" i="20" s="1"/>
  <c r="AM14" i="20"/>
  <c r="AO13" i="20"/>
  <c r="AP13" i="20" s="1"/>
  <c r="AM13" i="20"/>
  <c r="AO12" i="20"/>
  <c r="AP12" i="20" s="1"/>
  <c r="AM12" i="20"/>
  <c r="AO11" i="20"/>
  <c r="AM11" i="20"/>
  <c r="B8" i="20"/>
  <c r="N26" i="19"/>
  <c r="I26" i="20" s="1"/>
  <c r="Q90" i="20" l="1"/>
  <c r="S90" i="20"/>
  <c r="W90" i="20"/>
  <c r="U90" i="20"/>
  <c r="O90" i="20"/>
  <c r="AO27" i="20"/>
  <c r="AP27" i="20" s="1"/>
  <c r="AM27" i="20"/>
  <c r="AM28" i="20"/>
  <c r="AO28" i="20"/>
  <c r="AP28" i="20" s="1"/>
  <c r="AM29" i="20"/>
  <c r="AO29" i="20"/>
  <c r="AP29" i="20" s="1"/>
  <c r="AM30" i="20"/>
  <c r="AO30" i="20"/>
  <c r="AP30" i="20" s="1"/>
  <c r="AM31" i="20"/>
  <c r="AO31" i="20"/>
  <c r="AP31" i="20" s="1"/>
  <c r="AM32" i="20"/>
  <c r="AO32" i="20"/>
  <c r="AP32" i="20" s="1"/>
  <c r="AO33" i="20"/>
  <c r="AP33" i="20" s="1"/>
  <c r="AM33" i="20"/>
  <c r="AM34" i="20"/>
  <c r="AO34" i="20"/>
  <c r="AP34" i="20" s="1"/>
  <c r="AO35" i="20"/>
  <c r="AP35" i="20" s="1"/>
  <c r="AM35" i="20"/>
  <c r="AM36" i="20"/>
  <c r="AO36" i="20"/>
  <c r="AP36" i="20" s="1"/>
  <c r="AO37" i="20"/>
  <c r="AP37" i="20" s="1"/>
  <c r="AM37" i="20"/>
  <c r="AM38" i="20"/>
  <c r="AO38" i="20"/>
  <c r="AP38" i="20" s="1"/>
  <c r="AO39" i="20"/>
  <c r="AP39" i="20" s="1"/>
  <c r="AM39" i="20"/>
  <c r="AO40" i="20"/>
  <c r="AP40" i="20" s="1"/>
  <c r="AM40" i="20"/>
  <c r="AM42" i="20"/>
  <c r="AO42" i="20"/>
  <c r="AP42" i="20" s="1"/>
  <c r="AM43" i="20"/>
  <c r="AO43" i="20"/>
  <c r="AP43" i="20" s="1"/>
  <c r="AO44" i="20"/>
  <c r="AP44" i="20" s="1"/>
  <c r="AM44" i="20"/>
  <c r="AM19" i="20"/>
  <c r="AO19" i="20"/>
  <c r="AP19" i="20" s="1"/>
  <c r="AO20" i="20"/>
  <c r="AP20" i="20" s="1"/>
  <c r="AM20" i="20"/>
  <c r="AM21" i="20"/>
  <c r="AO21" i="20"/>
  <c r="AP21" i="20" s="1"/>
  <c r="AM22" i="20"/>
  <c r="AO22" i="20"/>
  <c r="AP22" i="20" s="1"/>
  <c r="AO23" i="20"/>
  <c r="AP23" i="20" s="1"/>
  <c r="AM23" i="20"/>
  <c r="AO24" i="20"/>
  <c r="AP24" i="20" s="1"/>
  <c r="AM24" i="20"/>
  <c r="AO25" i="20"/>
  <c r="AP25" i="20" s="1"/>
  <c r="AM25" i="20"/>
  <c r="N26" i="20"/>
  <c r="AJ26" i="20"/>
  <c r="AM26" i="20"/>
  <c r="AO26" i="20"/>
  <c r="AP26" i="20" s="1"/>
  <c r="AM41" i="20"/>
  <c r="AO41" i="20"/>
  <c r="AP41" i="20" s="1"/>
  <c r="AM45" i="20"/>
  <c r="AO45" i="20"/>
  <c r="AP45" i="20" s="1"/>
  <c r="AM46" i="20"/>
  <c r="AO46" i="20"/>
  <c r="AP46" i="20" s="1"/>
  <c r="AO47" i="20"/>
  <c r="AP47" i="20" s="1"/>
  <c r="AM47" i="20"/>
  <c r="AM48" i="20"/>
  <c r="AO48" i="20"/>
  <c r="AP48" i="20" s="1"/>
  <c r="AM49" i="20"/>
  <c r="AO49" i="20"/>
  <c r="AP49" i="20" s="1"/>
  <c r="AO50" i="20"/>
  <c r="AP50" i="20" s="1"/>
  <c r="AM50" i="20"/>
  <c r="AM51" i="20"/>
  <c r="AO51" i="20"/>
  <c r="AP51" i="20" s="1"/>
  <c r="AM52" i="20"/>
  <c r="AO52" i="20"/>
  <c r="AP52" i="20" s="1"/>
  <c r="AM53" i="20"/>
  <c r="AO53" i="20"/>
  <c r="AP53" i="20" s="1"/>
  <c r="AM54" i="20"/>
  <c r="AO54" i="20"/>
  <c r="AP54" i="20" s="1"/>
  <c r="AM55" i="20"/>
  <c r="AO55" i="20"/>
  <c r="AP55" i="20" s="1"/>
  <c r="AO56" i="20"/>
  <c r="AP56" i="20" s="1"/>
  <c r="AM56" i="20"/>
  <c r="AO57" i="20"/>
  <c r="AP57" i="20" s="1"/>
  <c r="AM57" i="20"/>
  <c r="AM58" i="20"/>
  <c r="AO58" i="20"/>
  <c r="AP58" i="20" s="1"/>
  <c r="AM59" i="20"/>
  <c r="AO59" i="20"/>
  <c r="AP59" i="20" s="1"/>
  <c r="AO60" i="20"/>
  <c r="AP60" i="20" s="1"/>
  <c r="AM60" i="20"/>
  <c r="AM61" i="20"/>
  <c r="AO61" i="20"/>
  <c r="AP61" i="20" s="1"/>
  <c r="AM62" i="20"/>
  <c r="AO62" i="20"/>
  <c r="AP62" i="20" s="1"/>
  <c r="AM63" i="20"/>
  <c r="AO63" i="20"/>
  <c r="AP63" i="20" s="1"/>
  <c r="AO64" i="20"/>
  <c r="AP64" i="20" s="1"/>
  <c r="AM64" i="20"/>
  <c r="AO65" i="20"/>
  <c r="AP65" i="20" s="1"/>
  <c r="AM65" i="20"/>
  <c r="AM66" i="20"/>
  <c r="AO66" i="20"/>
  <c r="AP66" i="20" s="1"/>
  <c r="AM67" i="20"/>
  <c r="AO67" i="20"/>
  <c r="AP67" i="20" s="1"/>
  <c r="AM68" i="20"/>
  <c r="AO68" i="20"/>
  <c r="AP68" i="20" s="1"/>
  <c r="AM69" i="20"/>
  <c r="AO69" i="20"/>
  <c r="AP69" i="20" s="1"/>
  <c r="AM70" i="20"/>
  <c r="AO70" i="20"/>
  <c r="AP70" i="20" s="1"/>
  <c r="AO71" i="20"/>
  <c r="AP71" i="20" s="1"/>
  <c r="AM71" i="20"/>
  <c r="AM72" i="20"/>
  <c r="AO72" i="20"/>
  <c r="AP72" i="20" s="1"/>
  <c r="AM73" i="20"/>
  <c r="AO73" i="20"/>
  <c r="AP73" i="20" s="1"/>
  <c r="AO74" i="20"/>
  <c r="AP74" i="20" s="1"/>
  <c r="AM74" i="20"/>
  <c r="AM75" i="20"/>
  <c r="AO75" i="20"/>
  <c r="AP75" i="20" s="1"/>
  <c r="AO76" i="20"/>
  <c r="AP76" i="20" s="1"/>
  <c r="AM76" i="20"/>
  <c r="AM77" i="20"/>
  <c r="AO77" i="20"/>
  <c r="AP77" i="20" s="1"/>
  <c r="AM78" i="20"/>
  <c r="AO78" i="20"/>
  <c r="AP78" i="20" s="1"/>
  <c r="AM79" i="20"/>
  <c r="AO79" i="20"/>
  <c r="AP79" i="20" s="1"/>
  <c r="AM80" i="20"/>
  <c r="AO80" i="20"/>
  <c r="AP80" i="20" s="1"/>
  <c r="AO81" i="20"/>
  <c r="AP81" i="20" s="1"/>
  <c r="AM81" i="20"/>
  <c r="AO82" i="20"/>
  <c r="AP82" i="20" s="1"/>
  <c r="AM82" i="20"/>
  <c r="AO83" i="20"/>
  <c r="AP83" i="20" s="1"/>
  <c r="AM83" i="20"/>
  <c r="AO18" i="20"/>
  <c r="AM18" i="20"/>
  <c r="O89" i="20"/>
  <c r="P89" i="20"/>
  <c r="Q89" i="20"/>
  <c r="R89" i="20"/>
  <c r="S89" i="20"/>
  <c r="T89" i="20"/>
  <c r="U89" i="20"/>
  <c r="V89" i="20"/>
  <c r="W89" i="20"/>
  <c r="X89" i="20"/>
  <c r="AP11" i="20"/>
  <c r="N29" i="19"/>
  <c r="I29" i="20" s="1"/>
  <c r="N18" i="19"/>
  <c r="I18" i="20" s="1"/>
  <c r="H84" i="16"/>
  <c r="BA35" i="19"/>
  <c r="BB35" i="19" s="1"/>
  <c r="C93" i="19"/>
  <c r="F91" i="19"/>
  <c r="AE90" i="19" s="1"/>
  <c r="C91" i="19"/>
  <c r="C92" i="19" s="1"/>
  <c r="D89" i="19"/>
  <c r="E89" i="19" s="1"/>
  <c r="W86" i="19"/>
  <c r="U86" i="19"/>
  <c r="S86" i="19"/>
  <c r="Q86" i="19"/>
  <c r="O86" i="19"/>
  <c r="O90" i="19" s="1"/>
  <c r="M86" i="19"/>
  <c r="L86" i="19"/>
  <c r="K86" i="19"/>
  <c r="J86" i="19"/>
  <c r="I86" i="19"/>
  <c r="AZ84" i="19"/>
  <c r="AX84" i="19"/>
  <c r="AU84" i="19"/>
  <c r="AU85" i="19" s="1"/>
  <c r="AH84" i="19"/>
  <c r="AG84" i="19"/>
  <c r="AF84" i="19"/>
  <c r="AE84" i="19"/>
  <c r="AD84" i="19"/>
  <c r="AC84" i="19"/>
  <c r="AB84" i="19"/>
  <c r="AA84" i="19"/>
  <c r="Z84" i="19"/>
  <c r="Y84" i="19"/>
  <c r="X84" i="19"/>
  <c r="W84" i="19"/>
  <c r="V84" i="19"/>
  <c r="U84" i="19"/>
  <c r="T84" i="19"/>
  <c r="S84" i="19"/>
  <c r="R84" i="19"/>
  <c r="Q84" i="19"/>
  <c r="P84" i="19"/>
  <c r="M84" i="19"/>
  <c r="L84" i="19"/>
  <c r="K84" i="19"/>
  <c r="J84" i="19"/>
  <c r="I84" i="19"/>
  <c r="BA40" i="19"/>
  <c r="BB40" i="19" s="1"/>
  <c r="AY40" i="19"/>
  <c r="AV40" i="19"/>
  <c r="N40" i="19"/>
  <c r="I40" i="20" s="1"/>
  <c r="BA39" i="19"/>
  <c r="BB39" i="19" s="1"/>
  <c r="AY39" i="19"/>
  <c r="AV39" i="19"/>
  <c r="N39" i="19"/>
  <c r="I39" i="20" s="1"/>
  <c r="BA38" i="19"/>
  <c r="BB38" i="19" s="1"/>
  <c r="AY38" i="19"/>
  <c r="AV38" i="19"/>
  <c r="N38" i="19"/>
  <c r="I38" i="20" s="1"/>
  <c r="BA37" i="19"/>
  <c r="BB37" i="19" s="1"/>
  <c r="AY37" i="19"/>
  <c r="AV37" i="19"/>
  <c r="N37" i="19"/>
  <c r="I37" i="20" s="1"/>
  <c r="BA36" i="19"/>
  <c r="BB36" i="19" s="1"/>
  <c r="AY36" i="19"/>
  <c r="AV36" i="19"/>
  <c r="N36" i="19"/>
  <c r="I36" i="20" s="1"/>
  <c r="B8" i="19"/>
  <c r="AB6" i="15"/>
  <c r="AJ29" i="20" l="1"/>
  <c r="N29" i="20"/>
  <c r="N18" i="20"/>
  <c r="AJ18" i="20"/>
  <c r="N40" i="20"/>
  <c r="AJ40" i="20"/>
  <c r="N39" i="20"/>
  <c r="AJ39" i="20"/>
  <c r="AJ38" i="20"/>
  <c r="N38" i="20"/>
  <c r="AJ37" i="20"/>
  <c r="N37" i="20"/>
  <c r="AJ36" i="20"/>
  <c r="N36" i="20"/>
  <c r="AG90" i="19"/>
  <c r="Y90" i="19"/>
  <c r="AA90" i="19"/>
  <c r="AC90" i="19"/>
  <c r="AM84" i="20"/>
  <c r="AP18" i="20"/>
  <c r="AP84" i="20" s="1"/>
  <c r="AO84" i="20"/>
  <c r="X89" i="19"/>
  <c r="AJ89" i="19"/>
  <c r="AK89" i="19"/>
  <c r="AL89" i="19"/>
  <c r="AM89" i="19"/>
  <c r="AN89" i="19"/>
  <c r="AO89" i="19"/>
  <c r="AP89" i="19"/>
  <c r="AQ89" i="19"/>
  <c r="AR89" i="19"/>
  <c r="AI89" i="19"/>
  <c r="Z89" i="19"/>
  <c r="P89" i="19"/>
  <c r="AB89" i="19"/>
  <c r="R89" i="19"/>
  <c r="T89" i="19"/>
  <c r="S90" i="19"/>
  <c r="AQ90" i="19"/>
  <c r="AI90" i="19"/>
  <c r="AK90" i="19"/>
  <c r="AM90" i="19"/>
  <c r="AO90" i="19"/>
  <c r="Q90" i="19"/>
  <c r="W90" i="19"/>
  <c r="U90" i="19"/>
  <c r="V89" i="19"/>
  <c r="AC85" i="19"/>
  <c r="AE85" i="19"/>
  <c r="AG85" i="19"/>
  <c r="AA89" i="19"/>
  <c r="AA85" i="19"/>
  <c r="Y89" i="19"/>
  <c r="Y85" i="19"/>
  <c r="N12" i="19"/>
  <c r="I12" i="20" s="1"/>
  <c r="BA12" i="19"/>
  <c r="BB12" i="19" s="1"/>
  <c r="AY12" i="19"/>
  <c r="AV12" i="19"/>
  <c r="N13" i="19"/>
  <c r="I13" i="20" s="1"/>
  <c r="AY13" i="19"/>
  <c r="BA13" i="19"/>
  <c r="BB13" i="19" s="1"/>
  <c r="AV13" i="19"/>
  <c r="BA14" i="19"/>
  <c r="BB14" i="19" s="1"/>
  <c r="N14" i="19"/>
  <c r="I14" i="20" s="1"/>
  <c r="AV14" i="19"/>
  <c r="AY14" i="19"/>
  <c r="N15" i="19"/>
  <c r="I15" i="20" s="1"/>
  <c r="AV15" i="19"/>
  <c r="AY15" i="19"/>
  <c r="BA15" i="19"/>
  <c r="BB15" i="19" s="1"/>
  <c r="AV16" i="19"/>
  <c r="AY16" i="19"/>
  <c r="BA16" i="19"/>
  <c r="BB16" i="19" s="1"/>
  <c r="N16" i="19"/>
  <c r="I16" i="20" s="1"/>
  <c r="BA17" i="19"/>
  <c r="BB17" i="19" s="1"/>
  <c r="N17" i="19"/>
  <c r="I17" i="20" s="1"/>
  <c r="AV17" i="19"/>
  <c r="AY17" i="19"/>
  <c r="BA18" i="19"/>
  <c r="BB18" i="19" s="1"/>
  <c r="AY18" i="19"/>
  <c r="AV18" i="19"/>
  <c r="AV19" i="19"/>
  <c r="N19" i="19"/>
  <c r="I19" i="20" s="1"/>
  <c r="AY19" i="19"/>
  <c r="BA19" i="19"/>
  <c r="BB19" i="19" s="1"/>
  <c r="AY20" i="19"/>
  <c r="AV20" i="19"/>
  <c r="N20" i="19"/>
  <c r="I20" i="20" s="1"/>
  <c r="BA20" i="19"/>
  <c r="BB20" i="19" s="1"/>
  <c r="AV21" i="19"/>
  <c r="AY21" i="19"/>
  <c r="BA21" i="19"/>
  <c r="BB21" i="19" s="1"/>
  <c r="N21" i="19"/>
  <c r="I21" i="20" s="1"/>
  <c r="N22" i="19"/>
  <c r="I22" i="20" s="1"/>
  <c r="AY22" i="19"/>
  <c r="AV22" i="19"/>
  <c r="BA22" i="19"/>
  <c r="BB22" i="19" s="1"/>
  <c r="AV23" i="19"/>
  <c r="N23" i="19"/>
  <c r="I23" i="20" s="1"/>
  <c r="AY23" i="19"/>
  <c r="BA23" i="19"/>
  <c r="BB23" i="19" s="1"/>
  <c r="N24" i="19"/>
  <c r="I24" i="20" s="1"/>
  <c r="BA24" i="19"/>
  <c r="BB24" i="19" s="1"/>
  <c r="AV24" i="19"/>
  <c r="AY24" i="19"/>
  <c r="AV25" i="19"/>
  <c r="N25" i="19"/>
  <c r="I25" i="20" s="1"/>
  <c r="AY25" i="19"/>
  <c r="BA25" i="19"/>
  <c r="BB25" i="19" s="1"/>
  <c r="AV26" i="19"/>
  <c r="AY26" i="19"/>
  <c r="BA26" i="19"/>
  <c r="BB26" i="19" s="1"/>
  <c r="AV41" i="19"/>
  <c r="AY41" i="19"/>
  <c r="BA41" i="19"/>
  <c r="BB41" i="19" s="1"/>
  <c r="N41" i="19"/>
  <c r="I41" i="20" s="1"/>
  <c r="AV42" i="19"/>
  <c r="BA42" i="19"/>
  <c r="BB42" i="19" s="1"/>
  <c r="N42" i="19"/>
  <c r="I42" i="20" s="1"/>
  <c r="AY42" i="19"/>
  <c r="AY27" i="19"/>
  <c r="BA27" i="19"/>
  <c r="BB27" i="19" s="1"/>
  <c r="AV27" i="19"/>
  <c r="N27" i="19"/>
  <c r="I27" i="20" s="1"/>
  <c r="BA28" i="19"/>
  <c r="BB28" i="19" s="1"/>
  <c r="AY28" i="19"/>
  <c r="N28" i="19"/>
  <c r="I28" i="20" s="1"/>
  <c r="AV28" i="19"/>
  <c r="AV29" i="19"/>
  <c r="AY29" i="19"/>
  <c r="BA29" i="19"/>
  <c r="BB29" i="19" s="1"/>
  <c r="N30" i="19"/>
  <c r="I30" i="20" s="1"/>
  <c r="AV30" i="19"/>
  <c r="AY30" i="19"/>
  <c r="BA30" i="19"/>
  <c r="BB30" i="19" s="1"/>
  <c r="N31" i="19"/>
  <c r="I31" i="20" s="1"/>
  <c r="AV31" i="19"/>
  <c r="AY31" i="19"/>
  <c r="BA31" i="19"/>
  <c r="BB31" i="19" s="1"/>
  <c r="AY32" i="19"/>
  <c r="AV32" i="19"/>
  <c r="N32" i="19"/>
  <c r="I32" i="20" s="1"/>
  <c r="BA32" i="19"/>
  <c r="BB32" i="19" s="1"/>
  <c r="AY33" i="19"/>
  <c r="BA33" i="19"/>
  <c r="BB33" i="19" s="1"/>
  <c r="N33" i="19"/>
  <c r="I33" i="20" s="1"/>
  <c r="AV33" i="19"/>
  <c r="N34" i="19"/>
  <c r="I34" i="20" s="1"/>
  <c r="AV34" i="19"/>
  <c r="AY34" i="19"/>
  <c r="BA34" i="19"/>
  <c r="BB34" i="19" s="1"/>
  <c r="N35" i="19"/>
  <c r="I35" i="20" s="1"/>
  <c r="AV35" i="19"/>
  <c r="AY35" i="19"/>
  <c r="AV43" i="19"/>
  <c r="BA43" i="19"/>
  <c r="BB43" i="19" s="1"/>
  <c r="AY43" i="19"/>
  <c r="N43" i="19"/>
  <c r="I43" i="20" s="1"/>
  <c r="N44" i="19"/>
  <c r="I44" i="20" s="1"/>
  <c r="AY44" i="19"/>
  <c r="BA44" i="19"/>
  <c r="BB44" i="19" s="1"/>
  <c r="AV44" i="19"/>
  <c r="N45" i="19"/>
  <c r="I45" i="20" s="1"/>
  <c r="AY45" i="19"/>
  <c r="AV45" i="19"/>
  <c r="BA45" i="19"/>
  <c r="BB45" i="19" s="1"/>
  <c r="N46" i="19"/>
  <c r="I46" i="20" s="1"/>
  <c r="BA46" i="19"/>
  <c r="BB46" i="19" s="1"/>
  <c r="AY46" i="19"/>
  <c r="AV46" i="19"/>
  <c r="AV47" i="19"/>
  <c r="AY47" i="19"/>
  <c r="N47" i="19"/>
  <c r="I47" i="20" s="1"/>
  <c r="BA47" i="19"/>
  <c r="BB47" i="19" s="1"/>
  <c r="N48" i="19"/>
  <c r="I48" i="20" s="1"/>
  <c r="AY48" i="19"/>
  <c r="BA48" i="19"/>
  <c r="BB48" i="19" s="1"/>
  <c r="AV48" i="19"/>
  <c r="AV49" i="19"/>
  <c r="BA49" i="19"/>
  <c r="BB49" i="19" s="1"/>
  <c r="N49" i="19"/>
  <c r="I49" i="20" s="1"/>
  <c r="AY49" i="19"/>
  <c r="AV50" i="19"/>
  <c r="AY50" i="19"/>
  <c r="BA50" i="19"/>
  <c r="BB50" i="19" s="1"/>
  <c r="N50" i="19"/>
  <c r="I50" i="20" s="1"/>
  <c r="AY51" i="19"/>
  <c r="BA51" i="19"/>
  <c r="BB51" i="19" s="1"/>
  <c r="N51" i="19"/>
  <c r="I51" i="20" s="1"/>
  <c r="AV51" i="19"/>
  <c r="AV52" i="19"/>
  <c r="BA52" i="19"/>
  <c r="BB52" i="19" s="1"/>
  <c r="AY52" i="19"/>
  <c r="N52" i="19"/>
  <c r="I52" i="20" s="1"/>
  <c r="AY53" i="19"/>
  <c r="N53" i="19"/>
  <c r="I53" i="20" s="1"/>
  <c r="BA53" i="19"/>
  <c r="BB53" i="19" s="1"/>
  <c r="AV53" i="19"/>
  <c r="AV54" i="19"/>
  <c r="AY54" i="19"/>
  <c r="BA54" i="19"/>
  <c r="BB54" i="19" s="1"/>
  <c r="N54" i="19"/>
  <c r="I54" i="20" s="1"/>
  <c r="AY55" i="19"/>
  <c r="N55" i="19"/>
  <c r="I55" i="20" s="1"/>
  <c r="AV55" i="19"/>
  <c r="BA55" i="19"/>
  <c r="BB55" i="19" s="1"/>
  <c r="BA56" i="19"/>
  <c r="BB56" i="19" s="1"/>
  <c r="AV56" i="19"/>
  <c r="N56" i="19"/>
  <c r="I56" i="20" s="1"/>
  <c r="AY56" i="19"/>
  <c r="BA57" i="19"/>
  <c r="BB57" i="19" s="1"/>
  <c r="AY57" i="19"/>
  <c r="N57" i="19"/>
  <c r="I57" i="20" s="1"/>
  <c r="AV57" i="19"/>
  <c r="BA58" i="19"/>
  <c r="BB58" i="19" s="1"/>
  <c r="AV58" i="19"/>
  <c r="N58" i="19"/>
  <c r="I58" i="20" s="1"/>
  <c r="AY58" i="19"/>
  <c r="AY59" i="19"/>
  <c r="BA59" i="19"/>
  <c r="BB59" i="19" s="1"/>
  <c r="AV59" i="19"/>
  <c r="N59" i="19"/>
  <c r="I59" i="20" s="1"/>
  <c r="N60" i="19"/>
  <c r="I60" i="20" s="1"/>
  <c r="AY60" i="19"/>
  <c r="AV60" i="19"/>
  <c r="BA60" i="19"/>
  <c r="BB60" i="19" s="1"/>
  <c r="N61" i="19"/>
  <c r="I61" i="20" s="1"/>
  <c r="AV61" i="19"/>
  <c r="AY61" i="19"/>
  <c r="BA61" i="19"/>
  <c r="BB61" i="19" s="1"/>
  <c r="N62" i="19"/>
  <c r="I62" i="20" s="1"/>
  <c r="AV62" i="19"/>
  <c r="AY62" i="19"/>
  <c r="BA62" i="19"/>
  <c r="BB62" i="19" s="1"/>
  <c r="AY63" i="19"/>
  <c r="AV63" i="19"/>
  <c r="N63" i="19"/>
  <c r="I63" i="20" s="1"/>
  <c r="BA63" i="19"/>
  <c r="BB63" i="19" s="1"/>
  <c r="AV64" i="19"/>
  <c r="BD64" i="19"/>
  <c r="BA64" i="19"/>
  <c r="BB64" i="19" s="1"/>
  <c r="AY64" i="19"/>
  <c r="N64" i="19"/>
  <c r="I64" i="20" s="1"/>
  <c r="AV65" i="19"/>
  <c r="N65" i="19"/>
  <c r="I65" i="20" s="1"/>
  <c r="AY65" i="19"/>
  <c r="BA65" i="19"/>
  <c r="BB65" i="19" s="1"/>
  <c r="BD65" i="19"/>
  <c r="N66" i="19"/>
  <c r="I66" i="20" s="1"/>
  <c r="AV66" i="19"/>
  <c r="AY66" i="19"/>
  <c r="BA66" i="19"/>
  <c r="BB66" i="19" s="1"/>
  <c r="BD66" i="19"/>
  <c r="AY67" i="19"/>
  <c r="BA67" i="19"/>
  <c r="BB67" i="19" s="1"/>
  <c r="BD67" i="19"/>
  <c r="AV67" i="19"/>
  <c r="N67" i="19"/>
  <c r="I67" i="20" s="1"/>
  <c r="BD68" i="19"/>
  <c r="BA68" i="19"/>
  <c r="BB68" i="19" s="1"/>
  <c r="N68" i="19"/>
  <c r="I68" i="20" s="1"/>
  <c r="AV68" i="19"/>
  <c r="AY68" i="19"/>
  <c r="AV69" i="19"/>
  <c r="BD69" i="19"/>
  <c r="BA69" i="19"/>
  <c r="BB69" i="19" s="1"/>
  <c r="AY69" i="19"/>
  <c r="N69" i="19"/>
  <c r="I69" i="20" s="1"/>
  <c r="BA70" i="19"/>
  <c r="BB70" i="19" s="1"/>
  <c r="N70" i="19"/>
  <c r="I70" i="20" s="1"/>
  <c r="AV70" i="19"/>
  <c r="AY70" i="19"/>
  <c r="BD70" i="19"/>
  <c r="N71" i="19"/>
  <c r="I71" i="20" s="1"/>
  <c r="AV71" i="19"/>
  <c r="AY71" i="19"/>
  <c r="BA71" i="19"/>
  <c r="BB71" i="19" s="1"/>
  <c r="BD71" i="19"/>
  <c r="N72" i="19"/>
  <c r="I72" i="20" s="1"/>
  <c r="AV72" i="19"/>
  <c r="AY72" i="19"/>
  <c r="BA72" i="19"/>
  <c r="BB72" i="19" s="1"/>
  <c r="BD72" i="19"/>
  <c r="N73" i="19"/>
  <c r="I73" i="20" s="1"/>
  <c r="AV73" i="19"/>
  <c r="BA73" i="19"/>
  <c r="BB73" i="19" s="1"/>
  <c r="BD73" i="19"/>
  <c r="AY73" i="19"/>
  <c r="N74" i="19"/>
  <c r="I74" i="20" s="1"/>
  <c r="AV74" i="19"/>
  <c r="AY74" i="19"/>
  <c r="BD74" i="19"/>
  <c r="BA74" i="19"/>
  <c r="BB74" i="19" s="1"/>
  <c r="N75" i="19"/>
  <c r="I75" i="20" s="1"/>
  <c r="AV75" i="19"/>
  <c r="AY75" i="19"/>
  <c r="BA75" i="19"/>
  <c r="BB75" i="19" s="1"/>
  <c r="BD75" i="19"/>
  <c r="N76" i="19"/>
  <c r="I76" i="20" s="1"/>
  <c r="AV76" i="19"/>
  <c r="AY76" i="19"/>
  <c r="BA76" i="19"/>
  <c r="BB76" i="19" s="1"/>
  <c r="BD76" i="19"/>
  <c r="AV77" i="19"/>
  <c r="AY77" i="19"/>
  <c r="BA77" i="19"/>
  <c r="BB77" i="19" s="1"/>
  <c r="BD77" i="19"/>
  <c r="N77" i="19"/>
  <c r="I77" i="20" s="1"/>
  <c r="N78" i="19"/>
  <c r="I78" i="20" s="1"/>
  <c r="AV78" i="19"/>
  <c r="BA78" i="19"/>
  <c r="BB78" i="19" s="1"/>
  <c r="BD78" i="19"/>
  <c r="AY78" i="19"/>
  <c r="N79" i="19"/>
  <c r="I79" i="20" s="1"/>
  <c r="AV79" i="19"/>
  <c r="AY79" i="19"/>
  <c r="BA79" i="19"/>
  <c r="BB79" i="19" s="1"/>
  <c r="BD79" i="19"/>
  <c r="N80" i="19"/>
  <c r="I80" i="20" s="1"/>
  <c r="AV80" i="19"/>
  <c r="AY80" i="19"/>
  <c r="BA80" i="19"/>
  <c r="BB80" i="19" s="1"/>
  <c r="BD80" i="19"/>
  <c r="AV81" i="19"/>
  <c r="AY81" i="19"/>
  <c r="BA81" i="19"/>
  <c r="BB81" i="19" s="1"/>
  <c r="BD81" i="19"/>
  <c r="N81" i="19"/>
  <c r="I81" i="20" s="1"/>
  <c r="N82" i="19"/>
  <c r="I82" i="20" s="1"/>
  <c r="AV82" i="19"/>
  <c r="AY82" i="19"/>
  <c r="BD82" i="19"/>
  <c r="BA82" i="19"/>
  <c r="BB82" i="19" s="1"/>
  <c r="AV83" i="19"/>
  <c r="AY83" i="19"/>
  <c r="BA83" i="19"/>
  <c r="BB83" i="19" s="1"/>
  <c r="BD83" i="19"/>
  <c r="N83" i="19"/>
  <c r="I83" i="20" s="1"/>
  <c r="H84" i="19"/>
  <c r="H85" i="19" s="1"/>
  <c r="N11" i="19"/>
  <c r="I11" i="20" s="1"/>
  <c r="BA11" i="19"/>
  <c r="AY11" i="19"/>
  <c r="AV11" i="19"/>
  <c r="W89" i="19"/>
  <c r="W85" i="19"/>
  <c r="U89" i="19"/>
  <c r="U85" i="19"/>
  <c r="S89" i="19"/>
  <c r="S85" i="19"/>
  <c r="Q89" i="19"/>
  <c r="Q85" i="19"/>
  <c r="O89" i="19"/>
  <c r="O85" i="19"/>
  <c r="AC89" i="19"/>
  <c r="AD89" i="19"/>
  <c r="AE89" i="19"/>
  <c r="AF89" i="19"/>
  <c r="AG89" i="19"/>
  <c r="AH89" i="19"/>
  <c r="O84" i="16"/>
  <c r="P84" i="16"/>
  <c r="Q84" i="16"/>
  <c r="R84" i="16"/>
  <c r="S84" i="16"/>
  <c r="T84" i="16"/>
  <c r="U84" i="16"/>
  <c r="V84" i="16"/>
  <c r="W84" i="16"/>
  <c r="X84" i="16"/>
  <c r="O86" i="16"/>
  <c r="Q86" i="16"/>
  <c r="S86" i="16"/>
  <c r="U86" i="16"/>
  <c r="W86" i="16"/>
  <c r="C93" i="16"/>
  <c r="F91" i="16"/>
  <c r="AG90" i="16" s="1"/>
  <c r="C91" i="16"/>
  <c r="C92" i="16" s="1"/>
  <c r="D89" i="16"/>
  <c r="E89" i="16" s="1"/>
  <c r="M86" i="16"/>
  <c r="L86" i="16"/>
  <c r="K86" i="16"/>
  <c r="J86" i="16"/>
  <c r="I86" i="16"/>
  <c r="AN84" i="16"/>
  <c r="AL84" i="16"/>
  <c r="AI84" i="16"/>
  <c r="AI85" i="16" s="1"/>
  <c r="AH84" i="16"/>
  <c r="AG84" i="16"/>
  <c r="AF84" i="16"/>
  <c r="AE84" i="16"/>
  <c r="AE85" i="16" s="1"/>
  <c r="AD84" i="16"/>
  <c r="AC84" i="16"/>
  <c r="AB84" i="16"/>
  <c r="AA84" i="16"/>
  <c r="Z84" i="16"/>
  <c r="Y84" i="16"/>
  <c r="M84" i="16"/>
  <c r="L84" i="16"/>
  <c r="K84" i="16"/>
  <c r="J84" i="16"/>
  <c r="I84" i="16"/>
  <c r="AR83" i="16"/>
  <c r="AO83" i="16"/>
  <c r="AP83" i="16" s="1"/>
  <c r="AM83" i="16"/>
  <c r="AJ83" i="16"/>
  <c r="N83" i="16"/>
  <c r="AR82" i="16"/>
  <c r="AO82" i="16"/>
  <c r="AP82" i="16" s="1"/>
  <c r="AM82" i="16"/>
  <c r="AJ82" i="16"/>
  <c r="N82" i="16"/>
  <c r="AR81" i="16"/>
  <c r="AO81" i="16"/>
  <c r="AP81" i="16" s="1"/>
  <c r="AM81" i="16"/>
  <c r="AJ81" i="16"/>
  <c r="N81" i="16"/>
  <c r="AR80" i="16"/>
  <c r="AO80" i="16"/>
  <c r="AP80" i="16" s="1"/>
  <c r="AM80" i="16"/>
  <c r="AJ80" i="16"/>
  <c r="N80" i="16"/>
  <c r="AR79" i="16"/>
  <c r="AO79" i="16"/>
  <c r="AP79" i="16" s="1"/>
  <c r="AM79" i="16"/>
  <c r="AJ79" i="16"/>
  <c r="N79" i="16"/>
  <c r="AR78" i="16"/>
  <c r="AO78" i="16"/>
  <c r="AP78" i="16" s="1"/>
  <c r="AM78" i="16"/>
  <c r="AJ78" i="16"/>
  <c r="N78" i="16"/>
  <c r="AR77" i="16"/>
  <c r="AO77" i="16"/>
  <c r="AP77" i="16" s="1"/>
  <c r="AM77" i="16"/>
  <c r="AJ77" i="16"/>
  <c r="N77" i="16"/>
  <c r="AR76" i="16"/>
  <c r="AO76" i="16"/>
  <c r="AP76" i="16" s="1"/>
  <c r="AM76" i="16"/>
  <c r="AJ76" i="16"/>
  <c r="N76" i="16"/>
  <c r="AR75" i="16"/>
  <c r="AO75" i="16"/>
  <c r="AP75" i="16" s="1"/>
  <c r="AM75" i="16"/>
  <c r="AJ75" i="16"/>
  <c r="N75" i="16"/>
  <c r="AR74" i="16"/>
  <c r="AO74" i="16"/>
  <c r="AP74" i="16" s="1"/>
  <c r="AM74" i="16"/>
  <c r="AJ74" i="16"/>
  <c r="N74" i="16"/>
  <c r="AR73" i="16"/>
  <c r="AO73" i="16"/>
  <c r="AP73" i="16" s="1"/>
  <c r="AM73" i="16"/>
  <c r="AJ73" i="16"/>
  <c r="N73" i="16"/>
  <c r="AR72" i="16"/>
  <c r="AO72" i="16"/>
  <c r="AP72" i="16" s="1"/>
  <c r="AM72" i="16"/>
  <c r="AJ72" i="16"/>
  <c r="N72" i="16"/>
  <c r="AR71" i="16"/>
  <c r="AO71" i="16"/>
  <c r="AP71" i="16" s="1"/>
  <c r="AM71" i="16"/>
  <c r="AJ71" i="16"/>
  <c r="N71" i="16"/>
  <c r="AR70" i="16"/>
  <c r="AO70" i="16"/>
  <c r="AP70" i="16" s="1"/>
  <c r="AM70" i="16"/>
  <c r="AJ70" i="16"/>
  <c r="N70" i="16"/>
  <c r="AR69" i="16"/>
  <c r="AO69" i="16"/>
  <c r="AP69" i="16" s="1"/>
  <c r="AM69" i="16"/>
  <c r="AJ69" i="16"/>
  <c r="N69" i="16"/>
  <c r="AR68" i="16"/>
  <c r="AO68" i="16"/>
  <c r="AP68" i="16" s="1"/>
  <c r="AM68" i="16"/>
  <c r="AJ68" i="16"/>
  <c r="N68" i="16"/>
  <c r="AR67" i="16"/>
  <c r="AO67" i="16"/>
  <c r="AP67" i="16" s="1"/>
  <c r="AM67" i="16"/>
  <c r="AJ67" i="16"/>
  <c r="N67" i="16"/>
  <c r="AR66" i="16"/>
  <c r="AO66" i="16"/>
  <c r="AP66" i="16" s="1"/>
  <c r="AM66" i="16"/>
  <c r="AJ66" i="16"/>
  <c r="N66" i="16"/>
  <c r="AR65" i="16"/>
  <c r="AO65" i="16"/>
  <c r="AP65" i="16" s="1"/>
  <c r="AM65" i="16"/>
  <c r="AJ65" i="16"/>
  <c r="N65" i="16"/>
  <c r="AR64" i="16"/>
  <c r="AO64" i="16"/>
  <c r="AP64" i="16" s="1"/>
  <c r="AM64" i="16"/>
  <c r="AJ64" i="16"/>
  <c r="N64" i="16"/>
  <c r="AO63" i="16"/>
  <c r="AP63" i="16" s="1"/>
  <c r="AM63" i="16"/>
  <c r="AJ63" i="16"/>
  <c r="N63" i="16"/>
  <c r="AO62" i="16"/>
  <c r="AP62" i="16" s="1"/>
  <c r="AM62" i="16"/>
  <c r="AJ62" i="16"/>
  <c r="N62" i="16"/>
  <c r="AO61" i="16"/>
  <c r="AP61" i="16" s="1"/>
  <c r="AM61" i="16"/>
  <c r="AJ61" i="16"/>
  <c r="N61" i="16"/>
  <c r="AO60" i="16"/>
  <c r="AP60" i="16" s="1"/>
  <c r="AM60" i="16"/>
  <c r="AJ60" i="16"/>
  <c r="N60" i="16"/>
  <c r="AO59" i="16"/>
  <c r="AP59" i="16" s="1"/>
  <c r="AM59" i="16"/>
  <c r="AJ59" i="16"/>
  <c r="N59" i="16"/>
  <c r="AO58" i="16"/>
  <c r="AP58" i="16" s="1"/>
  <c r="AM58" i="16"/>
  <c r="AJ58" i="16"/>
  <c r="N58" i="16"/>
  <c r="AO57" i="16"/>
  <c r="AP57" i="16" s="1"/>
  <c r="AM57" i="16"/>
  <c r="AJ57" i="16"/>
  <c r="N57" i="16"/>
  <c r="AO56" i="16"/>
  <c r="AP56" i="16" s="1"/>
  <c r="AM56" i="16"/>
  <c r="AJ56" i="16"/>
  <c r="N56" i="16"/>
  <c r="AO55" i="16"/>
  <c r="AP55" i="16" s="1"/>
  <c r="AM55" i="16"/>
  <c r="AJ55" i="16"/>
  <c r="N55" i="16"/>
  <c r="AO54" i="16"/>
  <c r="AP54" i="16" s="1"/>
  <c r="AM54" i="16"/>
  <c r="AJ54" i="16"/>
  <c r="N54" i="16"/>
  <c r="AO53" i="16"/>
  <c r="AP53" i="16" s="1"/>
  <c r="AM53" i="16"/>
  <c r="AJ53" i="16"/>
  <c r="N53" i="16"/>
  <c r="AO52" i="16"/>
  <c r="AP52" i="16" s="1"/>
  <c r="AM52" i="16"/>
  <c r="AJ52" i="16"/>
  <c r="N52" i="16"/>
  <c r="AO51" i="16"/>
  <c r="AP51" i="16" s="1"/>
  <c r="AM51" i="16"/>
  <c r="AJ51" i="16"/>
  <c r="N51" i="16"/>
  <c r="AO50" i="16"/>
  <c r="AP50" i="16" s="1"/>
  <c r="AM50" i="16"/>
  <c r="AJ50" i="16"/>
  <c r="N50" i="16"/>
  <c r="AO49" i="16"/>
  <c r="AP49" i="16" s="1"/>
  <c r="AM49" i="16"/>
  <c r="AJ49" i="16"/>
  <c r="N49" i="16"/>
  <c r="AO48" i="16"/>
  <c r="AP48" i="16" s="1"/>
  <c r="AM48" i="16"/>
  <c r="AJ48" i="16"/>
  <c r="N48" i="16"/>
  <c r="AO47" i="16"/>
  <c r="AP47" i="16" s="1"/>
  <c r="AM47" i="16"/>
  <c r="AJ47" i="16"/>
  <c r="N47" i="16"/>
  <c r="AO46" i="16"/>
  <c r="AP46" i="16" s="1"/>
  <c r="AM46" i="16"/>
  <c r="AJ46" i="16"/>
  <c r="N46" i="16"/>
  <c r="AO45" i="16"/>
  <c r="AP45" i="16" s="1"/>
  <c r="AM45" i="16"/>
  <c r="AJ45" i="16"/>
  <c r="N45" i="16"/>
  <c r="AO44" i="16"/>
  <c r="AP44" i="16" s="1"/>
  <c r="AM44" i="16"/>
  <c r="AJ44" i="16"/>
  <c r="N44" i="16"/>
  <c r="AO43" i="16"/>
  <c r="AP43" i="16" s="1"/>
  <c r="AM43" i="16"/>
  <c r="AJ43" i="16"/>
  <c r="N43" i="16"/>
  <c r="AO42" i="16"/>
  <c r="AP42" i="16" s="1"/>
  <c r="AM42" i="16"/>
  <c r="AJ42" i="16"/>
  <c r="N42" i="16"/>
  <c r="AO41" i="16"/>
  <c r="AP41" i="16" s="1"/>
  <c r="AM41" i="16"/>
  <c r="AJ41" i="16"/>
  <c r="N41" i="16"/>
  <c r="AO40" i="16"/>
  <c r="AP40" i="16" s="1"/>
  <c r="AM40" i="16"/>
  <c r="AJ40" i="16"/>
  <c r="N40" i="16"/>
  <c r="AO39" i="16"/>
  <c r="AP39" i="16" s="1"/>
  <c r="AM39" i="16"/>
  <c r="AJ39" i="16"/>
  <c r="N39" i="16"/>
  <c r="AO38" i="16"/>
  <c r="AP38" i="16" s="1"/>
  <c r="AM38" i="16"/>
  <c r="AJ38" i="16"/>
  <c r="N38" i="16"/>
  <c r="AO37" i="16"/>
  <c r="AP37" i="16" s="1"/>
  <c r="AM37" i="16"/>
  <c r="AJ37" i="16"/>
  <c r="N37" i="16"/>
  <c r="AO36" i="16"/>
  <c r="AP36" i="16" s="1"/>
  <c r="AM36" i="16"/>
  <c r="AJ36" i="16"/>
  <c r="N36" i="16"/>
  <c r="AO35" i="16"/>
  <c r="AP35" i="16" s="1"/>
  <c r="AM35" i="16"/>
  <c r="AJ35" i="16"/>
  <c r="N35" i="16"/>
  <c r="AO34" i="16"/>
  <c r="AP34" i="16" s="1"/>
  <c r="AM34" i="16"/>
  <c r="AJ34" i="16"/>
  <c r="N34" i="16"/>
  <c r="AO33" i="16"/>
  <c r="AP33" i="16" s="1"/>
  <c r="AM33" i="16"/>
  <c r="AJ33" i="16"/>
  <c r="N33" i="16"/>
  <c r="AO32" i="16"/>
  <c r="AP32" i="16" s="1"/>
  <c r="AM32" i="16"/>
  <c r="AJ32" i="16"/>
  <c r="N32" i="16"/>
  <c r="AO31" i="16"/>
  <c r="AP31" i="16" s="1"/>
  <c r="AM31" i="16"/>
  <c r="AJ31" i="16"/>
  <c r="N31" i="16"/>
  <c r="AO30" i="16"/>
  <c r="AP30" i="16" s="1"/>
  <c r="AM30" i="16"/>
  <c r="AJ30" i="16"/>
  <c r="N30" i="16"/>
  <c r="AO29" i="16"/>
  <c r="AP29" i="16" s="1"/>
  <c r="AM29" i="16"/>
  <c r="AJ29" i="16"/>
  <c r="N29" i="16"/>
  <c r="AO28" i="16"/>
  <c r="AP28" i="16" s="1"/>
  <c r="AM28" i="16"/>
  <c r="AJ28" i="16"/>
  <c r="N28" i="16"/>
  <c r="AO27" i="16"/>
  <c r="AP27" i="16" s="1"/>
  <c r="AM27" i="16"/>
  <c r="AJ27" i="16"/>
  <c r="N27" i="16"/>
  <c r="AO26" i="16"/>
  <c r="AP26" i="16" s="1"/>
  <c r="AM26" i="16"/>
  <c r="AJ26" i="16"/>
  <c r="N26" i="16"/>
  <c r="AO25" i="16"/>
  <c r="AP25" i="16" s="1"/>
  <c r="AM25" i="16"/>
  <c r="AJ25" i="16"/>
  <c r="N25" i="16"/>
  <c r="AO24" i="16"/>
  <c r="AP24" i="16" s="1"/>
  <c r="AM24" i="16"/>
  <c r="AJ24" i="16"/>
  <c r="N24" i="16"/>
  <c r="AO23" i="16"/>
  <c r="AP23" i="16" s="1"/>
  <c r="AM23" i="16"/>
  <c r="AJ23" i="16"/>
  <c r="N23" i="16"/>
  <c r="AO22" i="16"/>
  <c r="AP22" i="16" s="1"/>
  <c r="AM22" i="16"/>
  <c r="AJ22" i="16"/>
  <c r="N22" i="16"/>
  <c r="AO21" i="16"/>
  <c r="AP21" i="16" s="1"/>
  <c r="AM21" i="16"/>
  <c r="AJ21" i="16"/>
  <c r="N21" i="16"/>
  <c r="AO20" i="16"/>
  <c r="AP20" i="16" s="1"/>
  <c r="AM20" i="16"/>
  <c r="AJ20" i="16"/>
  <c r="N20" i="16"/>
  <c r="AO19" i="16"/>
  <c r="AP19" i="16" s="1"/>
  <c r="AM19" i="16"/>
  <c r="AJ19" i="16"/>
  <c r="N19" i="16"/>
  <c r="AO18" i="16"/>
  <c r="AP18" i="16" s="1"/>
  <c r="AM18" i="16"/>
  <c r="AJ18" i="16"/>
  <c r="N18" i="16"/>
  <c r="AO17" i="16"/>
  <c r="AP17" i="16" s="1"/>
  <c r="AM17" i="16"/>
  <c r="AJ17" i="16"/>
  <c r="N17" i="16"/>
  <c r="AO16" i="16"/>
  <c r="AP16" i="16" s="1"/>
  <c r="AM16" i="16"/>
  <c r="AJ16" i="16"/>
  <c r="N16" i="16"/>
  <c r="AO15" i="16"/>
  <c r="AP15" i="16" s="1"/>
  <c r="AM15" i="16"/>
  <c r="AJ15" i="16"/>
  <c r="N15" i="16"/>
  <c r="AO14" i="16"/>
  <c r="AP14" i="16" s="1"/>
  <c r="AM14" i="16"/>
  <c r="AJ14" i="16"/>
  <c r="N14" i="16"/>
  <c r="AO13" i="16"/>
  <c r="AP13" i="16" s="1"/>
  <c r="AM13" i="16"/>
  <c r="AJ13" i="16"/>
  <c r="N13" i="16"/>
  <c r="AO12" i="16"/>
  <c r="AP12" i="16" s="1"/>
  <c r="AM12" i="16"/>
  <c r="AJ12" i="16"/>
  <c r="N12" i="16"/>
  <c r="AO11" i="16"/>
  <c r="AM11" i="16"/>
  <c r="AJ11" i="16"/>
  <c r="N11" i="16"/>
  <c r="B8" i="16"/>
  <c r="N12" i="20" l="1"/>
  <c r="AJ12" i="20"/>
  <c r="N13" i="20"/>
  <c r="AJ13" i="20"/>
  <c r="N14" i="20"/>
  <c r="AJ14" i="20"/>
  <c r="N15" i="20"/>
  <c r="AJ15" i="20"/>
  <c r="N16" i="20"/>
  <c r="AJ16" i="20"/>
  <c r="N17" i="20"/>
  <c r="AJ17" i="20"/>
  <c r="I86" i="20"/>
  <c r="AJ19" i="20"/>
  <c r="N19" i="20"/>
  <c r="N20" i="20"/>
  <c r="AJ20" i="20"/>
  <c r="N21" i="20"/>
  <c r="AJ21" i="20"/>
  <c r="AJ22" i="20"/>
  <c r="N22" i="20"/>
  <c r="AJ23" i="20"/>
  <c r="N23" i="20"/>
  <c r="AJ24" i="20"/>
  <c r="N24" i="20"/>
  <c r="AJ25" i="20"/>
  <c r="N25" i="20"/>
  <c r="AJ41" i="20"/>
  <c r="N41" i="20"/>
  <c r="AJ42" i="20"/>
  <c r="N42" i="20"/>
  <c r="AJ27" i="20"/>
  <c r="N27" i="20"/>
  <c r="AJ28" i="20"/>
  <c r="N28" i="20"/>
  <c r="AJ30" i="20"/>
  <c r="N30" i="20"/>
  <c r="AJ31" i="20"/>
  <c r="N31" i="20"/>
  <c r="AJ32" i="20"/>
  <c r="N32" i="20"/>
  <c r="AJ33" i="20"/>
  <c r="N33" i="20"/>
  <c r="AJ34" i="20"/>
  <c r="N34" i="20"/>
  <c r="N35" i="20"/>
  <c r="AJ35" i="20"/>
  <c r="N43" i="20"/>
  <c r="AJ43" i="20"/>
  <c r="AJ44" i="20"/>
  <c r="N44" i="20"/>
  <c r="AJ45" i="20"/>
  <c r="N45" i="20"/>
  <c r="AJ46" i="20"/>
  <c r="N46" i="20"/>
  <c r="AJ47" i="20"/>
  <c r="N47" i="20"/>
  <c r="AJ48" i="20"/>
  <c r="N48" i="20"/>
  <c r="AJ49" i="20"/>
  <c r="N49" i="20"/>
  <c r="N50" i="20"/>
  <c r="AJ50" i="20"/>
  <c r="AJ51" i="20"/>
  <c r="N51" i="20"/>
  <c r="N52" i="20"/>
  <c r="AJ52" i="20"/>
  <c r="AJ53" i="20"/>
  <c r="N53" i="20"/>
  <c r="N54" i="20"/>
  <c r="AJ54" i="20"/>
  <c r="AJ55" i="20"/>
  <c r="N55" i="20"/>
  <c r="N56" i="20"/>
  <c r="AJ56" i="20"/>
  <c r="AJ57" i="20"/>
  <c r="N57" i="20"/>
  <c r="N58" i="20"/>
  <c r="AJ58" i="20"/>
  <c r="N59" i="20"/>
  <c r="AJ59" i="20"/>
  <c r="N60" i="20"/>
  <c r="AJ60" i="20"/>
  <c r="N61" i="20"/>
  <c r="AJ61" i="20"/>
  <c r="N62" i="20"/>
  <c r="AJ62" i="20"/>
  <c r="AJ63" i="20"/>
  <c r="N63" i="20"/>
  <c r="AR64" i="20"/>
  <c r="N64" i="20"/>
  <c r="AJ64" i="20"/>
  <c r="AR65" i="20"/>
  <c r="N65" i="20"/>
  <c r="AJ65" i="20"/>
  <c r="N66" i="20"/>
  <c r="AJ66" i="20"/>
  <c r="AR66" i="20"/>
  <c r="AR67" i="20"/>
  <c r="AJ67" i="20"/>
  <c r="N67" i="20"/>
  <c r="N68" i="20"/>
  <c r="AR68" i="20"/>
  <c r="AJ68" i="20"/>
  <c r="AR69" i="20"/>
  <c r="AJ69" i="20"/>
  <c r="N69" i="20"/>
  <c r="AR70" i="20"/>
  <c r="AJ70" i="20"/>
  <c r="N70" i="20"/>
  <c r="N71" i="20"/>
  <c r="AJ71" i="20"/>
  <c r="AR71" i="20"/>
  <c r="N72" i="20"/>
  <c r="AJ72" i="20"/>
  <c r="AR72" i="20"/>
  <c r="AJ73" i="20"/>
  <c r="N73" i="20"/>
  <c r="AR73" i="20"/>
  <c r="AR74" i="20"/>
  <c r="AJ74" i="20"/>
  <c r="N74" i="20"/>
  <c r="AR75" i="20"/>
  <c r="AJ75" i="20"/>
  <c r="N75" i="20"/>
  <c r="AR76" i="20"/>
  <c r="N76" i="20"/>
  <c r="AJ76" i="20"/>
  <c r="AJ77" i="20"/>
  <c r="AR77" i="20"/>
  <c r="N77" i="20"/>
  <c r="AR78" i="20"/>
  <c r="AJ78" i="20"/>
  <c r="N78" i="20"/>
  <c r="N79" i="20"/>
  <c r="AJ79" i="20"/>
  <c r="AR79" i="20"/>
  <c r="N80" i="20"/>
  <c r="AR80" i="20"/>
  <c r="AJ80" i="20"/>
  <c r="AJ81" i="20"/>
  <c r="AR81" i="20"/>
  <c r="N81" i="20"/>
  <c r="N82" i="20"/>
  <c r="AJ82" i="20"/>
  <c r="AR82" i="20"/>
  <c r="AJ83" i="20"/>
  <c r="N83" i="20"/>
  <c r="AR83" i="20"/>
  <c r="N11" i="20"/>
  <c r="AJ11" i="20"/>
  <c r="I84" i="20"/>
  <c r="H85" i="20" s="1"/>
  <c r="AG85" i="16"/>
  <c r="N84" i="19"/>
  <c r="AV84" i="19"/>
  <c r="BD84" i="19"/>
  <c r="AY84" i="19"/>
  <c r="BB11" i="19"/>
  <c r="BB84" i="19" s="1"/>
  <c r="BA84" i="19"/>
  <c r="Q85" i="16"/>
  <c r="P89" i="16"/>
  <c r="R89" i="16"/>
  <c r="W85" i="16"/>
  <c r="O90" i="16"/>
  <c r="X89" i="16"/>
  <c r="V89" i="16"/>
  <c r="Q89" i="16"/>
  <c r="S90" i="16"/>
  <c r="AA90" i="16"/>
  <c r="U90" i="16"/>
  <c r="Q90" i="16"/>
  <c r="AC90" i="16"/>
  <c r="Y90" i="16"/>
  <c r="W90" i="16"/>
  <c r="AE90" i="16"/>
  <c r="T89" i="16"/>
  <c r="O89" i="16"/>
  <c r="O85" i="16"/>
  <c r="U85" i="16"/>
  <c r="S85" i="16"/>
  <c r="W89" i="16"/>
  <c r="U89" i="16"/>
  <c r="S89" i="16"/>
  <c r="AR84" i="16"/>
  <c r="AB89" i="16"/>
  <c r="AC85" i="16"/>
  <c r="H85" i="16"/>
  <c r="AJ84" i="16"/>
  <c r="AM84" i="16"/>
  <c r="AO84" i="16"/>
  <c r="Y85" i="16"/>
  <c r="AA85" i="16"/>
  <c r="AE89" i="16"/>
  <c r="AF89" i="16"/>
  <c r="Z89" i="16"/>
  <c r="Y89" i="16"/>
  <c r="AA89" i="16"/>
  <c r="AG89" i="16"/>
  <c r="AH89" i="16"/>
  <c r="AD89" i="16"/>
  <c r="AP11" i="16"/>
  <c r="AP84" i="16" s="1"/>
  <c r="AC89" i="16"/>
  <c r="Y79" i="15"/>
  <c r="Z79" i="15"/>
  <c r="AA79" i="15"/>
  <c r="AB79" i="15"/>
  <c r="AC79" i="15"/>
  <c r="AD79" i="15"/>
  <c r="AE79" i="15"/>
  <c r="AF79" i="15"/>
  <c r="AG79" i="15"/>
  <c r="AH79" i="15"/>
  <c r="AR84" i="20" l="1"/>
  <c r="N84" i="20"/>
  <c r="AJ84" i="20"/>
  <c r="AG80" i="15"/>
  <c r="AA80" i="15"/>
  <c r="AC80" i="15"/>
  <c r="AE80" i="15"/>
  <c r="Y80" i="15"/>
  <c r="Q81" i="15"/>
  <c r="S81" i="15"/>
  <c r="U81" i="15"/>
  <c r="W81" i="15"/>
  <c r="O81" i="15"/>
  <c r="AA81" i="13"/>
  <c r="AC81" i="13"/>
  <c r="AE81" i="13"/>
  <c r="AG81" i="13"/>
  <c r="Y81" i="13"/>
  <c r="F86" i="13"/>
  <c r="D84" i="13"/>
  <c r="C88" i="15" l="1"/>
  <c r="F86" i="15"/>
  <c r="W85" i="15" s="1"/>
  <c r="C86" i="15"/>
  <c r="C87" i="15" s="1"/>
  <c r="U85" i="15"/>
  <c r="S85" i="15"/>
  <c r="Q85" i="15"/>
  <c r="D84" i="15"/>
  <c r="E84" i="15" s="1"/>
  <c r="M81" i="15"/>
  <c r="L81" i="15"/>
  <c r="K81" i="15"/>
  <c r="J81" i="15"/>
  <c r="I81" i="15"/>
  <c r="AN79" i="15"/>
  <c r="AL79" i="15"/>
  <c r="AI79" i="15"/>
  <c r="AI80" i="15" s="1"/>
  <c r="X79" i="15"/>
  <c r="W79" i="15"/>
  <c r="V79" i="15"/>
  <c r="U79" i="15"/>
  <c r="T79" i="15"/>
  <c r="S79" i="15"/>
  <c r="R79" i="15"/>
  <c r="Q79" i="15"/>
  <c r="P79" i="15"/>
  <c r="O79" i="15"/>
  <c r="M79" i="15"/>
  <c r="L79" i="15"/>
  <c r="K79" i="15"/>
  <c r="J79" i="15"/>
  <c r="I79" i="15"/>
  <c r="H79" i="15"/>
  <c r="AR78" i="15"/>
  <c r="AO78" i="15"/>
  <c r="AP78" i="15" s="1"/>
  <c r="AM78" i="15"/>
  <c r="AJ78" i="15"/>
  <c r="N78" i="15"/>
  <c r="AR77" i="15"/>
  <c r="AO77" i="15"/>
  <c r="AP77" i="15" s="1"/>
  <c r="AM77" i="15"/>
  <c r="AJ77" i="15"/>
  <c r="N77" i="15"/>
  <c r="AR76" i="15"/>
  <c r="AO76" i="15"/>
  <c r="AP76" i="15" s="1"/>
  <c r="AM76" i="15"/>
  <c r="AJ76" i="15"/>
  <c r="N76" i="15"/>
  <c r="AR75" i="15"/>
  <c r="AO75" i="15"/>
  <c r="AP75" i="15" s="1"/>
  <c r="AM75" i="15"/>
  <c r="AJ75" i="15"/>
  <c r="N75" i="15"/>
  <c r="AR74" i="15"/>
  <c r="AO74" i="15"/>
  <c r="AP74" i="15" s="1"/>
  <c r="AM74" i="15"/>
  <c r="AJ74" i="15"/>
  <c r="N74" i="15"/>
  <c r="AR73" i="15"/>
  <c r="AO73" i="15"/>
  <c r="AP73" i="15" s="1"/>
  <c r="AM73" i="15"/>
  <c r="AJ73" i="15"/>
  <c r="N73" i="15"/>
  <c r="AR72" i="15"/>
  <c r="AO72" i="15"/>
  <c r="AP72" i="15" s="1"/>
  <c r="AM72" i="15"/>
  <c r="AJ72" i="15"/>
  <c r="N72" i="15"/>
  <c r="AR71" i="15"/>
  <c r="AO71" i="15"/>
  <c r="AP71" i="15" s="1"/>
  <c r="AM71" i="15"/>
  <c r="AJ71" i="15"/>
  <c r="N71" i="15"/>
  <c r="AR70" i="15"/>
  <c r="AO70" i="15"/>
  <c r="AP70" i="15" s="1"/>
  <c r="AM70" i="15"/>
  <c r="AJ70" i="15"/>
  <c r="N70" i="15"/>
  <c r="AR69" i="15"/>
  <c r="AO69" i="15"/>
  <c r="AP69" i="15" s="1"/>
  <c r="AM69" i="15"/>
  <c r="AJ69" i="15"/>
  <c r="N69" i="15"/>
  <c r="AR68" i="15"/>
  <c r="AO68" i="15"/>
  <c r="AP68" i="15" s="1"/>
  <c r="AM68" i="15"/>
  <c r="AJ68" i="15"/>
  <c r="N68" i="15"/>
  <c r="AR67" i="15"/>
  <c r="AO67" i="15"/>
  <c r="AP67" i="15" s="1"/>
  <c r="AM67" i="15"/>
  <c r="AJ67" i="15"/>
  <c r="N67" i="15"/>
  <c r="AR66" i="15"/>
  <c r="AO66" i="15"/>
  <c r="AP66" i="15" s="1"/>
  <c r="AM66" i="15"/>
  <c r="AJ66" i="15"/>
  <c r="N66" i="15"/>
  <c r="AR65" i="15"/>
  <c r="AO65" i="15"/>
  <c r="AP65" i="15" s="1"/>
  <c r="AM65" i="15"/>
  <c r="AJ65" i="15"/>
  <c r="N65" i="15"/>
  <c r="AR64" i="15"/>
  <c r="AO64" i="15"/>
  <c r="AP64" i="15" s="1"/>
  <c r="AM64" i="15"/>
  <c r="AJ64" i="15"/>
  <c r="N64" i="15"/>
  <c r="AR63" i="15"/>
  <c r="AO63" i="15"/>
  <c r="AP63" i="15" s="1"/>
  <c r="AM63" i="15"/>
  <c r="AJ63" i="15"/>
  <c r="N63" i="15"/>
  <c r="AR62" i="15"/>
  <c r="AO62" i="15"/>
  <c r="AP62" i="15" s="1"/>
  <c r="AM62" i="15"/>
  <c r="AJ62" i="15"/>
  <c r="N62" i="15"/>
  <c r="AR61" i="15"/>
  <c r="AO61" i="15"/>
  <c r="AP61" i="15" s="1"/>
  <c r="AM61" i="15"/>
  <c r="AJ61" i="15"/>
  <c r="N61" i="15"/>
  <c r="AR60" i="15"/>
  <c r="AO60" i="15"/>
  <c r="AP60" i="15" s="1"/>
  <c r="AM60" i="15"/>
  <c r="AJ60" i="15"/>
  <c r="N60" i="15"/>
  <c r="AR59" i="15"/>
  <c r="AO59" i="15"/>
  <c r="AP59" i="15" s="1"/>
  <c r="AM59" i="15"/>
  <c r="AJ59" i="15"/>
  <c r="N59" i="15"/>
  <c r="AO58" i="15"/>
  <c r="AP58" i="15" s="1"/>
  <c r="AM58" i="15"/>
  <c r="AJ58" i="15"/>
  <c r="N58" i="15"/>
  <c r="AO57" i="15"/>
  <c r="AP57" i="15" s="1"/>
  <c r="AM57" i="15"/>
  <c r="AJ57" i="15"/>
  <c r="N57" i="15"/>
  <c r="AO56" i="15"/>
  <c r="AP56" i="15" s="1"/>
  <c r="AM56" i="15"/>
  <c r="AJ56" i="15"/>
  <c r="N56" i="15"/>
  <c r="AO55" i="15"/>
  <c r="AP55" i="15" s="1"/>
  <c r="AM55" i="15"/>
  <c r="AJ55" i="15"/>
  <c r="N55" i="15"/>
  <c r="AO54" i="15"/>
  <c r="AP54" i="15" s="1"/>
  <c r="AM54" i="15"/>
  <c r="AJ54" i="15"/>
  <c r="N54" i="15"/>
  <c r="AO53" i="15"/>
  <c r="AP53" i="15" s="1"/>
  <c r="AM53" i="15"/>
  <c r="AJ53" i="15"/>
  <c r="N53" i="15"/>
  <c r="AO52" i="15"/>
  <c r="AP52" i="15" s="1"/>
  <c r="AM52" i="15"/>
  <c r="AJ52" i="15"/>
  <c r="N52" i="15"/>
  <c r="AO51" i="15"/>
  <c r="AP51" i="15" s="1"/>
  <c r="AM51" i="15"/>
  <c r="AJ51" i="15"/>
  <c r="N51" i="15"/>
  <c r="AO50" i="15"/>
  <c r="AP50" i="15" s="1"/>
  <c r="AM50" i="15"/>
  <c r="AJ50" i="15"/>
  <c r="N50" i="15"/>
  <c r="AO49" i="15"/>
  <c r="AP49" i="15" s="1"/>
  <c r="AM49" i="15"/>
  <c r="AJ49" i="15"/>
  <c r="N49" i="15"/>
  <c r="AO48" i="15"/>
  <c r="AP48" i="15" s="1"/>
  <c r="AM48" i="15"/>
  <c r="AJ48" i="15"/>
  <c r="N48" i="15"/>
  <c r="AO47" i="15"/>
  <c r="AP47" i="15" s="1"/>
  <c r="AM47" i="15"/>
  <c r="AJ47" i="15"/>
  <c r="N47" i="15"/>
  <c r="AO46" i="15"/>
  <c r="AP46" i="15" s="1"/>
  <c r="AM46" i="15"/>
  <c r="AJ46" i="15"/>
  <c r="N46" i="15"/>
  <c r="AO45" i="15"/>
  <c r="AP45" i="15" s="1"/>
  <c r="AM45" i="15"/>
  <c r="AJ45" i="15"/>
  <c r="N45" i="15"/>
  <c r="AO44" i="15"/>
  <c r="AP44" i="15" s="1"/>
  <c r="AM44" i="15"/>
  <c r="AJ44" i="15"/>
  <c r="N44" i="15"/>
  <c r="AO43" i="15"/>
  <c r="AP43" i="15" s="1"/>
  <c r="AM43" i="15"/>
  <c r="AJ43" i="15"/>
  <c r="N43" i="15"/>
  <c r="AO42" i="15"/>
  <c r="AP42" i="15" s="1"/>
  <c r="AM42" i="15"/>
  <c r="AJ42" i="15"/>
  <c r="N42" i="15"/>
  <c r="AO41" i="15"/>
  <c r="AP41" i="15" s="1"/>
  <c r="AM41" i="15"/>
  <c r="AJ41" i="15"/>
  <c r="N41" i="15"/>
  <c r="AO40" i="15"/>
  <c r="AP40" i="15" s="1"/>
  <c r="AM40" i="15"/>
  <c r="AJ40" i="15"/>
  <c r="N40" i="15"/>
  <c r="AO39" i="15"/>
  <c r="AP39" i="15" s="1"/>
  <c r="AM39" i="15"/>
  <c r="AJ39" i="15"/>
  <c r="N39" i="15"/>
  <c r="AO38" i="15"/>
  <c r="AP38" i="15" s="1"/>
  <c r="AM38" i="15"/>
  <c r="AJ38" i="15"/>
  <c r="N38" i="15"/>
  <c r="AO37" i="15"/>
  <c r="AP37" i="15" s="1"/>
  <c r="AM37" i="15"/>
  <c r="AJ37" i="15"/>
  <c r="N37" i="15"/>
  <c r="AO36" i="15"/>
  <c r="AP36" i="15" s="1"/>
  <c r="AM36" i="15"/>
  <c r="AJ36" i="15"/>
  <c r="N36" i="15"/>
  <c r="AO35" i="15"/>
  <c r="AP35" i="15" s="1"/>
  <c r="AM35" i="15"/>
  <c r="AJ35" i="15"/>
  <c r="N35" i="15"/>
  <c r="AO34" i="15"/>
  <c r="AP34" i="15" s="1"/>
  <c r="AM34" i="15"/>
  <c r="AJ34" i="15"/>
  <c r="N34" i="15"/>
  <c r="AO33" i="15"/>
  <c r="AP33" i="15" s="1"/>
  <c r="AM33" i="15"/>
  <c r="AJ33" i="15"/>
  <c r="N33" i="15"/>
  <c r="AO32" i="15"/>
  <c r="AP32" i="15" s="1"/>
  <c r="AM32" i="15"/>
  <c r="AJ32" i="15"/>
  <c r="N32" i="15"/>
  <c r="AO31" i="15"/>
  <c r="AP31" i="15" s="1"/>
  <c r="AM31" i="15"/>
  <c r="AJ31" i="15"/>
  <c r="N31" i="15"/>
  <c r="AO30" i="15"/>
  <c r="AP30" i="15" s="1"/>
  <c r="AM30" i="15"/>
  <c r="AJ30" i="15"/>
  <c r="N30" i="15"/>
  <c r="AO29" i="15"/>
  <c r="AP29" i="15" s="1"/>
  <c r="AM29" i="15"/>
  <c r="AJ29" i="15"/>
  <c r="N29" i="15"/>
  <c r="AO28" i="15"/>
  <c r="AP28" i="15" s="1"/>
  <c r="AM28" i="15"/>
  <c r="AJ28" i="15"/>
  <c r="N28" i="15"/>
  <c r="AO27" i="15"/>
  <c r="AP27" i="15" s="1"/>
  <c r="AM27" i="15"/>
  <c r="AJ27" i="15"/>
  <c r="N27" i="15"/>
  <c r="AO26" i="15"/>
  <c r="AP26" i="15" s="1"/>
  <c r="AM26" i="15"/>
  <c r="AJ26" i="15"/>
  <c r="N26" i="15"/>
  <c r="AO25" i="15"/>
  <c r="AP25" i="15" s="1"/>
  <c r="AM25" i="15"/>
  <c r="AJ25" i="15"/>
  <c r="N25" i="15"/>
  <c r="AO24" i="15"/>
  <c r="AP24" i="15" s="1"/>
  <c r="AM24" i="15"/>
  <c r="AJ24" i="15"/>
  <c r="N24" i="15"/>
  <c r="AO23" i="15"/>
  <c r="AP23" i="15" s="1"/>
  <c r="AM23" i="15"/>
  <c r="AJ23" i="15"/>
  <c r="N23" i="15"/>
  <c r="AO22" i="15"/>
  <c r="AP22" i="15" s="1"/>
  <c r="AM22" i="15"/>
  <c r="AJ22" i="15"/>
  <c r="N22" i="15"/>
  <c r="AO21" i="15"/>
  <c r="AP21" i="15" s="1"/>
  <c r="AM21" i="15"/>
  <c r="AJ21" i="15"/>
  <c r="N21" i="15"/>
  <c r="AO20" i="15"/>
  <c r="AP20" i="15" s="1"/>
  <c r="AM20" i="15"/>
  <c r="AJ20" i="15"/>
  <c r="N20" i="15"/>
  <c r="AO19" i="15"/>
  <c r="AP19" i="15" s="1"/>
  <c r="AM19" i="15"/>
  <c r="AJ19" i="15"/>
  <c r="N19" i="15"/>
  <c r="AO18" i="15"/>
  <c r="AP18" i="15" s="1"/>
  <c r="AM18" i="15"/>
  <c r="AJ18" i="15"/>
  <c r="N18" i="15"/>
  <c r="AO17" i="15"/>
  <c r="AP17" i="15" s="1"/>
  <c r="AM17" i="15"/>
  <c r="AJ17" i="15"/>
  <c r="N17" i="15"/>
  <c r="AO16" i="15"/>
  <c r="AP16" i="15" s="1"/>
  <c r="AM16" i="15"/>
  <c r="AJ16" i="15"/>
  <c r="N16" i="15"/>
  <c r="AO15" i="15"/>
  <c r="AP15" i="15" s="1"/>
  <c r="AM15" i="15"/>
  <c r="AJ15" i="15"/>
  <c r="N15" i="15"/>
  <c r="AO14" i="15"/>
  <c r="AP14" i="15" s="1"/>
  <c r="AM14" i="15"/>
  <c r="AJ14" i="15"/>
  <c r="N14" i="15"/>
  <c r="AO13" i="15"/>
  <c r="AP13" i="15" s="1"/>
  <c r="AM13" i="15"/>
  <c r="AJ13" i="15"/>
  <c r="N13" i="15"/>
  <c r="AO12" i="15"/>
  <c r="AP12" i="15" s="1"/>
  <c r="AM12" i="15"/>
  <c r="AJ12" i="15"/>
  <c r="N12" i="15"/>
  <c r="AO11" i="15"/>
  <c r="AP11" i="15" s="1"/>
  <c r="AM11" i="15"/>
  <c r="AJ11" i="15"/>
  <c r="N11" i="15"/>
  <c r="AO10" i="15"/>
  <c r="AP10" i="15" s="1"/>
  <c r="AM10" i="15"/>
  <c r="AJ10" i="15"/>
  <c r="N10" i="15"/>
  <c r="AO9" i="15"/>
  <c r="AP9" i="15" s="1"/>
  <c r="AM9" i="15"/>
  <c r="AJ9" i="15"/>
  <c r="N9" i="15"/>
  <c r="AO8" i="15"/>
  <c r="AP8" i="15" s="1"/>
  <c r="AM8" i="15"/>
  <c r="AJ8" i="15"/>
  <c r="N8" i="15"/>
  <c r="AO7" i="15"/>
  <c r="AP7" i="15" s="1"/>
  <c r="AM7" i="15"/>
  <c r="AJ7" i="15"/>
  <c r="N7" i="15"/>
  <c r="AO6" i="15"/>
  <c r="AM6" i="15"/>
  <c r="AJ6" i="15"/>
  <c r="N6" i="15"/>
  <c r="B3" i="15"/>
  <c r="T84" i="15" l="1"/>
  <c r="Y85" i="15"/>
  <c r="AC85" i="15"/>
  <c r="AE85" i="15"/>
  <c r="AA85" i="15"/>
  <c r="AG85" i="15"/>
  <c r="O85" i="15"/>
  <c r="AF84" i="15"/>
  <c r="AH84" i="15"/>
  <c r="Z84" i="15"/>
  <c r="AA84" i="15"/>
  <c r="AC84" i="15"/>
  <c r="AE84" i="15"/>
  <c r="AG84" i="15"/>
  <c r="Y84" i="15"/>
  <c r="AB84" i="15"/>
  <c r="AD84" i="15"/>
  <c r="O80" i="15"/>
  <c r="H80" i="15"/>
  <c r="O84" i="15"/>
  <c r="U80" i="15"/>
  <c r="Q80" i="15"/>
  <c r="V84" i="15"/>
  <c r="W84" i="15"/>
  <c r="X84" i="15"/>
  <c r="AR79" i="15"/>
  <c r="W80" i="15"/>
  <c r="N79" i="15"/>
  <c r="AJ79" i="15"/>
  <c r="AM79" i="15"/>
  <c r="S80" i="15"/>
  <c r="S84" i="15"/>
  <c r="AO79" i="15"/>
  <c r="R84" i="15"/>
  <c r="P84" i="15"/>
  <c r="Q84" i="15"/>
  <c r="AP6" i="15"/>
  <c r="AP79" i="15" s="1"/>
  <c r="U84" i="15"/>
  <c r="Y79" i="13"/>
  <c r="Z79" i="13"/>
  <c r="AA79" i="13"/>
  <c r="AB79" i="13"/>
  <c r="AC79" i="13"/>
  <c r="AD79" i="13"/>
  <c r="AE79" i="13"/>
  <c r="AF79" i="13"/>
  <c r="AG79" i="13"/>
  <c r="AH79" i="13"/>
  <c r="AC80" i="13" l="1"/>
  <c r="AE80" i="13"/>
  <c r="AA80" i="13"/>
  <c r="AG80" i="13"/>
  <c r="Y80" i="13"/>
  <c r="C88" i="13"/>
  <c r="C86" i="13"/>
  <c r="C87" i="13" s="1"/>
  <c r="E84" i="13"/>
  <c r="W81" i="13"/>
  <c r="U81" i="13"/>
  <c r="S81" i="13"/>
  <c r="Q81" i="13"/>
  <c r="O81" i="13"/>
  <c r="M81" i="13"/>
  <c r="L81" i="13"/>
  <c r="K81" i="13"/>
  <c r="J81" i="13"/>
  <c r="I81" i="13"/>
  <c r="AN79" i="13"/>
  <c r="AL79" i="13"/>
  <c r="AI79" i="13"/>
  <c r="AI80" i="13" s="1"/>
  <c r="X79" i="13"/>
  <c r="W79" i="13"/>
  <c r="V79" i="13"/>
  <c r="U79" i="13"/>
  <c r="T79" i="13"/>
  <c r="S79" i="13"/>
  <c r="R79" i="13"/>
  <c r="Q79" i="13"/>
  <c r="P79" i="13"/>
  <c r="O79" i="13"/>
  <c r="M79" i="13"/>
  <c r="L79" i="13"/>
  <c r="K79" i="13"/>
  <c r="J79" i="13"/>
  <c r="I79" i="13"/>
  <c r="H79" i="13"/>
  <c r="AR78" i="13"/>
  <c r="AO78" i="13"/>
  <c r="AP78" i="13" s="1"/>
  <c r="AM78" i="13"/>
  <c r="AJ78" i="13"/>
  <c r="N78" i="13"/>
  <c r="AR77" i="13"/>
  <c r="AO77" i="13"/>
  <c r="AP77" i="13" s="1"/>
  <c r="AM77" i="13"/>
  <c r="AJ77" i="13"/>
  <c r="N77" i="13"/>
  <c r="AR76" i="13"/>
  <c r="AO76" i="13"/>
  <c r="AP76" i="13" s="1"/>
  <c r="AM76" i="13"/>
  <c r="AJ76" i="13"/>
  <c r="N76" i="13"/>
  <c r="AR75" i="13"/>
  <c r="AO75" i="13"/>
  <c r="AP75" i="13" s="1"/>
  <c r="AM75" i="13"/>
  <c r="AJ75" i="13"/>
  <c r="N75" i="13"/>
  <c r="AR74" i="13"/>
  <c r="AO74" i="13"/>
  <c r="AP74" i="13" s="1"/>
  <c r="AM74" i="13"/>
  <c r="AJ74" i="13"/>
  <c r="N74" i="13"/>
  <c r="AR73" i="13"/>
  <c r="AO73" i="13"/>
  <c r="AP73" i="13" s="1"/>
  <c r="AM73" i="13"/>
  <c r="AJ73" i="13"/>
  <c r="N73" i="13"/>
  <c r="AR72" i="13"/>
  <c r="AO72" i="13"/>
  <c r="AP72" i="13" s="1"/>
  <c r="AM72" i="13"/>
  <c r="AJ72" i="13"/>
  <c r="N72" i="13"/>
  <c r="AR71" i="13"/>
  <c r="AO71" i="13"/>
  <c r="AP71" i="13" s="1"/>
  <c r="AM71" i="13"/>
  <c r="AJ71" i="13"/>
  <c r="N71" i="13"/>
  <c r="AR70" i="13"/>
  <c r="AO70" i="13"/>
  <c r="AP70" i="13" s="1"/>
  <c r="AM70" i="13"/>
  <c r="AJ70" i="13"/>
  <c r="N70" i="13"/>
  <c r="AR69" i="13"/>
  <c r="AO69" i="13"/>
  <c r="AP69" i="13" s="1"/>
  <c r="AM69" i="13"/>
  <c r="AJ69" i="13"/>
  <c r="N69" i="13"/>
  <c r="AR68" i="13"/>
  <c r="AO68" i="13"/>
  <c r="AP68" i="13" s="1"/>
  <c r="AM68" i="13"/>
  <c r="AJ68" i="13"/>
  <c r="N68" i="13"/>
  <c r="AR67" i="13"/>
  <c r="AO67" i="13"/>
  <c r="AP67" i="13" s="1"/>
  <c r="AM67" i="13"/>
  <c r="AJ67" i="13"/>
  <c r="N67" i="13"/>
  <c r="AR66" i="13"/>
  <c r="AO66" i="13"/>
  <c r="AP66" i="13" s="1"/>
  <c r="AM66" i="13"/>
  <c r="AJ66" i="13"/>
  <c r="N66" i="13"/>
  <c r="AR65" i="13"/>
  <c r="AO65" i="13"/>
  <c r="AP65" i="13" s="1"/>
  <c r="AM65" i="13"/>
  <c r="AJ65" i="13"/>
  <c r="N65" i="13"/>
  <c r="AR64" i="13"/>
  <c r="AO64" i="13"/>
  <c r="AP64" i="13" s="1"/>
  <c r="AM64" i="13"/>
  <c r="AJ64" i="13"/>
  <c r="N64" i="13"/>
  <c r="AR63" i="13"/>
  <c r="AO63" i="13"/>
  <c r="AP63" i="13" s="1"/>
  <c r="AM63" i="13"/>
  <c r="AJ63" i="13"/>
  <c r="N63" i="13"/>
  <c r="AR62" i="13"/>
  <c r="AO62" i="13"/>
  <c r="AP62" i="13" s="1"/>
  <c r="AM62" i="13"/>
  <c r="AJ62" i="13"/>
  <c r="N62" i="13"/>
  <c r="AR61" i="13"/>
  <c r="AO61" i="13"/>
  <c r="AP61" i="13" s="1"/>
  <c r="AM61" i="13"/>
  <c r="AJ61" i="13"/>
  <c r="N61" i="13"/>
  <c r="AR60" i="13"/>
  <c r="AO60" i="13"/>
  <c r="AP60" i="13" s="1"/>
  <c r="AM60" i="13"/>
  <c r="AJ60" i="13"/>
  <c r="N60" i="13"/>
  <c r="AR59" i="13"/>
  <c r="AO59" i="13"/>
  <c r="AP59" i="13" s="1"/>
  <c r="AM59" i="13"/>
  <c r="AJ59" i="13"/>
  <c r="N59" i="13"/>
  <c r="AO58" i="13"/>
  <c r="AP58" i="13" s="1"/>
  <c r="AM58" i="13"/>
  <c r="AJ58" i="13"/>
  <c r="N58" i="13"/>
  <c r="AO57" i="13"/>
  <c r="AP57" i="13" s="1"/>
  <c r="AM57" i="13"/>
  <c r="AJ57" i="13"/>
  <c r="N57" i="13"/>
  <c r="AO56" i="13"/>
  <c r="AP56" i="13" s="1"/>
  <c r="AM56" i="13"/>
  <c r="AJ56" i="13"/>
  <c r="N56" i="13"/>
  <c r="AO55" i="13"/>
  <c r="AP55" i="13" s="1"/>
  <c r="AM55" i="13"/>
  <c r="AJ55" i="13"/>
  <c r="N55" i="13"/>
  <c r="AO54" i="13"/>
  <c r="AP54" i="13" s="1"/>
  <c r="AM54" i="13"/>
  <c r="AJ54" i="13"/>
  <c r="N54" i="13"/>
  <c r="AO53" i="13"/>
  <c r="AP53" i="13" s="1"/>
  <c r="AM53" i="13"/>
  <c r="AJ53" i="13"/>
  <c r="N53" i="13"/>
  <c r="AO52" i="13"/>
  <c r="AP52" i="13" s="1"/>
  <c r="AM52" i="13"/>
  <c r="AJ52" i="13"/>
  <c r="N52" i="13"/>
  <c r="AO51" i="13"/>
  <c r="AP51" i="13" s="1"/>
  <c r="AM51" i="13"/>
  <c r="AJ51" i="13"/>
  <c r="N51" i="13"/>
  <c r="AO50" i="13"/>
  <c r="AP50" i="13" s="1"/>
  <c r="AM50" i="13"/>
  <c r="AJ50" i="13"/>
  <c r="N50" i="13"/>
  <c r="AO49" i="13"/>
  <c r="AP49" i="13" s="1"/>
  <c r="AM49" i="13"/>
  <c r="AJ49" i="13"/>
  <c r="N49" i="13"/>
  <c r="AO48" i="13"/>
  <c r="AP48" i="13" s="1"/>
  <c r="AM48" i="13"/>
  <c r="AJ48" i="13"/>
  <c r="N48" i="13"/>
  <c r="AO47" i="13"/>
  <c r="AP47" i="13" s="1"/>
  <c r="AM47" i="13"/>
  <c r="AJ47" i="13"/>
  <c r="N47" i="13"/>
  <c r="AO46" i="13"/>
  <c r="AP46" i="13" s="1"/>
  <c r="AM46" i="13"/>
  <c r="AJ46" i="13"/>
  <c r="N46" i="13"/>
  <c r="AO45" i="13"/>
  <c r="AP45" i="13" s="1"/>
  <c r="AM45" i="13"/>
  <c r="AJ45" i="13"/>
  <c r="N45" i="13"/>
  <c r="AO44" i="13"/>
  <c r="AP44" i="13" s="1"/>
  <c r="AM44" i="13"/>
  <c r="AJ44" i="13"/>
  <c r="N44" i="13"/>
  <c r="AO43" i="13"/>
  <c r="AP43" i="13" s="1"/>
  <c r="AM43" i="13"/>
  <c r="AJ43" i="13"/>
  <c r="N43" i="13"/>
  <c r="AO42" i="13"/>
  <c r="AP42" i="13" s="1"/>
  <c r="AM42" i="13"/>
  <c r="AJ42" i="13"/>
  <c r="N42" i="13"/>
  <c r="AO41" i="13"/>
  <c r="AP41" i="13" s="1"/>
  <c r="AM41" i="13"/>
  <c r="AJ41" i="13"/>
  <c r="N41" i="13"/>
  <c r="AO40" i="13"/>
  <c r="AP40" i="13" s="1"/>
  <c r="AM40" i="13"/>
  <c r="AJ40" i="13"/>
  <c r="N40" i="13"/>
  <c r="AO39" i="13"/>
  <c r="AP39" i="13" s="1"/>
  <c r="AM39" i="13"/>
  <c r="AJ39" i="13"/>
  <c r="N39" i="13"/>
  <c r="AO38" i="13"/>
  <c r="AP38" i="13" s="1"/>
  <c r="AM38" i="13"/>
  <c r="AJ38" i="13"/>
  <c r="N38" i="13"/>
  <c r="AO37" i="13"/>
  <c r="AP37" i="13" s="1"/>
  <c r="AM37" i="13"/>
  <c r="AJ37" i="13"/>
  <c r="N37" i="13"/>
  <c r="AO36" i="13"/>
  <c r="AP36" i="13" s="1"/>
  <c r="AM36" i="13"/>
  <c r="AJ36" i="13"/>
  <c r="N36" i="13"/>
  <c r="AO35" i="13"/>
  <c r="AP35" i="13" s="1"/>
  <c r="AM35" i="13"/>
  <c r="AJ35" i="13"/>
  <c r="N35" i="13"/>
  <c r="AO34" i="13"/>
  <c r="AP34" i="13" s="1"/>
  <c r="AM34" i="13"/>
  <c r="AJ34" i="13"/>
  <c r="N34" i="13"/>
  <c r="AO33" i="13"/>
  <c r="AP33" i="13" s="1"/>
  <c r="AM33" i="13"/>
  <c r="AJ33" i="13"/>
  <c r="N33" i="13"/>
  <c r="AO32" i="13"/>
  <c r="AP32" i="13" s="1"/>
  <c r="AM32" i="13"/>
  <c r="AJ32" i="13"/>
  <c r="N32" i="13"/>
  <c r="AO31" i="13"/>
  <c r="AP31" i="13" s="1"/>
  <c r="AM31" i="13"/>
  <c r="AJ31" i="13"/>
  <c r="N31" i="13"/>
  <c r="AO30" i="13"/>
  <c r="AP30" i="13" s="1"/>
  <c r="AM30" i="13"/>
  <c r="AJ30" i="13"/>
  <c r="N30" i="13"/>
  <c r="AO29" i="13"/>
  <c r="AP29" i="13" s="1"/>
  <c r="AM29" i="13"/>
  <c r="AJ29" i="13"/>
  <c r="N29" i="13"/>
  <c r="AO28" i="13"/>
  <c r="AP28" i="13" s="1"/>
  <c r="AM28" i="13"/>
  <c r="AJ28" i="13"/>
  <c r="N28" i="13"/>
  <c r="AO27" i="13"/>
  <c r="AP27" i="13" s="1"/>
  <c r="AM27" i="13"/>
  <c r="AJ27" i="13"/>
  <c r="N27" i="13"/>
  <c r="AO26" i="13"/>
  <c r="AP26" i="13" s="1"/>
  <c r="AM26" i="13"/>
  <c r="AJ26" i="13"/>
  <c r="N26" i="13"/>
  <c r="AO25" i="13"/>
  <c r="AP25" i="13" s="1"/>
  <c r="AM25" i="13"/>
  <c r="AJ25" i="13"/>
  <c r="N25" i="13"/>
  <c r="AO24" i="13"/>
  <c r="AP24" i="13" s="1"/>
  <c r="AM24" i="13"/>
  <c r="AJ24" i="13"/>
  <c r="N24" i="13"/>
  <c r="AO23" i="13"/>
  <c r="AP23" i="13" s="1"/>
  <c r="AM23" i="13"/>
  <c r="AJ23" i="13"/>
  <c r="N23" i="13"/>
  <c r="AO22" i="13"/>
  <c r="AP22" i="13" s="1"/>
  <c r="AM22" i="13"/>
  <c r="AJ22" i="13"/>
  <c r="N22" i="13"/>
  <c r="AO21" i="13"/>
  <c r="AP21" i="13" s="1"/>
  <c r="AM21" i="13"/>
  <c r="AJ21" i="13"/>
  <c r="N21" i="13"/>
  <c r="AO20" i="13"/>
  <c r="AP20" i="13" s="1"/>
  <c r="AM20" i="13"/>
  <c r="AJ20" i="13"/>
  <c r="N20" i="13"/>
  <c r="AO19" i="13"/>
  <c r="AP19" i="13" s="1"/>
  <c r="AM19" i="13"/>
  <c r="AJ19" i="13"/>
  <c r="N19" i="13"/>
  <c r="AO18" i="13"/>
  <c r="AP18" i="13" s="1"/>
  <c r="AM18" i="13"/>
  <c r="AJ18" i="13"/>
  <c r="N18" i="13"/>
  <c r="AO17" i="13"/>
  <c r="AP17" i="13" s="1"/>
  <c r="AM17" i="13"/>
  <c r="AJ17" i="13"/>
  <c r="N17" i="13"/>
  <c r="AO16" i="13"/>
  <c r="AP16" i="13" s="1"/>
  <c r="AM16" i="13"/>
  <c r="AJ16" i="13"/>
  <c r="N16" i="13"/>
  <c r="AO15" i="13"/>
  <c r="AP15" i="13" s="1"/>
  <c r="AM15" i="13"/>
  <c r="AJ15" i="13"/>
  <c r="N15" i="13"/>
  <c r="AO14" i="13"/>
  <c r="AP14" i="13" s="1"/>
  <c r="AM14" i="13"/>
  <c r="AJ14" i="13"/>
  <c r="N14" i="13"/>
  <c r="AO13" i="13"/>
  <c r="AP13" i="13" s="1"/>
  <c r="AM13" i="13"/>
  <c r="AJ13" i="13"/>
  <c r="N13" i="13"/>
  <c r="AO12" i="13"/>
  <c r="AP12" i="13" s="1"/>
  <c r="AM12" i="13"/>
  <c r="AJ12" i="13"/>
  <c r="N12" i="13"/>
  <c r="AO11" i="13"/>
  <c r="AP11" i="13" s="1"/>
  <c r="AM11" i="13"/>
  <c r="AJ11" i="13"/>
  <c r="N11" i="13"/>
  <c r="AO10" i="13"/>
  <c r="AP10" i="13" s="1"/>
  <c r="AM10" i="13"/>
  <c r="AJ10" i="13"/>
  <c r="N10" i="13"/>
  <c r="AO9" i="13"/>
  <c r="AP9" i="13" s="1"/>
  <c r="AM9" i="13"/>
  <c r="AJ9" i="13"/>
  <c r="N9" i="13"/>
  <c r="AO8" i="13"/>
  <c r="AP8" i="13" s="1"/>
  <c r="AM8" i="13"/>
  <c r="AJ8" i="13"/>
  <c r="N8" i="13"/>
  <c r="AO7" i="13"/>
  <c r="AP7" i="13" s="1"/>
  <c r="AM7" i="13"/>
  <c r="AJ7" i="13"/>
  <c r="N7" i="13"/>
  <c r="AO6" i="13"/>
  <c r="AP6" i="13" s="1"/>
  <c r="AM6" i="13"/>
  <c r="AJ6" i="13"/>
  <c r="N6" i="13"/>
  <c r="B3" i="13"/>
  <c r="X84" i="13" l="1"/>
  <c r="AB84" i="13"/>
  <c r="AD84" i="13"/>
  <c r="AC84" i="13"/>
  <c r="AA84" i="13"/>
  <c r="Z84" i="13"/>
  <c r="AC85" i="13"/>
  <c r="AE85" i="13"/>
  <c r="Y85" i="13"/>
  <c r="AG85" i="13"/>
  <c r="AA85" i="13"/>
  <c r="S85" i="13"/>
  <c r="O85" i="13"/>
  <c r="Q85" i="13"/>
  <c r="U85" i="13"/>
  <c r="W85" i="13"/>
  <c r="AF84" i="13"/>
  <c r="AE84" i="13"/>
  <c r="AH84" i="13"/>
  <c r="Y84" i="13"/>
  <c r="AG84" i="13"/>
  <c r="W80" i="13"/>
  <c r="P84" i="13"/>
  <c r="Q84" i="13"/>
  <c r="O80" i="13"/>
  <c r="Q80" i="13"/>
  <c r="S80" i="13"/>
  <c r="U80" i="13"/>
  <c r="AM79" i="13"/>
  <c r="V84" i="13"/>
  <c r="N79" i="13"/>
  <c r="AR79" i="13"/>
  <c r="H80" i="13"/>
  <c r="AJ79" i="13"/>
  <c r="T84" i="13"/>
  <c r="R84" i="13"/>
  <c r="U84" i="13"/>
  <c r="S84" i="13"/>
  <c r="AP79" i="13"/>
  <c r="W84" i="13"/>
  <c r="O84" i="13"/>
  <c r="AO79" i="13"/>
  <c r="C88" i="12"/>
  <c r="F86" i="12"/>
  <c r="C86" i="12"/>
  <c r="C87" i="12" s="1"/>
  <c r="D84" i="12"/>
  <c r="E84" i="12" s="1"/>
  <c r="W81" i="12"/>
  <c r="U81" i="12"/>
  <c r="S81" i="12"/>
  <c r="Q81" i="12"/>
  <c r="O81" i="12"/>
  <c r="M81" i="12"/>
  <c r="L81" i="12"/>
  <c r="K81" i="12"/>
  <c r="J81" i="12"/>
  <c r="I81" i="12"/>
  <c r="AD79" i="12"/>
  <c r="AB79" i="12"/>
  <c r="Y79" i="12"/>
  <c r="Y80" i="12" s="1"/>
  <c r="X79" i="12"/>
  <c r="X84" i="12" s="1"/>
  <c r="W79" i="12"/>
  <c r="V79" i="12"/>
  <c r="U79" i="12"/>
  <c r="T79" i="12"/>
  <c r="S79" i="12"/>
  <c r="R79" i="12"/>
  <c r="Q79" i="12"/>
  <c r="P79" i="12"/>
  <c r="P84" i="12" s="1"/>
  <c r="O79" i="12"/>
  <c r="M79" i="12"/>
  <c r="L79" i="12"/>
  <c r="K79" i="12"/>
  <c r="J79" i="12"/>
  <c r="I79" i="12"/>
  <c r="H79" i="12"/>
  <c r="AH78" i="12"/>
  <c r="AE78" i="12"/>
  <c r="AF78" i="12" s="1"/>
  <c r="AC78" i="12"/>
  <c r="Z78" i="12"/>
  <c r="N78" i="12"/>
  <c r="AH77" i="12"/>
  <c r="AE77" i="12"/>
  <c r="AF77" i="12" s="1"/>
  <c r="AC77" i="12"/>
  <c r="Z77" i="12"/>
  <c r="N77" i="12"/>
  <c r="AH76" i="12"/>
  <c r="AE76" i="12"/>
  <c r="AF76" i="12" s="1"/>
  <c r="AC76" i="12"/>
  <c r="Z76" i="12"/>
  <c r="N76" i="12"/>
  <c r="AH75" i="12"/>
  <c r="AE75" i="12"/>
  <c r="AF75" i="12" s="1"/>
  <c r="AC75" i="12"/>
  <c r="Z75" i="12"/>
  <c r="N75" i="12"/>
  <c r="AH74" i="12"/>
  <c r="AE74" i="12"/>
  <c r="AF74" i="12" s="1"/>
  <c r="AC74" i="12"/>
  <c r="Z74" i="12"/>
  <c r="N74" i="12"/>
  <c r="AH73" i="12"/>
  <c r="AE73" i="12"/>
  <c r="AF73" i="12" s="1"/>
  <c r="AC73" i="12"/>
  <c r="Z73" i="12"/>
  <c r="N73" i="12"/>
  <c r="AH72" i="12"/>
  <c r="AE72" i="12"/>
  <c r="AF72" i="12" s="1"/>
  <c r="AC72" i="12"/>
  <c r="Z72" i="12"/>
  <c r="N72" i="12"/>
  <c r="AH71" i="12"/>
  <c r="AE71" i="12"/>
  <c r="AF71" i="12" s="1"/>
  <c r="AC71" i="12"/>
  <c r="Z71" i="12"/>
  <c r="N71" i="12"/>
  <c r="AH70" i="12"/>
  <c r="AE70" i="12"/>
  <c r="AF70" i="12" s="1"/>
  <c r="AC70" i="12"/>
  <c r="Z70" i="12"/>
  <c r="N70" i="12"/>
  <c r="AH69" i="12"/>
  <c r="AE69" i="12"/>
  <c r="AF69" i="12" s="1"/>
  <c r="AC69" i="12"/>
  <c r="Z69" i="12"/>
  <c r="N69" i="12"/>
  <c r="AH68" i="12"/>
  <c r="AE68" i="12"/>
  <c r="AF68" i="12" s="1"/>
  <c r="AC68" i="12"/>
  <c r="Z68" i="12"/>
  <c r="N68" i="12"/>
  <c r="AH67" i="12"/>
  <c r="AE67" i="12"/>
  <c r="AF67" i="12" s="1"/>
  <c r="AC67" i="12"/>
  <c r="Z67" i="12"/>
  <c r="N67" i="12"/>
  <c r="AH66" i="12"/>
  <c r="AE66" i="12"/>
  <c r="AF66" i="12" s="1"/>
  <c r="AC66" i="12"/>
  <c r="Z66" i="12"/>
  <c r="N66" i="12"/>
  <c r="AH65" i="12"/>
  <c r="AE65" i="12"/>
  <c r="AF65" i="12" s="1"/>
  <c r="AC65" i="12"/>
  <c r="Z65" i="12"/>
  <c r="N65" i="12"/>
  <c r="AH64" i="12"/>
  <c r="AE64" i="12"/>
  <c r="AF64" i="12" s="1"/>
  <c r="AC64" i="12"/>
  <c r="Z64" i="12"/>
  <c r="N64" i="12"/>
  <c r="AH63" i="12"/>
  <c r="AE63" i="12"/>
  <c r="AF63" i="12" s="1"/>
  <c r="AC63" i="12"/>
  <c r="Z63" i="12"/>
  <c r="N63" i="12"/>
  <c r="AH62" i="12"/>
  <c r="AE62" i="12"/>
  <c r="AF62" i="12" s="1"/>
  <c r="AC62" i="12"/>
  <c r="Z62" i="12"/>
  <c r="N62" i="12"/>
  <c r="AH61" i="12"/>
  <c r="AE61" i="12"/>
  <c r="AF61" i="12" s="1"/>
  <c r="AC61" i="12"/>
  <c r="Z61" i="12"/>
  <c r="N61" i="12"/>
  <c r="AH60" i="12"/>
  <c r="AE60" i="12"/>
  <c r="AF60" i="12" s="1"/>
  <c r="AC60" i="12"/>
  <c r="Z60" i="12"/>
  <c r="N60" i="12"/>
  <c r="AH59" i="12"/>
  <c r="AE59" i="12"/>
  <c r="AF59" i="12" s="1"/>
  <c r="AC59" i="12"/>
  <c r="Z59" i="12"/>
  <c r="N59" i="12"/>
  <c r="AE58" i="12"/>
  <c r="AF58" i="12" s="1"/>
  <c r="AC58" i="12"/>
  <c r="Z58" i="12"/>
  <c r="N58" i="12"/>
  <c r="AE57" i="12"/>
  <c r="AF57" i="12" s="1"/>
  <c r="AC57" i="12"/>
  <c r="Z57" i="12"/>
  <c r="N57" i="12"/>
  <c r="AE56" i="12"/>
  <c r="AF56" i="12" s="1"/>
  <c r="AC56" i="12"/>
  <c r="Z56" i="12"/>
  <c r="N56" i="12"/>
  <c r="AE55" i="12"/>
  <c r="AF55" i="12" s="1"/>
  <c r="AC55" i="12"/>
  <c r="Z55" i="12"/>
  <c r="N55" i="12"/>
  <c r="AE54" i="12"/>
  <c r="AF54" i="12" s="1"/>
  <c r="AC54" i="12"/>
  <c r="Z54" i="12"/>
  <c r="N54" i="12"/>
  <c r="AE53" i="12"/>
  <c r="AF53" i="12" s="1"/>
  <c r="AC53" i="12"/>
  <c r="Z53" i="12"/>
  <c r="N53" i="12"/>
  <c r="AE52" i="12"/>
  <c r="AF52" i="12" s="1"/>
  <c r="AC52" i="12"/>
  <c r="Z52" i="12"/>
  <c r="N52" i="12"/>
  <c r="AE51" i="12"/>
  <c r="AF51" i="12" s="1"/>
  <c r="AC51" i="12"/>
  <c r="Z51" i="12"/>
  <c r="N51" i="12"/>
  <c r="AE50" i="12"/>
  <c r="AF50" i="12" s="1"/>
  <c r="AC50" i="12"/>
  <c r="Z50" i="12"/>
  <c r="N50" i="12"/>
  <c r="AE49" i="12"/>
  <c r="AF49" i="12" s="1"/>
  <c r="AC49" i="12"/>
  <c r="Z49" i="12"/>
  <c r="N49" i="12"/>
  <c r="AE48" i="12"/>
  <c r="AF48" i="12" s="1"/>
  <c r="AC48" i="12"/>
  <c r="Z48" i="12"/>
  <c r="N48" i="12"/>
  <c r="AE47" i="12"/>
  <c r="AF47" i="12" s="1"/>
  <c r="AC47" i="12"/>
  <c r="Z47" i="12"/>
  <c r="N47" i="12"/>
  <c r="AE46" i="12"/>
  <c r="AF46" i="12" s="1"/>
  <c r="AC46" i="12"/>
  <c r="Z46" i="12"/>
  <c r="N46" i="12"/>
  <c r="AE45" i="12"/>
  <c r="AF45" i="12" s="1"/>
  <c r="AC45" i="12"/>
  <c r="Z45" i="12"/>
  <c r="N45" i="12"/>
  <c r="AE44" i="12"/>
  <c r="AF44" i="12" s="1"/>
  <c r="AC44" i="12"/>
  <c r="Z44" i="12"/>
  <c r="N44" i="12"/>
  <c r="AE43" i="12"/>
  <c r="AF43" i="12" s="1"/>
  <c r="AC43" i="12"/>
  <c r="Z43" i="12"/>
  <c r="N43" i="12"/>
  <c r="AE42" i="12"/>
  <c r="AF42" i="12" s="1"/>
  <c r="AC42" i="12"/>
  <c r="Z42" i="12"/>
  <c r="N42" i="12"/>
  <c r="AE41" i="12"/>
  <c r="AF41" i="12" s="1"/>
  <c r="AC41" i="12"/>
  <c r="Z41" i="12"/>
  <c r="N41" i="12"/>
  <c r="AE40" i="12"/>
  <c r="AF40" i="12" s="1"/>
  <c r="AC40" i="12"/>
  <c r="Z40" i="12"/>
  <c r="N40" i="12"/>
  <c r="AE39" i="12"/>
  <c r="AF39" i="12" s="1"/>
  <c r="AC39" i="12"/>
  <c r="Z39" i="12"/>
  <c r="N39" i="12"/>
  <c r="AE38" i="12"/>
  <c r="AF38" i="12" s="1"/>
  <c r="AC38" i="12"/>
  <c r="Z38" i="12"/>
  <c r="N38" i="12"/>
  <c r="AE37" i="12"/>
  <c r="AF37" i="12" s="1"/>
  <c r="AC37" i="12"/>
  <c r="Z37" i="12"/>
  <c r="N37" i="12"/>
  <c r="AE36" i="12"/>
  <c r="AF36" i="12" s="1"/>
  <c r="AC36" i="12"/>
  <c r="Z36" i="12"/>
  <c r="N36" i="12"/>
  <c r="AE35" i="12"/>
  <c r="AF35" i="12" s="1"/>
  <c r="AC35" i="12"/>
  <c r="Z35" i="12"/>
  <c r="N35" i="12"/>
  <c r="AE34" i="12"/>
  <c r="AF34" i="12" s="1"/>
  <c r="AC34" i="12"/>
  <c r="Z34" i="12"/>
  <c r="N34" i="12"/>
  <c r="AE33" i="12"/>
  <c r="AF33" i="12" s="1"/>
  <c r="AC33" i="12"/>
  <c r="Z33" i="12"/>
  <c r="N33" i="12"/>
  <c r="AE32" i="12"/>
  <c r="AF32" i="12" s="1"/>
  <c r="AC32" i="12"/>
  <c r="Z32" i="12"/>
  <c r="N32" i="12"/>
  <c r="AE31" i="12"/>
  <c r="AF31" i="12" s="1"/>
  <c r="AC31" i="12"/>
  <c r="Z31" i="12"/>
  <c r="N31" i="12"/>
  <c r="AE30" i="12"/>
  <c r="AF30" i="12" s="1"/>
  <c r="AC30" i="12"/>
  <c r="Z30" i="12"/>
  <c r="N30" i="12"/>
  <c r="AE29" i="12"/>
  <c r="AF29" i="12" s="1"/>
  <c r="AC29" i="12"/>
  <c r="Z29" i="12"/>
  <c r="N29" i="12"/>
  <c r="AE28" i="12"/>
  <c r="AF28" i="12" s="1"/>
  <c r="AC28" i="12"/>
  <c r="Z28" i="12"/>
  <c r="N28" i="12"/>
  <c r="AE27" i="12"/>
  <c r="AF27" i="12" s="1"/>
  <c r="AC27" i="12"/>
  <c r="Z27" i="12"/>
  <c r="N27" i="12"/>
  <c r="AE26" i="12"/>
  <c r="AF26" i="12" s="1"/>
  <c r="AC26" i="12"/>
  <c r="Z26" i="12"/>
  <c r="N26" i="12"/>
  <c r="AE25" i="12"/>
  <c r="AF25" i="12" s="1"/>
  <c r="AC25" i="12"/>
  <c r="Z25" i="12"/>
  <c r="N25" i="12"/>
  <c r="AE24" i="12"/>
  <c r="AF24" i="12" s="1"/>
  <c r="AC24" i="12"/>
  <c r="Z24" i="12"/>
  <c r="N24" i="12"/>
  <c r="AE23" i="12"/>
  <c r="AF23" i="12" s="1"/>
  <c r="AC23" i="12"/>
  <c r="Z23" i="12"/>
  <c r="N23" i="12"/>
  <c r="AE22" i="12"/>
  <c r="AF22" i="12" s="1"/>
  <c r="AC22" i="12"/>
  <c r="Z22" i="12"/>
  <c r="N22" i="12"/>
  <c r="AE21" i="12"/>
  <c r="AF21" i="12" s="1"/>
  <c r="AC21" i="12"/>
  <c r="Z21" i="12"/>
  <c r="N21" i="12"/>
  <c r="AE20" i="12"/>
  <c r="AF20" i="12" s="1"/>
  <c r="AC20" i="12"/>
  <c r="Z20" i="12"/>
  <c r="N20" i="12"/>
  <c r="AE19" i="12"/>
  <c r="AF19" i="12" s="1"/>
  <c r="AC19" i="12"/>
  <c r="Z19" i="12"/>
  <c r="N19" i="12"/>
  <c r="AE18" i="12"/>
  <c r="AF18" i="12" s="1"/>
  <c r="AC18" i="12"/>
  <c r="Z18" i="12"/>
  <c r="N18" i="12"/>
  <c r="AE17" i="12"/>
  <c r="AF17" i="12" s="1"/>
  <c r="AC17" i="12"/>
  <c r="Z17" i="12"/>
  <c r="N17" i="12"/>
  <c r="AE16" i="12"/>
  <c r="AF16" i="12" s="1"/>
  <c r="AC16" i="12"/>
  <c r="Z16" i="12"/>
  <c r="N16" i="12"/>
  <c r="AE15" i="12"/>
  <c r="AF15" i="12" s="1"/>
  <c r="AC15" i="12"/>
  <c r="Z15" i="12"/>
  <c r="N15" i="12"/>
  <c r="AE14" i="12"/>
  <c r="AF14" i="12" s="1"/>
  <c r="AC14" i="12"/>
  <c r="Z14" i="12"/>
  <c r="N14" i="12"/>
  <c r="AE13" i="12"/>
  <c r="AF13" i="12" s="1"/>
  <c r="AC13" i="12"/>
  <c r="Z13" i="12"/>
  <c r="N13" i="12"/>
  <c r="AE12" i="12"/>
  <c r="AF12" i="12" s="1"/>
  <c r="AC12" i="12"/>
  <c r="Z12" i="12"/>
  <c r="N12" i="12"/>
  <c r="AE11" i="12"/>
  <c r="AF11" i="12" s="1"/>
  <c r="AC11" i="12"/>
  <c r="Z11" i="12"/>
  <c r="N11" i="12"/>
  <c r="AE10" i="12"/>
  <c r="AF10" i="12" s="1"/>
  <c r="AC10" i="12"/>
  <c r="Z10" i="12"/>
  <c r="N10" i="12"/>
  <c r="AE9" i="12"/>
  <c r="AF9" i="12" s="1"/>
  <c r="AC9" i="12"/>
  <c r="Z9" i="12"/>
  <c r="N9" i="12"/>
  <c r="AE8" i="12"/>
  <c r="AF8" i="12" s="1"/>
  <c r="AC8" i="12"/>
  <c r="Z8" i="12"/>
  <c r="N8" i="12"/>
  <c r="AE7" i="12"/>
  <c r="AF7" i="12" s="1"/>
  <c r="AC7" i="12"/>
  <c r="Z7" i="12"/>
  <c r="N7" i="12"/>
  <c r="AE6" i="12"/>
  <c r="AF6" i="12" s="1"/>
  <c r="AC6" i="12"/>
  <c r="Z6" i="12"/>
  <c r="N6" i="12"/>
  <c r="B3" i="12"/>
  <c r="W80" i="12" l="1"/>
  <c r="H80" i="12"/>
  <c r="U80" i="12"/>
  <c r="Q80" i="12"/>
  <c r="S80" i="12"/>
  <c r="O80" i="12"/>
  <c r="Q84" i="12"/>
  <c r="V84" i="12"/>
  <c r="Q85" i="12"/>
  <c r="S85" i="12"/>
  <c r="U85" i="12"/>
  <c r="W85" i="12"/>
  <c r="O85" i="12"/>
  <c r="N79" i="12"/>
  <c r="AH79" i="12"/>
  <c r="AC79" i="12"/>
  <c r="Z79" i="12"/>
  <c r="AF79" i="12"/>
  <c r="R84" i="12"/>
  <c r="S84" i="12"/>
  <c r="T84" i="12"/>
  <c r="U84" i="12"/>
  <c r="AE79" i="12"/>
  <c r="W84" i="12"/>
  <c r="O84" i="12"/>
  <c r="U79" i="10"/>
  <c r="F86" i="10"/>
  <c r="P79" i="10"/>
  <c r="Q79" i="10"/>
  <c r="R79" i="10"/>
  <c r="S79" i="10"/>
  <c r="T79" i="10"/>
  <c r="V79" i="10"/>
  <c r="W79" i="10"/>
  <c r="X79" i="10"/>
  <c r="Y79" i="10"/>
  <c r="O79" i="10"/>
  <c r="Q81" i="10"/>
  <c r="S81" i="10"/>
  <c r="U81" i="10"/>
  <c r="W81" i="10"/>
  <c r="O81" i="10"/>
  <c r="O81" i="5"/>
  <c r="Q85" i="10" l="1"/>
  <c r="U85" i="10"/>
  <c r="O85" i="10"/>
  <c r="S85" i="10"/>
  <c r="W85" i="10"/>
  <c r="W79" i="9"/>
  <c r="X79" i="9"/>
  <c r="C86" i="9" l="1"/>
  <c r="V79" i="8" l="1"/>
  <c r="X79" i="6" l="1"/>
  <c r="H15" i="11" l="1"/>
  <c r="N15" i="11" s="1"/>
  <c r="N8" i="11"/>
  <c r="N9" i="11"/>
  <c r="AE10" i="11"/>
  <c r="AF10" i="11" s="1"/>
  <c r="AE11" i="11"/>
  <c r="AF11" i="11" s="1"/>
  <c r="Z12" i="11"/>
  <c r="H13" i="11"/>
  <c r="N13" i="11" s="1"/>
  <c r="H14" i="11"/>
  <c r="N14" i="11" s="1"/>
  <c r="AC16" i="11"/>
  <c r="H17" i="11"/>
  <c r="AC17" i="11" s="1"/>
  <c r="H18" i="11"/>
  <c r="AE18" i="11" s="1"/>
  <c r="AF18" i="11" s="1"/>
  <c r="H19" i="11"/>
  <c r="Z19" i="11" s="1"/>
  <c r="H20" i="11"/>
  <c r="AC20" i="11" s="1"/>
  <c r="H21" i="11"/>
  <c r="AC21" i="11" s="1"/>
  <c r="H22" i="11"/>
  <c r="AE22" i="11" s="1"/>
  <c r="AF22" i="11" s="1"/>
  <c r="AE23" i="11"/>
  <c r="AF23" i="11" s="1"/>
  <c r="H24" i="11"/>
  <c r="AE24" i="11" s="1"/>
  <c r="AF24" i="11" s="1"/>
  <c r="H25" i="11"/>
  <c r="AE25" i="11" s="1"/>
  <c r="AF25" i="11" s="1"/>
  <c r="H26" i="11"/>
  <c r="AE26" i="11" s="1"/>
  <c r="AF26" i="11" s="1"/>
  <c r="H27" i="11"/>
  <c r="AE27" i="11" s="1"/>
  <c r="AF27" i="11" s="1"/>
  <c r="AE28" i="11"/>
  <c r="AF28" i="11" s="1"/>
  <c r="H29" i="11"/>
  <c r="AE29" i="11" s="1"/>
  <c r="AF29" i="11" s="1"/>
  <c r="H30" i="11"/>
  <c r="Z30" i="11" s="1"/>
  <c r="H31" i="11"/>
  <c r="AC31" i="11" s="1"/>
  <c r="H32" i="11"/>
  <c r="AC32" i="11" s="1"/>
  <c r="H33" i="11"/>
  <c r="AE33" i="11" s="1"/>
  <c r="AF33" i="11" s="1"/>
  <c r="H34" i="11"/>
  <c r="AE34" i="11" s="1"/>
  <c r="AF34" i="11" s="1"/>
  <c r="H35" i="11"/>
  <c r="N35" i="11" s="1"/>
  <c r="H36" i="11"/>
  <c r="N36" i="11" s="1"/>
  <c r="H37" i="11"/>
  <c r="N37" i="11" s="1"/>
  <c r="N38" i="11"/>
  <c r="H39" i="11"/>
  <c r="AE39" i="11" s="1"/>
  <c r="AF39" i="11" s="1"/>
  <c r="AE40" i="11"/>
  <c r="AF40" i="11" s="1"/>
  <c r="H41" i="11"/>
  <c r="AE41" i="11" s="1"/>
  <c r="AF41" i="11" s="1"/>
  <c r="H42" i="11"/>
  <c r="AE42" i="11" s="1"/>
  <c r="AF42" i="11" s="1"/>
  <c r="N43" i="11"/>
  <c r="H44" i="11"/>
  <c r="AE44" i="11" s="1"/>
  <c r="AF44" i="11" s="1"/>
  <c r="H48" i="11"/>
  <c r="AC48" i="11" s="1"/>
  <c r="AE49" i="11"/>
  <c r="AF49" i="11" s="1"/>
  <c r="H50" i="11"/>
  <c r="AE50" i="11" s="1"/>
  <c r="AF50" i="11" s="1"/>
  <c r="AE51" i="11"/>
  <c r="AF51" i="11" s="1"/>
  <c r="H52" i="11"/>
  <c r="N52" i="11" s="1"/>
  <c r="H53" i="11"/>
  <c r="N53" i="11" s="1"/>
  <c r="H54" i="11"/>
  <c r="Z54" i="11" s="1"/>
  <c r="H55" i="11"/>
  <c r="AE55" i="11" s="1"/>
  <c r="AF55" i="11" s="1"/>
  <c r="H56" i="11"/>
  <c r="N56" i="11" s="1"/>
  <c r="H57" i="11"/>
  <c r="Z57" i="11" s="1"/>
  <c r="H58" i="11"/>
  <c r="AE58" i="11" s="1"/>
  <c r="AF58" i="11" s="1"/>
  <c r="H59" i="11"/>
  <c r="AE59" i="11" s="1"/>
  <c r="AF59" i="11" s="1"/>
  <c r="N60" i="11"/>
  <c r="N61" i="11"/>
  <c r="H62" i="11"/>
  <c r="N62" i="11" s="1"/>
  <c r="H63" i="11"/>
  <c r="AH63" i="11" s="1"/>
  <c r="H64" i="11"/>
  <c r="AH64" i="11" s="1"/>
  <c r="H65" i="11"/>
  <c r="AH65" i="11" s="1"/>
  <c r="H66" i="11"/>
  <c r="N66" i="11" s="1"/>
  <c r="H67" i="11"/>
  <c r="AH67" i="11" s="1"/>
  <c r="H68" i="11"/>
  <c r="AH68" i="11" s="1"/>
  <c r="H69" i="11"/>
  <c r="AH69" i="11" s="1"/>
  <c r="H72" i="11"/>
  <c r="AH72" i="11" s="1"/>
  <c r="AE74" i="11"/>
  <c r="AF74" i="11" s="1"/>
  <c r="H75" i="11"/>
  <c r="AH75" i="11" s="1"/>
  <c r="AH76" i="11"/>
  <c r="AH77" i="11"/>
  <c r="H78" i="11"/>
  <c r="AE78" i="11" s="1"/>
  <c r="AF78" i="11" s="1"/>
  <c r="N45" i="11"/>
  <c r="N46" i="11"/>
  <c r="AE47" i="11"/>
  <c r="AF47" i="11" s="1"/>
  <c r="AH70" i="11"/>
  <c r="N71" i="11"/>
  <c r="Z73" i="11"/>
  <c r="N7" i="11"/>
  <c r="N6" i="11"/>
  <c r="N6" i="6"/>
  <c r="N7" i="6"/>
  <c r="D84" i="11"/>
  <c r="E84" i="11" s="1"/>
  <c r="N10" i="6"/>
  <c r="C88" i="11"/>
  <c r="C86" i="11"/>
  <c r="C87" i="11" s="1"/>
  <c r="W81" i="11"/>
  <c r="Z93" i="11" s="1"/>
  <c r="U81" i="11"/>
  <c r="X93" i="11" s="1"/>
  <c r="S81" i="11"/>
  <c r="V93" i="11" s="1"/>
  <c r="Q81" i="11"/>
  <c r="T93" i="11" s="1"/>
  <c r="O81" i="11"/>
  <c r="R93" i="11" s="1"/>
  <c r="M81" i="11"/>
  <c r="L81" i="11"/>
  <c r="K81" i="11"/>
  <c r="J81" i="11"/>
  <c r="I81" i="11"/>
  <c r="AD79" i="11"/>
  <c r="AB79" i="11"/>
  <c r="Y79" i="11"/>
  <c r="Y80" i="11" s="1"/>
  <c r="X79" i="11"/>
  <c r="W79" i="11"/>
  <c r="V79" i="11"/>
  <c r="U79" i="11"/>
  <c r="T79" i="11"/>
  <c r="S79" i="11"/>
  <c r="R79" i="11"/>
  <c r="Q79" i="11"/>
  <c r="P79" i="11"/>
  <c r="O79" i="11"/>
  <c r="M79" i="11"/>
  <c r="L79" i="11"/>
  <c r="K79" i="11"/>
  <c r="J79" i="11"/>
  <c r="I79" i="11"/>
  <c r="AH71" i="11"/>
  <c r="AE71" i="11"/>
  <c r="AF71" i="11" s="1"/>
  <c r="AC71" i="11"/>
  <c r="Z71" i="11"/>
  <c r="Z61" i="11"/>
  <c r="AH60" i="11"/>
  <c r="AE60" i="11"/>
  <c r="AF60" i="11" s="1"/>
  <c r="AC60" i="11"/>
  <c r="Z60" i="11"/>
  <c r="AE45" i="11"/>
  <c r="AF45" i="11" s="1"/>
  <c r="AC45" i="11"/>
  <c r="Z45" i="11"/>
  <c r="AE43" i="11"/>
  <c r="AF43" i="11" s="1"/>
  <c r="AC43" i="11"/>
  <c r="Z43" i="11"/>
  <c r="AE12" i="11"/>
  <c r="AF12" i="11" s="1"/>
  <c r="AC12" i="11"/>
  <c r="AE9" i="11"/>
  <c r="AC9" i="11"/>
  <c r="Z9" i="11"/>
  <c r="AE8" i="11"/>
  <c r="AF8" i="11" s="1"/>
  <c r="AC8" i="11"/>
  <c r="Z8" i="11"/>
  <c r="AE7" i="11"/>
  <c r="AF7" i="11" s="1"/>
  <c r="AC7" i="11"/>
  <c r="Z7" i="11"/>
  <c r="AE6" i="11"/>
  <c r="AF6" i="11" s="1"/>
  <c r="AC6" i="11"/>
  <c r="Z6" i="11"/>
  <c r="B3" i="11"/>
  <c r="I81" i="6"/>
  <c r="AE35" i="11" l="1"/>
  <c r="AF35" i="11" s="1"/>
  <c r="N33" i="11"/>
  <c r="Z36" i="11"/>
  <c r="AE36" i="11"/>
  <c r="AF36" i="11" s="1"/>
  <c r="N21" i="11"/>
  <c r="AE13" i="11"/>
  <c r="AF13" i="11" s="1"/>
  <c r="S80" i="11"/>
  <c r="N44" i="11"/>
  <c r="N59" i="11"/>
  <c r="AH59" i="11"/>
  <c r="AE32" i="11"/>
  <c r="AF32" i="11" s="1"/>
  <c r="N32" i="11"/>
  <c r="AE20" i="11"/>
  <c r="AF20" i="11" s="1"/>
  <c r="Z32" i="11"/>
  <c r="AC36" i="11"/>
  <c r="Z72" i="11"/>
  <c r="AC72" i="11"/>
  <c r="AC37" i="11"/>
  <c r="N20" i="11"/>
  <c r="Z37" i="11"/>
  <c r="Z13" i="11"/>
  <c r="Z44" i="11"/>
  <c r="AC13" i="11"/>
  <c r="N65" i="11"/>
  <c r="Z14" i="11"/>
  <c r="AC14" i="11"/>
  <c r="AE37" i="11"/>
  <c r="AF37" i="11" s="1"/>
  <c r="Z65" i="11"/>
  <c r="AC65" i="11"/>
  <c r="Z33" i="11"/>
  <c r="Q80" i="11"/>
  <c r="R92" i="11"/>
  <c r="O80" i="11"/>
  <c r="AE17" i="11"/>
  <c r="AF17" i="11" s="1"/>
  <c r="N55" i="11"/>
  <c r="Z20" i="11"/>
  <c r="AC44" i="11"/>
  <c r="N41" i="11"/>
  <c r="N31" i="11"/>
  <c r="AE68" i="11"/>
  <c r="AF68" i="11" s="1"/>
  <c r="AC57" i="11"/>
  <c r="U80" i="11"/>
  <c r="AE57" i="11"/>
  <c r="AF57" i="11" s="1"/>
  <c r="Z21" i="11"/>
  <c r="H81" i="11"/>
  <c r="AE21" i="11"/>
  <c r="AF21" i="11" s="1"/>
  <c r="Z55" i="11"/>
  <c r="H79" i="11"/>
  <c r="H80" i="11" s="1"/>
  <c r="Z31" i="11"/>
  <c r="AC55" i="11"/>
  <c r="AE31" i="11"/>
  <c r="AF31" i="11" s="1"/>
  <c r="Z56" i="11"/>
  <c r="AC56" i="11"/>
  <c r="N57" i="11"/>
  <c r="AE56" i="11"/>
  <c r="AF56" i="11" s="1"/>
  <c r="N30" i="11"/>
  <c r="N17" i="11"/>
  <c r="N27" i="11"/>
  <c r="AC61" i="11"/>
  <c r="Z77" i="11"/>
  <c r="AE14" i="11"/>
  <c r="AF14" i="11" s="1"/>
  <c r="AC33" i="11"/>
  <c r="AE61" i="11"/>
  <c r="AF61" i="11" s="1"/>
  <c r="N51" i="11"/>
  <c r="AE15" i="11"/>
  <c r="AF15" i="11" s="1"/>
  <c r="AH61" i="11"/>
  <c r="Z17" i="11"/>
  <c r="Z35" i="11"/>
  <c r="Z51" i="11"/>
  <c r="AE62" i="11"/>
  <c r="AF62" i="11" s="1"/>
  <c r="AC35" i="11"/>
  <c r="AC51" i="11"/>
  <c r="AH62" i="11"/>
  <c r="N19" i="11"/>
  <c r="AE65" i="11"/>
  <c r="AF65" i="11" s="1"/>
  <c r="AE19" i="11"/>
  <c r="AF19" i="11" s="1"/>
  <c r="AC66" i="11"/>
  <c r="AC19" i="11"/>
  <c r="Z66" i="11"/>
  <c r="AE66" i="11"/>
  <c r="AF66" i="11" s="1"/>
  <c r="N67" i="11"/>
  <c r="Z38" i="11"/>
  <c r="AH66" i="11"/>
  <c r="N39" i="11"/>
  <c r="AC38" i="11"/>
  <c r="Z67" i="11"/>
  <c r="N12" i="11"/>
  <c r="Z11" i="11"/>
  <c r="AC67" i="11"/>
  <c r="N11" i="11"/>
  <c r="AC11" i="11"/>
  <c r="Z27" i="11"/>
  <c r="Z41" i="11"/>
  <c r="Z59" i="11"/>
  <c r="AE67" i="11"/>
  <c r="AF67" i="11" s="1"/>
  <c r="AC27" i="11"/>
  <c r="AC41" i="11"/>
  <c r="AC59" i="11"/>
  <c r="N78" i="11"/>
  <c r="AE77" i="11"/>
  <c r="AF77" i="11" s="1"/>
  <c r="N77" i="11"/>
  <c r="N29" i="11"/>
  <c r="AC28" i="11"/>
  <c r="Z78" i="11"/>
  <c r="N75" i="11"/>
  <c r="AE52" i="11"/>
  <c r="AF52" i="11" s="1"/>
  <c r="AC78" i="11"/>
  <c r="N50" i="11"/>
  <c r="AE53" i="11"/>
  <c r="AF53" i="11" s="1"/>
  <c r="Z22" i="11"/>
  <c r="Z46" i="11"/>
  <c r="AC73" i="11"/>
  <c r="N70" i="11"/>
  <c r="N22" i="11"/>
  <c r="AC22" i="11"/>
  <c r="AC30" i="11"/>
  <c r="AC46" i="11"/>
  <c r="AC54" i="11"/>
  <c r="AE73" i="11"/>
  <c r="AF73" i="11" s="1"/>
  <c r="N69" i="11"/>
  <c r="AE30" i="11"/>
  <c r="AF30" i="11" s="1"/>
  <c r="AE38" i="11"/>
  <c r="AF38" i="11" s="1"/>
  <c r="AE46" i="11"/>
  <c r="AF46" i="11" s="1"/>
  <c r="AE54" i="11"/>
  <c r="AF54" i="11" s="1"/>
  <c r="AH73" i="11"/>
  <c r="N68" i="11"/>
  <c r="Z15" i="11"/>
  <c r="Z23" i="11"/>
  <c r="Z39" i="11"/>
  <c r="Z47" i="11"/>
  <c r="Z62" i="11"/>
  <c r="Z68" i="11"/>
  <c r="Z74" i="11"/>
  <c r="AC15" i="11"/>
  <c r="AC23" i="11"/>
  <c r="AC39" i="11"/>
  <c r="AC47" i="11"/>
  <c r="AC62" i="11"/>
  <c r="AC68" i="11"/>
  <c r="AC74" i="11"/>
  <c r="N42" i="11"/>
  <c r="N18" i="11"/>
  <c r="Z28" i="11"/>
  <c r="N28" i="11"/>
  <c r="AC52" i="11"/>
  <c r="AC77" i="11"/>
  <c r="N54" i="11"/>
  <c r="Z52" i="11"/>
  <c r="Z29" i="11"/>
  <c r="Z53" i="11"/>
  <c r="AE72" i="11"/>
  <c r="AF72" i="11" s="1"/>
  <c r="N73" i="11"/>
  <c r="N25" i="11"/>
  <c r="AC29" i="11"/>
  <c r="AC53" i="11"/>
  <c r="AH78" i="11"/>
  <c r="N72" i="11"/>
  <c r="N48" i="11"/>
  <c r="N24" i="11"/>
  <c r="N23" i="11"/>
  <c r="Z16" i="11"/>
  <c r="Z48" i="11"/>
  <c r="AH74" i="11"/>
  <c r="N40" i="11"/>
  <c r="N16" i="11"/>
  <c r="AE16" i="11"/>
  <c r="AF16" i="11" s="1"/>
  <c r="AC40" i="11"/>
  <c r="N76" i="11"/>
  <c r="N74" i="11"/>
  <c r="N26" i="11"/>
  <c r="N49" i="11"/>
  <c r="N47" i="11"/>
  <c r="AE48" i="11"/>
  <c r="AF48" i="11" s="1"/>
  <c r="Z24" i="11"/>
  <c r="Z40" i="11"/>
  <c r="N64" i="11"/>
  <c r="AC24" i="11"/>
  <c r="Z63" i="11"/>
  <c r="Z69" i="11"/>
  <c r="Z75" i="11"/>
  <c r="N63" i="11"/>
  <c r="AC63" i="11"/>
  <c r="AC69" i="11"/>
  <c r="AC75" i="11"/>
  <c r="Z25" i="11"/>
  <c r="Z49" i="11"/>
  <c r="AE63" i="11"/>
  <c r="AF63" i="11" s="1"/>
  <c r="AE69" i="11"/>
  <c r="AF69" i="11" s="1"/>
  <c r="AE75" i="11"/>
  <c r="AF75" i="11" s="1"/>
  <c r="AC25" i="11"/>
  <c r="AC49" i="11"/>
  <c r="Z64" i="11"/>
  <c r="Z70" i="11"/>
  <c r="Z76" i="11"/>
  <c r="Z10" i="11"/>
  <c r="Z18" i="11"/>
  <c r="Z26" i="11"/>
  <c r="Z34" i="11"/>
  <c r="Z42" i="11"/>
  <c r="Z50" i="11"/>
  <c r="Z58" i="11"/>
  <c r="AC64" i="11"/>
  <c r="AC70" i="11"/>
  <c r="AC76" i="11"/>
  <c r="N58" i="11"/>
  <c r="N34" i="11"/>
  <c r="N10" i="11"/>
  <c r="AC10" i="11"/>
  <c r="AC18" i="11"/>
  <c r="AC26" i="11"/>
  <c r="AC34" i="11"/>
  <c r="AC42" i="11"/>
  <c r="AC50" i="11"/>
  <c r="AC58" i="11"/>
  <c r="AE64" i="11"/>
  <c r="AF64" i="11" s="1"/>
  <c r="AE70" i="11"/>
  <c r="AF70" i="11" s="1"/>
  <c r="AE76" i="11"/>
  <c r="AF76" i="11" s="1"/>
  <c r="Z92" i="11"/>
  <c r="AA92" i="11"/>
  <c r="W92" i="11"/>
  <c r="V92" i="11"/>
  <c r="T92" i="11"/>
  <c r="S92" i="11"/>
  <c r="U92" i="11"/>
  <c r="Y92" i="11"/>
  <c r="X92" i="11"/>
  <c r="AF9" i="11"/>
  <c r="W80" i="11"/>
  <c r="I79" i="6"/>
  <c r="W81" i="6"/>
  <c r="Z93" i="6" s="1"/>
  <c r="U81" i="6"/>
  <c r="X93" i="6" s="1"/>
  <c r="S81" i="6"/>
  <c r="V93" i="6" s="1"/>
  <c r="Q81" i="6"/>
  <c r="T93" i="6" s="1"/>
  <c r="O81" i="6"/>
  <c r="R93" i="6" s="1"/>
  <c r="W79" i="6"/>
  <c r="V79" i="6"/>
  <c r="U79" i="6"/>
  <c r="T79" i="6"/>
  <c r="S79" i="6"/>
  <c r="R79" i="6"/>
  <c r="Q79" i="6"/>
  <c r="O79" i="6"/>
  <c r="P79" i="6"/>
  <c r="W81" i="5"/>
  <c r="AC79" i="11" l="1"/>
  <c r="N79" i="11"/>
  <c r="Z79" i="11"/>
  <c r="AF79" i="11"/>
  <c r="AE79" i="11"/>
  <c r="AH79" i="11"/>
  <c r="Q80" i="6"/>
  <c r="O80" i="6"/>
  <c r="Q81" i="5"/>
  <c r="Q85" i="5" s="1"/>
  <c r="C86" i="6"/>
  <c r="C87" i="6" s="1"/>
  <c r="H79" i="6"/>
  <c r="H81" i="6"/>
  <c r="J79" i="6"/>
  <c r="I79" i="5"/>
  <c r="J81" i="5"/>
  <c r="H79" i="5"/>
  <c r="J81" i="6" l="1"/>
  <c r="K81" i="6"/>
  <c r="L81" i="6"/>
  <c r="M81" i="6"/>
  <c r="X79" i="5" l="1"/>
  <c r="O85" i="5" l="1"/>
  <c r="U81" i="5"/>
  <c r="U85" i="5" s="1"/>
  <c r="S81" i="5"/>
  <c r="S85" i="5" s="1"/>
  <c r="W85" i="5"/>
  <c r="Y79" i="5"/>
  <c r="P79" i="5"/>
  <c r="Q79" i="5"/>
  <c r="R79" i="5"/>
  <c r="S79" i="5"/>
  <c r="T79" i="5"/>
  <c r="U79" i="5"/>
  <c r="V79" i="5"/>
  <c r="W79" i="5"/>
  <c r="O79" i="5"/>
  <c r="N6" i="5" l="1"/>
  <c r="I81" i="5"/>
  <c r="I83" i="2" l="1"/>
  <c r="J83" i="2" s="1"/>
  <c r="D85" i="5"/>
  <c r="E85" i="5" s="1"/>
  <c r="C86" i="8"/>
  <c r="C87" i="8" s="1"/>
  <c r="C87" i="9"/>
  <c r="C86" i="10"/>
  <c r="C87" i="10" s="1"/>
  <c r="C88" i="10"/>
  <c r="D84" i="10"/>
  <c r="E84" i="10" s="1"/>
  <c r="M81" i="10"/>
  <c r="L81" i="10"/>
  <c r="K81" i="10"/>
  <c r="J81" i="10"/>
  <c r="I81" i="10"/>
  <c r="AD79" i="10"/>
  <c r="AB79" i="10"/>
  <c r="Y80" i="10"/>
  <c r="M79" i="10"/>
  <c r="L79" i="10"/>
  <c r="K79" i="10"/>
  <c r="J79" i="10"/>
  <c r="I79" i="10"/>
  <c r="H79" i="10"/>
  <c r="AH78" i="10"/>
  <c r="AE78" i="10"/>
  <c r="AF78" i="10" s="1"/>
  <c r="AC78" i="10"/>
  <c r="Z78" i="10"/>
  <c r="N78" i="10"/>
  <c r="AH77" i="10"/>
  <c r="AE77" i="10"/>
  <c r="AF77" i="10" s="1"/>
  <c r="AC77" i="10"/>
  <c r="Z77" i="10"/>
  <c r="N77" i="10"/>
  <c r="AH76" i="10"/>
  <c r="AE76" i="10"/>
  <c r="AF76" i="10" s="1"/>
  <c r="AC76" i="10"/>
  <c r="Z76" i="10"/>
  <c r="N76" i="10"/>
  <c r="AH75" i="10"/>
  <c r="AE75" i="10"/>
  <c r="AF75" i="10" s="1"/>
  <c r="AC75" i="10"/>
  <c r="Z75" i="10"/>
  <c r="N75" i="10"/>
  <c r="AH74" i="10"/>
  <c r="AE74" i="10"/>
  <c r="AF74" i="10" s="1"/>
  <c r="AC74" i="10"/>
  <c r="Z74" i="10"/>
  <c r="N74" i="10"/>
  <c r="AH73" i="10"/>
  <c r="AE73" i="10"/>
  <c r="AF73" i="10" s="1"/>
  <c r="AC73" i="10"/>
  <c r="Z73" i="10"/>
  <c r="N73" i="10"/>
  <c r="AH72" i="10"/>
  <c r="AE72" i="10"/>
  <c r="AF72" i="10" s="1"/>
  <c r="AC72" i="10"/>
  <c r="Z72" i="10"/>
  <c r="N72" i="10"/>
  <c r="AH71" i="10"/>
  <c r="AE71" i="10"/>
  <c r="AF71" i="10" s="1"/>
  <c r="AC71" i="10"/>
  <c r="Z71" i="10"/>
  <c r="N71" i="10"/>
  <c r="AH70" i="10"/>
  <c r="AE70" i="10"/>
  <c r="AF70" i="10" s="1"/>
  <c r="AC70" i="10"/>
  <c r="Z70" i="10"/>
  <c r="N70" i="10"/>
  <c r="AH69" i="10"/>
  <c r="AE69" i="10"/>
  <c r="AF69" i="10" s="1"/>
  <c r="AC69" i="10"/>
  <c r="Z69" i="10"/>
  <c r="N69" i="10"/>
  <c r="AH68" i="10"/>
  <c r="AE68" i="10"/>
  <c r="AF68" i="10" s="1"/>
  <c r="AC68" i="10"/>
  <c r="Z68" i="10"/>
  <c r="N68" i="10"/>
  <c r="AH67" i="10"/>
  <c r="AE67" i="10"/>
  <c r="AF67" i="10" s="1"/>
  <c r="AC67" i="10"/>
  <c r="Z67" i="10"/>
  <c r="N67" i="10"/>
  <c r="AH66" i="10"/>
  <c r="AE66" i="10"/>
  <c r="AF66" i="10" s="1"/>
  <c r="AC66" i="10"/>
  <c r="Z66" i="10"/>
  <c r="N66" i="10"/>
  <c r="AH65" i="10"/>
  <c r="AE65" i="10"/>
  <c r="AF65" i="10" s="1"/>
  <c r="AC65" i="10"/>
  <c r="Z65" i="10"/>
  <c r="N65" i="10"/>
  <c r="AH64" i="10"/>
  <c r="AE64" i="10"/>
  <c r="AF64" i="10" s="1"/>
  <c r="AC64" i="10"/>
  <c r="Z64" i="10"/>
  <c r="N64" i="10"/>
  <c r="AH63" i="10"/>
  <c r="AE63" i="10"/>
  <c r="AF63" i="10" s="1"/>
  <c r="AC63" i="10"/>
  <c r="Z63" i="10"/>
  <c r="N63" i="10"/>
  <c r="AH62" i="10"/>
  <c r="AE62" i="10"/>
  <c r="AF62" i="10" s="1"/>
  <c r="AC62" i="10"/>
  <c r="Z62" i="10"/>
  <c r="N62" i="10"/>
  <c r="AH61" i="10"/>
  <c r="AE61" i="10"/>
  <c r="AF61" i="10" s="1"/>
  <c r="AC61" i="10"/>
  <c r="Z61" i="10"/>
  <c r="N61" i="10"/>
  <c r="AH60" i="10"/>
  <c r="AE60" i="10"/>
  <c r="AF60" i="10" s="1"/>
  <c r="AC60" i="10"/>
  <c r="Z60" i="10"/>
  <c r="N60" i="10"/>
  <c r="AH59" i="10"/>
  <c r="AE59" i="10"/>
  <c r="AF59" i="10" s="1"/>
  <c r="AC59" i="10"/>
  <c r="Z59" i="10"/>
  <c r="N59" i="10"/>
  <c r="AE58" i="10"/>
  <c r="AF58" i="10" s="1"/>
  <c r="AC58" i="10"/>
  <c r="Z58" i="10"/>
  <c r="N58" i="10"/>
  <c r="AE57" i="10"/>
  <c r="AF57" i="10" s="1"/>
  <c r="AC57" i="10"/>
  <c r="Z57" i="10"/>
  <c r="N57" i="10"/>
  <c r="AE56" i="10"/>
  <c r="AF56" i="10" s="1"/>
  <c r="AC56" i="10"/>
  <c r="Z56" i="10"/>
  <c r="N56" i="10"/>
  <c r="AE55" i="10"/>
  <c r="AF55" i="10" s="1"/>
  <c r="AC55" i="10"/>
  <c r="Z55" i="10"/>
  <c r="N55" i="10"/>
  <c r="AE54" i="10"/>
  <c r="AF54" i="10" s="1"/>
  <c r="AC54" i="10"/>
  <c r="Z54" i="10"/>
  <c r="N54" i="10"/>
  <c r="AE53" i="10"/>
  <c r="AF53" i="10" s="1"/>
  <c r="AC53" i="10"/>
  <c r="Z53" i="10"/>
  <c r="N53" i="10"/>
  <c r="AE52" i="10"/>
  <c r="AF52" i="10" s="1"/>
  <c r="AC52" i="10"/>
  <c r="Z52" i="10"/>
  <c r="N52" i="10"/>
  <c r="AE51" i="10"/>
  <c r="AF51" i="10" s="1"/>
  <c r="AC51" i="10"/>
  <c r="Z51" i="10"/>
  <c r="N51" i="10"/>
  <c r="AE50" i="10"/>
  <c r="AF50" i="10" s="1"/>
  <c r="AC50" i="10"/>
  <c r="Z50" i="10"/>
  <c r="N50" i="10"/>
  <c r="AE49" i="10"/>
  <c r="AF49" i="10" s="1"/>
  <c r="AC49" i="10"/>
  <c r="Z49" i="10"/>
  <c r="N49" i="10"/>
  <c r="AE48" i="10"/>
  <c r="AF48" i="10" s="1"/>
  <c r="AC48" i="10"/>
  <c r="Z48" i="10"/>
  <c r="N48" i="10"/>
  <c r="AE47" i="10"/>
  <c r="AF47" i="10" s="1"/>
  <c r="AC47" i="10"/>
  <c r="Z47" i="10"/>
  <c r="N47" i="10"/>
  <c r="AE46" i="10"/>
  <c r="AF46" i="10" s="1"/>
  <c r="AC46" i="10"/>
  <c r="Z46" i="10"/>
  <c r="N46" i="10"/>
  <c r="AE45" i="10"/>
  <c r="AF45" i="10" s="1"/>
  <c r="AC45" i="10"/>
  <c r="Z45" i="10"/>
  <c r="N45" i="10"/>
  <c r="AE44" i="10"/>
  <c r="AF44" i="10" s="1"/>
  <c r="AC44" i="10"/>
  <c r="Z44" i="10"/>
  <c r="N44" i="10"/>
  <c r="AE43" i="10"/>
  <c r="AF43" i="10" s="1"/>
  <c r="AC43" i="10"/>
  <c r="Z43" i="10"/>
  <c r="N43" i="10"/>
  <c r="AE42" i="10"/>
  <c r="AF42" i="10" s="1"/>
  <c r="AC42" i="10"/>
  <c r="Z42" i="10"/>
  <c r="N42" i="10"/>
  <c r="AE41" i="10"/>
  <c r="AF41" i="10" s="1"/>
  <c r="AC41" i="10"/>
  <c r="Z41" i="10"/>
  <c r="N41" i="10"/>
  <c r="AE40" i="10"/>
  <c r="AF40" i="10" s="1"/>
  <c r="AC40" i="10"/>
  <c r="Z40" i="10"/>
  <c r="N40" i="10"/>
  <c r="AE39" i="10"/>
  <c r="AF39" i="10" s="1"/>
  <c r="AC39" i="10"/>
  <c r="Z39" i="10"/>
  <c r="N39" i="10"/>
  <c r="AE38" i="10"/>
  <c r="AF38" i="10" s="1"/>
  <c r="AC38" i="10"/>
  <c r="Z38" i="10"/>
  <c r="N38" i="10"/>
  <c r="AE37" i="10"/>
  <c r="AF37" i="10" s="1"/>
  <c r="AC37" i="10"/>
  <c r="Z37" i="10"/>
  <c r="N37" i="10"/>
  <c r="AE36" i="10"/>
  <c r="AF36" i="10" s="1"/>
  <c r="AC36" i="10"/>
  <c r="Z36" i="10"/>
  <c r="N36" i="10"/>
  <c r="AE35" i="10"/>
  <c r="AF35" i="10" s="1"/>
  <c r="AC35" i="10"/>
  <c r="Z35" i="10"/>
  <c r="N35" i="10"/>
  <c r="AE34" i="10"/>
  <c r="AF34" i="10" s="1"/>
  <c r="AC34" i="10"/>
  <c r="Z34" i="10"/>
  <c r="N34" i="10"/>
  <c r="AE33" i="10"/>
  <c r="AF33" i="10" s="1"/>
  <c r="AC33" i="10"/>
  <c r="Z33" i="10"/>
  <c r="N33" i="10"/>
  <c r="AE32" i="10"/>
  <c r="AF32" i="10" s="1"/>
  <c r="AC32" i="10"/>
  <c r="Z32" i="10"/>
  <c r="N32" i="10"/>
  <c r="AE31" i="10"/>
  <c r="AF31" i="10" s="1"/>
  <c r="AC31" i="10"/>
  <c r="Z31" i="10"/>
  <c r="N31" i="10"/>
  <c r="AE30" i="10"/>
  <c r="AF30" i="10" s="1"/>
  <c r="AC30" i="10"/>
  <c r="Z30" i="10"/>
  <c r="N30" i="10"/>
  <c r="AE29" i="10"/>
  <c r="AF29" i="10" s="1"/>
  <c r="AC29" i="10"/>
  <c r="Z29" i="10"/>
  <c r="N29" i="10"/>
  <c r="AE28" i="10"/>
  <c r="AF28" i="10" s="1"/>
  <c r="AC28" i="10"/>
  <c r="Z28" i="10"/>
  <c r="N28" i="10"/>
  <c r="AE27" i="10"/>
  <c r="AF27" i="10" s="1"/>
  <c r="AC27" i="10"/>
  <c r="Z27" i="10"/>
  <c r="N27" i="10"/>
  <c r="AE26" i="10"/>
  <c r="AF26" i="10" s="1"/>
  <c r="AC26" i="10"/>
  <c r="Z26" i="10"/>
  <c r="N26" i="10"/>
  <c r="AE25" i="10"/>
  <c r="AF25" i="10" s="1"/>
  <c r="AC25" i="10"/>
  <c r="Z25" i="10"/>
  <c r="N25" i="10"/>
  <c r="AE24" i="10"/>
  <c r="AF24" i="10" s="1"/>
  <c r="AC24" i="10"/>
  <c r="Z24" i="10"/>
  <c r="N24" i="10"/>
  <c r="AE23" i="10"/>
  <c r="AF23" i="10" s="1"/>
  <c r="AC23" i="10"/>
  <c r="Z23" i="10"/>
  <c r="N23" i="10"/>
  <c r="AE22" i="10"/>
  <c r="AF22" i="10" s="1"/>
  <c r="AC22" i="10"/>
  <c r="Z22" i="10"/>
  <c r="N22" i="10"/>
  <c r="AE21" i="10"/>
  <c r="AF21" i="10" s="1"/>
  <c r="AC21" i="10"/>
  <c r="Z21" i="10"/>
  <c r="N21" i="10"/>
  <c r="AE20" i="10"/>
  <c r="AF20" i="10" s="1"/>
  <c r="AC20" i="10"/>
  <c r="Z20" i="10"/>
  <c r="N20" i="10"/>
  <c r="AE19" i="10"/>
  <c r="AF19" i="10" s="1"/>
  <c r="AC19" i="10"/>
  <c r="Z19" i="10"/>
  <c r="N19" i="10"/>
  <c r="AE18" i="10"/>
  <c r="AF18" i="10" s="1"/>
  <c r="AC18" i="10"/>
  <c r="Z18" i="10"/>
  <c r="N18" i="10"/>
  <c r="AE17" i="10"/>
  <c r="AF17" i="10" s="1"/>
  <c r="AC17" i="10"/>
  <c r="Z17" i="10"/>
  <c r="N17" i="10"/>
  <c r="AE16" i="10"/>
  <c r="AF16" i="10" s="1"/>
  <c r="AC16" i="10"/>
  <c r="Z16" i="10"/>
  <c r="N16" i="10"/>
  <c r="AE15" i="10"/>
  <c r="AF15" i="10" s="1"/>
  <c r="AC15" i="10"/>
  <c r="Z15" i="10"/>
  <c r="N15" i="10"/>
  <c r="AE14" i="10"/>
  <c r="AF14" i="10" s="1"/>
  <c r="AC14" i="10"/>
  <c r="Z14" i="10"/>
  <c r="N14" i="10"/>
  <c r="AE13" i="10"/>
  <c r="AF13" i="10" s="1"/>
  <c r="AC13" i="10"/>
  <c r="Z13" i="10"/>
  <c r="N13" i="10"/>
  <c r="AE12" i="10"/>
  <c r="AF12" i="10" s="1"/>
  <c r="AC12" i="10"/>
  <c r="Z12" i="10"/>
  <c r="N12" i="10"/>
  <c r="AE11" i="10"/>
  <c r="AF11" i="10" s="1"/>
  <c r="AC11" i="10"/>
  <c r="Z11" i="10"/>
  <c r="N11" i="10"/>
  <c r="AE10" i="10"/>
  <c r="AF10" i="10" s="1"/>
  <c r="AC10" i="10"/>
  <c r="Z10" i="10"/>
  <c r="N10" i="10"/>
  <c r="AE9" i="10"/>
  <c r="AF9" i="10" s="1"/>
  <c r="AC9" i="10"/>
  <c r="Z9" i="10"/>
  <c r="N9" i="10"/>
  <c r="AE8" i="10"/>
  <c r="AF8" i="10" s="1"/>
  <c r="AC8" i="10"/>
  <c r="Z8" i="10"/>
  <c r="N8" i="10"/>
  <c r="AE7" i="10"/>
  <c r="AF7" i="10" s="1"/>
  <c r="AC7" i="10"/>
  <c r="Z7" i="10"/>
  <c r="N7" i="10"/>
  <c r="AE6" i="10"/>
  <c r="AF6" i="10" s="1"/>
  <c r="AC6" i="10"/>
  <c r="Z6" i="10"/>
  <c r="N6" i="10"/>
  <c r="B3" i="10"/>
  <c r="C88" i="9"/>
  <c r="D84" i="9"/>
  <c r="E84" i="9" s="1"/>
  <c r="M81" i="9"/>
  <c r="L81" i="9"/>
  <c r="K81" i="9"/>
  <c r="J81" i="9"/>
  <c r="I81" i="9"/>
  <c r="AD79" i="9"/>
  <c r="AB79" i="9"/>
  <c r="Y79" i="9"/>
  <c r="Y80" i="9" s="1"/>
  <c r="V79" i="9"/>
  <c r="U79" i="9"/>
  <c r="T79" i="9"/>
  <c r="S79" i="9"/>
  <c r="R79" i="9"/>
  <c r="Q79" i="9"/>
  <c r="P79" i="9"/>
  <c r="O79" i="9"/>
  <c r="M79" i="9"/>
  <c r="L79" i="9"/>
  <c r="K79" i="9"/>
  <c r="J79" i="9"/>
  <c r="I79" i="9"/>
  <c r="H79" i="9"/>
  <c r="AH78" i="9"/>
  <c r="AE78" i="9"/>
  <c r="AF78" i="9" s="1"/>
  <c r="AC78" i="9"/>
  <c r="Z78" i="9"/>
  <c r="N78" i="9"/>
  <c r="AH77" i="9"/>
  <c r="AE77" i="9"/>
  <c r="AF77" i="9" s="1"/>
  <c r="AC77" i="9"/>
  <c r="Z77" i="9"/>
  <c r="N77" i="9"/>
  <c r="AH76" i="9"/>
  <c r="AE76" i="9"/>
  <c r="AF76" i="9" s="1"/>
  <c r="AC76" i="9"/>
  <c r="Z76" i="9"/>
  <c r="N76" i="9"/>
  <c r="AH75" i="9"/>
  <c r="AE75" i="9"/>
  <c r="AF75" i="9" s="1"/>
  <c r="AC75" i="9"/>
  <c r="Z75" i="9"/>
  <c r="N75" i="9"/>
  <c r="AH74" i="9"/>
  <c r="AE74" i="9"/>
  <c r="AF74" i="9" s="1"/>
  <c r="AC74" i="9"/>
  <c r="Z74" i="9"/>
  <c r="N74" i="9"/>
  <c r="AH73" i="9"/>
  <c r="AE73" i="9"/>
  <c r="AF73" i="9" s="1"/>
  <c r="AC73" i="9"/>
  <c r="Z73" i="9"/>
  <c r="N73" i="9"/>
  <c r="AH72" i="9"/>
  <c r="AE72" i="9"/>
  <c r="AF72" i="9" s="1"/>
  <c r="AC72" i="9"/>
  <c r="Z72" i="9"/>
  <c r="N72" i="9"/>
  <c r="AH71" i="9"/>
  <c r="AE71" i="9"/>
  <c r="AF71" i="9" s="1"/>
  <c r="AC71" i="9"/>
  <c r="Z71" i="9"/>
  <c r="N71" i="9"/>
  <c r="AH70" i="9"/>
  <c r="AE70" i="9"/>
  <c r="AF70" i="9" s="1"/>
  <c r="AC70" i="9"/>
  <c r="Z70" i="9"/>
  <c r="N70" i="9"/>
  <c r="AH69" i="9"/>
  <c r="AE69" i="9"/>
  <c r="AF69" i="9" s="1"/>
  <c r="AC69" i="9"/>
  <c r="Z69" i="9"/>
  <c r="N69" i="9"/>
  <c r="AH68" i="9"/>
  <c r="AE68" i="9"/>
  <c r="AF68" i="9" s="1"/>
  <c r="AC68" i="9"/>
  <c r="Z68" i="9"/>
  <c r="N68" i="9"/>
  <c r="AH67" i="9"/>
  <c r="AE67" i="9"/>
  <c r="AF67" i="9" s="1"/>
  <c r="AC67" i="9"/>
  <c r="Z67" i="9"/>
  <c r="N67" i="9"/>
  <c r="AH66" i="9"/>
  <c r="AE66" i="9"/>
  <c r="AF66" i="9" s="1"/>
  <c r="AC66" i="9"/>
  <c r="Z66" i="9"/>
  <c r="N66" i="9"/>
  <c r="AH65" i="9"/>
  <c r="AE65" i="9"/>
  <c r="AF65" i="9" s="1"/>
  <c r="AC65" i="9"/>
  <c r="Z65" i="9"/>
  <c r="N65" i="9"/>
  <c r="AH64" i="9"/>
  <c r="AE64" i="9"/>
  <c r="AF64" i="9" s="1"/>
  <c r="AC64" i="9"/>
  <c r="Z64" i="9"/>
  <c r="N64" i="9"/>
  <c r="AH63" i="9"/>
  <c r="AE63" i="9"/>
  <c r="AF63" i="9" s="1"/>
  <c r="AC63" i="9"/>
  <c r="Z63" i="9"/>
  <c r="N63" i="9"/>
  <c r="AH62" i="9"/>
  <c r="AE62" i="9"/>
  <c r="AF62" i="9" s="1"/>
  <c r="AC62" i="9"/>
  <c r="Z62" i="9"/>
  <c r="N62" i="9"/>
  <c r="AH61" i="9"/>
  <c r="AE61" i="9"/>
  <c r="AF61" i="9" s="1"/>
  <c r="AC61" i="9"/>
  <c r="Z61" i="9"/>
  <c r="N61" i="9"/>
  <c r="AH60" i="9"/>
  <c r="AE60" i="9"/>
  <c r="AF60" i="9" s="1"/>
  <c r="AC60" i="9"/>
  <c r="Z60" i="9"/>
  <c r="N60" i="9"/>
  <c r="AH59" i="9"/>
  <c r="AE59" i="9"/>
  <c r="AF59" i="9" s="1"/>
  <c r="AC59" i="9"/>
  <c r="Z59" i="9"/>
  <c r="N59" i="9"/>
  <c r="AE58" i="9"/>
  <c r="AF58" i="9" s="1"/>
  <c r="AC58" i="9"/>
  <c r="Z58" i="9"/>
  <c r="N58" i="9"/>
  <c r="AE57" i="9"/>
  <c r="AF57" i="9" s="1"/>
  <c r="AC57" i="9"/>
  <c r="Z57" i="9"/>
  <c r="N57" i="9"/>
  <c r="AE56" i="9"/>
  <c r="AF56" i="9" s="1"/>
  <c r="AC56" i="9"/>
  <c r="Z56" i="9"/>
  <c r="N56" i="9"/>
  <c r="AE55" i="9"/>
  <c r="AF55" i="9" s="1"/>
  <c r="AC55" i="9"/>
  <c r="Z55" i="9"/>
  <c r="N55" i="9"/>
  <c r="AE54" i="9"/>
  <c r="AF54" i="9" s="1"/>
  <c r="AC54" i="9"/>
  <c r="Z54" i="9"/>
  <c r="N54" i="9"/>
  <c r="AE53" i="9"/>
  <c r="AF53" i="9" s="1"/>
  <c r="AC53" i="9"/>
  <c r="Z53" i="9"/>
  <c r="N53" i="9"/>
  <c r="AE52" i="9"/>
  <c r="AF52" i="9" s="1"/>
  <c r="AC52" i="9"/>
  <c r="Z52" i="9"/>
  <c r="N52" i="9"/>
  <c r="AE51" i="9"/>
  <c r="AF51" i="9" s="1"/>
  <c r="AC51" i="9"/>
  <c r="Z51" i="9"/>
  <c r="N51" i="9"/>
  <c r="AE50" i="9"/>
  <c r="AF50" i="9" s="1"/>
  <c r="AC50" i="9"/>
  <c r="Z50" i="9"/>
  <c r="N50" i="9"/>
  <c r="AE49" i="9"/>
  <c r="AF49" i="9" s="1"/>
  <c r="AC49" i="9"/>
  <c r="Z49" i="9"/>
  <c r="N49" i="9"/>
  <c r="AE48" i="9"/>
  <c r="AF48" i="9" s="1"/>
  <c r="AC48" i="9"/>
  <c r="Z48" i="9"/>
  <c r="N48" i="9"/>
  <c r="AE47" i="9"/>
  <c r="AF47" i="9" s="1"/>
  <c r="AC47" i="9"/>
  <c r="Z47" i="9"/>
  <c r="N47" i="9"/>
  <c r="AE46" i="9"/>
  <c r="AF46" i="9" s="1"/>
  <c r="AC46" i="9"/>
  <c r="Z46" i="9"/>
  <c r="N46" i="9"/>
  <c r="AE45" i="9"/>
  <c r="AF45" i="9" s="1"/>
  <c r="AC45" i="9"/>
  <c r="Z45" i="9"/>
  <c r="N45" i="9"/>
  <c r="AE44" i="9"/>
  <c r="AF44" i="9" s="1"/>
  <c r="AC44" i="9"/>
  <c r="Z44" i="9"/>
  <c r="N44" i="9"/>
  <c r="AE43" i="9"/>
  <c r="AF43" i="9" s="1"/>
  <c r="AC43" i="9"/>
  <c r="Z43" i="9"/>
  <c r="N43" i="9"/>
  <c r="AE42" i="9"/>
  <c r="AF42" i="9" s="1"/>
  <c r="AC42" i="9"/>
  <c r="Z42" i="9"/>
  <c r="N42" i="9"/>
  <c r="AE41" i="9"/>
  <c r="AF41" i="9" s="1"/>
  <c r="AC41" i="9"/>
  <c r="Z41" i="9"/>
  <c r="N41" i="9"/>
  <c r="AE40" i="9"/>
  <c r="AF40" i="9" s="1"/>
  <c r="AC40" i="9"/>
  <c r="Z40" i="9"/>
  <c r="N40" i="9"/>
  <c r="AE39" i="9"/>
  <c r="AF39" i="9" s="1"/>
  <c r="AC39" i="9"/>
  <c r="Z39" i="9"/>
  <c r="N39" i="9"/>
  <c r="AE38" i="9"/>
  <c r="AF38" i="9" s="1"/>
  <c r="AC38" i="9"/>
  <c r="Z38" i="9"/>
  <c r="N38" i="9"/>
  <c r="AE37" i="9"/>
  <c r="AF37" i="9" s="1"/>
  <c r="AC37" i="9"/>
  <c r="Z37" i="9"/>
  <c r="N37" i="9"/>
  <c r="AE36" i="9"/>
  <c r="AF36" i="9" s="1"/>
  <c r="AC36" i="9"/>
  <c r="Z36" i="9"/>
  <c r="N36" i="9"/>
  <c r="AE35" i="9"/>
  <c r="AF35" i="9" s="1"/>
  <c r="AC35" i="9"/>
  <c r="Z35" i="9"/>
  <c r="N35" i="9"/>
  <c r="AE34" i="9"/>
  <c r="AF34" i="9" s="1"/>
  <c r="AC34" i="9"/>
  <c r="Z34" i="9"/>
  <c r="N34" i="9"/>
  <c r="AE33" i="9"/>
  <c r="AF33" i="9" s="1"/>
  <c r="AC33" i="9"/>
  <c r="Z33" i="9"/>
  <c r="N33" i="9"/>
  <c r="AE32" i="9"/>
  <c r="AF32" i="9" s="1"/>
  <c r="AC32" i="9"/>
  <c r="Z32" i="9"/>
  <c r="N32" i="9"/>
  <c r="AE31" i="9"/>
  <c r="AF31" i="9" s="1"/>
  <c r="AC31" i="9"/>
  <c r="Z31" i="9"/>
  <c r="N31" i="9"/>
  <c r="AE30" i="9"/>
  <c r="AF30" i="9" s="1"/>
  <c r="AC30" i="9"/>
  <c r="Z30" i="9"/>
  <c r="N30" i="9"/>
  <c r="AE29" i="9"/>
  <c r="AF29" i="9" s="1"/>
  <c r="AC29" i="9"/>
  <c r="Z29" i="9"/>
  <c r="N29" i="9"/>
  <c r="AE28" i="9"/>
  <c r="AF28" i="9" s="1"/>
  <c r="AC28" i="9"/>
  <c r="Z28" i="9"/>
  <c r="N28" i="9"/>
  <c r="AE27" i="9"/>
  <c r="AF27" i="9" s="1"/>
  <c r="AC27" i="9"/>
  <c r="Z27" i="9"/>
  <c r="N27" i="9"/>
  <c r="AE26" i="9"/>
  <c r="AF26" i="9" s="1"/>
  <c r="AC26" i="9"/>
  <c r="Z26" i="9"/>
  <c r="N26" i="9"/>
  <c r="AE25" i="9"/>
  <c r="AF25" i="9" s="1"/>
  <c r="AC25" i="9"/>
  <c r="Z25" i="9"/>
  <c r="N25" i="9"/>
  <c r="AE24" i="9"/>
  <c r="AF24" i="9" s="1"/>
  <c r="AC24" i="9"/>
  <c r="Z24" i="9"/>
  <c r="N24" i="9"/>
  <c r="AE23" i="9"/>
  <c r="AF23" i="9" s="1"/>
  <c r="AC23" i="9"/>
  <c r="Z23" i="9"/>
  <c r="N23" i="9"/>
  <c r="AE22" i="9"/>
  <c r="AF22" i="9" s="1"/>
  <c r="AC22" i="9"/>
  <c r="Z22" i="9"/>
  <c r="N22" i="9"/>
  <c r="AE21" i="9"/>
  <c r="AF21" i="9" s="1"/>
  <c r="AC21" i="9"/>
  <c r="Z21" i="9"/>
  <c r="N21" i="9"/>
  <c r="AE20" i="9"/>
  <c r="AF20" i="9" s="1"/>
  <c r="AC20" i="9"/>
  <c r="Z20" i="9"/>
  <c r="N20" i="9"/>
  <c r="AE19" i="9"/>
  <c r="AF19" i="9" s="1"/>
  <c r="AC19" i="9"/>
  <c r="Z19" i="9"/>
  <c r="N19" i="9"/>
  <c r="AE18" i="9"/>
  <c r="AF18" i="9" s="1"/>
  <c r="AC18" i="9"/>
  <c r="Z18" i="9"/>
  <c r="N18" i="9"/>
  <c r="AE17" i="9"/>
  <c r="AF17" i="9" s="1"/>
  <c r="AC17" i="9"/>
  <c r="Z17" i="9"/>
  <c r="N17" i="9"/>
  <c r="AE16" i="9"/>
  <c r="AF16" i="9" s="1"/>
  <c r="AC16" i="9"/>
  <c r="Z16" i="9"/>
  <c r="N16" i="9"/>
  <c r="AE15" i="9"/>
  <c r="AF15" i="9" s="1"/>
  <c r="AC15" i="9"/>
  <c r="Z15" i="9"/>
  <c r="N15" i="9"/>
  <c r="AE14" i="9"/>
  <c r="AF14" i="9" s="1"/>
  <c r="AC14" i="9"/>
  <c r="Z14" i="9"/>
  <c r="N14" i="9"/>
  <c r="AE13" i="9"/>
  <c r="AF13" i="9" s="1"/>
  <c r="AC13" i="9"/>
  <c r="Z13" i="9"/>
  <c r="N13" i="9"/>
  <c r="AE12" i="9"/>
  <c r="AF12" i="9" s="1"/>
  <c r="AC12" i="9"/>
  <c r="Z12" i="9"/>
  <c r="N12" i="9"/>
  <c r="AE11" i="9"/>
  <c r="AF11" i="9" s="1"/>
  <c r="AC11" i="9"/>
  <c r="Z11" i="9"/>
  <c r="N11" i="9"/>
  <c r="AE10" i="9"/>
  <c r="AC10" i="9"/>
  <c r="Z10" i="9"/>
  <c r="N10" i="9"/>
  <c r="AE9" i="9"/>
  <c r="AF9" i="9" s="1"/>
  <c r="AC9" i="9"/>
  <c r="Z9" i="9"/>
  <c r="N9" i="9"/>
  <c r="AE8" i="9"/>
  <c r="AF8" i="9" s="1"/>
  <c r="AC8" i="9"/>
  <c r="Z8" i="9"/>
  <c r="N8" i="9"/>
  <c r="AE7" i="9"/>
  <c r="AF7" i="9" s="1"/>
  <c r="AC7" i="9"/>
  <c r="Z7" i="9"/>
  <c r="N7" i="9"/>
  <c r="AE6" i="9"/>
  <c r="AF6" i="9" s="1"/>
  <c r="AC6" i="9"/>
  <c r="Z6" i="9"/>
  <c r="N6" i="9"/>
  <c r="B3" i="9"/>
  <c r="C88" i="8"/>
  <c r="D84" i="8"/>
  <c r="E84" i="8" s="1"/>
  <c r="M81" i="8"/>
  <c r="L81" i="8"/>
  <c r="K81" i="8"/>
  <c r="J81" i="8"/>
  <c r="I81" i="8"/>
  <c r="AD79" i="8"/>
  <c r="AB79" i="8"/>
  <c r="Y79" i="8"/>
  <c r="Y80" i="8" s="1"/>
  <c r="X79" i="8"/>
  <c r="W79" i="8"/>
  <c r="U79" i="8"/>
  <c r="T79" i="8"/>
  <c r="S79" i="8"/>
  <c r="R79" i="8"/>
  <c r="Q79" i="8"/>
  <c r="P79" i="8"/>
  <c r="O79" i="8"/>
  <c r="M79" i="8"/>
  <c r="L79" i="8"/>
  <c r="K79" i="8"/>
  <c r="J79" i="8"/>
  <c r="I79" i="8"/>
  <c r="H79" i="8"/>
  <c r="AH78" i="8"/>
  <c r="AE78" i="8"/>
  <c r="AF78" i="8" s="1"/>
  <c r="AC78" i="8"/>
  <c r="Z78" i="8"/>
  <c r="N78" i="8"/>
  <c r="AH77" i="8"/>
  <c r="AE77" i="8"/>
  <c r="AF77" i="8" s="1"/>
  <c r="AC77" i="8"/>
  <c r="Z77" i="8"/>
  <c r="N77" i="8"/>
  <c r="AH76" i="8"/>
  <c r="AE76" i="8"/>
  <c r="AF76" i="8" s="1"/>
  <c r="AC76" i="8"/>
  <c r="Z76" i="8"/>
  <c r="N76" i="8"/>
  <c r="AH75" i="8"/>
  <c r="AE75" i="8"/>
  <c r="AF75" i="8" s="1"/>
  <c r="AC75" i="8"/>
  <c r="Z75" i="8"/>
  <c r="N75" i="8"/>
  <c r="AH74" i="8"/>
  <c r="AE74" i="8"/>
  <c r="AF74" i="8" s="1"/>
  <c r="AC74" i="8"/>
  <c r="Z74" i="8"/>
  <c r="N74" i="8"/>
  <c r="AH73" i="8"/>
  <c r="AE73" i="8"/>
  <c r="AF73" i="8" s="1"/>
  <c r="AC73" i="8"/>
  <c r="Z73" i="8"/>
  <c r="N73" i="8"/>
  <c r="AH72" i="8"/>
  <c r="AE72" i="8"/>
  <c r="AF72" i="8" s="1"/>
  <c r="AC72" i="8"/>
  <c r="Z72" i="8"/>
  <c r="N72" i="8"/>
  <c r="AH71" i="8"/>
  <c r="AE71" i="8"/>
  <c r="AF71" i="8" s="1"/>
  <c r="AC71" i="8"/>
  <c r="Z71" i="8"/>
  <c r="N71" i="8"/>
  <c r="AH70" i="8"/>
  <c r="AE70" i="8"/>
  <c r="AF70" i="8" s="1"/>
  <c r="AC70" i="8"/>
  <c r="Z70" i="8"/>
  <c r="N70" i="8"/>
  <c r="AH69" i="8"/>
  <c r="AE69" i="8"/>
  <c r="AF69" i="8" s="1"/>
  <c r="AC69" i="8"/>
  <c r="Z69" i="8"/>
  <c r="N69" i="8"/>
  <c r="AH68" i="8"/>
  <c r="AE68" i="8"/>
  <c r="AF68" i="8" s="1"/>
  <c r="AC68" i="8"/>
  <c r="Z68" i="8"/>
  <c r="N68" i="8"/>
  <c r="AH67" i="8"/>
  <c r="AE67" i="8"/>
  <c r="AF67" i="8" s="1"/>
  <c r="AC67" i="8"/>
  <c r="Z67" i="8"/>
  <c r="N67" i="8"/>
  <c r="AH66" i="8"/>
  <c r="AE66" i="8"/>
  <c r="AF66" i="8" s="1"/>
  <c r="AC66" i="8"/>
  <c r="Z66" i="8"/>
  <c r="N66" i="8"/>
  <c r="AH65" i="8"/>
  <c r="AE65" i="8"/>
  <c r="AF65" i="8" s="1"/>
  <c r="AC65" i="8"/>
  <c r="Z65" i="8"/>
  <c r="N65" i="8"/>
  <c r="AH64" i="8"/>
  <c r="AE64" i="8"/>
  <c r="AF64" i="8" s="1"/>
  <c r="AC64" i="8"/>
  <c r="Z64" i="8"/>
  <c r="N64" i="8"/>
  <c r="AH63" i="8"/>
  <c r="AE63" i="8"/>
  <c r="AF63" i="8" s="1"/>
  <c r="AC63" i="8"/>
  <c r="Z63" i="8"/>
  <c r="N63" i="8"/>
  <c r="AH62" i="8"/>
  <c r="AE62" i="8"/>
  <c r="AF62" i="8" s="1"/>
  <c r="AC62" i="8"/>
  <c r="Z62" i="8"/>
  <c r="N62" i="8"/>
  <c r="AH61" i="8"/>
  <c r="AE61" i="8"/>
  <c r="AF61" i="8" s="1"/>
  <c r="AC61" i="8"/>
  <c r="Z61" i="8"/>
  <c r="N61" i="8"/>
  <c r="AH60" i="8"/>
  <c r="AE60" i="8"/>
  <c r="AF60" i="8" s="1"/>
  <c r="AC60" i="8"/>
  <c r="Z60" i="8"/>
  <c r="N60" i="8"/>
  <c r="AH59" i="8"/>
  <c r="AE59" i="8"/>
  <c r="AF59" i="8" s="1"/>
  <c r="AC59" i="8"/>
  <c r="Z59" i="8"/>
  <c r="N59" i="8"/>
  <c r="AE58" i="8"/>
  <c r="AF58" i="8" s="1"/>
  <c r="AC58" i="8"/>
  <c r="Z58" i="8"/>
  <c r="N58" i="8"/>
  <c r="AE57" i="8"/>
  <c r="AF57" i="8" s="1"/>
  <c r="AC57" i="8"/>
  <c r="Z57" i="8"/>
  <c r="N57" i="8"/>
  <c r="AE56" i="8"/>
  <c r="AF56" i="8" s="1"/>
  <c r="AC56" i="8"/>
  <c r="Z56" i="8"/>
  <c r="N56" i="8"/>
  <c r="AE55" i="8"/>
  <c r="AF55" i="8" s="1"/>
  <c r="AC55" i="8"/>
  <c r="Z55" i="8"/>
  <c r="N55" i="8"/>
  <c r="AE54" i="8"/>
  <c r="AF54" i="8" s="1"/>
  <c r="AC54" i="8"/>
  <c r="Z54" i="8"/>
  <c r="N54" i="8"/>
  <c r="AE53" i="8"/>
  <c r="AF53" i="8" s="1"/>
  <c r="AC53" i="8"/>
  <c r="Z53" i="8"/>
  <c r="N53" i="8"/>
  <c r="AE52" i="8"/>
  <c r="AF52" i="8" s="1"/>
  <c r="AC52" i="8"/>
  <c r="Z52" i="8"/>
  <c r="N52" i="8"/>
  <c r="AE51" i="8"/>
  <c r="AF51" i="8" s="1"/>
  <c r="AC51" i="8"/>
  <c r="Z51" i="8"/>
  <c r="N51" i="8"/>
  <c r="AE50" i="8"/>
  <c r="AF50" i="8" s="1"/>
  <c r="AC50" i="8"/>
  <c r="Z50" i="8"/>
  <c r="N50" i="8"/>
  <c r="AE49" i="8"/>
  <c r="AF49" i="8" s="1"/>
  <c r="AC49" i="8"/>
  <c r="Z49" i="8"/>
  <c r="N49" i="8"/>
  <c r="AE48" i="8"/>
  <c r="AF48" i="8" s="1"/>
  <c r="AC48" i="8"/>
  <c r="Z48" i="8"/>
  <c r="N48" i="8"/>
  <c r="AE47" i="8"/>
  <c r="AF47" i="8" s="1"/>
  <c r="AC47" i="8"/>
  <c r="Z47" i="8"/>
  <c r="N47" i="8"/>
  <c r="AE46" i="8"/>
  <c r="AF46" i="8" s="1"/>
  <c r="AC46" i="8"/>
  <c r="Z46" i="8"/>
  <c r="N46" i="8"/>
  <c r="AE45" i="8"/>
  <c r="AF45" i="8" s="1"/>
  <c r="AC45" i="8"/>
  <c r="Z45" i="8"/>
  <c r="N45" i="8"/>
  <c r="AE44" i="8"/>
  <c r="AF44" i="8" s="1"/>
  <c r="AC44" i="8"/>
  <c r="Z44" i="8"/>
  <c r="N44" i="8"/>
  <c r="AE43" i="8"/>
  <c r="AF43" i="8" s="1"/>
  <c r="AC43" i="8"/>
  <c r="Z43" i="8"/>
  <c r="N43" i="8"/>
  <c r="AE42" i="8"/>
  <c r="AF42" i="8" s="1"/>
  <c r="AC42" i="8"/>
  <c r="Z42" i="8"/>
  <c r="N42" i="8"/>
  <c r="AE41" i="8"/>
  <c r="AF41" i="8" s="1"/>
  <c r="AC41" i="8"/>
  <c r="Z41" i="8"/>
  <c r="N41" i="8"/>
  <c r="AE40" i="8"/>
  <c r="AF40" i="8" s="1"/>
  <c r="AC40" i="8"/>
  <c r="Z40" i="8"/>
  <c r="N40" i="8"/>
  <c r="AE39" i="8"/>
  <c r="AF39" i="8" s="1"/>
  <c r="AC39" i="8"/>
  <c r="Z39" i="8"/>
  <c r="N39" i="8"/>
  <c r="AE38" i="8"/>
  <c r="AF38" i="8" s="1"/>
  <c r="AC38" i="8"/>
  <c r="Z38" i="8"/>
  <c r="N38" i="8"/>
  <c r="AE37" i="8"/>
  <c r="AF37" i="8" s="1"/>
  <c r="AC37" i="8"/>
  <c r="Z37" i="8"/>
  <c r="N37" i="8"/>
  <c r="AE36" i="8"/>
  <c r="AF36" i="8" s="1"/>
  <c r="AC36" i="8"/>
  <c r="Z36" i="8"/>
  <c r="N36" i="8"/>
  <c r="AE35" i="8"/>
  <c r="AF35" i="8" s="1"/>
  <c r="AC35" i="8"/>
  <c r="Z35" i="8"/>
  <c r="N35" i="8"/>
  <c r="AE34" i="8"/>
  <c r="AF34" i="8" s="1"/>
  <c r="AC34" i="8"/>
  <c r="Z34" i="8"/>
  <c r="N34" i="8"/>
  <c r="AE33" i="8"/>
  <c r="AF33" i="8" s="1"/>
  <c r="AC33" i="8"/>
  <c r="Z33" i="8"/>
  <c r="N33" i="8"/>
  <c r="AE32" i="8"/>
  <c r="AF32" i="8" s="1"/>
  <c r="AC32" i="8"/>
  <c r="Z32" i="8"/>
  <c r="N32" i="8"/>
  <c r="AE31" i="8"/>
  <c r="AF31" i="8" s="1"/>
  <c r="AC31" i="8"/>
  <c r="Z31" i="8"/>
  <c r="N31" i="8"/>
  <c r="AE30" i="8"/>
  <c r="AF30" i="8" s="1"/>
  <c r="AC30" i="8"/>
  <c r="Z30" i="8"/>
  <c r="N30" i="8"/>
  <c r="AE29" i="8"/>
  <c r="AF29" i="8" s="1"/>
  <c r="AC29" i="8"/>
  <c r="Z29" i="8"/>
  <c r="N29" i="8"/>
  <c r="AE28" i="8"/>
  <c r="AF28" i="8" s="1"/>
  <c r="AC28" i="8"/>
  <c r="Z28" i="8"/>
  <c r="N28" i="8"/>
  <c r="AE27" i="8"/>
  <c r="AF27" i="8" s="1"/>
  <c r="AC27" i="8"/>
  <c r="Z27" i="8"/>
  <c r="N27" i="8"/>
  <c r="AE26" i="8"/>
  <c r="AF26" i="8" s="1"/>
  <c r="AC26" i="8"/>
  <c r="Z26" i="8"/>
  <c r="N26" i="8"/>
  <c r="AE25" i="8"/>
  <c r="AF25" i="8" s="1"/>
  <c r="AC25" i="8"/>
  <c r="Z25" i="8"/>
  <c r="N25" i="8"/>
  <c r="AE24" i="8"/>
  <c r="AF24" i="8" s="1"/>
  <c r="AC24" i="8"/>
  <c r="Z24" i="8"/>
  <c r="N24" i="8"/>
  <c r="AE23" i="8"/>
  <c r="AF23" i="8" s="1"/>
  <c r="AC23" i="8"/>
  <c r="Z23" i="8"/>
  <c r="N23" i="8"/>
  <c r="AE22" i="8"/>
  <c r="AF22" i="8" s="1"/>
  <c r="AC22" i="8"/>
  <c r="Z22" i="8"/>
  <c r="N22" i="8"/>
  <c r="AE21" i="8"/>
  <c r="AF21" i="8" s="1"/>
  <c r="AC21" i="8"/>
  <c r="Z21" i="8"/>
  <c r="N21" i="8"/>
  <c r="AE20" i="8"/>
  <c r="AF20" i="8" s="1"/>
  <c r="AC20" i="8"/>
  <c r="Z20" i="8"/>
  <c r="N20" i="8"/>
  <c r="AE19" i="8"/>
  <c r="AF19" i="8" s="1"/>
  <c r="AC19" i="8"/>
  <c r="Z19" i="8"/>
  <c r="N19" i="8"/>
  <c r="AE18" i="8"/>
  <c r="AF18" i="8" s="1"/>
  <c r="AC18" i="8"/>
  <c r="Z18" i="8"/>
  <c r="N18" i="8"/>
  <c r="AE17" i="8"/>
  <c r="AF17" i="8" s="1"/>
  <c r="AC17" i="8"/>
  <c r="Z17" i="8"/>
  <c r="N17" i="8"/>
  <c r="AE16" i="8"/>
  <c r="AF16" i="8" s="1"/>
  <c r="AC16" i="8"/>
  <c r="Z16" i="8"/>
  <c r="N16" i="8"/>
  <c r="AE15" i="8"/>
  <c r="AF15" i="8" s="1"/>
  <c r="AC15" i="8"/>
  <c r="Z15" i="8"/>
  <c r="N15" i="8"/>
  <c r="AE14" i="8"/>
  <c r="AF14" i="8" s="1"/>
  <c r="AC14" i="8"/>
  <c r="Z14" i="8"/>
  <c r="N14" i="8"/>
  <c r="AE13" i="8"/>
  <c r="AF13" i="8" s="1"/>
  <c r="AC13" i="8"/>
  <c r="Z13" i="8"/>
  <c r="N13" i="8"/>
  <c r="AE12" i="8"/>
  <c r="AF12" i="8" s="1"/>
  <c r="AC12" i="8"/>
  <c r="Z12" i="8"/>
  <c r="N12" i="8"/>
  <c r="AE11" i="8"/>
  <c r="AF11" i="8" s="1"/>
  <c r="AC11" i="8"/>
  <c r="Z11" i="8"/>
  <c r="N11" i="8"/>
  <c r="AE10" i="8"/>
  <c r="AF10" i="8" s="1"/>
  <c r="AC10" i="8"/>
  <c r="Z10" i="8"/>
  <c r="N10" i="8"/>
  <c r="AE9" i="8"/>
  <c r="AF9" i="8" s="1"/>
  <c r="AC9" i="8"/>
  <c r="Z9" i="8"/>
  <c r="N9" i="8"/>
  <c r="AE8" i="8"/>
  <c r="AF8" i="8" s="1"/>
  <c r="AC8" i="8"/>
  <c r="Z8" i="8"/>
  <c r="N8" i="8"/>
  <c r="AE7" i="8"/>
  <c r="AF7" i="8" s="1"/>
  <c r="AC7" i="8"/>
  <c r="Z7" i="8"/>
  <c r="N7" i="8"/>
  <c r="AE6" i="8"/>
  <c r="AF6" i="8" s="1"/>
  <c r="AC6" i="8"/>
  <c r="Z6" i="8"/>
  <c r="N6" i="8"/>
  <c r="B3" i="8"/>
  <c r="C88" i="6"/>
  <c r="D84" i="6"/>
  <c r="E84" i="6" s="1"/>
  <c r="AD79" i="6"/>
  <c r="AB79" i="6"/>
  <c r="Y79" i="6"/>
  <c r="Y80" i="6" s="1"/>
  <c r="M79" i="6"/>
  <c r="L79" i="6"/>
  <c r="K79" i="6"/>
  <c r="AH78" i="6"/>
  <c r="AE78" i="6"/>
  <c r="AF78" i="6" s="1"/>
  <c r="AC78" i="6"/>
  <c r="Z78" i="6"/>
  <c r="N78" i="6"/>
  <c r="AH77" i="6"/>
  <c r="AE77" i="6"/>
  <c r="AF77" i="6" s="1"/>
  <c r="AC77" i="6"/>
  <c r="Z77" i="6"/>
  <c r="N77" i="6"/>
  <c r="AH76" i="6"/>
  <c r="AE76" i="6"/>
  <c r="AF76" i="6" s="1"/>
  <c r="AC76" i="6"/>
  <c r="Z76" i="6"/>
  <c r="N76" i="6"/>
  <c r="AH75" i="6"/>
  <c r="AE75" i="6"/>
  <c r="AF75" i="6" s="1"/>
  <c r="AC75" i="6"/>
  <c r="Z75" i="6"/>
  <c r="N75" i="6"/>
  <c r="AH74" i="6"/>
  <c r="AE74" i="6"/>
  <c r="AF74" i="6" s="1"/>
  <c r="AC74" i="6"/>
  <c r="Z74" i="6"/>
  <c r="N74" i="6"/>
  <c r="AH73" i="6"/>
  <c r="AE73" i="6"/>
  <c r="AF73" i="6" s="1"/>
  <c r="AC73" i="6"/>
  <c r="Z73" i="6"/>
  <c r="N73" i="6"/>
  <c r="AH72" i="6"/>
  <c r="AE72" i="6"/>
  <c r="AF72" i="6" s="1"/>
  <c r="AC72" i="6"/>
  <c r="Z72" i="6"/>
  <c r="N72" i="6"/>
  <c r="AH71" i="6"/>
  <c r="AE71" i="6"/>
  <c r="AF71" i="6" s="1"/>
  <c r="AC71" i="6"/>
  <c r="Z71" i="6"/>
  <c r="N71" i="6"/>
  <c r="AH70" i="6"/>
  <c r="AE70" i="6"/>
  <c r="AF70" i="6" s="1"/>
  <c r="AC70" i="6"/>
  <c r="Z70" i="6"/>
  <c r="N70" i="6"/>
  <c r="AH69" i="6"/>
  <c r="AE69" i="6"/>
  <c r="AF69" i="6" s="1"/>
  <c r="AC69" i="6"/>
  <c r="Z69" i="6"/>
  <c r="N69" i="6"/>
  <c r="AH68" i="6"/>
  <c r="AE68" i="6"/>
  <c r="AF68" i="6" s="1"/>
  <c r="AC68" i="6"/>
  <c r="Z68" i="6"/>
  <c r="N68" i="6"/>
  <c r="AH67" i="6"/>
  <c r="AE67" i="6"/>
  <c r="AF67" i="6" s="1"/>
  <c r="AC67" i="6"/>
  <c r="Z67" i="6"/>
  <c r="N67" i="6"/>
  <c r="AH66" i="6"/>
  <c r="AE66" i="6"/>
  <c r="AF66" i="6" s="1"/>
  <c r="AC66" i="6"/>
  <c r="Z66" i="6"/>
  <c r="N66" i="6"/>
  <c r="AH65" i="6"/>
  <c r="AE65" i="6"/>
  <c r="AF65" i="6" s="1"/>
  <c r="AC65" i="6"/>
  <c r="Z65" i="6"/>
  <c r="N65" i="6"/>
  <c r="AH64" i="6"/>
  <c r="AE64" i="6"/>
  <c r="AF64" i="6" s="1"/>
  <c r="AC64" i="6"/>
  <c r="Z64" i="6"/>
  <c r="N64" i="6"/>
  <c r="AH63" i="6"/>
  <c r="AE63" i="6"/>
  <c r="AF63" i="6" s="1"/>
  <c r="AC63" i="6"/>
  <c r="Z63" i="6"/>
  <c r="N63" i="6"/>
  <c r="AH62" i="6"/>
  <c r="AE62" i="6"/>
  <c r="AF62" i="6" s="1"/>
  <c r="AC62" i="6"/>
  <c r="Z62" i="6"/>
  <c r="N62" i="6"/>
  <c r="AH61" i="6"/>
  <c r="AE61" i="6"/>
  <c r="AF61" i="6" s="1"/>
  <c r="AC61" i="6"/>
  <c r="Z61" i="6"/>
  <c r="N61" i="6"/>
  <c r="AH60" i="6"/>
  <c r="AE60" i="6"/>
  <c r="AF60" i="6" s="1"/>
  <c r="AC60" i="6"/>
  <c r="Z60" i="6"/>
  <c r="N60" i="6"/>
  <c r="AH59" i="6"/>
  <c r="AE59" i="6"/>
  <c r="AF59" i="6" s="1"/>
  <c r="AC59" i="6"/>
  <c r="Z59" i="6"/>
  <c r="N59" i="6"/>
  <c r="AE58" i="6"/>
  <c r="AF58" i="6" s="1"/>
  <c r="AC58" i="6"/>
  <c r="Z58" i="6"/>
  <c r="N58" i="6"/>
  <c r="AE57" i="6"/>
  <c r="AF57" i="6" s="1"/>
  <c r="AC57" i="6"/>
  <c r="Z57" i="6"/>
  <c r="N57" i="6"/>
  <c r="AE56" i="6"/>
  <c r="AF56" i="6" s="1"/>
  <c r="AC56" i="6"/>
  <c r="Z56" i="6"/>
  <c r="N56" i="6"/>
  <c r="AE55" i="6"/>
  <c r="AF55" i="6" s="1"/>
  <c r="AC55" i="6"/>
  <c r="Z55" i="6"/>
  <c r="N55" i="6"/>
  <c r="AE54" i="6"/>
  <c r="AF54" i="6" s="1"/>
  <c r="AC54" i="6"/>
  <c r="Z54" i="6"/>
  <c r="N54" i="6"/>
  <c r="AE53" i="6"/>
  <c r="AF53" i="6" s="1"/>
  <c r="AC53" i="6"/>
  <c r="Z53" i="6"/>
  <c r="N53" i="6"/>
  <c r="AE52" i="6"/>
  <c r="AF52" i="6" s="1"/>
  <c r="AC52" i="6"/>
  <c r="Z52" i="6"/>
  <c r="N52" i="6"/>
  <c r="AE51" i="6"/>
  <c r="AF51" i="6" s="1"/>
  <c r="AC51" i="6"/>
  <c r="Z51" i="6"/>
  <c r="N51" i="6"/>
  <c r="AE50" i="6"/>
  <c r="AF50" i="6" s="1"/>
  <c r="AC50" i="6"/>
  <c r="Z50" i="6"/>
  <c r="N50" i="6"/>
  <c r="AE49" i="6"/>
  <c r="AF49" i="6" s="1"/>
  <c r="AC49" i="6"/>
  <c r="Z49" i="6"/>
  <c r="N49" i="6"/>
  <c r="AE48" i="6"/>
  <c r="AF48" i="6" s="1"/>
  <c r="AC48" i="6"/>
  <c r="Z48" i="6"/>
  <c r="N48" i="6"/>
  <c r="AE47" i="6"/>
  <c r="AF47" i="6" s="1"/>
  <c r="AC47" i="6"/>
  <c r="Z47" i="6"/>
  <c r="N47" i="6"/>
  <c r="AE46" i="6"/>
  <c r="AF46" i="6" s="1"/>
  <c r="AC46" i="6"/>
  <c r="Z46" i="6"/>
  <c r="N46" i="6"/>
  <c r="AE45" i="6"/>
  <c r="AF45" i="6" s="1"/>
  <c r="AC45" i="6"/>
  <c r="Z45" i="6"/>
  <c r="N45" i="6"/>
  <c r="AE44" i="6"/>
  <c r="AF44" i="6" s="1"/>
  <c r="AC44" i="6"/>
  <c r="Z44" i="6"/>
  <c r="N44" i="6"/>
  <c r="AE43" i="6"/>
  <c r="AF43" i="6" s="1"/>
  <c r="AC43" i="6"/>
  <c r="Z43" i="6"/>
  <c r="N43" i="6"/>
  <c r="AE42" i="6"/>
  <c r="AF42" i="6" s="1"/>
  <c r="AC42" i="6"/>
  <c r="Z42" i="6"/>
  <c r="N42" i="6"/>
  <c r="AE41" i="6"/>
  <c r="AF41" i="6" s="1"/>
  <c r="AC41" i="6"/>
  <c r="Z41" i="6"/>
  <c r="N41" i="6"/>
  <c r="AE40" i="6"/>
  <c r="AF40" i="6" s="1"/>
  <c r="AC40" i="6"/>
  <c r="Z40" i="6"/>
  <c r="N40" i="6"/>
  <c r="AE39" i="6"/>
  <c r="AF39" i="6" s="1"/>
  <c r="AC39" i="6"/>
  <c r="Z39" i="6"/>
  <c r="N39" i="6"/>
  <c r="AE38" i="6"/>
  <c r="AF38" i="6" s="1"/>
  <c r="AC38" i="6"/>
  <c r="Z38" i="6"/>
  <c r="N38" i="6"/>
  <c r="AE37" i="6"/>
  <c r="AF37" i="6" s="1"/>
  <c r="AC37" i="6"/>
  <c r="Z37" i="6"/>
  <c r="N37" i="6"/>
  <c r="AE36" i="6"/>
  <c r="AF36" i="6" s="1"/>
  <c r="AC36" i="6"/>
  <c r="Z36" i="6"/>
  <c r="N36" i="6"/>
  <c r="AE35" i="6"/>
  <c r="AF35" i="6" s="1"/>
  <c r="AC35" i="6"/>
  <c r="Z35" i="6"/>
  <c r="N35" i="6"/>
  <c r="AE34" i="6"/>
  <c r="AF34" i="6" s="1"/>
  <c r="AC34" i="6"/>
  <c r="Z34" i="6"/>
  <c r="N34" i="6"/>
  <c r="AE33" i="6"/>
  <c r="AF33" i="6" s="1"/>
  <c r="AC33" i="6"/>
  <c r="Z33" i="6"/>
  <c r="N33" i="6"/>
  <c r="AE32" i="6"/>
  <c r="AF32" i="6" s="1"/>
  <c r="AC32" i="6"/>
  <c r="Z32" i="6"/>
  <c r="N32" i="6"/>
  <c r="AE31" i="6"/>
  <c r="AF31" i="6" s="1"/>
  <c r="AC31" i="6"/>
  <c r="Z31" i="6"/>
  <c r="N31" i="6"/>
  <c r="AE30" i="6"/>
  <c r="AF30" i="6" s="1"/>
  <c r="AC30" i="6"/>
  <c r="Z30" i="6"/>
  <c r="N30" i="6"/>
  <c r="AE29" i="6"/>
  <c r="AF29" i="6" s="1"/>
  <c r="AC29" i="6"/>
  <c r="Z29" i="6"/>
  <c r="N29" i="6"/>
  <c r="AE28" i="6"/>
  <c r="AF28" i="6" s="1"/>
  <c r="AC28" i="6"/>
  <c r="Z28" i="6"/>
  <c r="N28" i="6"/>
  <c r="AE27" i="6"/>
  <c r="AF27" i="6" s="1"/>
  <c r="AC27" i="6"/>
  <c r="Z27" i="6"/>
  <c r="N27" i="6"/>
  <c r="AE26" i="6"/>
  <c r="AF26" i="6" s="1"/>
  <c r="AC26" i="6"/>
  <c r="Z26" i="6"/>
  <c r="N26" i="6"/>
  <c r="AE25" i="6"/>
  <c r="AF25" i="6" s="1"/>
  <c r="AC25" i="6"/>
  <c r="Z25" i="6"/>
  <c r="N25" i="6"/>
  <c r="AE24" i="6"/>
  <c r="AF24" i="6" s="1"/>
  <c r="AC24" i="6"/>
  <c r="Z24" i="6"/>
  <c r="N24" i="6"/>
  <c r="AE23" i="6"/>
  <c r="AF23" i="6" s="1"/>
  <c r="AC23" i="6"/>
  <c r="Z23" i="6"/>
  <c r="N23" i="6"/>
  <c r="AE22" i="6"/>
  <c r="AF22" i="6" s="1"/>
  <c r="AC22" i="6"/>
  <c r="Z22" i="6"/>
  <c r="N22" i="6"/>
  <c r="AE21" i="6"/>
  <c r="AF21" i="6" s="1"/>
  <c r="AC21" i="6"/>
  <c r="Z21" i="6"/>
  <c r="N21" i="6"/>
  <c r="AE20" i="6"/>
  <c r="AF20" i="6" s="1"/>
  <c r="AC20" i="6"/>
  <c r="Z20" i="6"/>
  <c r="N20" i="6"/>
  <c r="AE19" i="6"/>
  <c r="AF19" i="6" s="1"/>
  <c r="AC19" i="6"/>
  <c r="Z19" i="6"/>
  <c r="N19" i="6"/>
  <c r="AE18" i="6"/>
  <c r="AF18" i="6" s="1"/>
  <c r="AC18" i="6"/>
  <c r="Z18" i="6"/>
  <c r="N18" i="6"/>
  <c r="AE17" i="6"/>
  <c r="AF17" i="6" s="1"/>
  <c r="AC17" i="6"/>
  <c r="Z17" i="6"/>
  <c r="N17" i="6"/>
  <c r="AE16" i="6"/>
  <c r="AF16" i="6" s="1"/>
  <c r="AC16" i="6"/>
  <c r="Z16" i="6"/>
  <c r="N16" i="6"/>
  <c r="AE15" i="6"/>
  <c r="AF15" i="6" s="1"/>
  <c r="AC15" i="6"/>
  <c r="Z15" i="6"/>
  <c r="N15" i="6"/>
  <c r="AE14" i="6"/>
  <c r="AF14" i="6" s="1"/>
  <c r="AC14" i="6"/>
  <c r="Z14" i="6"/>
  <c r="N14" i="6"/>
  <c r="AE13" i="6"/>
  <c r="AF13" i="6" s="1"/>
  <c r="AC13" i="6"/>
  <c r="Z13" i="6"/>
  <c r="N13" i="6"/>
  <c r="AE12" i="6"/>
  <c r="AF12" i="6" s="1"/>
  <c r="AC12" i="6"/>
  <c r="Z12" i="6"/>
  <c r="N12" i="6"/>
  <c r="AE11" i="6"/>
  <c r="AF11" i="6" s="1"/>
  <c r="AC11" i="6"/>
  <c r="Z11" i="6"/>
  <c r="N11" i="6"/>
  <c r="AE10" i="6"/>
  <c r="AF10" i="6" s="1"/>
  <c r="AC10" i="6"/>
  <c r="Z10" i="6"/>
  <c r="AE9" i="6"/>
  <c r="AF9" i="6" s="1"/>
  <c r="AC9" i="6"/>
  <c r="Z9" i="6"/>
  <c r="N9" i="6"/>
  <c r="AE8" i="6"/>
  <c r="AF8" i="6" s="1"/>
  <c r="AC8" i="6"/>
  <c r="Z8" i="6"/>
  <c r="N8" i="6"/>
  <c r="AE7" i="6"/>
  <c r="AF7" i="6" s="1"/>
  <c r="AC7" i="6"/>
  <c r="Z7" i="6"/>
  <c r="AE6" i="6"/>
  <c r="AF6" i="6" s="1"/>
  <c r="AC6" i="6"/>
  <c r="Z6" i="6"/>
  <c r="B3" i="6"/>
  <c r="U84" i="10" l="1"/>
  <c r="R84" i="10"/>
  <c r="S84" i="10"/>
  <c r="W84" i="10"/>
  <c r="Q84" i="10"/>
  <c r="T84" i="10"/>
  <c r="V84" i="10"/>
  <c r="X84" i="10"/>
  <c r="O84" i="10"/>
  <c r="P84" i="10"/>
  <c r="U92" i="6"/>
  <c r="W92" i="6"/>
  <c r="S92" i="6"/>
  <c r="R92" i="6"/>
  <c r="H80" i="6"/>
  <c r="T92" i="6"/>
  <c r="V92" i="6"/>
  <c r="X92" i="6"/>
  <c r="AA92" i="6"/>
  <c r="Y92" i="6"/>
  <c r="Z92" i="6"/>
  <c r="H80" i="10"/>
  <c r="U80" i="10"/>
  <c r="U80" i="6"/>
  <c r="C84" i="5"/>
  <c r="S80" i="10"/>
  <c r="W80" i="9"/>
  <c r="W80" i="10"/>
  <c r="W80" i="6"/>
  <c r="Q80" i="9"/>
  <c r="S80" i="6"/>
  <c r="W80" i="8"/>
  <c r="Q80" i="10"/>
  <c r="O80" i="8"/>
  <c r="S80" i="9"/>
  <c r="U80" i="9"/>
  <c r="S80" i="8"/>
  <c r="Z79" i="8"/>
  <c r="AH79" i="8"/>
  <c r="H80" i="8"/>
  <c r="U80" i="8"/>
  <c r="AE79" i="9"/>
  <c r="O80" i="10"/>
  <c r="O80" i="9"/>
  <c r="H80" i="9"/>
  <c r="Q80" i="8"/>
  <c r="N79" i="10"/>
  <c r="AC79" i="10"/>
  <c r="AH79" i="10"/>
  <c r="Z79" i="10"/>
  <c r="AH79" i="9"/>
  <c r="AC79" i="9"/>
  <c r="N79" i="9"/>
  <c r="Z79" i="9"/>
  <c r="AF79" i="8"/>
  <c r="N79" i="8"/>
  <c r="AC79" i="8"/>
  <c r="AH79" i="6"/>
  <c r="Z79" i="6"/>
  <c r="AC79" i="6"/>
  <c r="AF79" i="10"/>
  <c r="AE79" i="10"/>
  <c r="AF10" i="9"/>
  <c r="AF79" i="9" s="1"/>
  <c r="AE79" i="8"/>
  <c r="N79" i="6"/>
  <c r="AF79" i="6"/>
  <c r="AE79" i="6"/>
  <c r="C86" i="5" l="1"/>
  <c r="C87" i="5" s="1"/>
  <c r="D84" i="5"/>
  <c r="E84" i="5" s="1"/>
  <c r="C88" i="5"/>
  <c r="M81" i="5"/>
  <c r="L81" i="5"/>
  <c r="K81" i="5"/>
  <c r="AD79" i="5"/>
  <c r="AB79" i="5"/>
  <c r="Y80" i="5"/>
  <c r="M79" i="5"/>
  <c r="L79" i="5"/>
  <c r="K79" i="5"/>
  <c r="J79" i="5"/>
  <c r="H80" i="5" s="1"/>
  <c r="AH78" i="5"/>
  <c r="AE78" i="5"/>
  <c r="AF78" i="5" s="1"/>
  <c r="AC78" i="5"/>
  <c r="Z78" i="5"/>
  <c r="N78" i="5"/>
  <c r="AH77" i="5"/>
  <c r="AE77" i="5"/>
  <c r="AF77" i="5" s="1"/>
  <c r="AC77" i="5"/>
  <c r="Z77" i="5"/>
  <c r="N77" i="5"/>
  <c r="AH76" i="5"/>
  <c r="AE76" i="5"/>
  <c r="AF76" i="5" s="1"/>
  <c r="AC76" i="5"/>
  <c r="Z76" i="5"/>
  <c r="N76" i="5"/>
  <c r="AH75" i="5"/>
  <c r="AE75" i="5"/>
  <c r="AF75" i="5" s="1"/>
  <c r="AC75" i="5"/>
  <c r="Z75" i="5"/>
  <c r="N75" i="5"/>
  <c r="AH74" i="5"/>
  <c r="AE74" i="5"/>
  <c r="AF74" i="5" s="1"/>
  <c r="AC74" i="5"/>
  <c r="Z74" i="5"/>
  <c r="N74" i="5"/>
  <c r="AH73" i="5"/>
  <c r="AE73" i="5"/>
  <c r="AF73" i="5" s="1"/>
  <c r="AC73" i="5"/>
  <c r="Z73" i="5"/>
  <c r="N73" i="5"/>
  <c r="AH72" i="5"/>
  <c r="AE72" i="5"/>
  <c r="AF72" i="5" s="1"/>
  <c r="AC72" i="5"/>
  <c r="Z72" i="5"/>
  <c r="N72" i="5"/>
  <c r="AH71" i="5"/>
  <c r="AE71" i="5"/>
  <c r="AF71" i="5" s="1"/>
  <c r="AC71" i="5"/>
  <c r="Z71" i="5"/>
  <c r="N71" i="5"/>
  <c r="AH70" i="5"/>
  <c r="AE70" i="5"/>
  <c r="AF70" i="5" s="1"/>
  <c r="AC70" i="5"/>
  <c r="Z70" i="5"/>
  <c r="N70" i="5"/>
  <c r="AH69" i="5"/>
  <c r="AE69" i="5"/>
  <c r="AF69" i="5" s="1"/>
  <c r="AC69" i="5"/>
  <c r="Z69" i="5"/>
  <c r="N69" i="5"/>
  <c r="AH68" i="5"/>
  <c r="AE68" i="5"/>
  <c r="AF68" i="5" s="1"/>
  <c r="AC68" i="5"/>
  <c r="Z68" i="5"/>
  <c r="N68" i="5"/>
  <c r="AH67" i="5"/>
  <c r="AE67" i="5"/>
  <c r="AF67" i="5" s="1"/>
  <c r="AC67" i="5"/>
  <c r="Z67" i="5"/>
  <c r="N67" i="5"/>
  <c r="AH66" i="5"/>
  <c r="AE66" i="5"/>
  <c r="AF66" i="5" s="1"/>
  <c r="AC66" i="5"/>
  <c r="Z66" i="5"/>
  <c r="N66" i="5"/>
  <c r="AH65" i="5"/>
  <c r="AE65" i="5"/>
  <c r="AF65" i="5" s="1"/>
  <c r="AC65" i="5"/>
  <c r="Z65" i="5"/>
  <c r="N65" i="5"/>
  <c r="AH64" i="5"/>
  <c r="AE64" i="5"/>
  <c r="AF64" i="5" s="1"/>
  <c r="AC64" i="5"/>
  <c r="Z64" i="5"/>
  <c r="N64" i="5"/>
  <c r="AH63" i="5"/>
  <c r="AE63" i="5"/>
  <c r="AF63" i="5" s="1"/>
  <c r="AC63" i="5"/>
  <c r="Z63" i="5"/>
  <c r="N63" i="5"/>
  <c r="AH62" i="5"/>
  <c r="AE62" i="5"/>
  <c r="AF62" i="5" s="1"/>
  <c r="AC62" i="5"/>
  <c r="Z62" i="5"/>
  <c r="N62" i="5"/>
  <c r="AH61" i="5"/>
  <c r="AE61" i="5"/>
  <c r="AF61" i="5" s="1"/>
  <c r="AC61" i="5"/>
  <c r="Z61" i="5"/>
  <c r="N61" i="5"/>
  <c r="AH60" i="5"/>
  <c r="AE60" i="5"/>
  <c r="AF60" i="5" s="1"/>
  <c r="AC60" i="5"/>
  <c r="Z60" i="5"/>
  <c r="N60" i="5"/>
  <c r="AH59" i="5"/>
  <c r="AE59" i="5"/>
  <c r="AF59" i="5" s="1"/>
  <c r="AC59" i="5"/>
  <c r="Z59" i="5"/>
  <c r="N59" i="5"/>
  <c r="AE58" i="5"/>
  <c r="AF58" i="5" s="1"/>
  <c r="AC58" i="5"/>
  <c r="Z58" i="5"/>
  <c r="N58" i="5"/>
  <c r="AE57" i="5"/>
  <c r="AF57" i="5" s="1"/>
  <c r="AC57" i="5"/>
  <c r="Z57" i="5"/>
  <c r="N57" i="5"/>
  <c r="AE56" i="5"/>
  <c r="AF56" i="5" s="1"/>
  <c r="AC56" i="5"/>
  <c r="Z56" i="5"/>
  <c r="N56" i="5"/>
  <c r="AE55" i="5"/>
  <c r="AF55" i="5" s="1"/>
  <c r="AC55" i="5"/>
  <c r="Z55" i="5"/>
  <c r="N55" i="5"/>
  <c r="AE54" i="5"/>
  <c r="AF54" i="5" s="1"/>
  <c r="AC54" i="5"/>
  <c r="Z54" i="5"/>
  <c r="N54" i="5"/>
  <c r="AE53" i="5"/>
  <c r="AF53" i="5" s="1"/>
  <c r="AC53" i="5"/>
  <c r="Z53" i="5"/>
  <c r="N53" i="5"/>
  <c r="AE52" i="5"/>
  <c r="AF52" i="5" s="1"/>
  <c r="AC52" i="5"/>
  <c r="Z52" i="5"/>
  <c r="N52" i="5"/>
  <c r="AE51" i="5"/>
  <c r="AF51" i="5" s="1"/>
  <c r="AC51" i="5"/>
  <c r="Z51" i="5"/>
  <c r="N51" i="5"/>
  <c r="AE50" i="5"/>
  <c r="AF50" i="5" s="1"/>
  <c r="AC50" i="5"/>
  <c r="Z50" i="5"/>
  <c r="N50" i="5"/>
  <c r="AE49" i="5"/>
  <c r="AF49" i="5" s="1"/>
  <c r="AC49" i="5"/>
  <c r="Z49" i="5"/>
  <c r="N49" i="5"/>
  <c r="AE48" i="5"/>
  <c r="AF48" i="5" s="1"/>
  <c r="AC48" i="5"/>
  <c r="Z48" i="5"/>
  <c r="N48" i="5"/>
  <c r="AE47" i="5"/>
  <c r="AF47" i="5" s="1"/>
  <c r="AC47" i="5"/>
  <c r="Z47" i="5"/>
  <c r="N47" i="5"/>
  <c r="AE46" i="5"/>
  <c r="AF46" i="5" s="1"/>
  <c r="AC46" i="5"/>
  <c r="Z46" i="5"/>
  <c r="N46" i="5"/>
  <c r="AE45" i="5"/>
  <c r="AF45" i="5" s="1"/>
  <c r="AC45" i="5"/>
  <c r="Z45" i="5"/>
  <c r="N45" i="5"/>
  <c r="AE44" i="5"/>
  <c r="AF44" i="5" s="1"/>
  <c r="AC44" i="5"/>
  <c r="Z44" i="5"/>
  <c r="N44" i="5"/>
  <c r="AE43" i="5"/>
  <c r="AF43" i="5" s="1"/>
  <c r="AC43" i="5"/>
  <c r="Z43" i="5"/>
  <c r="N43" i="5"/>
  <c r="AE42" i="5"/>
  <c r="AF42" i="5" s="1"/>
  <c r="AC42" i="5"/>
  <c r="Z42" i="5"/>
  <c r="N42" i="5"/>
  <c r="AE41" i="5"/>
  <c r="AF41" i="5" s="1"/>
  <c r="AC41" i="5"/>
  <c r="Z41" i="5"/>
  <c r="N41" i="5"/>
  <c r="AE40" i="5"/>
  <c r="AF40" i="5" s="1"/>
  <c r="AC40" i="5"/>
  <c r="Z40" i="5"/>
  <c r="N40" i="5"/>
  <c r="AE39" i="5"/>
  <c r="AF39" i="5" s="1"/>
  <c r="AC39" i="5"/>
  <c r="Z39" i="5"/>
  <c r="N39" i="5"/>
  <c r="AE38" i="5"/>
  <c r="AF38" i="5" s="1"/>
  <c r="AC38" i="5"/>
  <c r="Z38" i="5"/>
  <c r="N38" i="5"/>
  <c r="AE37" i="5"/>
  <c r="AF37" i="5" s="1"/>
  <c r="AC37" i="5"/>
  <c r="Z37" i="5"/>
  <c r="N37" i="5"/>
  <c r="AE36" i="5"/>
  <c r="AF36" i="5" s="1"/>
  <c r="AC36" i="5"/>
  <c r="Z36" i="5"/>
  <c r="N36" i="5"/>
  <c r="AE35" i="5"/>
  <c r="AF35" i="5" s="1"/>
  <c r="AC35" i="5"/>
  <c r="Z35" i="5"/>
  <c r="N35" i="5"/>
  <c r="AE34" i="5"/>
  <c r="AF34" i="5" s="1"/>
  <c r="AC34" i="5"/>
  <c r="Z34" i="5"/>
  <c r="N34" i="5"/>
  <c r="AE33" i="5"/>
  <c r="AF33" i="5" s="1"/>
  <c r="AC33" i="5"/>
  <c r="Z33" i="5"/>
  <c r="N33" i="5"/>
  <c r="AE32" i="5"/>
  <c r="AF32" i="5" s="1"/>
  <c r="AC32" i="5"/>
  <c r="Z32" i="5"/>
  <c r="N32" i="5"/>
  <c r="AE31" i="5"/>
  <c r="AF31" i="5" s="1"/>
  <c r="AC31" i="5"/>
  <c r="Z31" i="5"/>
  <c r="N31" i="5"/>
  <c r="AE30" i="5"/>
  <c r="AF30" i="5" s="1"/>
  <c r="AC30" i="5"/>
  <c r="Z30" i="5"/>
  <c r="N30" i="5"/>
  <c r="AE29" i="5"/>
  <c r="AF29" i="5" s="1"/>
  <c r="AC29" i="5"/>
  <c r="Z29" i="5"/>
  <c r="N29" i="5"/>
  <c r="AE28" i="5"/>
  <c r="AF28" i="5" s="1"/>
  <c r="AC28" i="5"/>
  <c r="Z28" i="5"/>
  <c r="N28" i="5"/>
  <c r="AE27" i="5"/>
  <c r="AF27" i="5" s="1"/>
  <c r="AC27" i="5"/>
  <c r="Z27" i="5"/>
  <c r="N27" i="5"/>
  <c r="AE26" i="5"/>
  <c r="AF26" i="5" s="1"/>
  <c r="AC26" i="5"/>
  <c r="Z26" i="5"/>
  <c r="N26" i="5"/>
  <c r="AE25" i="5"/>
  <c r="AF25" i="5" s="1"/>
  <c r="AC25" i="5"/>
  <c r="Z25" i="5"/>
  <c r="N25" i="5"/>
  <c r="AE24" i="5"/>
  <c r="AF24" i="5" s="1"/>
  <c r="AC24" i="5"/>
  <c r="Z24" i="5"/>
  <c r="N24" i="5"/>
  <c r="AE23" i="5"/>
  <c r="AF23" i="5" s="1"/>
  <c r="AC23" i="5"/>
  <c r="Z23" i="5"/>
  <c r="N23" i="5"/>
  <c r="AE22" i="5"/>
  <c r="AF22" i="5" s="1"/>
  <c r="AC22" i="5"/>
  <c r="Z22" i="5"/>
  <c r="N22" i="5"/>
  <c r="AE21" i="5"/>
  <c r="AF21" i="5" s="1"/>
  <c r="AC21" i="5"/>
  <c r="Z21" i="5"/>
  <c r="N21" i="5"/>
  <c r="AE20" i="5"/>
  <c r="AF20" i="5" s="1"/>
  <c r="AC20" i="5"/>
  <c r="Z20" i="5"/>
  <c r="N20" i="5"/>
  <c r="AE19" i="5"/>
  <c r="AF19" i="5" s="1"/>
  <c r="AC19" i="5"/>
  <c r="Z19" i="5"/>
  <c r="N19" i="5"/>
  <c r="AE18" i="5"/>
  <c r="AF18" i="5" s="1"/>
  <c r="AC18" i="5"/>
  <c r="Z18" i="5"/>
  <c r="N18" i="5"/>
  <c r="AE17" i="5"/>
  <c r="AF17" i="5" s="1"/>
  <c r="AC17" i="5"/>
  <c r="Z17" i="5"/>
  <c r="N17" i="5"/>
  <c r="AE16" i="5"/>
  <c r="AF16" i="5" s="1"/>
  <c r="AC16" i="5"/>
  <c r="Z16" i="5"/>
  <c r="N16" i="5"/>
  <c r="AE15" i="5"/>
  <c r="AF15" i="5" s="1"/>
  <c r="AC15" i="5"/>
  <c r="Z15" i="5"/>
  <c r="N15" i="5"/>
  <c r="AE14" i="5"/>
  <c r="AF14" i="5" s="1"/>
  <c r="AC14" i="5"/>
  <c r="Z14" i="5"/>
  <c r="N14" i="5"/>
  <c r="AE13" i="5"/>
  <c r="AF13" i="5" s="1"/>
  <c r="AC13" i="5"/>
  <c r="Z13" i="5"/>
  <c r="N13" i="5"/>
  <c r="AE12" i="5"/>
  <c r="AF12" i="5" s="1"/>
  <c r="AC12" i="5"/>
  <c r="Z12" i="5"/>
  <c r="N12" i="5"/>
  <c r="AE11" i="5"/>
  <c r="AF11" i="5" s="1"/>
  <c r="AC11" i="5"/>
  <c r="Z11" i="5"/>
  <c r="N11" i="5"/>
  <c r="AE10" i="5"/>
  <c r="AF10" i="5" s="1"/>
  <c r="AC10" i="5"/>
  <c r="Z10" i="5"/>
  <c r="N10" i="5"/>
  <c r="AE9" i="5"/>
  <c r="AF9" i="5" s="1"/>
  <c r="AC9" i="5"/>
  <c r="Z9" i="5"/>
  <c r="N9" i="5"/>
  <c r="AE8" i="5"/>
  <c r="AF8" i="5" s="1"/>
  <c r="AC8" i="5"/>
  <c r="Z8" i="5"/>
  <c r="N8" i="5"/>
  <c r="AE7" i="5"/>
  <c r="AF7" i="5" s="1"/>
  <c r="AC7" i="5"/>
  <c r="Z7" i="5"/>
  <c r="N7" i="5"/>
  <c r="AE6" i="5"/>
  <c r="AF6" i="5" s="1"/>
  <c r="AC6" i="5"/>
  <c r="Z6" i="5"/>
  <c r="B3" i="5"/>
  <c r="H87" i="2"/>
  <c r="H85" i="2"/>
  <c r="H86" i="2" s="1"/>
  <c r="I81" i="2"/>
  <c r="K81" i="2"/>
  <c r="L81" i="2"/>
  <c r="M81" i="2"/>
  <c r="J81" i="2"/>
  <c r="O84" i="5" l="1"/>
  <c r="Q84" i="5"/>
  <c r="X84" i="5"/>
  <c r="T84" i="5"/>
  <c r="S84" i="5"/>
  <c r="W84" i="5"/>
  <c r="U84" i="5"/>
  <c r="R84" i="5"/>
  <c r="P84" i="5"/>
  <c r="V84" i="5"/>
  <c r="W80" i="5"/>
  <c r="U80" i="5"/>
  <c r="S80" i="5"/>
  <c r="O80" i="5"/>
  <c r="AH79" i="5"/>
  <c r="AC79" i="5"/>
  <c r="N79" i="5"/>
  <c r="Z79" i="5"/>
  <c r="Q80" i="5"/>
  <c r="AF79" i="5"/>
  <c r="AE79" i="5"/>
  <c r="B84" i="2" l="1"/>
  <c r="W84" i="2" l="1"/>
  <c r="N34" i="2" l="1"/>
  <c r="N18" i="2"/>
  <c r="AD79" i="2"/>
  <c r="AB79" i="2"/>
  <c r="Y79" i="2"/>
  <c r="Y80" i="2" s="1"/>
  <c r="X79" i="2"/>
  <c r="W79" i="2"/>
  <c r="V79" i="2"/>
  <c r="U79" i="2"/>
  <c r="T79" i="2"/>
  <c r="S79" i="2"/>
  <c r="R79" i="2"/>
  <c r="Q79" i="2"/>
  <c r="P79" i="2"/>
  <c r="O79" i="2"/>
  <c r="M79" i="2"/>
  <c r="K79" i="2"/>
  <c r="J79" i="2"/>
  <c r="I79" i="2"/>
  <c r="AH78" i="2"/>
  <c r="AH77" i="2"/>
  <c r="AE77" i="2"/>
  <c r="AF77" i="2" s="1"/>
  <c r="AC77" i="2"/>
  <c r="Z77" i="2"/>
  <c r="N77" i="2"/>
  <c r="AH75" i="2"/>
  <c r="AE75" i="2"/>
  <c r="AF75" i="2" s="1"/>
  <c r="AC75" i="2"/>
  <c r="Z75" i="2"/>
  <c r="AC74" i="2"/>
  <c r="Z74" i="2"/>
  <c r="N74" i="2"/>
  <c r="AH74" i="2"/>
  <c r="AH73" i="2"/>
  <c r="AE73" i="2"/>
  <c r="AF73" i="2" s="1"/>
  <c r="AH72" i="2"/>
  <c r="N71" i="2"/>
  <c r="AH70" i="2"/>
  <c r="AE70" i="2"/>
  <c r="AF70" i="2" s="1"/>
  <c r="AC70" i="2"/>
  <c r="Z70" i="2"/>
  <c r="N70" i="2"/>
  <c r="AH68" i="2"/>
  <c r="AE68" i="2"/>
  <c r="AF68" i="2" s="1"/>
  <c r="AC68" i="2"/>
  <c r="AE67" i="2"/>
  <c r="AF67" i="2" s="1"/>
  <c r="AC67" i="2"/>
  <c r="Z67" i="2"/>
  <c r="AH67" i="2"/>
  <c r="AH66" i="2"/>
  <c r="AH65" i="2"/>
  <c r="AE65" i="2"/>
  <c r="AF65" i="2" s="1"/>
  <c r="AC65" i="2"/>
  <c r="Z65" i="2"/>
  <c r="N65" i="2"/>
  <c r="Z64" i="2"/>
  <c r="AH63" i="2"/>
  <c r="AE63" i="2"/>
  <c r="AF63" i="2" s="1"/>
  <c r="AC63" i="2"/>
  <c r="Z63" i="2"/>
  <c r="AH62" i="2"/>
  <c r="AH61" i="2"/>
  <c r="AE61" i="2"/>
  <c r="AF61" i="2" s="1"/>
  <c r="N60" i="2"/>
  <c r="N59" i="2"/>
  <c r="AE58" i="2"/>
  <c r="AF58" i="2" s="1"/>
  <c r="AC58" i="2"/>
  <c r="Z58" i="2"/>
  <c r="N58" i="2"/>
  <c r="N57" i="2"/>
  <c r="AE56" i="2"/>
  <c r="AF56" i="2" s="1"/>
  <c r="AC56" i="2"/>
  <c r="Z56" i="2"/>
  <c r="N56" i="2"/>
  <c r="AE54" i="2"/>
  <c r="AF54" i="2" s="1"/>
  <c r="AC54" i="2"/>
  <c r="Z54" i="2"/>
  <c r="N54" i="2"/>
  <c r="AE52" i="2"/>
  <c r="AF52" i="2" s="1"/>
  <c r="AC52" i="2"/>
  <c r="Z52" i="2"/>
  <c r="N52" i="2"/>
  <c r="N51" i="2"/>
  <c r="AE50" i="2"/>
  <c r="AF50" i="2" s="1"/>
  <c r="AC50" i="2"/>
  <c r="Z50" i="2"/>
  <c r="N50" i="2"/>
  <c r="N48" i="2"/>
  <c r="N47" i="2"/>
  <c r="AE46" i="2"/>
  <c r="AF46" i="2" s="1"/>
  <c r="AC46" i="2"/>
  <c r="Z46" i="2"/>
  <c r="N46" i="2"/>
  <c r="N45" i="2"/>
  <c r="AE44" i="2"/>
  <c r="AF44" i="2" s="1"/>
  <c r="AC44" i="2"/>
  <c r="Z44" i="2"/>
  <c r="N44" i="2"/>
  <c r="N42" i="2"/>
  <c r="AE40" i="2"/>
  <c r="AF40" i="2" s="1"/>
  <c r="AC40" i="2"/>
  <c r="Z40" i="2"/>
  <c r="N40" i="2"/>
  <c r="AE38" i="2"/>
  <c r="AF38" i="2" s="1"/>
  <c r="AC38" i="2"/>
  <c r="Z38" i="2"/>
  <c r="N38" i="2"/>
  <c r="Z36" i="2"/>
  <c r="AE34" i="2"/>
  <c r="AF34" i="2" s="1"/>
  <c r="AC34" i="2"/>
  <c r="Z34" i="2"/>
  <c r="N33" i="2"/>
  <c r="AE32" i="2"/>
  <c r="AF32" i="2" s="1"/>
  <c r="AC32" i="2"/>
  <c r="Z32" i="2"/>
  <c r="N32" i="2"/>
  <c r="N30" i="2"/>
  <c r="N29" i="2"/>
  <c r="AE28" i="2"/>
  <c r="AF28" i="2" s="1"/>
  <c r="AC28" i="2"/>
  <c r="Z28" i="2"/>
  <c r="N28" i="2"/>
  <c r="N27" i="2"/>
  <c r="AE26" i="2"/>
  <c r="AF26" i="2" s="1"/>
  <c r="AC26" i="2"/>
  <c r="Z26" i="2"/>
  <c r="N26" i="2"/>
  <c r="Z25" i="2"/>
  <c r="N25" i="2"/>
  <c r="Z24" i="2"/>
  <c r="Z23" i="2"/>
  <c r="AE22" i="2"/>
  <c r="AF22" i="2" s="1"/>
  <c r="AC22" i="2"/>
  <c r="AC20" i="2"/>
  <c r="Z20" i="2"/>
  <c r="N20" i="2"/>
  <c r="AE20" i="2"/>
  <c r="AF20" i="2" s="1"/>
  <c r="Z19" i="2"/>
  <c r="AE18" i="2"/>
  <c r="AF18" i="2" s="1"/>
  <c r="AC18" i="2"/>
  <c r="Z18" i="2"/>
  <c r="Z17" i="2"/>
  <c r="N17" i="2"/>
  <c r="Z16" i="2"/>
  <c r="Z15" i="2"/>
  <c r="AE14" i="2"/>
  <c r="AF14" i="2" s="1"/>
  <c r="AC14" i="2"/>
  <c r="Z13" i="2"/>
  <c r="AC12" i="2"/>
  <c r="Z12" i="2"/>
  <c r="N12" i="2"/>
  <c r="AE12" i="2"/>
  <c r="AF12" i="2" s="1"/>
  <c r="N11" i="2"/>
  <c r="AE10" i="2"/>
  <c r="AF10" i="2" s="1"/>
  <c r="AC10" i="2"/>
  <c r="Z10" i="2"/>
  <c r="N10" i="2"/>
  <c r="Z9" i="2"/>
  <c r="N9" i="2"/>
  <c r="AE8" i="2"/>
  <c r="AF8" i="2" s="1"/>
  <c r="AC8" i="2"/>
  <c r="Z8" i="2"/>
  <c r="Z7" i="2"/>
  <c r="AE7" i="2"/>
  <c r="AF7" i="2" s="1"/>
  <c r="AE6" i="2"/>
  <c r="AF6" i="2" s="1"/>
  <c r="AC6" i="2"/>
  <c r="Z6" i="2"/>
  <c r="N6" i="2"/>
  <c r="B3" i="2"/>
  <c r="U80" i="2" l="1"/>
  <c r="Q80" i="2"/>
  <c r="S80" i="2"/>
  <c r="O80" i="2"/>
  <c r="W80" i="2"/>
  <c r="N16" i="2"/>
  <c r="AE31" i="2"/>
  <c r="AF31" i="2" s="1"/>
  <c r="AC31" i="2"/>
  <c r="Z31" i="2"/>
  <c r="AE49" i="2"/>
  <c r="AF49" i="2" s="1"/>
  <c r="AC49" i="2"/>
  <c r="Z49" i="2"/>
  <c r="AH69" i="2"/>
  <c r="AE69" i="2"/>
  <c r="AF69" i="2" s="1"/>
  <c r="L79" i="2"/>
  <c r="AE41" i="2"/>
  <c r="AF41" i="2" s="1"/>
  <c r="AC41" i="2"/>
  <c r="Z41" i="2"/>
  <c r="AE43" i="2"/>
  <c r="AF43" i="2" s="1"/>
  <c r="AC43" i="2"/>
  <c r="Z43" i="2"/>
  <c r="AE55" i="2"/>
  <c r="AF55" i="2" s="1"/>
  <c r="AC55" i="2"/>
  <c r="Z55" i="2"/>
  <c r="AH60" i="2"/>
  <c r="N7" i="2"/>
  <c r="Z69" i="2"/>
  <c r="N72" i="2"/>
  <c r="AH59" i="2"/>
  <c r="AE59" i="2"/>
  <c r="AF59" i="2" s="1"/>
  <c r="AC59" i="2"/>
  <c r="Z59" i="2"/>
  <c r="AC72" i="2"/>
  <c r="AE37" i="2"/>
  <c r="AF37" i="2" s="1"/>
  <c r="AC37" i="2"/>
  <c r="Z37" i="2"/>
  <c r="AE66" i="2"/>
  <c r="AF66" i="2" s="1"/>
  <c r="AC66" i="2"/>
  <c r="Z66" i="2"/>
  <c r="N66" i="2"/>
  <c r="N31" i="2"/>
  <c r="N37" i="2"/>
  <c r="N43" i="2"/>
  <c r="N49" i="2"/>
  <c r="N55" i="2"/>
  <c r="N69" i="2"/>
  <c r="AE15" i="2"/>
  <c r="AF15" i="2" s="1"/>
  <c r="AC15" i="2"/>
  <c r="AE23" i="2"/>
  <c r="AF23" i="2" s="1"/>
  <c r="AC23" i="2"/>
  <c r="AH64" i="2"/>
  <c r="AE64" i="2"/>
  <c r="AF64" i="2" s="1"/>
  <c r="AC64" i="2"/>
  <c r="AC7" i="2"/>
  <c r="N15" i="2"/>
  <c r="N23" i="2"/>
  <c r="N64" i="2"/>
  <c r="N67" i="2"/>
  <c r="AC69" i="2"/>
  <c r="Z72" i="2"/>
  <c r="AE74" i="2"/>
  <c r="AF74" i="2" s="1"/>
  <c r="AE53" i="2"/>
  <c r="AF53" i="2" s="1"/>
  <c r="AC53" i="2"/>
  <c r="Z53" i="2"/>
  <c r="N41" i="2"/>
  <c r="N62" i="2"/>
  <c r="Z62" i="2"/>
  <c r="AE39" i="2"/>
  <c r="AF39" i="2" s="1"/>
  <c r="AC39" i="2"/>
  <c r="Z39" i="2"/>
  <c r="Z42" i="2"/>
  <c r="N14" i="2"/>
  <c r="AE16" i="2"/>
  <c r="AF16" i="2" s="1"/>
  <c r="N19" i="2"/>
  <c r="N22" i="2"/>
  <c r="AE24" i="2"/>
  <c r="AF24" i="2" s="1"/>
  <c r="AC30" i="2"/>
  <c r="AC36" i="2"/>
  <c r="N39" i="2"/>
  <c r="AC42" i="2"/>
  <c r="AC48" i="2"/>
  <c r="AC60" i="2"/>
  <c r="AH76" i="2"/>
  <c r="AC76" i="2"/>
  <c r="AE76" i="2"/>
  <c r="AF76" i="2" s="1"/>
  <c r="H79" i="2"/>
  <c r="AE29" i="2"/>
  <c r="AF29" i="2" s="1"/>
  <c r="AC29" i="2"/>
  <c r="Z29" i="2"/>
  <c r="AE35" i="2"/>
  <c r="AF35" i="2" s="1"/>
  <c r="AC35" i="2"/>
  <c r="Z35" i="2"/>
  <c r="AE21" i="2"/>
  <c r="AF21" i="2" s="1"/>
  <c r="AC21" i="2"/>
  <c r="N35" i="2"/>
  <c r="AE78" i="2"/>
  <c r="AF78" i="2" s="1"/>
  <c r="AC78" i="2"/>
  <c r="N78" i="2"/>
  <c r="Z78" i="2"/>
  <c r="AE11" i="2"/>
  <c r="AF11" i="2" s="1"/>
  <c r="AC11" i="2"/>
  <c r="AC16" i="2"/>
  <c r="AC24" i="2"/>
  <c r="AE27" i="2"/>
  <c r="AF27" i="2" s="1"/>
  <c r="AC27" i="2"/>
  <c r="Z27" i="2"/>
  <c r="Z30" i="2"/>
  <c r="AE45" i="2"/>
  <c r="AF45" i="2" s="1"/>
  <c r="AC45" i="2"/>
  <c r="Z45" i="2"/>
  <c r="Z48" i="2"/>
  <c r="AE57" i="2"/>
  <c r="AF57" i="2" s="1"/>
  <c r="AC57" i="2"/>
  <c r="Z57" i="2"/>
  <c r="Z60" i="2"/>
  <c r="AE62" i="2"/>
  <c r="AF62" i="2" s="1"/>
  <c r="Z11" i="2"/>
  <c r="Z14" i="2"/>
  <c r="Z22" i="2"/>
  <c r="AE30" i="2"/>
  <c r="AF30" i="2" s="1"/>
  <c r="AE36" i="2"/>
  <c r="AF36" i="2" s="1"/>
  <c r="AE42" i="2"/>
  <c r="AF42" i="2" s="1"/>
  <c r="AE48" i="2"/>
  <c r="AF48" i="2" s="1"/>
  <c r="AE60" i="2"/>
  <c r="AF60" i="2" s="1"/>
  <c r="N76" i="2"/>
  <c r="AE47" i="2"/>
  <c r="AF47" i="2" s="1"/>
  <c r="AC47" i="2"/>
  <c r="Z47" i="2"/>
  <c r="AE13" i="2"/>
  <c r="AF13" i="2" s="1"/>
  <c r="AC13" i="2"/>
  <c r="N53" i="2"/>
  <c r="AE72" i="2"/>
  <c r="AF72" i="2" s="1"/>
  <c r="N8" i="2"/>
  <c r="N13" i="2"/>
  <c r="N21" i="2"/>
  <c r="N24" i="2"/>
  <c r="Z21" i="2"/>
  <c r="N36" i="2"/>
  <c r="AC62" i="2"/>
  <c r="AE19" i="2"/>
  <c r="AF19" i="2" s="1"/>
  <c r="AC19" i="2"/>
  <c r="AE33" i="2"/>
  <c r="AF33" i="2" s="1"/>
  <c r="AC33" i="2"/>
  <c r="Z33" i="2"/>
  <c r="AE51" i="2"/>
  <c r="AF51" i="2" s="1"/>
  <c r="AC51" i="2"/>
  <c r="Z51" i="2"/>
  <c r="AE9" i="2"/>
  <c r="AF9" i="2" s="1"/>
  <c r="AC9" i="2"/>
  <c r="AE17" i="2"/>
  <c r="AF17" i="2" s="1"/>
  <c r="AC17" i="2"/>
  <c r="AE25" i="2"/>
  <c r="AF25" i="2" s="1"/>
  <c r="AC25" i="2"/>
  <c r="AH71" i="2"/>
  <c r="AE71" i="2"/>
  <c r="AF71" i="2" s="1"/>
  <c r="AC71" i="2"/>
  <c r="Z71" i="2"/>
  <c r="Z76" i="2"/>
  <c r="N73" i="2"/>
  <c r="N61" i="2"/>
  <c r="Z61" i="2"/>
  <c r="N68" i="2"/>
  <c r="Z73" i="2"/>
  <c r="AC61" i="2"/>
  <c r="N63" i="2"/>
  <c r="Z68" i="2"/>
  <c r="AC73" i="2"/>
  <c r="N75" i="2"/>
  <c r="L8" i="1"/>
  <c r="L7" i="1"/>
  <c r="L6" i="1"/>
  <c r="N79" i="2" l="1"/>
  <c r="AF79" i="2"/>
  <c r="Z79" i="2"/>
  <c r="H80" i="2"/>
  <c r="AC79" i="2"/>
  <c r="AE79" i="2"/>
  <c r="AH79" i="2"/>
  <c r="AN79" i="1"/>
  <c r="AL79" i="1"/>
  <c r="AA79" i="1" l="1"/>
  <c r="AB79" i="1"/>
  <c r="AC79" i="1"/>
  <c r="AD79" i="1"/>
  <c r="AE79" i="1"/>
  <c r="AF79" i="1"/>
  <c r="AG79" i="1"/>
  <c r="AH79" i="1"/>
  <c r="K79" i="1"/>
  <c r="L79" i="1"/>
  <c r="M79" i="1"/>
  <c r="H7" i="1"/>
  <c r="H8" i="1"/>
  <c r="H9" i="1"/>
  <c r="H10" i="1"/>
  <c r="H11" i="1"/>
  <c r="H12" i="1"/>
  <c r="H13" i="1"/>
  <c r="H14" i="1"/>
  <c r="H15" i="1"/>
  <c r="H16" i="1"/>
  <c r="H17" i="1"/>
  <c r="H18" i="1"/>
  <c r="N18" i="1" s="1"/>
  <c r="H19" i="1"/>
  <c r="H20" i="1"/>
  <c r="H21" i="1"/>
  <c r="H22" i="1"/>
  <c r="H23" i="1"/>
  <c r="H24" i="1"/>
  <c r="H25" i="1"/>
  <c r="H26" i="1"/>
  <c r="H27" i="1"/>
  <c r="H28" i="1"/>
  <c r="AJ28" i="1" s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AJ42" i="1" s="1"/>
  <c r="H43" i="1"/>
  <c r="H44" i="1"/>
  <c r="H45" i="1"/>
  <c r="H46" i="1"/>
  <c r="H47" i="1"/>
  <c r="H48" i="1"/>
  <c r="H49" i="1"/>
  <c r="H50" i="1"/>
  <c r="H51" i="1"/>
  <c r="H52" i="1"/>
  <c r="H53" i="1"/>
  <c r="N53" i="1" s="1"/>
  <c r="H54" i="1"/>
  <c r="H55" i="1"/>
  <c r="H56" i="1"/>
  <c r="H57" i="1"/>
  <c r="H58" i="1"/>
  <c r="H59" i="1"/>
  <c r="AR59" i="1" s="1"/>
  <c r="H60" i="1"/>
  <c r="AR60" i="1" s="1"/>
  <c r="H61" i="1"/>
  <c r="AR61" i="1" s="1"/>
  <c r="H62" i="1"/>
  <c r="AR62" i="1" s="1"/>
  <c r="H63" i="1"/>
  <c r="AR63" i="1" s="1"/>
  <c r="H64" i="1"/>
  <c r="AR64" i="1" s="1"/>
  <c r="H65" i="1"/>
  <c r="H66" i="1"/>
  <c r="H67" i="1"/>
  <c r="AR67" i="1" s="1"/>
  <c r="H68" i="1"/>
  <c r="AR68" i="1" s="1"/>
  <c r="H69" i="1"/>
  <c r="AR69" i="1" s="1"/>
  <c r="H70" i="1"/>
  <c r="AR70" i="1" s="1"/>
  <c r="H71" i="1"/>
  <c r="AR71" i="1" s="1"/>
  <c r="H72" i="1"/>
  <c r="AR72" i="1" s="1"/>
  <c r="H73" i="1"/>
  <c r="AR73" i="1" s="1"/>
  <c r="H74" i="1"/>
  <c r="AR74" i="1" s="1"/>
  <c r="H75" i="1"/>
  <c r="AR75" i="1" s="1"/>
  <c r="H76" i="1"/>
  <c r="AR76" i="1" s="1"/>
  <c r="H77" i="1"/>
  <c r="AR77" i="1" s="1"/>
  <c r="H78" i="1"/>
  <c r="AR78" i="1" s="1"/>
  <c r="H6" i="1"/>
  <c r="B3" i="1"/>
  <c r="AJ66" i="1" l="1"/>
  <c r="AR66" i="1"/>
  <c r="AJ76" i="1"/>
  <c r="AJ65" i="1"/>
  <c r="AR65" i="1"/>
  <c r="AJ64" i="1"/>
  <c r="AO78" i="1"/>
  <c r="AP78" i="1" s="1"/>
  <c r="AM78" i="1"/>
  <c r="AM54" i="1"/>
  <c r="AO54" i="1"/>
  <c r="AP54" i="1" s="1"/>
  <c r="AM30" i="1"/>
  <c r="AO30" i="1"/>
  <c r="AP30" i="1" s="1"/>
  <c r="AO77" i="1"/>
  <c r="AP77" i="1" s="1"/>
  <c r="AM77" i="1"/>
  <c r="AO53" i="1"/>
  <c r="AP53" i="1" s="1"/>
  <c r="AM53" i="1"/>
  <c r="AO41" i="1"/>
  <c r="AP41" i="1" s="1"/>
  <c r="AM41" i="1"/>
  <c r="AO29" i="1"/>
  <c r="AP29" i="1" s="1"/>
  <c r="AM29" i="1"/>
  <c r="AO17" i="1"/>
  <c r="AP17" i="1" s="1"/>
  <c r="AM17" i="1"/>
  <c r="N41" i="1"/>
  <c r="AJ29" i="1"/>
  <c r="AO64" i="1"/>
  <c r="AP64" i="1" s="1"/>
  <c r="AM64" i="1"/>
  <c r="AO40" i="1"/>
  <c r="AP40" i="1" s="1"/>
  <c r="AM40" i="1"/>
  <c r="AJ16" i="1"/>
  <c r="AO16" i="1"/>
  <c r="AP16" i="1" s="1"/>
  <c r="AM16" i="1"/>
  <c r="N29" i="1"/>
  <c r="AJ75" i="1"/>
  <c r="AM75" i="1"/>
  <c r="AO75" i="1"/>
  <c r="AP75" i="1" s="1"/>
  <c r="AJ51" i="1"/>
  <c r="AO51" i="1"/>
  <c r="AP51" i="1" s="1"/>
  <c r="AM51" i="1"/>
  <c r="AJ39" i="1"/>
  <c r="AO39" i="1"/>
  <c r="AP39" i="1" s="1"/>
  <c r="AM39" i="1"/>
  <c r="AJ27" i="1"/>
  <c r="AO27" i="1"/>
  <c r="AP27" i="1" s="1"/>
  <c r="AM27" i="1"/>
  <c r="AJ15" i="1"/>
  <c r="AO15" i="1"/>
  <c r="AP15" i="1" s="1"/>
  <c r="AM15" i="1"/>
  <c r="AJ40" i="1"/>
  <c r="N17" i="1"/>
  <c r="AJ17" i="1"/>
  <c r="AJ62" i="1"/>
  <c r="AM62" i="1"/>
  <c r="AO62" i="1"/>
  <c r="AP62" i="1" s="1"/>
  <c r="AJ50" i="1"/>
  <c r="AM50" i="1"/>
  <c r="AO50" i="1"/>
  <c r="AP50" i="1" s="1"/>
  <c r="AJ38" i="1"/>
  <c r="AM38" i="1"/>
  <c r="AO38" i="1"/>
  <c r="AP38" i="1" s="1"/>
  <c r="AJ26" i="1"/>
  <c r="AM26" i="1"/>
  <c r="AO26" i="1"/>
  <c r="AP26" i="1" s="1"/>
  <c r="AJ14" i="1"/>
  <c r="AM14" i="1"/>
  <c r="AO14" i="1"/>
  <c r="AP14" i="1" s="1"/>
  <c r="AJ78" i="1"/>
  <c r="AJ73" i="1"/>
  <c r="AM73" i="1"/>
  <c r="AO73" i="1"/>
  <c r="AP73" i="1" s="1"/>
  <c r="AJ61" i="1"/>
  <c r="AM61" i="1"/>
  <c r="AO61" i="1"/>
  <c r="AP61" i="1" s="1"/>
  <c r="AJ49" i="1"/>
  <c r="AM49" i="1"/>
  <c r="AO49" i="1"/>
  <c r="AP49" i="1" s="1"/>
  <c r="AJ37" i="1"/>
  <c r="AM37" i="1"/>
  <c r="AO37" i="1"/>
  <c r="AP37" i="1" s="1"/>
  <c r="N25" i="1"/>
  <c r="AM25" i="1"/>
  <c r="AO25" i="1"/>
  <c r="AP25" i="1" s="1"/>
  <c r="AJ13" i="1"/>
  <c r="AM13" i="1"/>
  <c r="AO13" i="1"/>
  <c r="AP13" i="1" s="1"/>
  <c r="N78" i="1"/>
  <c r="AJ77" i="1"/>
  <c r="AJ72" i="1"/>
  <c r="AM72" i="1"/>
  <c r="AO72" i="1"/>
  <c r="AP72" i="1" s="1"/>
  <c r="AJ60" i="1"/>
  <c r="AM60" i="1"/>
  <c r="AO60" i="1"/>
  <c r="AP60" i="1" s="1"/>
  <c r="N48" i="1"/>
  <c r="AM48" i="1"/>
  <c r="AO48" i="1"/>
  <c r="AP48" i="1" s="1"/>
  <c r="AJ36" i="1"/>
  <c r="AM36" i="1"/>
  <c r="AO36" i="1"/>
  <c r="AP36" i="1" s="1"/>
  <c r="AJ24" i="1"/>
  <c r="AM24" i="1"/>
  <c r="AO24" i="1"/>
  <c r="AP24" i="1" s="1"/>
  <c r="AJ12" i="1"/>
  <c r="AM12" i="1"/>
  <c r="AO12" i="1"/>
  <c r="AP12" i="1" s="1"/>
  <c r="N66" i="1"/>
  <c r="AJ71" i="1"/>
  <c r="AO71" i="1"/>
  <c r="AP71" i="1" s="1"/>
  <c r="AM71" i="1"/>
  <c r="AJ59" i="1"/>
  <c r="AO59" i="1"/>
  <c r="AP59" i="1" s="1"/>
  <c r="AM59" i="1"/>
  <c r="AJ47" i="1"/>
  <c r="AO47" i="1"/>
  <c r="AP47" i="1" s="1"/>
  <c r="AM47" i="1"/>
  <c r="AJ35" i="1"/>
  <c r="AO35" i="1"/>
  <c r="AP35" i="1" s="1"/>
  <c r="AM35" i="1"/>
  <c r="AJ23" i="1"/>
  <c r="AO23" i="1"/>
  <c r="AP23" i="1" s="1"/>
  <c r="AM23" i="1"/>
  <c r="AJ11" i="1"/>
  <c r="AO11" i="1"/>
  <c r="AP11" i="1" s="1"/>
  <c r="AM11" i="1"/>
  <c r="N54" i="1"/>
  <c r="AJ70" i="1"/>
  <c r="AO70" i="1"/>
  <c r="AP70" i="1" s="1"/>
  <c r="AM70" i="1"/>
  <c r="AJ58" i="1"/>
  <c r="AO58" i="1"/>
  <c r="AP58" i="1" s="1"/>
  <c r="AM58" i="1"/>
  <c r="AJ46" i="1"/>
  <c r="AO46" i="1"/>
  <c r="AP46" i="1" s="1"/>
  <c r="AM46" i="1"/>
  <c r="AJ34" i="1"/>
  <c r="AO34" i="1"/>
  <c r="AP34" i="1" s="1"/>
  <c r="AM34" i="1"/>
  <c r="AJ22" i="1"/>
  <c r="AO22" i="1"/>
  <c r="AP22" i="1" s="1"/>
  <c r="AM22" i="1"/>
  <c r="AJ10" i="1"/>
  <c r="AO10" i="1"/>
  <c r="AP10" i="1" s="1"/>
  <c r="AM10" i="1"/>
  <c r="N42" i="1"/>
  <c r="AJ54" i="1"/>
  <c r="AJ69" i="1"/>
  <c r="AO69" i="1"/>
  <c r="AP69" i="1" s="1"/>
  <c r="AM69" i="1"/>
  <c r="AJ45" i="1"/>
  <c r="AO45" i="1"/>
  <c r="AP45" i="1" s="1"/>
  <c r="AM45" i="1"/>
  <c r="AJ21" i="1"/>
  <c r="AO21" i="1"/>
  <c r="AP21" i="1" s="1"/>
  <c r="AM21" i="1"/>
  <c r="AJ9" i="1"/>
  <c r="AO9" i="1"/>
  <c r="AP9" i="1" s="1"/>
  <c r="AM9" i="1"/>
  <c r="N30" i="1"/>
  <c r="AJ53" i="1"/>
  <c r="AJ68" i="1"/>
  <c r="AM68" i="1"/>
  <c r="AO68" i="1"/>
  <c r="AP68" i="1" s="1"/>
  <c r="AJ56" i="1"/>
  <c r="AO56" i="1"/>
  <c r="AP56" i="1" s="1"/>
  <c r="AM56" i="1"/>
  <c r="AJ44" i="1"/>
  <c r="AM44" i="1"/>
  <c r="AO44" i="1"/>
  <c r="AP44" i="1" s="1"/>
  <c r="AJ32" i="1"/>
  <c r="AO32" i="1"/>
  <c r="AP32" i="1" s="1"/>
  <c r="AM32" i="1"/>
  <c r="AJ20" i="1"/>
  <c r="AM20" i="1"/>
  <c r="AO20" i="1"/>
  <c r="AP20" i="1" s="1"/>
  <c r="AJ8" i="1"/>
  <c r="AO8" i="1"/>
  <c r="AP8" i="1" s="1"/>
  <c r="AM8" i="1"/>
  <c r="N77" i="1"/>
  <c r="AO66" i="1"/>
  <c r="AP66" i="1" s="1"/>
  <c r="AM66" i="1"/>
  <c r="AO42" i="1"/>
  <c r="AP42" i="1" s="1"/>
  <c r="AM42" i="1"/>
  <c r="AO18" i="1"/>
  <c r="AP18" i="1" s="1"/>
  <c r="AM18" i="1"/>
  <c r="AJ30" i="1"/>
  <c r="AM65" i="1"/>
  <c r="AO65" i="1"/>
  <c r="AP65" i="1" s="1"/>
  <c r="AO76" i="1"/>
  <c r="AP76" i="1" s="1"/>
  <c r="AM76" i="1"/>
  <c r="AM52" i="1"/>
  <c r="AO52" i="1"/>
  <c r="AP52" i="1" s="1"/>
  <c r="AM28" i="1"/>
  <c r="AO28" i="1"/>
  <c r="AP28" i="1" s="1"/>
  <c r="AJ52" i="1"/>
  <c r="AJ18" i="1"/>
  <c r="AJ63" i="1"/>
  <c r="AO63" i="1"/>
  <c r="AP63" i="1" s="1"/>
  <c r="AM63" i="1"/>
  <c r="AJ74" i="1"/>
  <c r="AM74" i="1"/>
  <c r="AO74" i="1"/>
  <c r="AP74" i="1" s="1"/>
  <c r="AJ57" i="1"/>
  <c r="AO57" i="1"/>
  <c r="AP57" i="1" s="1"/>
  <c r="AM57" i="1"/>
  <c r="AJ33" i="1"/>
  <c r="AO33" i="1"/>
  <c r="AP33" i="1" s="1"/>
  <c r="AM33" i="1"/>
  <c r="AJ6" i="1"/>
  <c r="AM6" i="1"/>
  <c r="AO6" i="1"/>
  <c r="AJ67" i="1"/>
  <c r="AO67" i="1"/>
  <c r="AP67" i="1" s="1"/>
  <c r="AM67" i="1"/>
  <c r="AJ55" i="1"/>
  <c r="AO55" i="1"/>
  <c r="AP55" i="1" s="1"/>
  <c r="AM55" i="1"/>
  <c r="AJ43" i="1"/>
  <c r="AO43" i="1"/>
  <c r="AP43" i="1" s="1"/>
  <c r="AM43" i="1"/>
  <c r="AJ31" i="1"/>
  <c r="AO31" i="1"/>
  <c r="AP31" i="1" s="1"/>
  <c r="AM31" i="1"/>
  <c r="AJ19" i="1"/>
  <c r="AO19" i="1"/>
  <c r="AP19" i="1" s="1"/>
  <c r="AM19" i="1"/>
  <c r="AJ7" i="1"/>
  <c r="AM7" i="1"/>
  <c r="AO7" i="1"/>
  <c r="AP7" i="1" s="1"/>
  <c r="N65" i="1"/>
  <c r="AJ41" i="1"/>
  <c r="N76" i="1"/>
  <c r="N64" i="1"/>
  <c r="N52" i="1"/>
  <c r="N40" i="1"/>
  <c r="N28" i="1"/>
  <c r="N15" i="1"/>
  <c r="N75" i="1"/>
  <c r="N63" i="1"/>
  <c r="N51" i="1"/>
  <c r="N39" i="1"/>
  <c r="N27" i="1"/>
  <c r="N14" i="1"/>
  <c r="N72" i="1"/>
  <c r="N60" i="1"/>
  <c r="N36" i="1"/>
  <c r="N24" i="1"/>
  <c r="AJ48" i="1"/>
  <c r="N71" i="1"/>
  <c r="N59" i="1"/>
  <c r="N47" i="1"/>
  <c r="N35" i="1"/>
  <c r="N23" i="1"/>
  <c r="N10" i="1"/>
  <c r="N70" i="1"/>
  <c r="N58" i="1"/>
  <c r="N46" i="1"/>
  <c r="N34" i="1"/>
  <c r="N22" i="1"/>
  <c r="N9" i="1"/>
  <c r="N69" i="1"/>
  <c r="N57" i="1"/>
  <c r="N45" i="1"/>
  <c r="N33" i="1"/>
  <c r="N21" i="1"/>
  <c r="N8" i="1"/>
  <c r="N74" i="1"/>
  <c r="N62" i="1"/>
  <c r="N50" i="1"/>
  <c r="N38" i="1"/>
  <c r="N26" i="1"/>
  <c r="N13" i="1"/>
  <c r="AJ25" i="1"/>
  <c r="N68" i="1"/>
  <c r="N56" i="1"/>
  <c r="N44" i="1"/>
  <c r="N32" i="1"/>
  <c r="N20" i="1"/>
  <c r="N7" i="1"/>
  <c r="N73" i="1"/>
  <c r="N61" i="1"/>
  <c r="N49" i="1"/>
  <c r="N37" i="1"/>
  <c r="N12" i="1"/>
  <c r="N11" i="1"/>
  <c r="N6" i="1"/>
  <c r="N67" i="1"/>
  <c r="N55" i="1"/>
  <c r="N43" i="1"/>
  <c r="N31" i="1"/>
  <c r="N19" i="1"/>
  <c r="J79" i="1"/>
  <c r="N16" i="1"/>
  <c r="AA80" i="1"/>
  <c r="AI79" i="1"/>
  <c r="AI80" i="1" s="1"/>
  <c r="AG80" i="1"/>
  <c r="H79" i="1"/>
  <c r="AE80" i="1"/>
  <c r="I79" i="1"/>
  <c r="AC80" i="1"/>
  <c r="O79" i="1"/>
  <c r="P79" i="1"/>
  <c r="S79" i="1"/>
  <c r="Y79" i="1"/>
  <c r="X79" i="1"/>
  <c r="W79" i="1"/>
  <c r="V79" i="1"/>
  <c r="Q79" i="1"/>
  <c r="R79" i="1"/>
  <c r="T79" i="1"/>
  <c r="U79" i="1"/>
  <c r="Z79" i="1"/>
  <c r="W80" i="1" l="1"/>
  <c r="N79" i="1"/>
  <c r="AR79" i="1"/>
  <c r="AO79" i="1"/>
  <c r="AP6" i="1"/>
  <c r="AP79" i="1" s="1"/>
  <c r="AM79" i="1"/>
  <c r="AJ79" i="1"/>
  <c r="U80" i="1"/>
  <c r="H80" i="1"/>
  <c r="O80" i="1"/>
  <c r="Q80" i="1"/>
  <c r="Y80" i="1"/>
  <c r="S8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Omar Martinez</author>
  </authors>
  <commentList>
    <comment ref="M6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dse sgrega para cusdrar inv.</t>
        </r>
      </text>
    </comment>
    <comment ref="AI6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Se desconto para cuadrar balance</t>
        </r>
      </text>
    </comment>
    <comment ref="AI69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SE DESCONTO NO LA PIDIO SAIRA EN NUEVO BALANCE</t>
        </r>
      </text>
    </comment>
    <comment ref="M72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AJUSTE NUEVO PROGRAMA DE SAIRA</t>
        </r>
      </text>
    </comment>
    <comment ref="AI76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Se desconto para cuadrar balance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Auxiliar Planeacion Ramos</author>
    <author>Omar Martinez</author>
  </authors>
  <commentList>
    <comment ref="Y1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w30</t>
        </r>
      </text>
    </comment>
    <comment ref="Y14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W30</t>
        </r>
      </text>
    </comment>
    <comment ref="Y15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W30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7" authorId="0" shapeId="0" xr:uid="{00000000-0006-0000-0300-000004000000}">
      <text>
        <r>
          <rPr>
            <sz val="9"/>
            <color indexed="81"/>
            <rFont val="Tahoma"/>
            <family val="2"/>
          </rPr>
          <t xml:space="preserve">W30
</t>
        </r>
      </text>
    </comment>
    <comment ref="Y2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w30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2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w30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3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w30</t>
        </r>
      </text>
    </comment>
    <comment ref="Y24" authorId="1" shapeId="0" xr:uid="{00000000-0006-0000-0300-000008000000}">
      <text>
        <r>
          <rPr>
            <b/>
            <sz val="9"/>
            <color indexed="81"/>
            <rFont val="Tahoma"/>
            <family val="2"/>
          </rPr>
          <t>No lo reportaron el Viernes en el segundo turno 24 de julio</t>
        </r>
      </text>
    </comment>
    <comment ref="Y25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w30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7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w30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8" authorId="0" shapeId="0" xr:uid="{00000000-0006-0000-0300-00000B000000}">
      <text>
        <r>
          <rPr>
            <sz val="9"/>
            <color indexed="81"/>
            <rFont val="Tahoma"/>
            <family val="2"/>
          </rPr>
          <t xml:space="preserve">w30
</t>
        </r>
      </text>
    </comment>
    <comment ref="Y30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w30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w30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3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w30</t>
        </r>
      </text>
    </comment>
    <comment ref="Y47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w30</t>
        </r>
      </text>
    </comment>
    <comment ref="Y60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w30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61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w30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64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w30</t>
        </r>
      </text>
    </comment>
    <comment ref="Y68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w30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69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w30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72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w30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73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w30: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85" authorId="0" shapeId="0" xr:uid="{00000000-0006-0000-0300-000017000000}">
      <text>
        <r>
          <rPr>
            <sz val="9"/>
            <color indexed="81"/>
            <rFont val="Tahoma"/>
            <family val="2"/>
          </rPr>
          <t xml:space="preserve">Sin tomar en cuenta Aluminio 
</t>
        </r>
      </text>
    </comment>
    <comment ref="O85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 xml:space="preserve">ALUMINIO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86" authorId="0" shapeId="0" xr:uid="{00000000-0006-0000-0300-000019000000}">
      <text>
        <r>
          <rPr>
            <b/>
            <sz val="9"/>
            <color indexed="81"/>
            <rFont val="Tahoma"/>
            <family val="2"/>
          </rPr>
          <t xml:space="preserve">ALUMINIO 
META DIARIA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Auxiliar Planeacion Ramos</author>
  </authors>
  <commentList>
    <comment ref="Y15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w31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7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W31</t>
        </r>
      </text>
    </comment>
    <comment ref="Y22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w31</t>
        </r>
        <r>
          <rPr>
            <sz val="9"/>
            <color indexed="81"/>
            <rFont val="Tahoma"/>
            <family val="2"/>
          </rPr>
          <t xml:space="preserve">
505 pz w31
250 pz w30</t>
        </r>
      </text>
    </comment>
    <comment ref="Y25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w31 31/07/2026</t>
        </r>
      </text>
    </comment>
    <comment ref="Y27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w31</t>
        </r>
      </text>
    </comment>
    <comment ref="Y30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w31 1660 pz</t>
        </r>
        <r>
          <rPr>
            <sz val="9"/>
            <color indexed="81"/>
            <rFont val="Tahoma"/>
            <family val="2"/>
          </rPr>
          <t xml:space="preserve">
w30 445 pz</t>
        </r>
      </text>
    </comment>
    <comment ref="Y3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w31</t>
        </r>
      </text>
    </comment>
    <comment ref="Y33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w31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4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w31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44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w31</t>
        </r>
      </text>
    </comment>
    <comment ref="Y45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w31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5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Agregado 04/08/2026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8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 xml:space="preserve">04/08/2026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74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72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75" authorId="0" shapeId="0" xr:uid="{00000000-0006-0000-0400-00000F000000}">
      <text>
        <r>
          <rPr>
            <b/>
            <sz val="9"/>
            <color indexed="81"/>
            <rFont val="Tahoma"/>
            <family val="2"/>
          </rPr>
          <t>200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77" authorId="0" shapeId="0" xr:uid="{00000000-0006-0000-0400-000010000000}">
      <text>
        <r>
          <rPr>
            <b/>
            <sz val="9"/>
            <color indexed="81"/>
            <rFont val="Tahoma"/>
            <family val="2"/>
          </rPr>
          <t>300</t>
        </r>
      </text>
    </comment>
    <comment ref="I79" authorId="0" shapeId="0" xr:uid="{00000000-0006-0000-0400-000011000000}">
      <text>
        <r>
          <rPr>
            <b/>
            <sz val="9"/>
            <color indexed="81"/>
            <rFont val="Tahoma"/>
            <family val="2"/>
          </rPr>
          <t>W31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79" authorId="0" shapeId="0" xr:uid="{00000000-0006-0000-0400-000012000000}">
      <text>
        <r>
          <rPr>
            <b/>
            <sz val="9"/>
            <color indexed="81"/>
            <rFont val="Tahoma"/>
            <family val="2"/>
          </rPr>
          <t xml:space="preserve">ALUMINIO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Auxiliar Planeacion Ramos</author>
  </authors>
  <commentList>
    <comment ref="Y22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OSCAR</t>
        </r>
      </text>
    </comment>
    <comment ref="Y24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 xml:space="preserve">OSCAR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79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 xml:space="preserve">ALUMINIO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Omar Martinez</author>
  </authors>
  <commentList>
    <comment ref="O13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Son del viernes</t>
        </r>
      </text>
    </comment>
    <comment ref="O14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Son del Viernes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Omar Martinez</author>
    <author>Auxiliar Planeacion Ramos</author>
  </authors>
  <commentList>
    <comment ref="Y6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Ajuste de programa</t>
        </r>
      </text>
    </comment>
    <comment ref="Y7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Ajuste de programa</t>
        </r>
      </text>
    </comment>
    <comment ref="Y10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Ajuste de programa</t>
        </r>
      </text>
    </comment>
    <comment ref="Y1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Ajuste de programa</t>
        </r>
      </text>
    </comment>
    <comment ref="Y12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Ajuste de programa</t>
        </r>
      </text>
    </comment>
    <comment ref="O85" authorId="1" shapeId="0" xr:uid="{00000000-0006-0000-0900-000006000000}">
      <text>
        <r>
          <rPr>
            <b/>
            <sz val="9"/>
            <color indexed="81"/>
            <rFont val="Tahoma"/>
            <family val="2"/>
          </rPr>
          <t xml:space="preserve">ALUMINIO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Auxiliar Planeacion Ramos</author>
  </authors>
  <commentList>
    <comment ref="O85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 xml:space="preserve">ALUMINIO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Auxiliar Planeacion Ramos</author>
    <author>Omar Martinez</author>
  </authors>
  <commentList>
    <comment ref="O85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 xml:space="preserve">ALUMINIO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99" authorId="1" shapeId="0" xr:uid="{00000000-0006-0000-0B00-000002000000}">
      <text>
        <r>
          <rPr>
            <b/>
            <sz val="9"/>
            <color indexed="81"/>
            <rFont val="Tahoma"/>
            <family val="2"/>
          </rPr>
          <t>ARRANQUE 14/09/26 36%</t>
        </r>
      </text>
    </comment>
    <comment ref="B100" authorId="1" shapeId="0" xr:uid="{00000000-0006-0000-0B00-000003000000}">
      <text>
        <r>
          <rPr>
            <b/>
            <sz val="9"/>
            <color indexed="81"/>
            <rFont val="Tahoma"/>
            <family val="2"/>
          </rPr>
          <t xml:space="preserve">ARRANQUE 14/09/26 64%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Omar Martinez</author>
  </authors>
  <commentList>
    <comment ref="AI70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No hay valvula</t>
        </r>
      </text>
    </comment>
    <comment ref="B99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inicio 41%</t>
        </r>
      </text>
    </comment>
    <comment ref="B100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inicio 41%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Omar Martinez</author>
  </authors>
  <commentList>
    <comment ref="D45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100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Omar Martinez</author>
  </authors>
  <commentList>
    <comment ref="D45" authorId="0" shapeId="0" xr:uid="{F11C0960-D52A-428C-B1D6-2DA374EE1C60}">
      <text>
        <r>
          <rPr>
            <b/>
            <sz val="9"/>
            <color indexed="81"/>
            <rFont val="Tahoma"/>
            <family val="2"/>
          </rPr>
          <t>100</t>
        </r>
      </text>
    </comment>
  </commentList>
</comments>
</file>

<file path=xl/sharedStrings.xml><?xml version="1.0" encoding="utf-8"?>
<sst xmlns="http://schemas.openxmlformats.org/spreadsheetml/2006/main" count="8750" uniqueCount="200">
  <si>
    <t>CLIENTE</t>
  </si>
  <si>
    <t>625994-01</t>
  </si>
  <si>
    <t>A - 3/8</t>
  </si>
  <si>
    <t>627512-01</t>
  </si>
  <si>
    <t>625967-01</t>
  </si>
  <si>
    <t>626309-01</t>
  </si>
  <si>
    <t>625890-01</t>
  </si>
  <si>
    <t>615991-01</t>
  </si>
  <si>
    <t>626164-01</t>
  </si>
  <si>
    <t>626121-01</t>
  </si>
  <si>
    <t>C - 3/8</t>
  </si>
  <si>
    <t>625995-01</t>
  </si>
  <si>
    <t>615380-01</t>
  </si>
  <si>
    <t>625922-01</t>
  </si>
  <si>
    <t>627511-01</t>
  </si>
  <si>
    <t>626308-01</t>
  </si>
  <si>
    <t>626467-01</t>
  </si>
  <si>
    <t>C - 1/2</t>
  </si>
  <si>
    <t>626473-01</t>
  </si>
  <si>
    <t>627051-01</t>
  </si>
  <si>
    <t>627186-01</t>
  </si>
  <si>
    <t>627041-01</t>
  </si>
  <si>
    <t>625151-01</t>
  </si>
  <si>
    <t>626794-01</t>
  </si>
  <si>
    <t>618748-01</t>
  </si>
  <si>
    <t>626532-01</t>
  </si>
  <si>
    <t>626391-01</t>
  </si>
  <si>
    <t>613544-01</t>
  </si>
  <si>
    <t>627101-01</t>
  </si>
  <si>
    <t>626469-01</t>
  </si>
  <si>
    <t>619792-01</t>
  </si>
  <si>
    <t>625022-01</t>
  </si>
  <si>
    <t>627046-01</t>
  </si>
  <si>
    <t>MXLB-112323</t>
  </si>
  <si>
    <t>626471-01</t>
  </si>
  <si>
    <t>626472-01</t>
  </si>
  <si>
    <t>626433-01</t>
  </si>
  <si>
    <t>627175-01</t>
  </si>
  <si>
    <t>627021-01</t>
  </si>
  <si>
    <t>613366-01</t>
  </si>
  <si>
    <t>613569-01</t>
  </si>
  <si>
    <t>626310-01</t>
  </si>
  <si>
    <t>613556-01</t>
  </si>
  <si>
    <t>613472-01</t>
  </si>
  <si>
    <t>615112-01</t>
  </si>
  <si>
    <t>626470-01</t>
  </si>
  <si>
    <t>626873-01</t>
  </si>
  <si>
    <t>626962-01</t>
  </si>
  <si>
    <t>C - 3/4</t>
  </si>
  <si>
    <t>619770-01</t>
  </si>
  <si>
    <t>618685-01</t>
  </si>
  <si>
    <t>627106-01</t>
  </si>
  <si>
    <t>626967-01</t>
  </si>
  <si>
    <t>618927-01</t>
  </si>
  <si>
    <t>C - 7/8</t>
  </si>
  <si>
    <t>624302-01</t>
  </si>
  <si>
    <t>626978-01</t>
  </si>
  <si>
    <t>618887-01</t>
  </si>
  <si>
    <t>626998-01</t>
  </si>
  <si>
    <t>614166-01</t>
  </si>
  <si>
    <t>SOLDADURA 3/4</t>
  </si>
  <si>
    <t>626798-01</t>
  </si>
  <si>
    <t>626430-01</t>
  </si>
  <si>
    <t>626581-01</t>
  </si>
  <si>
    <t>626798-02</t>
  </si>
  <si>
    <t>626581-04</t>
  </si>
  <si>
    <t>101777-01</t>
  </si>
  <si>
    <t>626581-02</t>
  </si>
  <si>
    <t>613781-01</t>
  </si>
  <si>
    <t>626798-03</t>
  </si>
  <si>
    <t>626581-05</t>
  </si>
  <si>
    <t>SOLDADURA 7/8</t>
  </si>
  <si>
    <t>606820-03</t>
  </si>
  <si>
    <t>626432-01</t>
  </si>
  <si>
    <t>626581-08</t>
  </si>
  <si>
    <t>626581-11</t>
  </si>
  <si>
    <t>626434-01</t>
  </si>
  <si>
    <t>614199-01</t>
  </si>
  <si>
    <t>626581-06</t>
  </si>
  <si>
    <t>612822-01</t>
  </si>
  <si>
    <t>626429-01</t>
  </si>
  <si>
    <t>DIAMETRO</t>
  </si>
  <si>
    <t>PARED</t>
  </si>
  <si>
    <t>PESO</t>
  </si>
  <si>
    <t>PROGRAMA</t>
  </si>
  <si>
    <t>SEMANA</t>
  </si>
  <si>
    <t>DESTINO</t>
  </si>
  <si>
    <t>LENNOX 1</t>
  </si>
  <si>
    <t>SAIRA MORALES</t>
  </si>
  <si>
    <t>NÚMERO DE PARTE</t>
  </si>
  <si>
    <t>KG</t>
  </si>
  <si>
    <t>Ag2</t>
  </si>
  <si>
    <t>Ag1</t>
  </si>
  <si>
    <t>Ag3</t>
  </si>
  <si>
    <t>Ag4</t>
  </si>
  <si>
    <t>Ag5</t>
  </si>
  <si>
    <t>BALANCE</t>
  </si>
  <si>
    <t>A</t>
  </si>
  <si>
    <t>B</t>
  </si>
  <si>
    <t>DÍA</t>
  </si>
  <si>
    <t>TURNO</t>
  </si>
  <si>
    <t>29,30</t>
  </si>
  <si>
    <t>TOTAL</t>
  </si>
  <si>
    <t>S30</t>
  </si>
  <si>
    <t>AYB</t>
  </si>
  <si>
    <t>SWITCH</t>
  </si>
  <si>
    <t>BRACKET</t>
  </si>
  <si>
    <t>PIJA</t>
  </si>
  <si>
    <t>MAS AGREGADO</t>
  </si>
  <si>
    <t>VALVULA</t>
  </si>
  <si>
    <t>103881-02</t>
  </si>
  <si>
    <t>107892-03</t>
  </si>
  <si>
    <t>107892-04</t>
  </si>
  <si>
    <t>102831-11</t>
  </si>
  <si>
    <t>107905-06</t>
  </si>
  <si>
    <t>107905-07</t>
  </si>
  <si>
    <t>103881-03</t>
  </si>
  <si>
    <t>102831-10</t>
  </si>
  <si>
    <t>CAJA</t>
  </si>
  <si>
    <t>CTD T.MÉXICO</t>
  </si>
  <si>
    <t>HOJA COLOR</t>
  </si>
  <si>
    <t>BLANCO</t>
  </si>
  <si>
    <t>CANT. VAL.</t>
  </si>
  <si>
    <t>Row Labels</t>
  </si>
  <si>
    <t>Grand Total</t>
  </si>
  <si>
    <t>Sum of CANT. VAL.</t>
  </si>
  <si>
    <t>STD.</t>
  </si>
  <si>
    <t>X</t>
  </si>
  <si>
    <t>LENNOX</t>
  </si>
  <si>
    <t>REPORTE DE PIEZAS ENTREGADAS LENNOX (EMPAQUE)</t>
  </si>
  <si>
    <t>CANTIDAD</t>
  </si>
  <si>
    <t xml:space="preserve">FECHA: </t>
  </si>
  <si>
    <t>LÍNEA:</t>
  </si>
  <si>
    <t>TURNO:</t>
  </si>
  <si>
    <t>COORDINADOR:</t>
  </si>
  <si>
    <t>REPORTE DE PIEZAS MAQUINAS INTEGRADORAS (HELIAN)</t>
  </si>
  <si>
    <t>avance</t>
  </si>
  <si>
    <t>pendiente</t>
  </si>
  <si>
    <t>programado</t>
  </si>
  <si>
    <t>entregado</t>
  </si>
  <si>
    <t>31 AL</t>
  </si>
  <si>
    <t>Atraso S 30</t>
  </si>
  <si>
    <t>pendiente / balance</t>
  </si>
  <si>
    <t>META</t>
  </si>
  <si>
    <t>X DÍA</t>
  </si>
  <si>
    <t>X TURNO</t>
  </si>
  <si>
    <t>Convertirlo a horas</t>
  </si>
  <si>
    <t>BUSCA</t>
  </si>
  <si>
    <t>Lunes</t>
  </si>
  <si>
    <t>Martes</t>
  </si>
  <si>
    <t>Miércoles</t>
  </si>
  <si>
    <t>Jueves</t>
  </si>
  <si>
    <t>Viernes</t>
  </si>
  <si>
    <t xml:space="preserve">Avance </t>
  </si>
  <si>
    <t xml:space="preserve">Pendiente </t>
  </si>
  <si>
    <r>
      <t xml:space="preserve">PORCENTAJES DE AVANCES AL </t>
    </r>
    <r>
      <rPr>
        <b/>
        <sz val="11"/>
        <color theme="1"/>
        <rFont val="Calibri"/>
        <family val="2"/>
        <scheme val="minor"/>
      </rPr>
      <t>FINALIZAR</t>
    </r>
    <r>
      <rPr>
        <sz val="11"/>
        <color theme="1"/>
        <rFont val="Calibri"/>
        <family val="2"/>
        <scheme val="minor"/>
      </rPr>
      <t xml:space="preserve"> AMBOS </t>
    </r>
    <r>
      <rPr>
        <b/>
        <sz val="11"/>
        <color theme="1"/>
        <rFont val="Calibri"/>
        <family val="2"/>
        <scheme val="minor"/>
      </rPr>
      <t xml:space="preserve">TURNOS </t>
    </r>
  </si>
  <si>
    <t>LENNOX I</t>
  </si>
  <si>
    <t>W31</t>
  </si>
  <si>
    <t xml:space="preserve">AVANCE </t>
  </si>
  <si>
    <t>Pendiente / balance</t>
  </si>
  <si>
    <t xml:space="preserve">Viernes </t>
  </si>
  <si>
    <t xml:space="preserve">Agregado </t>
  </si>
  <si>
    <t>W32</t>
  </si>
  <si>
    <t xml:space="preserve">Aluminio x dia </t>
  </si>
  <si>
    <t xml:space="preserve">ROJO </t>
  </si>
  <si>
    <t xml:space="preserve">85 A 99 </t>
  </si>
  <si>
    <t xml:space="preserve">VERDE </t>
  </si>
  <si>
    <t xml:space="preserve">0 A 84 </t>
  </si>
  <si>
    <t xml:space="preserve">ALUMINIO </t>
  </si>
  <si>
    <t xml:space="preserve">AVANCE DIARIO POR TURNO </t>
  </si>
  <si>
    <t>AVANCE</t>
  </si>
  <si>
    <t>AVANCE X DÍA</t>
  </si>
  <si>
    <t xml:space="preserve">Aluminio </t>
  </si>
  <si>
    <t>W33</t>
  </si>
  <si>
    <t>W34</t>
  </si>
  <si>
    <t>W35</t>
  </si>
  <si>
    <t>S34</t>
  </si>
  <si>
    <t>S35</t>
  </si>
  <si>
    <t>W36</t>
  </si>
  <si>
    <t>liquida  Al programada</t>
  </si>
  <si>
    <t>Liquida x día</t>
  </si>
  <si>
    <t>S36</t>
  </si>
  <si>
    <t>W37</t>
  </si>
  <si>
    <t>S 37</t>
  </si>
  <si>
    <t>AVANCE X DÍA META 35,244</t>
  </si>
  <si>
    <t>W38</t>
  </si>
  <si>
    <t>AVANCE X DÍA META 37,411</t>
  </si>
  <si>
    <t>FESTIVO</t>
  </si>
  <si>
    <t>W39</t>
  </si>
  <si>
    <t xml:space="preserve">AVANCE X DÍA </t>
  </si>
  <si>
    <t>S 38</t>
  </si>
  <si>
    <t>PARO PROGRAMADO</t>
  </si>
  <si>
    <t>W40</t>
  </si>
  <si>
    <t>S40</t>
  </si>
  <si>
    <t>W41</t>
  </si>
  <si>
    <t>W42</t>
  </si>
  <si>
    <t>S41</t>
  </si>
  <si>
    <t xml:space="preserve"> </t>
  </si>
  <si>
    <t xml:space="preserve">	
FO-CP-03</t>
  </si>
  <si>
    <t>AG1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</si>
</sst>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"/>
    <numFmt numFmtId="165" formatCode="_-* #,##0_-;\-* #,##0_-;_-* &quot;-&quot;??_-;_-@_-"/>
    <numFmt numFmtId="166" formatCode="dd/mm/yy;@"/>
    <numFmt numFmtId="167" formatCode="#\ ???/???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3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b/>
      <i/>
      <sz val="36"/>
      <color theme="1"/>
      <name val="Calibri"/>
      <family val="2"/>
      <scheme val="minor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vertical="center"/>
    </xf>
    <xf numFmtId="165" fontId="2" fillId="3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pivotButton="1" applyBorder="1"/>
    <xf numFmtId="0" fontId="0" fillId="4" borderId="0" xfId="0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5" fontId="2" fillId="4" borderId="1" xfId="1" applyNumberFormat="1" applyFont="1" applyFill="1" applyBorder="1" applyAlignment="1">
      <alignment horizontal="center" vertical="center"/>
    </xf>
    <xf numFmtId="165" fontId="0" fillId="4" borderId="0" xfId="0" applyNumberFormat="1" applyFill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0" xfId="0" applyFill="1"/>
    <xf numFmtId="0" fontId="10" fillId="4" borderId="1" xfId="0" applyFont="1" applyFill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  <xf numFmtId="14" fontId="11" fillId="4" borderId="1" xfId="0" applyNumberFormat="1" applyFont="1" applyFill="1" applyBorder="1" applyAlignment="1">
      <alignment horizontal="center" vertical="center"/>
    </xf>
    <xf numFmtId="9" fontId="12" fillId="4" borderId="1" xfId="2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4" borderId="1" xfId="2" applyFont="1" applyFill="1" applyBorder="1" applyAlignment="1">
      <alignment horizontal="center" vertical="center"/>
    </xf>
    <xf numFmtId="9" fontId="0" fillId="4" borderId="0" xfId="2" applyFont="1" applyFill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9" fontId="0" fillId="12" borderId="1" xfId="2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9" fontId="2" fillId="0" borderId="1" xfId="2" applyFont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9" fontId="2" fillId="4" borderId="1" xfId="2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0" fillId="2" borderId="14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18" borderId="1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6" borderId="20" xfId="0" applyFill="1" applyBorder="1" applyAlignment="1">
      <alignment vertical="center"/>
    </xf>
    <xf numFmtId="0" fontId="0" fillId="6" borderId="21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13" xfId="0" applyFill="1" applyBorder="1" applyAlignment="1">
      <alignment vertical="center"/>
    </xf>
    <xf numFmtId="0" fontId="0" fillId="6" borderId="22" xfId="0" applyFill="1" applyBorder="1" applyAlignment="1">
      <alignment vertical="center"/>
    </xf>
    <xf numFmtId="0" fontId="15" fillId="18" borderId="0" xfId="0" applyFont="1" applyFill="1" applyAlignment="1">
      <alignment horizontal="center" vertical="center"/>
    </xf>
    <xf numFmtId="0" fontId="15" fillId="17" borderId="0" xfId="0" applyFont="1" applyFill="1" applyAlignment="1">
      <alignment horizontal="center" vertical="center"/>
    </xf>
    <xf numFmtId="0" fontId="14" fillId="6" borderId="17" xfId="0" applyFont="1" applyFill="1" applyBorder="1" applyAlignment="1">
      <alignment vertical="center"/>
    </xf>
    <xf numFmtId="0" fontId="14" fillId="6" borderId="16" xfId="0" applyFont="1" applyFill="1" applyBorder="1" applyAlignment="1">
      <alignment vertical="center"/>
    </xf>
    <xf numFmtId="0" fontId="14" fillId="6" borderId="18" xfId="0" applyFont="1" applyFill="1" applyBorder="1" applyAlignment="1">
      <alignment vertical="center"/>
    </xf>
    <xf numFmtId="9" fontId="2" fillId="16" borderId="1" xfId="2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2" fillId="13" borderId="13" xfId="0" applyFont="1" applyFill="1" applyBorder="1" applyAlignment="1">
      <alignment horizontal="center" vertical="center"/>
    </xf>
    <xf numFmtId="0" fontId="2" fillId="13" borderId="21" xfId="0" applyFont="1" applyFill="1" applyBorder="1" applyAlignment="1">
      <alignment vertical="center"/>
    </xf>
    <xf numFmtId="0" fontId="2" fillId="13" borderId="13" xfId="0" applyFont="1" applyFill="1" applyBorder="1" applyAlignment="1">
      <alignment vertical="center"/>
    </xf>
    <xf numFmtId="0" fontId="2" fillId="13" borderId="22" xfId="0" applyFont="1" applyFill="1" applyBorder="1" applyAlignment="1">
      <alignment vertical="center"/>
    </xf>
    <xf numFmtId="9" fontId="0" fillId="2" borderId="1" xfId="0" applyNumberFormat="1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9" fontId="0" fillId="4" borderId="15" xfId="2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" fillId="2" borderId="15" xfId="0" applyFont="1" applyFill="1" applyBorder="1" applyAlignment="1">
      <alignment vertical="center"/>
    </xf>
    <xf numFmtId="165" fontId="2" fillId="2" borderId="14" xfId="0" applyNumberFormat="1" applyFont="1" applyFill="1" applyBorder="1" applyAlignment="1">
      <alignment vertical="center"/>
    </xf>
    <xf numFmtId="9" fontId="0" fillId="4" borderId="14" xfId="2" applyFont="1" applyFill="1" applyBorder="1" applyAlignment="1">
      <alignment horizontal="center" vertical="center"/>
    </xf>
    <xf numFmtId="9" fontId="0" fillId="4" borderId="15" xfId="2" applyFont="1" applyFill="1" applyBorder="1" applyAlignment="1">
      <alignment horizontal="center" vertical="center"/>
    </xf>
    <xf numFmtId="0" fontId="2" fillId="13" borderId="21" xfId="0" applyFont="1" applyFill="1" applyBorder="1" applyAlignment="1">
      <alignment horizontal="center" vertical="center"/>
    </xf>
    <xf numFmtId="0" fontId="2" fillId="13" borderId="13" xfId="0" applyFont="1" applyFill="1" applyBorder="1" applyAlignment="1">
      <alignment horizontal="center" vertical="center"/>
    </xf>
    <xf numFmtId="0" fontId="2" fillId="13" borderId="2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165" fontId="2" fillId="2" borderId="14" xfId="0" applyNumberFormat="1" applyFont="1" applyFill="1" applyBorder="1" applyAlignment="1">
      <alignment horizontal="center" vertical="center"/>
    </xf>
    <xf numFmtId="165" fontId="2" fillId="2" borderId="15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9" fontId="2" fillId="4" borderId="14" xfId="2" applyFont="1" applyFill="1" applyBorder="1" applyAlignment="1">
      <alignment horizontal="center" vertical="center"/>
    </xf>
    <xf numFmtId="9" fontId="2" fillId="4" borderId="15" xfId="2" applyFont="1" applyFill="1" applyBorder="1" applyAlignment="1">
      <alignment horizontal="center" vertical="center"/>
    </xf>
    <xf numFmtId="9" fontId="2" fillId="7" borderId="15" xfId="2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14" fontId="14" fillId="6" borderId="14" xfId="0" applyNumberFormat="1" applyFont="1" applyFill="1" applyBorder="1" applyAlignment="1">
      <alignment horizontal="center" vertical="center"/>
    </xf>
    <xf numFmtId="0" fontId="14" fillId="6" borderId="15" xfId="0" applyFont="1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14" fillId="7" borderId="15" xfId="0" applyFont="1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3">
    <cellStyle name="Millares" xfId="1" builtinId="3"/>
    <cellStyle name="Normal" xfId="0" builtinId="0"/>
    <cellStyle name="Porcentaje" xfId="2" builtinId="5"/>
  </cellStyles>
  <dxfs count="129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FEE04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FEE04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FEE04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FEE04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FEE04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FEE04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FEE04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FEE04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2AF642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2AF642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FEE04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FFCC"/>
      <color rgb="FF2AF642"/>
      <color rgb="FF66CCFF"/>
      <color rgb="FFFFFF99"/>
      <color rgb="FF66FF66"/>
      <color rgb="FF00FF00"/>
      <color rgb="FF0FEE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BALANCE%20DAIKIN%20SLP,%20EUA.xlsx" TargetMode="External"/><Relationship Id="rId2" Type="http://schemas.openxmlformats.org/officeDocument/2006/relationships/hyperlink" Target="BALANCE%20RHEEM%20TRANSFERENCIA,%20FALCON,%20CIP,%20NIPLES.xlsx" TargetMode="External"/><Relationship Id="rId1" Type="http://schemas.openxmlformats.org/officeDocument/2006/relationships/hyperlink" Target="BALANCE%20MTY.xlsx" TargetMode="External"/><Relationship Id="rId4" Type="http://schemas.openxmlformats.org/officeDocument/2006/relationships/hyperlink" Target="BALANCE%20LENNOX%201.xlsx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BALANCE%20DAIKIN%20SLP,%20EUA.xlsx" TargetMode="External"/><Relationship Id="rId2" Type="http://schemas.openxmlformats.org/officeDocument/2006/relationships/hyperlink" Target="BALANCE%20RHEEM%20TRANSFERENCIA,%20FALCON,%20CIP,%20NIPLES.xlsx" TargetMode="External"/><Relationship Id="rId1" Type="http://schemas.openxmlformats.org/officeDocument/2006/relationships/hyperlink" Target="BALANCE%20MTY.xlsx" TargetMode="External"/><Relationship Id="rId4" Type="http://schemas.openxmlformats.org/officeDocument/2006/relationships/hyperlink" Target="BALANCE%20LENNOX%201.xlsx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BALANCE%20DAIKIN%20SLP,%20EUA.xlsx" TargetMode="External"/><Relationship Id="rId2" Type="http://schemas.openxmlformats.org/officeDocument/2006/relationships/hyperlink" Target="BALANCE%20RHEEM%20TRANSFERENCIA,%20FALCON,%20CIP,%20NIPLES.xlsx" TargetMode="External"/><Relationship Id="rId1" Type="http://schemas.openxmlformats.org/officeDocument/2006/relationships/hyperlink" Target="BALANCE%20MTY.xlsx" TargetMode="External"/><Relationship Id="rId4" Type="http://schemas.openxmlformats.org/officeDocument/2006/relationships/hyperlink" Target="BALANCE%20LENNOX%201.xlsx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BALANCE%20DAIKIN%20SLP,%20EUA.xlsx" TargetMode="External"/><Relationship Id="rId2" Type="http://schemas.openxmlformats.org/officeDocument/2006/relationships/hyperlink" Target="BALANCE%20RHEEM%20TRANSFERENCIA,%20FALCON,%20CIP,%20NIPLES.xlsx" TargetMode="External"/><Relationship Id="rId1" Type="http://schemas.openxmlformats.org/officeDocument/2006/relationships/hyperlink" Target="BALANCE%20MTY.xlsx" TargetMode="External"/><Relationship Id="rId4" Type="http://schemas.openxmlformats.org/officeDocument/2006/relationships/hyperlink" Target="BALANCE%20LENNOX%201.xlsx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789214</xdr:colOff>
      <xdr:row>0</xdr:row>
      <xdr:rowOff>163285</xdr:rowOff>
    </xdr:from>
    <xdr:to>
      <xdr:col>13</xdr:col>
      <xdr:colOff>843642</xdr:colOff>
      <xdr:row>4</xdr:row>
      <xdr:rowOff>13605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E648F7-BE6E-4720-8E88-475B5969921E}"/>
            </a:ext>
          </a:extLst>
        </xdr:cNvPr>
        <xdr:cNvSpPr/>
      </xdr:nvSpPr>
      <xdr:spPr>
        <a:xfrm>
          <a:off x="7184571" y="163285"/>
          <a:ext cx="2122714" cy="612320"/>
        </a:xfrm>
        <a:prstGeom prst="roundRect">
          <a:avLst/>
        </a:prstGeom>
        <a:solidFill>
          <a:schemeClr val="accent1">
            <a:alpha val="42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5400000" algn="t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2400">
              <a:solidFill>
                <a:schemeClr val="lt1">
                  <a:alpha val="48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MTY</a:t>
          </a:r>
        </a:p>
      </xdr:txBody>
    </xdr:sp>
    <xdr:clientData/>
  </xdr:twoCellAnchor>
  <xdr:twoCellAnchor>
    <xdr:from>
      <xdr:col>4</xdr:col>
      <xdr:colOff>789212</xdr:colOff>
      <xdr:row>0</xdr:row>
      <xdr:rowOff>190496</xdr:rowOff>
    </xdr:from>
    <xdr:to>
      <xdr:col>6</xdr:col>
      <xdr:colOff>625926</xdr:colOff>
      <xdr:row>4</xdr:row>
      <xdr:rowOff>43537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94EA4D-CD9C-4176-B43A-ABEF02D46FDB}"/>
            </a:ext>
          </a:extLst>
        </xdr:cNvPr>
        <xdr:cNvSpPr/>
      </xdr:nvSpPr>
      <xdr:spPr>
        <a:xfrm>
          <a:off x="4898569" y="190496"/>
          <a:ext cx="2122714" cy="615041"/>
        </a:xfrm>
        <a:prstGeom prst="roundRect">
          <a:avLst/>
        </a:prstGeom>
        <a:solidFill>
          <a:schemeClr val="accent1">
            <a:alpha val="42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5400000" algn="t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2400">
              <a:solidFill>
                <a:schemeClr val="lt1">
                  <a:alpha val="48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RHEEM</a:t>
          </a:r>
        </a:p>
      </xdr:txBody>
    </xdr:sp>
    <xdr:clientData/>
  </xdr:twoCellAnchor>
  <xdr:twoCellAnchor>
    <xdr:from>
      <xdr:col>2</xdr:col>
      <xdr:colOff>734783</xdr:colOff>
      <xdr:row>0</xdr:row>
      <xdr:rowOff>176888</xdr:rowOff>
    </xdr:from>
    <xdr:to>
      <xdr:col>4</xdr:col>
      <xdr:colOff>612319</xdr:colOff>
      <xdr:row>4</xdr:row>
      <xdr:rowOff>17683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A6F9474-99AD-4FD7-B618-D0054049E0D8}"/>
            </a:ext>
          </a:extLst>
        </xdr:cNvPr>
        <xdr:cNvSpPr/>
      </xdr:nvSpPr>
      <xdr:spPr>
        <a:xfrm>
          <a:off x="2598962" y="176888"/>
          <a:ext cx="2122714" cy="602795"/>
        </a:xfrm>
        <a:prstGeom prst="roundRect">
          <a:avLst/>
        </a:prstGeom>
        <a:solidFill>
          <a:schemeClr val="accent1">
            <a:alpha val="42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5400000" algn="t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>
              <a:solidFill>
                <a:schemeClr val="bg2">
                  <a:alpha val="48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DAIKIN</a:t>
          </a:r>
        </a:p>
      </xdr:txBody>
    </xdr:sp>
    <xdr:clientData/>
  </xdr:twoCellAnchor>
  <xdr:twoCellAnchor>
    <xdr:from>
      <xdr:col>0</xdr:col>
      <xdr:colOff>217713</xdr:colOff>
      <xdr:row>0</xdr:row>
      <xdr:rowOff>179609</xdr:rowOff>
    </xdr:from>
    <xdr:to>
      <xdr:col>2</xdr:col>
      <xdr:colOff>476248</xdr:colOff>
      <xdr:row>4</xdr:row>
      <xdr:rowOff>32650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9078C74-D99A-458A-BA2C-C3616B4B0FD0}"/>
            </a:ext>
          </a:extLst>
        </xdr:cNvPr>
        <xdr:cNvSpPr/>
      </xdr:nvSpPr>
      <xdr:spPr>
        <a:xfrm>
          <a:off x="217713" y="179609"/>
          <a:ext cx="2122714" cy="615041"/>
        </a:xfrm>
        <a:prstGeom prst="roundRect">
          <a:avLst/>
        </a:prstGeom>
        <a:solidFill>
          <a:srgbClr val="FFC000"/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5400000" algn="t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>
              <a:solidFill>
                <a:schemeClr val="lt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LENNOX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789214</xdr:colOff>
      <xdr:row>0</xdr:row>
      <xdr:rowOff>163285</xdr:rowOff>
    </xdr:from>
    <xdr:to>
      <xdr:col>13</xdr:col>
      <xdr:colOff>843642</xdr:colOff>
      <xdr:row>4</xdr:row>
      <xdr:rowOff>13605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AB1807-9589-4C32-AEE8-2ABB86A902B6}"/>
            </a:ext>
          </a:extLst>
        </xdr:cNvPr>
        <xdr:cNvSpPr/>
      </xdr:nvSpPr>
      <xdr:spPr>
        <a:xfrm>
          <a:off x="7170964" y="163285"/>
          <a:ext cx="2111828" cy="612320"/>
        </a:xfrm>
        <a:prstGeom prst="roundRect">
          <a:avLst/>
        </a:prstGeom>
        <a:solidFill>
          <a:schemeClr val="accent1">
            <a:alpha val="42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5400000" algn="t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2400">
              <a:solidFill>
                <a:schemeClr val="lt1">
                  <a:alpha val="48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MTY</a:t>
          </a:r>
        </a:p>
      </xdr:txBody>
    </xdr:sp>
    <xdr:clientData/>
  </xdr:twoCellAnchor>
  <xdr:twoCellAnchor>
    <xdr:from>
      <xdr:col>4</xdr:col>
      <xdr:colOff>789212</xdr:colOff>
      <xdr:row>0</xdr:row>
      <xdr:rowOff>190496</xdr:rowOff>
    </xdr:from>
    <xdr:to>
      <xdr:col>6</xdr:col>
      <xdr:colOff>625926</xdr:colOff>
      <xdr:row>4</xdr:row>
      <xdr:rowOff>43537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EFE85DC-E3C5-4A8E-A38C-362B5630A65D}"/>
            </a:ext>
          </a:extLst>
        </xdr:cNvPr>
        <xdr:cNvSpPr/>
      </xdr:nvSpPr>
      <xdr:spPr>
        <a:xfrm>
          <a:off x="4884962" y="190496"/>
          <a:ext cx="2122714" cy="615041"/>
        </a:xfrm>
        <a:prstGeom prst="roundRect">
          <a:avLst/>
        </a:prstGeom>
        <a:solidFill>
          <a:schemeClr val="accent1">
            <a:alpha val="42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5400000" algn="t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2400">
              <a:solidFill>
                <a:schemeClr val="lt1">
                  <a:alpha val="48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RHEEM</a:t>
          </a:r>
        </a:p>
      </xdr:txBody>
    </xdr:sp>
    <xdr:clientData/>
  </xdr:twoCellAnchor>
  <xdr:twoCellAnchor>
    <xdr:from>
      <xdr:col>2</xdr:col>
      <xdr:colOff>734783</xdr:colOff>
      <xdr:row>0</xdr:row>
      <xdr:rowOff>176888</xdr:rowOff>
    </xdr:from>
    <xdr:to>
      <xdr:col>4</xdr:col>
      <xdr:colOff>612319</xdr:colOff>
      <xdr:row>4</xdr:row>
      <xdr:rowOff>17683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852A25D-0074-4B72-90EC-E54ACB89A5DB}"/>
            </a:ext>
          </a:extLst>
        </xdr:cNvPr>
        <xdr:cNvSpPr/>
      </xdr:nvSpPr>
      <xdr:spPr>
        <a:xfrm>
          <a:off x="2592158" y="176888"/>
          <a:ext cx="2115911" cy="602795"/>
        </a:xfrm>
        <a:prstGeom prst="roundRect">
          <a:avLst/>
        </a:prstGeom>
        <a:solidFill>
          <a:schemeClr val="accent1">
            <a:alpha val="42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5400000" algn="t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>
              <a:solidFill>
                <a:schemeClr val="bg2">
                  <a:alpha val="48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DAIKIN</a:t>
          </a:r>
        </a:p>
      </xdr:txBody>
    </xdr:sp>
    <xdr:clientData/>
  </xdr:twoCellAnchor>
  <xdr:twoCellAnchor>
    <xdr:from>
      <xdr:col>0</xdr:col>
      <xdr:colOff>217713</xdr:colOff>
      <xdr:row>0</xdr:row>
      <xdr:rowOff>179609</xdr:rowOff>
    </xdr:from>
    <xdr:to>
      <xdr:col>2</xdr:col>
      <xdr:colOff>476248</xdr:colOff>
      <xdr:row>4</xdr:row>
      <xdr:rowOff>32650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F15D0E6-AB55-4C0E-8F67-C6D95B3E56C1}"/>
            </a:ext>
          </a:extLst>
        </xdr:cNvPr>
        <xdr:cNvSpPr/>
      </xdr:nvSpPr>
      <xdr:spPr>
        <a:xfrm>
          <a:off x="217713" y="179609"/>
          <a:ext cx="2115910" cy="615041"/>
        </a:xfrm>
        <a:prstGeom prst="roundRect">
          <a:avLst/>
        </a:prstGeom>
        <a:solidFill>
          <a:srgbClr val="FFC000"/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5400000" algn="t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>
              <a:solidFill>
                <a:schemeClr val="lt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LENNOX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789214</xdr:colOff>
      <xdr:row>0</xdr:row>
      <xdr:rowOff>163285</xdr:rowOff>
    </xdr:from>
    <xdr:to>
      <xdr:col>13</xdr:col>
      <xdr:colOff>843642</xdr:colOff>
      <xdr:row>4</xdr:row>
      <xdr:rowOff>13605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3E06DF-B212-484E-B935-73641B85A982}"/>
            </a:ext>
          </a:extLst>
        </xdr:cNvPr>
        <xdr:cNvSpPr/>
      </xdr:nvSpPr>
      <xdr:spPr>
        <a:xfrm>
          <a:off x="7170964" y="163285"/>
          <a:ext cx="2788103" cy="612320"/>
        </a:xfrm>
        <a:prstGeom prst="roundRect">
          <a:avLst/>
        </a:prstGeom>
        <a:solidFill>
          <a:schemeClr val="accent1">
            <a:alpha val="42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5400000" algn="t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2400">
              <a:solidFill>
                <a:schemeClr val="lt1">
                  <a:alpha val="48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MTY</a:t>
          </a:r>
        </a:p>
      </xdr:txBody>
    </xdr:sp>
    <xdr:clientData/>
  </xdr:twoCellAnchor>
  <xdr:twoCellAnchor>
    <xdr:from>
      <xdr:col>4</xdr:col>
      <xdr:colOff>789212</xdr:colOff>
      <xdr:row>0</xdr:row>
      <xdr:rowOff>190496</xdr:rowOff>
    </xdr:from>
    <xdr:to>
      <xdr:col>6</xdr:col>
      <xdr:colOff>625926</xdr:colOff>
      <xdr:row>4</xdr:row>
      <xdr:rowOff>43537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775FF7D-5772-4D3D-A647-A72433A0079E}"/>
            </a:ext>
          </a:extLst>
        </xdr:cNvPr>
        <xdr:cNvSpPr/>
      </xdr:nvSpPr>
      <xdr:spPr>
        <a:xfrm>
          <a:off x="4884962" y="190496"/>
          <a:ext cx="2122714" cy="615041"/>
        </a:xfrm>
        <a:prstGeom prst="roundRect">
          <a:avLst/>
        </a:prstGeom>
        <a:solidFill>
          <a:schemeClr val="accent1">
            <a:alpha val="42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5400000" algn="t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2400">
              <a:solidFill>
                <a:schemeClr val="lt1">
                  <a:alpha val="48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RHEEM</a:t>
          </a:r>
        </a:p>
      </xdr:txBody>
    </xdr:sp>
    <xdr:clientData/>
  </xdr:twoCellAnchor>
  <xdr:twoCellAnchor>
    <xdr:from>
      <xdr:col>2</xdr:col>
      <xdr:colOff>734783</xdr:colOff>
      <xdr:row>0</xdr:row>
      <xdr:rowOff>176888</xdr:rowOff>
    </xdr:from>
    <xdr:to>
      <xdr:col>4</xdr:col>
      <xdr:colOff>612319</xdr:colOff>
      <xdr:row>4</xdr:row>
      <xdr:rowOff>17683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9D415C4-50B4-40F8-A0E6-CFFFB019FFC2}"/>
            </a:ext>
          </a:extLst>
        </xdr:cNvPr>
        <xdr:cNvSpPr/>
      </xdr:nvSpPr>
      <xdr:spPr>
        <a:xfrm>
          <a:off x="2592158" y="176888"/>
          <a:ext cx="2115911" cy="602795"/>
        </a:xfrm>
        <a:prstGeom prst="roundRect">
          <a:avLst/>
        </a:prstGeom>
        <a:solidFill>
          <a:schemeClr val="accent1">
            <a:alpha val="42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5400000" algn="t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>
              <a:solidFill>
                <a:schemeClr val="bg2">
                  <a:alpha val="48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DAIKIN</a:t>
          </a:r>
        </a:p>
      </xdr:txBody>
    </xdr:sp>
    <xdr:clientData/>
  </xdr:twoCellAnchor>
  <xdr:twoCellAnchor>
    <xdr:from>
      <xdr:col>0</xdr:col>
      <xdr:colOff>217713</xdr:colOff>
      <xdr:row>0</xdr:row>
      <xdr:rowOff>179609</xdr:rowOff>
    </xdr:from>
    <xdr:to>
      <xdr:col>2</xdr:col>
      <xdr:colOff>476248</xdr:colOff>
      <xdr:row>4</xdr:row>
      <xdr:rowOff>32650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D9588EF-742A-4935-96C2-D60E0DC89FB1}"/>
            </a:ext>
          </a:extLst>
        </xdr:cNvPr>
        <xdr:cNvSpPr/>
      </xdr:nvSpPr>
      <xdr:spPr>
        <a:xfrm>
          <a:off x="217713" y="179609"/>
          <a:ext cx="2115910" cy="615041"/>
        </a:xfrm>
        <a:prstGeom prst="roundRect">
          <a:avLst/>
        </a:prstGeom>
        <a:solidFill>
          <a:srgbClr val="FFC000"/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5400000" algn="t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>
              <a:solidFill>
                <a:schemeClr val="lt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LENNOX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789214</xdr:colOff>
      <xdr:row>0</xdr:row>
      <xdr:rowOff>163285</xdr:rowOff>
    </xdr:from>
    <xdr:to>
      <xdr:col>13</xdr:col>
      <xdr:colOff>843642</xdr:colOff>
      <xdr:row>4</xdr:row>
      <xdr:rowOff>13605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49D9B8-F599-474C-8EFB-FF88F2F4CB06}"/>
            </a:ext>
          </a:extLst>
        </xdr:cNvPr>
        <xdr:cNvSpPr/>
      </xdr:nvSpPr>
      <xdr:spPr>
        <a:xfrm>
          <a:off x="7170964" y="163285"/>
          <a:ext cx="2788103" cy="612320"/>
        </a:xfrm>
        <a:prstGeom prst="roundRect">
          <a:avLst/>
        </a:prstGeom>
        <a:solidFill>
          <a:schemeClr val="accent1">
            <a:alpha val="42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5400000" algn="t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2400">
              <a:solidFill>
                <a:schemeClr val="lt1">
                  <a:alpha val="48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MTY</a:t>
          </a:r>
        </a:p>
      </xdr:txBody>
    </xdr:sp>
    <xdr:clientData/>
  </xdr:twoCellAnchor>
  <xdr:twoCellAnchor>
    <xdr:from>
      <xdr:col>4</xdr:col>
      <xdr:colOff>789212</xdr:colOff>
      <xdr:row>0</xdr:row>
      <xdr:rowOff>190496</xdr:rowOff>
    </xdr:from>
    <xdr:to>
      <xdr:col>6</xdr:col>
      <xdr:colOff>625926</xdr:colOff>
      <xdr:row>4</xdr:row>
      <xdr:rowOff>43537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28132AB-5268-4685-B22B-7200CE76F06B}"/>
            </a:ext>
          </a:extLst>
        </xdr:cNvPr>
        <xdr:cNvSpPr/>
      </xdr:nvSpPr>
      <xdr:spPr>
        <a:xfrm>
          <a:off x="4884962" y="190496"/>
          <a:ext cx="2122714" cy="615041"/>
        </a:xfrm>
        <a:prstGeom prst="roundRect">
          <a:avLst/>
        </a:prstGeom>
        <a:solidFill>
          <a:schemeClr val="accent1">
            <a:alpha val="42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5400000" algn="t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2400">
              <a:solidFill>
                <a:schemeClr val="lt1">
                  <a:alpha val="48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RHEEM</a:t>
          </a:r>
        </a:p>
      </xdr:txBody>
    </xdr:sp>
    <xdr:clientData/>
  </xdr:twoCellAnchor>
  <xdr:twoCellAnchor>
    <xdr:from>
      <xdr:col>2</xdr:col>
      <xdr:colOff>734783</xdr:colOff>
      <xdr:row>0</xdr:row>
      <xdr:rowOff>176888</xdr:rowOff>
    </xdr:from>
    <xdr:to>
      <xdr:col>4</xdr:col>
      <xdr:colOff>612319</xdr:colOff>
      <xdr:row>4</xdr:row>
      <xdr:rowOff>17683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173994-1C3E-4DF3-BCB8-54EA9E3DDA77}"/>
            </a:ext>
          </a:extLst>
        </xdr:cNvPr>
        <xdr:cNvSpPr/>
      </xdr:nvSpPr>
      <xdr:spPr>
        <a:xfrm>
          <a:off x="2592158" y="176888"/>
          <a:ext cx="2115911" cy="602795"/>
        </a:xfrm>
        <a:prstGeom prst="roundRect">
          <a:avLst/>
        </a:prstGeom>
        <a:solidFill>
          <a:schemeClr val="accent1">
            <a:alpha val="42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5400000" algn="t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>
              <a:solidFill>
                <a:schemeClr val="bg2">
                  <a:alpha val="48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DAIKIN</a:t>
          </a:r>
        </a:p>
      </xdr:txBody>
    </xdr:sp>
    <xdr:clientData/>
  </xdr:twoCellAnchor>
  <xdr:twoCellAnchor>
    <xdr:from>
      <xdr:col>0</xdr:col>
      <xdr:colOff>217713</xdr:colOff>
      <xdr:row>0</xdr:row>
      <xdr:rowOff>179609</xdr:rowOff>
    </xdr:from>
    <xdr:to>
      <xdr:col>2</xdr:col>
      <xdr:colOff>476248</xdr:colOff>
      <xdr:row>4</xdr:row>
      <xdr:rowOff>32650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1FCFF95-B902-4755-A5CB-C79F519E26B1}"/>
            </a:ext>
          </a:extLst>
        </xdr:cNvPr>
        <xdr:cNvSpPr/>
      </xdr:nvSpPr>
      <xdr:spPr>
        <a:xfrm>
          <a:off x="217713" y="179609"/>
          <a:ext cx="2115910" cy="615041"/>
        </a:xfrm>
        <a:prstGeom prst="roundRect">
          <a:avLst/>
        </a:prstGeom>
        <a:solidFill>
          <a:srgbClr val="FFC000"/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5400000" algn="t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>
              <a:solidFill>
                <a:schemeClr val="lt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LENNOX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omar.martinez/Desktop/PL/PLAN%20JUNIO%20LENNOX/SEMANA%2028/Control%20diario%20producci&#243;n%20Lennox%20S%2029.xlsx" TargetMode="External"/><Relationship Id="rId1" Type="http://schemas.openxmlformats.org/officeDocument/2006/relationships/externalLinkPath" Target="/Users/omar.martinez/Desktop/PL/PLAN%20JUNIO%20LENNOX/SEMANA%2028/Control%20diario%20producci&#243;n%20Lennox%20S%202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auxplaneacion.ramos/AppData/Local/Microsoft/Windows/INetCache/Content.Outlook/IVFSD1IV/LENNOX%201%20WK33.xlsx" TargetMode="External"/><Relationship Id="rId1" Type="http://schemas.openxmlformats.org/officeDocument/2006/relationships/externalLinkPath" Target="/Users/auxplaneacion.ramos/AppData/Local/Microsoft/Windows/INetCache/Content.Outlook/IVFSD1IV/LENNOX%201%20WK3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HEEM"/>
      <sheetName val="CARRIER"/>
      <sheetName val="DAIKIN wk 26"/>
      <sheetName val="LENNOX WK 29"/>
      <sheetName val="MTY 28"/>
      <sheetName val="EZO 28"/>
      <sheetName val="Sheet1"/>
      <sheetName val="Sheet3"/>
      <sheetName val="INF DAIKINS"/>
    </sheetNames>
    <sheetDataSet>
      <sheetData sheetId="0"/>
      <sheetData sheetId="1"/>
      <sheetData sheetId="2"/>
      <sheetData sheetId="3">
        <row r="3">
          <cell r="A3" t="str">
            <v>625994-01</v>
          </cell>
          <cell r="B3" t="str">
            <v>A - 3/8</v>
          </cell>
          <cell r="C3">
            <v>0.42</v>
          </cell>
          <cell r="D3">
            <v>0</v>
          </cell>
          <cell r="E3">
            <v>1300</v>
          </cell>
        </row>
        <row r="4">
          <cell r="A4" t="str">
            <v>627512-01</v>
          </cell>
          <cell r="B4" t="str">
            <v>A - 3/8</v>
          </cell>
          <cell r="C4">
            <v>0.42</v>
          </cell>
          <cell r="D4">
            <v>2.4E-2</v>
          </cell>
          <cell r="E4">
            <v>5600</v>
          </cell>
        </row>
        <row r="5">
          <cell r="A5" t="str">
            <v>625967-01</v>
          </cell>
          <cell r="B5" t="str">
            <v>A - 3/8</v>
          </cell>
          <cell r="C5">
            <v>0.42</v>
          </cell>
          <cell r="D5">
            <v>0</v>
          </cell>
          <cell r="E5">
            <v>1200</v>
          </cell>
        </row>
        <row r="6">
          <cell r="A6" t="str">
            <v>626309-01</v>
          </cell>
          <cell r="B6" t="str">
            <v>A - 3/8</v>
          </cell>
          <cell r="C6">
            <v>0.42</v>
          </cell>
          <cell r="D6">
            <v>0</v>
          </cell>
          <cell r="E6">
            <v>1400</v>
          </cell>
        </row>
        <row r="7">
          <cell r="A7" t="str">
            <v>625890-01</v>
          </cell>
          <cell r="B7" t="str">
            <v>A - 3/8</v>
          </cell>
          <cell r="C7">
            <v>0.42</v>
          </cell>
          <cell r="D7">
            <v>0</v>
          </cell>
          <cell r="E7">
            <v>200</v>
          </cell>
        </row>
        <row r="8">
          <cell r="A8" t="str">
            <v>615991-01</v>
          </cell>
          <cell r="B8" t="str">
            <v>A - 3/8</v>
          </cell>
          <cell r="C8">
            <v>0.42</v>
          </cell>
          <cell r="D8">
            <v>0</v>
          </cell>
          <cell r="E8">
            <v>600</v>
          </cell>
        </row>
        <row r="9">
          <cell r="A9" t="str">
            <v>626164-01</v>
          </cell>
          <cell r="B9" t="str">
            <v>A - 3/8</v>
          </cell>
          <cell r="C9">
            <v>0.42</v>
          </cell>
          <cell r="D9">
            <v>0</v>
          </cell>
          <cell r="E9">
            <v>0</v>
          </cell>
        </row>
        <row r="10">
          <cell r="A10" t="str">
            <v>626121-01</v>
          </cell>
          <cell r="B10" t="str">
            <v>C - 3/8</v>
          </cell>
          <cell r="C10">
            <v>2.8000000000000001E-2</v>
          </cell>
          <cell r="D10">
            <v>5.7000000000000002E-2</v>
          </cell>
          <cell r="E10">
            <v>0</v>
          </cell>
        </row>
        <row r="11">
          <cell r="A11" t="str">
            <v>625995-01</v>
          </cell>
          <cell r="B11" t="str">
            <v>C - 3/8</v>
          </cell>
          <cell r="C11">
            <v>2.8000000000000001E-2</v>
          </cell>
          <cell r="D11">
            <v>4.3999999999999997E-2</v>
          </cell>
          <cell r="E11">
            <v>0</v>
          </cell>
        </row>
        <row r="12">
          <cell r="A12" t="str">
            <v>615380-01</v>
          </cell>
          <cell r="B12" t="str">
            <v>C - 3/8</v>
          </cell>
          <cell r="C12">
            <v>2.8000000000000001E-2</v>
          </cell>
          <cell r="D12">
            <v>1.4999999999999999E-2</v>
          </cell>
          <cell r="E12">
            <v>1300</v>
          </cell>
        </row>
        <row r="13">
          <cell r="A13" t="str">
            <v>625922-01</v>
          </cell>
          <cell r="B13" t="str">
            <v>C - 3/8</v>
          </cell>
          <cell r="C13">
            <v>2.8000000000000001E-2</v>
          </cell>
          <cell r="D13">
            <v>1.9E-2</v>
          </cell>
          <cell r="E13">
            <v>700</v>
          </cell>
        </row>
        <row r="14">
          <cell r="A14" t="str">
            <v>627511-01</v>
          </cell>
          <cell r="B14" t="str">
            <v>C - 3/8</v>
          </cell>
          <cell r="C14">
            <v>2.8000000000000001E-2</v>
          </cell>
          <cell r="D14">
            <v>2.4E-2</v>
          </cell>
          <cell r="E14">
            <v>700</v>
          </cell>
        </row>
        <row r="15">
          <cell r="A15" t="str">
            <v>626308-01</v>
          </cell>
          <cell r="B15" t="str">
            <v>C - 3/8</v>
          </cell>
          <cell r="C15">
            <v>2.8000000000000001E-2</v>
          </cell>
          <cell r="D15">
            <v>1.9E-2</v>
          </cell>
          <cell r="E15">
            <v>0</v>
          </cell>
        </row>
        <row r="16">
          <cell r="A16" t="str">
            <v>626467-01</v>
          </cell>
          <cell r="B16" t="str">
            <v>C - 1/2</v>
          </cell>
          <cell r="C16">
            <v>2.8000000000000001E-2</v>
          </cell>
          <cell r="D16">
            <v>8.5999999999999993E-2</v>
          </cell>
          <cell r="E16">
            <v>100</v>
          </cell>
        </row>
        <row r="17">
          <cell r="A17" t="str">
            <v>626473-01</v>
          </cell>
          <cell r="B17" t="str">
            <v>C - 1/2</v>
          </cell>
          <cell r="C17">
            <v>2.8000000000000001E-2</v>
          </cell>
          <cell r="D17">
            <v>0.11700000000000001</v>
          </cell>
          <cell r="E17">
            <v>0</v>
          </cell>
        </row>
        <row r="18">
          <cell r="A18" t="str">
            <v>627051-01</v>
          </cell>
          <cell r="B18" t="str">
            <v>C - 1/2</v>
          </cell>
          <cell r="C18">
            <v>2.8000000000000001E-2</v>
          </cell>
          <cell r="D18">
            <v>0.129</v>
          </cell>
          <cell r="E18">
            <v>0</v>
          </cell>
        </row>
        <row r="19">
          <cell r="A19" t="str">
            <v>627186-01</v>
          </cell>
          <cell r="B19" t="str">
            <v>C - 1/2</v>
          </cell>
          <cell r="C19">
            <v>2.8000000000000001E-2</v>
          </cell>
          <cell r="D19">
            <v>0.11899999999999999</v>
          </cell>
          <cell r="E19">
            <v>0</v>
          </cell>
        </row>
        <row r="20">
          <cell r="A20" t="str">
            <v>627041-01</v>
          </cell>
          <cell r="B20" t="str">
            <v>C - 1/2</v>
          </cell>
          <cell r="C20">
            <v>2.8000000000000001E-2</v>
          </cell>
          <cell r="D20">
            <v>0.127</v>
          </cell>
          <cell r="E20">
            <v>0</v>
          </cell>
        </row>
        <row r="21">
          <cell r="A21" t="str">
            <v>625151-01</v>
          </cell>
          <cell r="B21" t="str">
            <v>C - 1/2</v>
          </cell>
          <cell r="C21">
            <v>2.8000000000000001E-2</v>
          </cell>
          <cell r="D21">
            <v>0.114</v>
          </cell>
          <cell r="E21">
            <v>0</v>
          </cell>
        </row>
        <row r="22">
          <cell r="A22" t="str">
            <v>626794-01</v>
          </cell>
          <cell r="B22" t="str">
            <v>C - 1/2</v>
          </cell>
          <cell r="C22">
            <v>2.8000000000000001E-2</v>
          </cell>
          <cell r="D22">
            <v>6.9000000000000006E-2</v>
          </cell>
          <cell r="E22">
            <v>0</v>
          </cell>
        </row>
        <row r="23">
          <cell r="A23" t="str">
            <v>618748-01</v>
          </cell>
          <cell r="B23" t="str">
            <v>C - 1/2</v>
          </cell>
          <cell r="C23">
            <v>2.8000000000000001E-2</v>
          </cell>
          <cell r="D23">
            <v>0.129</v>
          </cell>
          <cell r="E23">
            <v>0</v>
          </cell>
        </row>
        <row r="24">
          <cell r="A24" t="str">
            <v>626532-01</v>
          </cell>
          <cell r="B24" t="str">
            <v>C - 1/2</v>
          </cell>
          <cell r="C24">
            <v>2.8000000000000001E-2</v>
          </cell>
          <cell r="D24">
            <v>7.8E-2</v>
          </cell>
          <cell r="E24">
            <v>200</v>
          </cell>
        </row>
        <row r="25">
          <cell r="A25" t="str">
            <v>626391-01</v>
          </cell>
          <cell r="B25" t="str">
            <v>C - 1/2</v>
          </cell>
          <cell r="C25">
            <v>2.8000000000000001E-2</v>
          </cell>
          <cell r="D25">
            <v>0.10100000000000001</v>
          </cell>
          <cell r="E25">
            <v>600</v>
          </cell>
        </row>
        <row r="26">
          <cell r="A26" t="str">
            <v>613544-01</v>
          </cell>
          <cell r="B26" t="str">
            <v>C - 1/2</v>
          </cell>
          <cell r="C26">
            <v>2.8000000000000001E-2</v>
          </cell>
          <cell r="D26">
            <v>7.5999999999999998E-2</v>
          </cell>
          <cell r="E26">
            <v>500</v>
          </cell>
        </row>
        <row r="27">
          <cell r="A27" t="str">
            <v>627101-01</v>
          </cell>
          <cell r="B27" t="str">
            <v>C - 1/2</v>
          </cell>
          <cell r="C27">
            <v>2.8000000000000001E-2</v>
          </cell>
          <cell r="D27">
            <v>4.2000000000000003E-2</v>
          </cell>
          <cell r="E27">
            <v>0</v>
          </cell>
        </row>
        <row r="28">
          <cell r="A28" t="str">
            <v>626469-01</v>
          </cell>
          <cell r="B28" t="str">
            <v>C - 1/2</v>
          </cell>
          <cell r="C28">
            <v>2.8000000000000001E-2</v>
          </cell>
          <cell r="D28">
            <v>0.105</v>
          </cell>
          <cell r="E28">
            <v>0</v>
          </cell>
        </row>
        <row r="29">
          <cell r="A29" t="str">
            <v>619792-01</v>
          </cell>
          <cell r="B29" t="str">
            <v>C - 1/2</v>
          </cell>
          <cell r="C29">
            <v>2.8000000000000001E-2</v>
          </cell>
          <cell r="D29">
            <v>0.14299999999999999</v>
          </cell>
          <cell r="E29">
            <v>0</v>
          </cell>
        </row>
        <row r="30">
          <cell r="A30" t="str">
            <v>625022-01</v>
          </cell>
          <cell r="B30" t="str">
            <v>C - 1/2</v>
          </cell>
          <cell r="C30">
            <v>2.8000000000000001E-2</v>
          </cell>
          <cell r="D30">
            <v>4.5999999999999999E-2</v>
          </cell>
          <cell r="E30">
            <v>0</v>
          </cell>
        </row>
        <row r="31">
          <cell r="A31" t="str">
            <v>627046-01</v>
          </cell>
          <cell r="B31" t="str">
            <v>C - 1/2</v>
          </cell>
          <cell r="C31">
            <v>2.8000000000000001E-2</v>
          </cell>
          <cell r="D31">
            <v>0.129</v>
          </cell>
          <cell r="E31">
            <v>600</v>
          </cell>
        </row>
        <row r="32">
          <cell r="A32" t="str">
            <v>MXLB-112323</v>
          </cell>
          <cell r="B32" t="str">
            <v>C - 1/2</v>
          </cell>
          <cell r="C32">
            <v>2.8000000000000001E-2</v>
          </cell>
          <cell r="D32">
            <v>0.13400000000000001</v>
          </cell>
          <cell r="E32">
            <v>0</v>
          </cell>
        </row>
        <row r="33">
          <cell r="A33" t="str">
            <v>626471-01</v>
          </cell>
          <cell r="B33" t="str">
            <v>C - 1/2</v>
          </cell>
          <cell r="C33">
            <v>2.8000000000000001E-2</v>
          </cell>
          <cell r="D33">
            <v>0.105</v>
          </cell>
          <cell r="E33">
            <v>0</v>
          </cell>
        </row>
        <row r="34">
          <cell r="A34" t="str">
            <v>626472-01</v>
          </cell>
          <cell r="B34" t="str">
            <v>C - 1/2</v>
          </cell>
          <cell r="C34">
            <v>2.8000000000000001E-2</v>
          </cell>
          <cell r="D34">
            <v>9.9000000000000005E-2</v>
          </cell>
          <cell r="E34">
            <v>0</v>
          </cell>
        </row>
        <row r="35">
          <cell r="A35" t="str">
            <v>626433-01</v>
          </cell>
          <cell r="B35" t="str">
            <v>C - 1/2</v>
          </cell>
          <cell r="C35">
            <v>2.8000000000000001E-2</v>
          </cell>
          <cell r="D35">
            <v>0.13100000000000001</v>
          </cell>
          <cell r="E35">
            <v>0</v>
          </cell>
        </row>
        <row r="36">
          <cell r="A36" t="str">
            <v>627175-01</v>
          </cell>
          <cell r="B36" t="str">
            <v>C - 1/2</v>
          </cell>
          <cell r="C36">
            <v>2.8000000000000001E-2</v>
          </cell>
          <cell r="D36">
            <v>9.4E-2</v>
          </cell>
          <cell r="E36">
            <v>0</v>
          </cell>
        </row>
        <row r="37">
          <cell r="A37" t="str">
            <v>627021-01</v>
          </cell>
          <cell r="B37" t="str">
            <v>C - 1/2</v>
          </cell>
          <cell r="C37">
            <v>2.8000000000000001E-2</v>
          </cell>
          <cell r="D37">
            <v>0.122</v>
          </cell>
          <cell r="E37">
            <v>0</v>
          </cell>
        </row>
        <row r="38">
          <cell r="A38" t="str">
            <v>613366-01</v>
          </cell>
          <cell r="B38" t="str">
            <v>C - 1/2</v>
          </cell>
          <cell r="C38">
            <v>2.8000000000000001E-2</v>
          </cell>
          <cell r="D38">
            <v>0.10100000000000001</v>
          </cell>
          <cell r="E38">
            <v>0</v>
          </cell>
        </row>
        <row r="39">
          <cell r="A39" t="str">
            <v>613569-01</v>
          </cell>
          <cell r="B39" t="str">
            <v>C - 1/2</v>
          </cell>
          <cell r="C39">
            <v>2.8000000000000001E-2</v>
          </cell>
          <cell r="D39">
            <v>0.11899999999999999</v>
          </cell>
          <cell r="E39">
            <v>0</v>
          </cell>
        </row>
        <row r="40">
          <cell r="A40" t="str">
            <v>626310-01</v>
          </cell>
          <cell r="B40" t="str">
            <v>C - 1/2</v>
          </cell>
          <cell r="C40">
            <v>2.8000000000000001E-2</v>
          </cell>
          <cell r="D40">
            <v>0.121</v>
          </cell>
          <cell r="E40">
            <v>200</v>
          </cell>
        </row>
        <row r="41">
          <cell r="A41" t="str">
            <v>613556-01</v>
          </cell>
          <cell r="B41" t="str">
            <v>C - 1/2</v>
          </cell>
          <cell r="C41">
            <v>2.8000000000000001E-2</v>
          </cell>
          <cell r="D41">
            <v>0.127</v>
          </cell>
          <cell r="E41">
            <v>0</v>
          </cell>
        </row>
        <row r="42">
          <cell r="A42" t="str">
            <v>613472-01</v>
          </cell>
          <cell r="B42" t="str">
            <v>C - 1/2</v>
          </cell>
          <cell r="C42">
            <v>2.8000000000000001E-2</v>
          </cell>
          <cell r="D42">
            <v>0.10299999999999999</v>
          </cell>
          <cell r="E42">
            <v>700</v>
          </cell>
        </row>
        <row r="43">
          <cell r="A43" t="str">
            <v>615112-01</v>
          </cell>
          <cell r="B43" t="str">
            <v>C - 1/2</v>
          </cell>
          <cell r="C43">
            <v>2.8000000000000001E-2</v>
          </cell>
          <cell r="D43">
            <v>0.23799999999999999</v>
          </cell>
          <cell r="E43">
            <v>0</v>
          </cell>
        </row>
        <row r="44">
          <cell r="A44" t="str">
            <v>626470-01</v>
          </cell>
          <cell r="B44" t="str">
            <v>C - 1/2</v>
          </cell>
          <cell r="C44">
            <v>2.8000000000000001E-2</v>
          </cell>
          <cell r="D44">
            <v>0.10100000000000001</v>
          </cell>
          <cell r="E44">
            <v>0</v>
          </cell>
        </row>
        <row r="45">
          <cell r="A45" t="str">
            <v>626873-01</v>
          </cell>
          <cell r="B45" t="str">
            <v>C - 1/2</v>
          </cell>
          <cell r="C45">
            <v>2.8000000000000001E-2</v>
          </cell>
          <cell r="D45">
            <v>3.9E-2</v>
          </cell>
          <cell r="E45">
            <v>0</v>
          </cell>
        </row>
        <row r="46">
          <cell r="A46" t="str">
            <v>626962-01</v>
          </cell>
          <cell r="B46" t="str">
            <v>C - 3/4</v>
          </cell>
          <cell r="C46">
            <v>3.5000000000000003E-2</v>
          </cell>
          <cell r="D46">
            <v>0.14799999999999999</v>
          </cell>
          <cell r="E46">
            <v>0</v>
          </cell>
        </row>
        <row r="47">
          <cell r="A47" t="str">
            <v>619770-01</v>
          </cell>
          <cell r="B47" t="str">
            <v>C - 3/4</v>
          </cell>
          <cell r="C47">
            <v>3.5000000000000003E-2</v>
          </cell>
          <cell r="D47">
            <v>0.14399999999999999</v>
          </cell>
          <cell r="E47">
            <v>0</v>
          </cell>
        </row>
        <row r="48">
          <cell r="A48" t="str">
            <v>618685-01</v>
          </cell>
          <cell r="B48" t="str">
            <v>C - 3/4</v>
          </cell>
          <cell r="C48">
            <v>3.5000000000000003E-2</v>
          </cell>
          <cell r="D48">
            <v>5.2999999999999999E-2</v>
          </cell>
          <cell r="E48">
            <v>300</v>
          </cell>
        </row>
        <row r="49">
          <cell r="A49" t="str">
            <v>627106-01</v>
          </cell>
          <cell r="B49" t="str">
            <v>C - 3/4</v>
          </cell>
          <cell r="C49">
            <v>3.5000000000000003E-2</v>
          </cell>
          <cell r="D49">
            <v>0.13800000000000001</v>
          </cell>
          <cell r="E49">
            <v>0</v>
          </cell>
        </row>
        <row r="50">
          <cell r="A50" t="str">
            <v>626967-01</v>
          </cell>
          <cell r="B50" t="str">
            <v>C - 3/4</v>
          </cell>
          <cell r="C50">
            <v>3.5000000000000003E-2</v>
          </cell>
          <cell r="D50">
            <v>0.11</v>
          </cell>
          <cell r="E50">
            <v>0</v>
          </cell>
        </row>
        <row r="51">
          <cell r="A51" t="str">
            <v>618927-01</v>
          </cell>
          <cell r="B51" t="str">
            <v>C - 7/8</v>
          </cell>
          <cell r="C51">
            <v>4.1000000000000002E-2</v>
          </cell>
          <cell r="D51">
            <v>7.3999999999999996E-2</v>
          </cell>
          <cell r="E51">
            <v>600</v>
          </cell>
        </row>
        <row r="52">
          <cell r="A52" t="str">
            <v>624302-01</v>
          </cell>
          <cell r="B52" t="str">
            <v>C - 7/8</v>
          </cell>
          <cell r="C52">
            <v>4.4999999999999998E-2</v>
          </cell>
          <cell r="D52">
            <v>0.46</v>
          </cell>
          <cell r="E52">
            <v>100</v>
          </cell>
        </row>
        <row r="53">
          <cell r="A53" t="str">
            <v>626978-01</v>
          </cell>
          <cell r="B53" t="str">
            <v>C - 7/8</v>
          </cell>
          <cell r="C53">
            <v>4.4999999999999998E-2</v>
          </cell>
          <cell r="D53">
            <v>0.23300000000000001</v>
          </cell>
          <cell r="E53">
            <v>0</v>
          </cell>
        </row>
        <row r="54">
          <cell r="A54" t="str">
            <v>618887-01</v>
          </cell>
          <cell r="B54" t="str">
            <v>C - 7/8</v>
          </cell>
          <cell r="C54">
            <v>4.1000000000000002E-2</v>
          </cell>
          <cell r="D54">
            <v>0.19700000000000001</v>
          </cell>
          <cell r="E54">
            <v>1800</v>
          </cell>
        </row>
        <row r="55">
          <cell r="A55" t="str">
            <v>626998-01</v>
          </cell>
          <cell r="B55" t="str">
            <v>C - 7/8</v>
          </cell>
          <cell r="C55">
            <v>4.4999999999999998E-2</v>
          </cell>
          <cell r="D55">
            <v>0.17299999999999999</v>
          </cell>
          <cell r="E55">
            <v>300</v>
          </cell>
        </row>
        <row r="56">
          <cell r="A56" t="str">
            <v>614166-01</v>
          </cell>
          <cell r="B56" t="str">
            <v>SOLDADURA 3/4</v>
          </cell>
          <cell r="C56">
            <v>3.5000000000000003E-2</v>
          </cell>
          <cell r="D56">
            <v>0.29799999999999999</v>
          </cell>
          <cell r="E56">
            <v>0</v>
          </cell>
        </row>
        <row r="57">
          <cell r="A57" t="str">
            <v>626798-01</v>
          </cell>
          <cell r="B57" t="str">
            <v>SOLDADURA 3/4</v>
          </cell>
          <cell r="C57">
            <v>3.5000000000000003E-2</v>
          </cell>
          <cell r="D57">
            <v>0.249</v>
          </cell>
          <cell r="E57">
            <v>1008</v>
          </cell>
        </row>
        <row r="58">
          <cell r="A58" t="str">
            <v>626430-01</v>
          </cell>
          <cell r="B58" t="str">
            <v>SOLDADURA 3/4</v>
          </cell>
          <cell r="C58">
            <v>3.5000000000000003E-2</v>
          </cell>
          <cell r="D58">
            <v>0.253</v>
          </cell>
          <cell r="E58">
            <v>0</v>
          </cell>
        </row>
        <row r="59">
          <cell r="A59" t="str">
            <v>626581-01</v>
          </cell>
          <cell r="B59" t="str">
            <v>SOLDADURA 3/4</v>
          </cell>
          <cell r="C59">
            <v>3.5000000000000003E-2</v>
          </cell>
          <cell r="D59">
            <v>0.215</v>
          </cell>
          <cell r="E59">
            <v>576</v>
          </cell>
        </row>
        <row r="60">
          <cell r="A60" t="str">
            <v>626798-02</v>
          </cell>
          <cell r="B60" t="str">
            <v>SOLDADURA 3/4</v>
          </cell>
          <cell r="C60">
            <v>3.5000000000000003E-2</v>
          </cell>
          <cell r="D60">
            <v>0.253</v>
          </cell>
          <cell r="E60">
            <v>288</v>
          </cell>
        </row>
        <row r="61">
          <cell r="A61" t="str">
            <v>626581-04</v>
          </cell>
          <cell r="B61" t="str">
            <v>SOLDADURA 3/4</v>
          </cell>
          <cell r="C61">
            <v>3.5000000000000003E-2</v>
          </cell>
          <cell r="D61">
            <v>0.249</v>
          </cell>
          <cell r="E61">
            <v>720</v>
          </cell>
        </row>
        <row r="62">
          <cell r="A62" t="str">
            <v>101777-01</v>
          </cell>
          <cell r="B62" t="str">
            <v>SOLDADURA 3/4</v>
          </cell>
          <cell r="C62">
            <v>3.5000000000000003E-2</v>
          </cell>
          <cell r="D62">
            <v>0.30299999999999999</v>
          </cell>
          <cell r="E62">
            <v>432</v>
          </cell>
        </row>
        <row r="63">
          <cell r="A63" t="str">
            <v>626581-02</v>
          </cell>
          <cell r="B63" t="str">
            <v>SOLDADURA 3/4</v>
          </cell>
          <cell r="C63">
            <v>3.5000000000000003E-2</v>
          </cell>
          <cell r="D63">
            <v>0.216</v>
          </cell>
          <cell r="E63">
            <v>144</v>
          </cell>
        </row>
        <row r="64">
          <cell r="A64" t="str">
            <v>613781-01</v>
          </cell>
          <cell r="B64" t="str">
            <v>SOLDADURA 3/4</v>
          </cell>
          <cell r="C64">
            <v>3.5000000000000003E-2</v>
          </cell>
          <cell r="D64">
            <v>0.28399999999999997</v>
          </cell>
          <cell r="E64">
            <v>288</v>
          </cell>
        </row>
        <row r="65">
          <cell r="A65" t="str">
            <v>626798-03</v>
          </cell>
          <cell r="B65" t="str">
            <v>SOLDADURA 3/4</v>
          </cell>
          <cell r="C65">
            <v>3.5000000000000003E-2</v>
          </cell>
          <cell r="D65">
            <v>0.252</v>
          </cell>
          <cell r="E65">
            <v>0</v>
          </cell>
        </row>
        <row r="66">
          <cell r="A66" t="str">
            <v>626581-05</v>
          </cell>
          <cell r="B66" t="str">
            <v>SOLDADURA 7/8</v>
          </cell>
          <cell r="C66">
            <v>4.4999999999999998E-2</v>
          </cell>
          <cell r="D66">
            <v>0.373</v>
          </cell>
          <cell r="E66">
            <v>640</v>
          </cell>
        </row>
        <row r="67">
          <cell r="A67" t="str">
            <v>606820-03</v>
          </cell>
          <cell r="B67" t="str">
            <v>SOLDADURA 7/8</v>
          </cell>
          <cell r="C67">
            <v>4.1000000000000002E-2</v>
          </cell>
          <cell r="D67">
            <v>0.375</v>
          </cell>
          <cell r="E67">
            <v>0</v>
          </cell>
        </row>
        <row r="68">
          <cell r="A68" t="str">
            <v>626432-01</v>
          </cell>
          <cell r="B68" t="str">
            <v>SOLDADURA 7/8</v>
          </cell>
          <cell r="C68">
            <v>4.4999999999999998E-2</v>
          </cell>
          <cell r="D68">
            <v>0.35599999999999998</v>
          </cell>
          <cell r="E68">
            <v>0</v>
          </cell>
        </row>
        <row r="69">
          <cell r="A69" t="str">
            <v>626581-08</v>
          </cell>
          <cell r="B69" t="str">
            <v>SOLDADURA 7/8</v>
          </cell>
          <cell r="C69">
            <v>4.4999999999999998E-2</v>
          </cell>
          <cell r="D69">
            <v>0.35199999999999998</v>
          </cell>
          <cell r="E69">
            <v>640</v>
          </cell>
        </row>
        <row r="70">
          <cell r="A70" t="str">
            <v>626581-11</v>
          </cell>
          <cell r="B70" t="str">
            <v>SOLDADURA 7/8</v>
          </cell>
          <cell r="C70">
            <v>4.4999999999999998E-2</v>
          </cell>
          <cell r="D70">
            <v>0.35299999999999998</v>
          </cell>
          <cell r="E70">
            <v>0</v>
          </cell>
        </row>
        <row r="71">
          <cell r="A71" t="str">
            <v>626434-01</v>
          </cell>
          <cell r="B71" t="str">
            <v>SOLDADURA 7/8</v>
          </cell>
          <cell r="C71">
            <v>4.4999999999999998E-2</v>
          </cell>
          <cell r="D71">
            <v>0.35599999999999998</v>
          </cell>
          <cell r="E71">
            <v>128</v>
          </cell>
        </row>
        <row r="72">
          <cell r="A72" t="str">
            <v>614199-01</v>
          </cell>
          <cell r="B72" t="str">
            <v>SOLDADURA 7/8</v>
          </cell>
          <cell r="C72">
            <v>4.1000000000000002E-2</v>
          </cell>
          <cell r="D72">
            <v>0.441</v>
          </cell>
          <cell r="E72">
            <v>0</v>
          </cell>
        </row>
        <row r="73">
          <cell r="A73" t="str">
            <v>626581-06</v>
          </cell>
          <cell r="B73" t="str">
            <v>SOLDADURA 7/8</v>
          </cell>
          <cell r="C73">
            <v>4.4999999999999998E-2</v>
          </cell>
          <cell r="D73">
            <v>0.374</v>
          </cell>
          <cell r="E73">
            <v>0</v>
          </cell>
        </row>
        <row r="74">
          <cell r="A74" t="str">
            <v>612822-01</v>
          </cell>
          <cell r="B74" t="str">
            <v>SOLDADURA 7/8</v>
          </cell>
          <cell r="C74">
            <v>4.1000000000000002E-2</v>
          </cell>
          <cell r="D74">
            <v>0.41599999999999998</v>
          </cell>
          <cell r="E74">
            <v>128</v>
          </cell>
        </row>
        <row r="75">
          <cell r="A75" t="str">
            <v>626429-01</v>
          </cell>
          <cell r="B75" t="str">
            <v>SOLDADURA 7/8</v>
          </cell>
          <cell r="C75">
            <v>4.4999999999999998E-2</v>
          </cell>
          <cell r="D75">
            <v>0.39500000000000002</v>
          </cell>
          <cell r="E75">
            <v>128</v>
          </cell>
        </row>
        <row r="76">
          <cell r="A76" t="str">
            <v>X17180736014</v>
          </cell>
          <cell r="B76" t="str">
            <v>Retunbend</v>
          </cell>
          <cell r="C76">
            <v>0</v>
          </cell>
          <cell r="D76">
            <v>0</v>
          </cell>
          <cell r="E76">
            <v>0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rograma producción LENNOX Cu"/>
      <sheetName val="programa producción LENNOX Al"/>
    </sheetNames>
    <sheetDataSet>
      <sheetData sheetId="0"/>
      <sheetData sheetId="1">
        <row r="11">
          <cell r="B11" t="str">
            <v>625995-01</v>
          </cell>
          <cell r="C11">
            <v>6500</v>
          </cell>
          <cell r="D11" t="str">
            <v>C - 3/8</v>
          </cell>
          <cell r="E11">
            <v>2.8000000000000001E-2</v>
          </cell>
          <cell r="G11">
            <v>6500</v>
          </cell>
          <cell r="H11" t="str">
            <v>X</v>
          </cell>
          <cell r="I11" t="str">
            <v>X</v>
          </cell>
          <cell r="K11">
            <v>4.3999999999999997E-2</v>
          </cell>
          <cell r="L11">
            <v>286</v>
          </cell>
        </row>
        <row r="12">
          <cell r="B12" t="str">
            <v>626121-01</v>
          </cell>
          <cell r="C12">
            <v>800</v>
          </cell>
          <cell r="D12" t="str">
            <v>C - 3/8</v>
          </cell>
          <cell r="E12">
            <v>2.8000000000000001E-2</v>
          </cell>
          <cell r="G12">
            <v>800</v>
          </cell>
          <cell r="H12" t="str">
            <v>X</v>
          </cell>
          <cell r="I12" t="str">
            <v>X</v>
          </cell>
          <cell r="K12">
            <v>5.7000000000000002E-2</v>
          </cell>
          <cell r="L12">
            <v>45.6</v>
          </cell>
        </row>
        <row r="13">
          <cell r="B13" t="str">
            <v>615380-01</v>
          </cell>
          <cell r="C13">
            <v>1700</v>
          </cell>
          <cell r="D13" t="str">
            <v>C - 3/8</v>
          </cell>
          <cell r="E13">
            <v>2.8000000000000001E-2</v>
          </cell>
          <cell r="G13">
            <v>1700</v>
          </cell>
          <cell r="H13" t="str">
            <v>X</v>
          </cell>
          <cell r="I13" t="str">
            <v>X</v>
          </cell>
          <cell r="K13">
            <v>1.4999999999999999E-2</v>
          </cell>
          <cell r="L13">
            <v>25.5</v>
          </cell>
        </row>
        <row r="14">
          <cell r="B14" t="str">
            <v>627511-01</v>
          </cell>
          <cell r="C14">
            <v>500</v>
          </cell>
          <cell r="D14" t="str">
            <v>C - 3/8</v>
          </cell>
          <cell r="E14">
            <v>2.8000000000000001E-2</v>
          </cell>
          <cell r="G14">
            <v>500</v>
          </cell>
          <cell r="H14" t="str">
            <v>X</v>
          </cell>
          <cell r="I14" t="str">
            <v>X</v>
          </cell>
          <cell r="K14">
            <v>2.4E-2</v>
          </cell>
          <cell r="L14">
            <v>12</v>
          </cell>
        </row>
        <row r="15">
          <cell r="B15" t="str">
            <v>626308-01</v>
          </cell>
          <cell r="C15">
            <v>600</v>
          </cell>
          <cell r="D15" t="str">
            <v>C - 3/8</v>
          </cell>
          <cell r="E15">
            <v>2.8000000000000001E-2</v>
          </cell>
          <cell r="G15">
            <v>600</v>
          </cell>
          <cell r="H15" t="str">
            <v>X</v>
          </cell>
          <cell r="I15" t="str">
            <v>X</v>
          </cell>
          <cell r="K15">
            <v>1.9E-2</v>
          </cell>
          <cell r="L15">
            <v>11.4</v>
          </cell>
        </row>
        <row r="16">
          <cell r="D16" t="e">
            <v>#N/A</v>
          </cell>
          <cell r="E16" t="e">
            <v>#N/A</v>
          </cell>
          <cell r="G16">
            <v>0</v>
          </cell>
          <cell r="L16">
            <v>0</v>
          </cell>
        </row>
        <row r="17">
          <cell r="B17" t="str">
            <v>625151-01</v>
          </cell>
          <cell r="C17">
            <v>2000</v>
          </cell>
          <cell r="D17" t="str">
            <v>C - 1/2</v>
          </cell>
          <cell r="E17">
            <v>2.8000000000000001E-2</v>
          </cell>
          <cell r="G17">
            <v>2000</v>
          </cell>
          <cell r="H17" t="str">
            <v>X</v>
          </cell>
          <cell r="K17">
            <v>0.114</v>
          </cell>
          <cell r="L17">
            <v>228</v>
          </cell>
        </row>
        <row r="18">
          <cell r="B18" t="str">
            <v>618748-01</v>
          </cell>
          <cell r="C18">
            <v>300</v>
          </cell>
          <cell r="D18" t="str">
            <v>C - 1/2</v>
          </cell>
          <cell r="E18">
            <v>2.8000000000000001E-2</v>
          </cell>
          <cell r="G18">
            <v>300</v>
          </cell>
          <cell r="H18" t="str">
            <v>X</v>
          </cell>
          <cell r="K18">
            <v>0.129</v>
          </cell>
          <cell r="L18">
            <v>38.700000000000003</v>
          </cell>
        </row>
        <row r="19">
          <cell r="B19" t="str">
            <v>625022-01</v>
          </cell>
          <cell r="C19">
            <v>800</v>
          </cell>
          <cell r="D19" t="str">
            <v>C - 1/2</v>
          </cell>
          <cell r="E19">
            <v>2.8000000000000001E-2</v>
          </cell>
          <cell r="G19">
            <v>800</v>
          </cell>
          <cell r="H19" t="str">
            <v>X</v>
          </cell>
          <cell r="K19">
            <v>4.5999999999999999E-2</v>
          </cell>
          <cell r="L19">
            <v>36.799999999999997</v>
          </cell>
        </row>
        <row r="20">
          <cell r="B20" t="str">
            <v>626467-01</v>
          </cell>
          <cell r="C20">
            <v>200</v>
          </cell>
          <cell r="D20" t="str">
            <v>C - 1/2</v>
          </cell>
          <cell r="E20">
            <v>2.8000000000000001E-2</v>
          </cell>
          <cell r="G20">
            <v>200</v>
          </cell>
          <cell r="H20" t="str">
            <v>X</v>
          </cell>
          <cell r="K20">
            <v>8.5999999999999993E-2</v>
          </cell>
          <cell r="L20">
            <v>17.2</v>
          </cell>
        </row>
        <row r="21">
          <cell r="B21" t="str">
            <v>626473-01</v>
          </cell>
          <cell r="C21">
            <v>200</v>
          </cell>
          <cell r="D21" t="str">
            <v>C - 1/2</v>
          </cell>
          <cell r="E21">
            <v>2.8000000000000001E-2</v>
          </cell>
          <cell r="G21">
            <v>200</v>
          </cell>
          <cell r="H21" t="str">
            <v>X</v>
          </cell>
          <cell r="K21">
            <v>0.11700000000000001</v>
          </cell>
          <cell r="L21">
            <v>23.400000000000002</v>
          </cell>
        </row>
        <row r="22">
          <cell r="B22" t="str">
            <v>627051-01</v>
          </cell>
          <cell r="C22">
            <v>600</v>
          </cell>
          <cell r="D22" t="str">
            <v>C - 1/2</v>
          </cell>
          <cell r="E22">
            <v>2.8000000000000001E-2</v>
          </cell>
          <cell r="G22">
            <v>600</v>
          </cell>
          <cell r="H22" t="str">
            <v>X</v>
          </cell>
          <cell r="K22">
            <v>0.129</v>
          </cell>
          <cell r="L22">
            <v>77.400000000000006</v>
          </cell>
        </row>
        <row r="23">
          <cell r="B23" t="str">
            <v>627186-01</v>
          </cell>
          <cell r="C23">
            <v>1200</v>
          </cell>
          <cell r="D23" t="str">
            <v>C - 1/2</v>
          </cell>
          <cell r="E23">
            <v>2.8000000000000001E-2</v>
          </cell>
          <cell r="G23">
            <v>1200</v>
          </cell>
          <cell r="H23" t="str">
            <v>X</v>
          </cell>
          <cell r="K23">
            <v>0.11899999999999999</v>
          </cell>
          <cell r="L23">
            <v>142.79999999999998</v>
          </cell>
        </row>
        <row r="24">
          <cell r="B24" t="str">
            <v>626794-01</v>
          </cell>
          <cell r="C24">
            <v>300</v>
          </cell>
          <cell r="D24" t="str">
            <v>C - 1/2</v>
          </cell>
          <cell r="E24">
            <v>2.8000000000000001E-2</v>
          </cell>
          <cell r="G24">
            <v>300</v>
          </cell>
          <cell r="H24" t="str">
            <v>X</v>
          </cell>
          <cell r="K24">
            <v>6.9000000000000006E-2</v>
          </cell>
          <cell r="L24">
            <v>20.700000000000003</v>
          </cell>
        </row>
        <row r="25">
          <cell r="B25" t="str">
            <v>626532-01</v>
          </cell>
          <cell r="C25">
            <v>500</v>
          </cell>
          <cell r="D25" t="str">
            <v>C - 1/2</v>
          </cell>
          <cell r="E25">
            <v>2.8000000000000001E-2</v>
          </cell>
          <cell r="G25">
            <v>500</v>
          </cell>
          <cell r="H25" t="str">
            <v>X</v>
          </cell>
          <cell r="K25">
            <v>7.8E-2</v>
          </cell>
          <cell r="L25">
            <v>39</v>
          </cell>
        </row>
        <row r="26">
          <cell r="B26" t="str">
            <v>613544-01</v>
          </cell>
          <cell r="C26">
            <v>600</v>
          </cell>
          <cell r="D26" t="str">
            <v>C - 1/2</v>
          </cell>
          <cell r="E26">
            <v>2.8000000000000001E-2</v>
          </cell>
          <cell r="G26">
            <v>600</v>
          </cell>
          <cell r="H26" t="str">
            <v>X</v>
          </cell>
          <cell r="K26">
            <v>7.5999999999999998E-2</v>
          </cell>
          <cell r="L26">
            <v>45.6</v>
          </cell>
        </row>
        <row r="27">
          <cell r="B27" t="str">
            <v>627101-01</v>
          </cell>
          <cell r="C27">
            <v>200</v>
          </cell>
          <cell r="D27" t="str">
            <v>C - 1/2</v>
          </cell>
          <cell r="E27">
            <v>2.8000000000000001E-2</v>
          </cell>
          <cell r="G27">
            <v>200</v>
          </cell>
          <cell r="H27" t="str">
            <v>X</v>
          </cell>
          <cell r="K27">
            <v>4.2000000000000003E-2</v>
          </cell>
          <cell r="L27">
            <v>8.4</v>
          </cell>
        </row>
        <row r="28">
          <cell r="B28" t="str">
            <v>626469-01</v>
          </cell>
          <cell r="C28">
            <v>900</v>
          </cell>
          <cell r="D28" t="str">
            <v>C - 1/2</v>
          </cell>
          <cell r="E28">
            <v>2.8000000000000001E-2</v>
          </cell>
          <cell r="G28">
            <v>900</v>
          </cell>
          <cell r="H28" t="str">
            <v>X</v>
          </cell>
          <cell r="K28">
            <v>0.105</v>
          </cell>
          <cell r="L28">
            <v>94.5</v>
          </cell>
        </row>
        <row r="29">
          <cell r="B29" t="str">
            <v>619792-01</v>
          </cell>
          <cell r="C29">
            <v>300</v>
          </cell>
          <cell r="D29" t="str">
            <v>C - 1/2</v>
          </cell>
          <cell r="E29">
            <v>2.8000000000000001E-2</v>
          </cell>
          <cell r="G29">
            <v>300</v>
          </cell>
          <cell r="H29" t="str">
            <v>X</v>
          </cell>
          <cell r="K29">
            <v>0.14299999999999999</v>
          </cell>
          <cell r="L29">
            <v>42.9</v>
          </cell>
        </row>
        <row r="30">
          <cell r="B30" t="str">
            <v>627046-01</v>
          </cell>
          <cell r="C30">
            <v>700</v>
          </cell>
          <cell r="D30" t="str">
            <v>C - 1/2</v>
          </cell>
          <cell r="E30">
            <v>2.8000000000000001E-2</v>
          </cell>
          <cell r="G30">
            <v>700</v>
          </cell>
          <cell r="H30" t="str">
            <v>X</v>
          </cell>
          <cell r="K30">
            <v>0.129</v>
          </cell>
          <cell r="L30">
            <v>90.3</v>
          </cell>
        </row>
        <row r="31">
          <cell r="B31" t="str">
            <v>MXLB-112323</v>
          </cell>
          <cell r="C31">
            <v>200</v>
          </cell>
          <cell r="D31" t="str">
            <v>C - 1/2</v>
          </cell>
          <cell r="E31">
            <v>2.8000000000000001E-2</v>
          </cell>
          <cell r="G31">
            <v>200</v>
          </cell>
          <cell r="H31" t="str">
            <v>X</v>
          </cell>
          <cell r="K31">
            <v>0.13400000000000001</v>
          </cell>
          <cell r="L31">
            <v>26.8</v>
          </cell>
        </row>
        <row r="32">
          <cell r="B32" t="str">
            <v>626471-01</v>
          </cell>
          <cell r="C32">
            <v>400</v>
          </cell>
          <cell r="D32" t="str">
            <v>C - 1/2</v>
          </cell>
          <cell r="E32">
            <v>2.8000000000000001E-2</v>
          </cell>
          <cell r="G32">
            <v>400</v>
          </cell>
          <cell r="H32" t="str">
            <v>X</v>
          </cell>
          <cell r="K32">
            <v>0.105</v>
          </cell>
          <cell r="L32">
            <v>42</v>
          </cell>
        </row>
        <row r="33">
          <cell r="B33" t="str">
            <v>626472-01</v>
          </cell>
          <cell r="C33">
            <v>400</v>
          </cell>
          <cell r="D33" t="str">
            <v>C - 1/2</v>
          </cell>
          <cell r="E33">
            <v>2.8000000000000001E-2</v>
          </cell>
          <cell r="G33">
            <v>400</v>
          </cell>
          <cell r="H33" t="str">
            <v>X</v>
          </cell>
          <cell r="K33">
            <v>9.9000000000000005E-2</v>
          </cell>
          <cell r="L33">
            <v>39.6</v>
          </cell>
        </row>
        <row r="34">
          <cell r="B34" t="str">
            <v>627175-01</v>
          </cell>
          <cell r="C34">
            <v>300</v>
          </cell>
          <cell r="D34" t="str">
            <v>C - 1/2</v>
          </cell>
          <cell r="E34">
            <v>2.8000000000000001E-2</v>
          </cell>
          <cell r="G34">
            <v>300</v>
          </cell>
          <cell r="H34" t="str">
            <v>X</v>
          </cell>
          <cell r="K34">
            <v>9.4E-2</v>
          </cell>
          <cell r="L34">
            <v>28.2</v>
          </cell>
        </row>
        <row r="35">
          <cell r="B35" t="str">
            <v>613366-01</v>
          </cell>
          <cell r="C35">
            <v>300</v>
          </cell>
          <cell r="D35" t="str">
            <v>C - 1/2</v>
          </cell>
          <cell r="E35">
            <v>2.8000000000000001E-2</v>
          </cell>
          <cell r="G35">
            <v>300</v>
          </cell>
          <cell r="H35" t="str">
            <v>X</v>
          </cell>
          <cell r="K35">
            <v>0.10100000000000001</v>
          </cell>
          <cell r="L35">
            <v>30.3</v>
          </cell>
        </row>
        <row r="36">
          <cell r="B36" t="str">
            <v>613569-01</v>
          </cell>
          <cell r="C36">
            <v>200</v>
          </cell>
          <cell r="D36" t="str">
            <v>C - 1/2</v>
          </cell>
          <cell r="E36">
            <v>2.8000000000000001E-2</v>
          </cell>
          <cell r="G36">
            <v>200</v>
          </cell>
          <cell r="H36" t="str">
            <v>X</v>
          </cell>
          <cell r="K36">
            <v>0.11899999999999999</v>
          </cell>
          <cell r="L36">
            <v>23.799999999999997</v>
          </cell>
        </row>
        <row r="37">
          <cell r="B37" t="str">
            <v>613556-01</v>
          </cell>
          <cell r="C37">
            <v>200</v>
          </cell>
          <cell r="D37" t="str">
            <v>C - 1/2</v>
          </cell>
          <cell r="E37">
            <v>2.8000000000000001E-2</v>
          </cell>
          <cell r="G37">
            <v>200</v>
          </cell>
          <cell r="H37" t="str">
            <v>X</v>
          </cell>
          <cell r="K37">
            <v>0.127</v>
          </cell>
          <cell r="L37">
            <v>25.4</v>
          </cell>
        </row>
        <row r="38">
          <cell r="B38" t="str">
            <v>626873-01</v>
          </cell>
          <cell r="C38">
            <v>1200</v>
          </cell>
          <cell r="D38" t="str">
            <v>C - 1/2</v>
          </cell>
          <cell r="E38">
            <v>2.8000000000000001E-2</v>
          </cell>
          <cell r="G38">
            <v>1200</v>
          </cell>
          <cell r="H38" t="str">
            <v>X</v>
          </cell>
          <cell r="K38">
            <v>3.9E-2</v>
          </cell>
          <cell r="L38">
            <v>46.8</v>
          </cell>
        </row>
        <row r="39">
          <cell r="D39" t="e">
            <v>#N/A</v>
          </cell>
          <cell r="E39" t="e">
            <v>#N/A</v>
          </cell>
          <cell r="G39">
            <v>0</v>
          </cell>
          <cell r="L39">
            <v>0</v>
          </cell>
        </row>
        <row r="40">
          <cell r="B40" t="str">
            <v>626967-01</v>
          </cell>
          <cell r="C40">
            <v>2400</v>
          </cell>
          <cell r="D40" t="str">
            <v>C - 3/4</v>
          </cell>
          <cell r="E40">
            <v>3.5000000000000003E-2</v>
          </cell>
          <cell r="G40">
            <v>2400</v>
          </cell>
          <cell r="I40" t="str">
            <v>X</v>
          </cell>
          <cell r="K40">
            <v>0.11</v>
          </cell>
          <cell r="L40">
            <v>264</v>
          </cell>
        </row>
        <row r="41">
          <cell r="B41" t="str">
            <v>619770-01</v>
          </cell>
          <cell r="C41">
            <v>200</v>
          </cell>
          <cell r="D41" t="str">
            <v>C - 3/4</v>
          </cell>
          <cell r="E41">
            <v>3.5000000000000003E-2</v>
          </cell>
          <cell r="G41">
            <v>200</v>
          </cell>
          <cell r="I41" t="str">
            <v>X</v>
          </cell>
          <cell r="K41">
            <v>0.14399999999999999</v>
          </cell>
          <cell r="L41">
            <v>28.799999999999997</v>
          </cell>
        </row>
        <row r="42">
          <cell r="B42" t="str">
            <v>627106-01</v>
          </cell>
          <cell r="C42">
            <v>300</v>
          </cell>
          <cell r="D42" t="str">
            <v>C - 3/4</v>
          </cell>
          <cell r="E42">
            <v>3.5000000000000003E-2</v>
          </cell>
          <cell r="G42">
            <v>300</v>
          </cell>
          <cell r="I42" t="str">
            <v>X</v>
          </cell>
          <cell r="K42">
            <v>0.13800000000000001</v>
          </cell>
          <cell r="L42">
            <v>41.400000000000006</v>
          </cell>
        </row>
        <row r="43">
          <cell r="D43" t="e">
            <v>#N/A</v>
          </cell>
          <cell r="E43" t="e">
            <v>#N/A</v>
          </cell>
          <cell r="G43">
            <v>0</v>
          </cell>
          <cell r="L43">
            <v>0</v>
          </cell>
        </row>
        <row r="44">
          <cell r="B44" t="str">
            <v>618927-01</v>
          </cell>
          <cell r="C44">
            <v>2200</v>
          </cell>
          <cell r="D44" t="str">
            <v>C - 7/8</v>
          </cell>
          <cell r="E44">
            <v>4.1000000000000002E-2</v>
          </cell>
          <cell r="G44">
            <v>2200</v>
          </cell>
          <cell r="I44" t="str">
            <v>X</v>
          </cell>
          <cell r="K44">
            <v>7.3999999999999996E-2</v>
          </cell>
          <cell r="L44">
            <v>162.79999999999998</v>
          </cell>
        </row>
        <row r="45">
          <cell r="B45" t="str">
            <v>618887-01</v>
          </cell>
          <cell r="C45">
            <v>600</v>
          </cell>
          <cell r="D45" t="str">
            <v>C - 7/8</v>
          </cell>
          <cell r="E45">
            <v>4.1000000000000002E-2</v>
          </cell>
          <cell r="G45">
            <v>600</v>
          </cell>
          <cell r="I45" t="str">
            <v>X</v>
          </cell>
          <cell r="L45">
            <v>0</v>
          </cell>
        </row>
        <row r="46">
          <cell r="B46" t="str">
            <v>626998-01</v>
          </cell>
          <cell r="C46">
            <v>900</v>
          </cell>
          <cell r="D46" t="str">
            <v>C - 7/8</v>
          </cell>
          <cell r="E46">
            <v>4.4999999999999998E-2</v>
          </cell>
          <cell r="G46">
            <v>900</v>
          </cell>
          <cell r="H46" t="str">
            <v>X</v>
          </cell>
          <cell r="I46" t="str">
            <v>X</v>
          </cell>
          <cell r="K46">
            <v>0.17299999999999999</v>
          </cell>
          <cell r="L46">
            <v>155.69999999999999</v>
          </cell>
        </row>
        <row r="47">
          <cell r="B47" t="str">
            <v>624302-01</v>
          </cell>
          <cell r="C47">
            <v>300</v>
          </cell>
          <cell r="D47" t="str">
            <v>C - 7/8</v>
          </cell>
          <cell r="E47">
            <v>4.4999999999999998E-2</v>
          </cell>
          <cell r="G47">
            <v>300</v>
          </cell>
          <cell r="H47" t="str">
            <v>X</v>
          </cell>
          <cell r="I47" t="str">
            <v>X</v>
          </cell>
          <cell r="K47">
            <v>0.46</v>
          </cell>
          <cell r="L47">
            <v>138</v>
          </cell>
        </row>
        <row r="48">
          <cell r="B48" t="str">
            <v>626978-01</v>
          </cell>
          <cell r="C48">
            <v>400</v>
          </cell>
          <cell r="D48" t="str">
            <v>C - 7/8</v>
          </cell>
          <cell r="E48">
            <v>4.4999999999999998E-2</v>
          </cell>
          <cell r="G48">
            <v>400</v>
          </cell>
          <cell r="H48" t="str">
            <v>X</v>
          </cell>
          <cell r="K48">
            <v>0.23300000000000001</v>
          </cell>
          <cell r="L48">
            <v>93.2</v>
          </cell>
        </row>
        <row r="49">
          <cell r="D49" t="e">
            <v>#N/A</v>
          </cell>
          <cell r="E49" t="e">
            <v>#N/A</v>
          </cell>
          <cell r="G49">
            <v>0</v>
          </cell>
          <cell r="L49">
            <v>0</v>
          </cell>
        </row>
        <row r="50">
          <cell r="B50" t="str">
            <v>614166-01</v>
          </cell>
          <cell r="C50">
            <v>432</v>
          </cell>
          <cell r="D50" t="str">
            <v>SOLDADURA 3/4</v>
          </cell>
          <cell r="E50">
            <v>3.5000000000000003E-2</v>
          </cell>
          <cell r="G50">
            <v>432</v>
          </cell>
          <cell r="H50" t="str">
            <v>X</v>
          </cell>
          <cell r="I50" t="str">
            <v>X</v>
          </cell>
          <cell r="K50">
            <v>0.29799999999999999</v>
          </cell>
          <cell r="L50">
            <v>128.73599999999999</v>
          </cell>
        </row>
        <row r="51">
          <cell r="B51" t="str">
            <v>626581-01</v>
          </cell>
          <cell r="C51">
            <v>144</v>
          </cell>
          <cell r="D51" t="str">
            <v>SOLDADURA 3/4</v>
          </cell>
          <cell r="E51">
            <v>3.5000000000000003E-2</v>
          </cell>
          <cell r="F51">
            <v>36</v>
          </cell>
          <cell r="G51">
            <v>108</v>
          </cell>
          <cell r="H51" t="str">
            <v>X</v>
          </cell>
          <cell r="I51" t="str">
            <v>X</v>
          </cell>
          <cell r="K51">
            <v>0.215</v>
          </cell>
          <cell r="L51">
            <v>23.22</v>
          </cell>
        </row>
        <row r="52">
          <cell r="B52" t="str">
            <v>626798-02</v>
          </cell>
          <cell r="C52">
            <v>144</v>
          </cell>
          <cell r="D52" t="str">
            <v>SOLDADURA 3/4</v>
          </cell>
          <cell r="E52">
            <v>3.5000000000000003E-2</v>
          </cell>
          <cell r="F52">
            <v>32</v>
          </cell>
          <cell r="G52">
            <v>112</v>
          </cell>
          <cell r="H52" t="str">
            <v>X</v>
          </cell>
          <cell r="I52" t="str">
            <v>X</v>
          </cell>
          <cell r="K52">
            <v>0.253</v>
          </cell>
          <cell r="L52">
            <v>28.335999999999999</v>
          </cell>
        </row>
        <row r="53">
          <cell r="B53" t="str">
            <v>626581-04</v>
          </cell>
          <cell r="C53">
            <v>288</v>
          </cell>
          <cell r="D53" t="str">
            <v>SOLDADURA 3/4</v>
          </cell>
          <cell r="E53">
            <v>3.5000000000000003E-2</v>
          </cell>
          <cell r="G53">
            <v>288</v>
          </cell>
          <cell r="H53" t="str">
            <v>X</v>
          </cell>
          <cell r="I53" t="str">
            <v>X</v>
          </cell>
          <cell r="K53">
            <v>0.249</v>
          </cell>
          <cell r="L53">
            <v>71.712000000000003</v>
          </cell>
        </row>
        <row r="54">
          <cell r="B54" t="str">
            <v>101777-01</v>
          </cell>
          <cell r="C54">
            <v>288</v>
          </cell>
          <cell r="D54" t="str">
            <v>SOLDADURA 3/4</v>
          </cell>
          <cell r="E54">
            <v>3.5000000000000003E-2</v>
          </cell>
          <cell r="G54">
            <v>288</v>
          </cell>
          <cell r="H54" t="str">
            <v>X</v>
          </cell>
          <cell r="I54" t="str">
            <v>X</v>
          </cell>
          <cell r="K54">
            <v>0.30299999999999999</v>
          </cell>
          <cell r="L54">
            <v>87.263999999999996</v>
          </cell>
        </row>
        <row r="55">
          <cell r="B55" t="str">
            <v>626581-02</v>
          </cell>
          <cell r="C55">
            <v>288</v>
          </cell>
          <cell r="D55" t="str">
            <v>SOLDADURA 3/4</v>
          </cell>
          <cell r="E55">
            <v>3.5000000000000003E-2</v>
          </cell>
          <cell r="G55">
            <v>288</v>
          </cell>
          <cell r="H55" t="str">
            <v>X</v>
          </cell>
          <cell r="I55" t="str">
            <v>X</v>
          </cell>
          <cell r="K55">
            <v>0.216</v>
          </cell>
          <cell r="L55">
            <v>62.207999999999998</v>
          </cell>
        </row>
        <row r="56">
          <cell r="B56" t="str">
            <v>613781-01</v>
          </cell>
          <cell r="C56">
            <v>288</v>
          </cell>
          <cell r="D56" t="str">
            <v>SOLDADURA 3/4</v>
          </cell>
          <cell r="E56">
            <v>3.5000000000000003E-2</v>
          </cell>
          <cell r="F56">
            <v>46</v>
          </cell>
          <cell r="G56">
            <v>242</v>
          </cell>
          <cell r="H56" t="str">
            <v>X</v>
          </cell>
          <cell r="I56" t="str">
            <v>X</v>
          </cell>
          <cell r="K56">
            <v>0.28399999999999997</v>
          </cell>
          <cell r="L56">
            <v>68.727999999999994</v>
          </cell>
        </row>
        <row r="57">
          <cell r="B57" t="str">
            <v>626798-03</v>
          </cell>
          <cell r="C57">
            <v>1008</v>
          </cell>
          <cell r="D57" t="str">
            <v>SOLDADURA 3/4</v>
          </cell>
          <cell r="E57">
            <v>3.5000000000000003E-2</v>
          </cell>
          <cell r="F57">
            <v>39</v>
          </cell>
          <cell r="G57">
            <v>969</v>
          </cell>
          <cell r="H57" t="str">
            <v>X</v>
          </cell>
          <cell r="I57" t="str">
            <v>X</v>
          </cell>
          <cell r="K57">
            <v>0.252</v>
          </cell>
          <cell r="L57">
            <v>244.18799999999999</v>
          </cell>
        </row>
        <row r="58">
          <cell r="D58" t="e">
            <v>#N/A</v>
          </cell>
          <cell r="E58" t="e">
            <v>#N/A</v>
          </cell>
          <cell r="G58">
            <v>0</v>
          </cell>
          <cell r="L58">
            <v>0</v>
          </cell>
        </row>
        <row r="59">
          <cell r="B59" t="str">
            <v>626581-05</v>
          </cell>
          <cell r="C59">
            <v>128</v>
          </cell>
          <cell r="D59" t="str">
            <v>SOLDADURA 7/8</v>
          </cell>
          <cell r="E59">
            <v>4.4999999999999998E-2</v>
          </cell>
          <cell r="F59">
            <v>130</v>
          </cell>
          <cell r="G59">
            <v>-2</v>
          </cell>
          <cell r="K59">
            <v>0.373</v>
          </cell>
          <cell r="L59">
            <v>-0.746</v>
          </cell>
        </row>
        <row r="60">
          <cell r="B60" t="str">
            <v>626429-01</v>
          </cell>
          <cell r="C60">
            <v>128</v>
          </cell>
          <cell r="D60" t="str">
            <v>SOLDADURA 7/8</v>
          </cell>
          <cell r="E60">
            <v>4.4999999999999998E-2</v>
          </cell>
          <cell r="F60">
            <v>135</v>
          </cell>
          <cell r="G60">
            <v>-7</v>
          </cell>
          <cell r="K60">
            <v>0.39500000000000002</v>
          </cell>
          <cell r="L60">
            <v>-2.7650000000000001</v>
          </cell>
        </row>
        <row r="61">
          <cell r="B61" t="str">
            <v>626581-08</v>
          </cell>
          <cell r="C61">
            <v>640</v>
          </cell>
          <cell r="D61" t="str">
            <v>SOLDADURA 7/8</v>
          </cell>
          <cell r="E61">
            <v>4.4999999999999998E-2</v>
          </cell>
          <cell r="G61">
            <v>640</v>
          </cell>
          <cell r="H61" t="str">
            <v>X</v>
          </cell>
          <cell r="K61">
            <v>0.35199999999999998</v>
          </cell>
          <cell r="L61">
            <v>225.27999999999997</v>
          </cell>
        </row>
        <row r="62">
          <cell r="B62" t="str">
            <v>614199-01</v>
          </cell>
          <cell r="C62">
            <v>256</v>
          </cell>
          <cell r="D62" t="str">
            <v>SOLDADURA 7/8</v>
          </cell>
          <cell r="E62">
            <v>4.1000000000000002E-2</v>
          </cell>
          <cell r="F62">
            <v>29</v>
          </cell>
          <cell r="G62">
            <v>227</v>
          </cell>
          <cell r="H62" t="str">
            <v>X</v>
          </cell>
          <cell r="K62">
            <v>0.441</v>
          </cell>
          <cell r="L62">
            <v>100.107</v>
          </cell>
        </row>
        <row r="63">
          <cell r="D63" t="e">
            <v>#N/A</v>
          </cell>
          <cell r="E63" t="e">
            <v>#N/A</v>
          </cell>
          <cell r="G63">
            <v>0</v>
          </cell>
          <cell r="L63">
            <v>0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mar Martinez" refreshedDate="46223.451052662036" createdVersion="5" refreshedVersion="5" minRefreshableVersion="3" recordCount="73" xr:uid="{00000000-000A-0000-FFFF-FFFF13000000}">
  <cacheSource type="worksheet">
    <worksheetSource ref="AQ5:AR78" sheet="SEMANA 29,30"/>
  </cacheSource>
  <cacheFields count="2">
    <cacheField name="VALVULA" numFmtId="0">
      <sharedItems containsMixedTypes="1" containsNumber="1" containsInteger="1" minValue="0" maxValue="0" count="9">
        <n v="0"/>
        <s v="103881-02"/>
        <s v="107892-03"/>
        <s v="107892-04"/>
        <s v="102831-11"/>
        <s v="107905-06"/>
        <s v="107905-07"/>
        <s v="103881-03"/>
        <s v="102831-10"/>
      </sharedItems>
    </cacheField>
    <cacheField name="CANT. VAL." numFmtId="0">
      <sharedItems containsSemiMixedTypes="0" containsString="0" containsNumber="1" containsInteger="1" minValue="0" maxValue="26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3"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2"/>
    <n v="1008"/>
  </r>
  <r>
    <x v="2"/>
    <n v="0"/>
  </r>
  <r>
    <x v="2"/>
    <n v="1440"/>
  </r>
  <r>
    <x v="2"/>
    <n v="1728"/>
  </r>
  <r>
    <x v="2"/>
    <n v="2520"/>
  </r>
  <r>
    <x v="1"/>
    <n v="432"/>
  </r>
  <r>
    <x v="2"/>
    <n v="432"/>
  </r>
  <r>
    <x v="1"/>
    <n v="432"/>
  </r>
  <r>
    <x v="2"/>
    <n v="576"/>
  </r>
  <r>
    <x v="3"/>
    <n v="2688"/>
  </r>
  <r>
    <x v="4"/>
    <n v="0"/>
  </r>
  <r>
    <x v="3"/>
    <n v="256"/>
  </r>
  <r>
    <x v="5"/>
    <n v="1280"/>
  </r>
  <r>
    <x v="6"/>
    <n v="0"/>
  </r>
  <r>
    <x v="6"/>
    <n v="384"/>
  </r>
  <r>
    <x v="7"/>
    <n v="0"/>
  </r>
  <r>
    <x v="3"/>
    <n v="640"/>
  </r>
  <r>
    <x v="8"/>
    <n v="128"/>
  </r>
  <r>
    <x v="3"/>
    <n v="2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V5:AW15" firstHeaderRow="1" firstDataRow="1" firstDataCol="1"/>
  <pivotFields count="2">
    <pivotField axis="axisRow" showAll="0">
      <items count="10">
        <item x="0"/>
        <item x="8"/>
        <item x="4"/>
        <item x="1"/>
        <item x="7"/>
        <item x="2"/>
        <item x="3"/>
        <item x="5"/>
        <item x="6"/>
        <item t="default"/>
      </items>
    </pivotField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CANT. VAL." fld="1" baseField="0" baseItem="0"/>
  </dataFields>
  <formats count="6">
    <format dxfId="122">
      <pivotArea type="all" dataOnly="0" outline="0" fieldPosition="0"/>
    </format>
    <format dxfId="121">
      <pivotArea outline="0" collapsedLevelsAreSubtotals="1" fieldPosition="0"/>
    </format>
    <format dxfId="120">
      <pivotArea field="0" type="button" dataOnly="0" labelOnly="1" outline="0" axis="axisRow" fieldPosition="0"/>
    </format>
    <format dxfId="119">
      <pivotArea dataOnly="0" labelOnly="1" outline="0" axis="axisValues" fieldPosition="0"/>
    </format>
    <format dxfId="118">
      <pivotArea dataOnly="0" labelOnly="1" fieldPosition="0">
        <references count="1">
          <reference field="0" count="0"/>
        </references>
      </pivotArea>
    </format>
    <format dxfId="117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Table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L5:AM15" firstHeaderRow="1" firstDataRow="1" firstDataCol="1"/>
  <pivotFields count="2">
    <pivotField axis="axisRow" showAll="0">
      <items count="10">
        <item x="0"/>
        <item x="8"/>
        <item x="4"/>
        <item x="1"/>
        <item x="7"/>
        <item x="2"/>
        <item x="3"/>
        <item x="5"/>
        <item x="6"/>
        <item t="default"/>
      </items>
    </pivotField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CANT. VAL." fld="1" baseField="0" baseItem="0"/>
  </dataFields>
  <formats count="6">
    <format dxfId="116">
      <pivotArea type="all" dataOnly="0" outline="0" fieldPosition="0"/>
    </format>
    <format dxfId="115">
      <pivotArea outline="0" collapsedLevelsAreSubtotals="1" fieldPosition="0"/>
    </format>
    <format dxfId="114">
      <pivotArea field="0" type="button" dataOnly="0" labelOnly="1" outline="0" axis="axisRow" fieldPosition="0"/>
    </format>
    <format dxfId="113">
      <pivotArea dataOnly="0" labelOnly="1" outline="0" axis="axisValues" fieldPosition="0"/>
    </format>
    <format dxfId="112">
      <pivotArea dataOnly="0" labelOnly="1" fieldPosition="0">
        <references count="1">
          <reference field="0" count="0"/>
        </references>
      </pivotArea>
    </format>
    <format dxfId="11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3000000}" name="PivotTable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L5:AM15" firstHeaderRow="1" firstDataRow="1" firstDataCol="1"/>
  <pivotFields count="2">
    <pivotField axis="axisRow" showAll="0">
      <items count="10">
        <item x="0"/>
        <item x="8"/>
        <item x="4"/>
        <item x="1"/>
        <item x="7"/>
        <item x="2"/>
        <item x="3"/>
        <item x="5"/>
        <item x="6"/>
        <item t="default"/>
      </items>
    </pivotField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CANT. VAL." fld="1" baseField="0" baseItem="0"/>
  </dataFields>
  <formats count="6">
    <format dxfId="110">
      <pivotArea type="all" dataOnly="0" outline="0" fieldPosition="0"/>
    </format>
    <format dxfId="109">
      <pivotArea outline="0" collapsedLevelsAreSubtotals="1" fieldPosition="0"/>
    </format>
    <format dxfId="108">
      <pivotArea field="0" type="button" dataOnly="0" labelOnly="1" outline="0" axis="axisRow" fieldPosition="0"/>
    </format>
    <format dxfId="107">
      <pivotArea dataOnly="0" labelOnly="1" outline="0" axis="axisValues" fieldPosition="0"/>
    </format>
    <format dxfId="106">
      <pivotArea dataOnly="0" labelOnly="1" fieldPosition="0">
        <references count="1">
          <reference field="0" count="0"/>
        </references>
      </pivotArea>
    </format>
    <format dxfId="105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4000000}" name="PivotTable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L5:AM15" firstHeaderRow="1" firstDataRow="1" firstDataCol="1"/>
  <pivotFields count="2">
    <pivotField axis="axisRow" showAll="0">
      <items count="10">
        <item x="0"/>
        <item x="8"/>
        <item x="4"/>
        <item x="1"/>
        <item x="7"/>
        <item x="2"/>
        <item x="3"/>
        <item x="5"/>
        <item x="6"/>
        <item t="default"/>
      </items>
    </pivotField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CANT. VAL." fld="1" baseField="0" baseItem="0"/>
  </dataFields>
  <formats count="6">
    <format dxfId="104">
      <pivotArea type="all" dataOnly="0" outline="0" fieldPosition="0"/>
    </format>
    <format dxfId="103">
      <pivotArea outline="0" collapsedLevelsAreSubtotals="1" fieldPosition="0"/>
    </format>
    <format dxfId="102">
      <pivotArea field="0" type="button" dataOnly="0" labelOnly="1" outline="0" axis="axisRow" fieldPosition="0"/>
    </format>
    <format dxfId="101">
      <pivotArea dataOnly="0" labelOnly="1" outline="0" axis="axisValues" fieldPosition="0"/>
    </format>
    <format dxfId="100">
      <pivotArea dataOnly="0" labelOnly="1" fieldPosition="0">
        <references count="1">
          <reference field="0" count="0"/>
        </references>
      </pivotArea>
    </format>
    <format dxfId="99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5000000}" name="PivotTable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L5:AM15" firstHeaderRow="1" firstDataRow="1" firstDataCol="1"/>
  <pivotFields count="2">
    <pivotField axis="axisRow" showAll="0">
      <items count="10">
        <item x="0"/>
        <item x="8"/>
        <item x="4"/>
        <item x="1"/>
        <item x="7"/>
        <item x="2"/>
        <item x="3"/>
        <item x="5"/>
        <item x="6"/>
        <item t="default"/>
      </items>
    </pivotField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CANT. VAL." fld="1" baseField="0" baseItem="0"/>
  </dataFields>
  <formats count="6">
    <format dxfId="98">
      <pivotArea type="all" dataOnly="0" outline="0" fieldPosition="0"/>
    </format>
    <format dxfId="97">
      <pivotArea outline="0" collapsedLevelsAreSubtotals="1" fieldPosition="0"/>
    </format>
    <format dxfId="96">
      <pivotArea field="0" type="button" dataOnly="0" labelOnly="1" outline="0" axis="axisRow" fieldPosition="0"/>
    </format>
    <format dxfId="95">
      <pivotArea dataOnly="0" labelOnly="1" outline="0" axis="axisValues" fieldPosition="0"/>
    </format>
    <format dxfId="94">
      <pivotArea dataOnly="0" labelOnly="1" fieldPosition="0">
        <references count="1">
          <reference field="0" count="0"/>
        </references>
      </pivotArea>
    </format>
    <format dxfId="9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6000000}" name="PivotTable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L5:AM15" firstHeaderRow="1" firstDataRow="1" firstDataCol="1"/>
  <pivotFields count="2">
    <pivotField axis="axisRow" showAll="0">
      <items count="10">
        <item x="0"/>
        <item x="8"/>
        <item x="4"/>
        <item x="1"/>
        <item x="7"/>
        <item x="2"/>
        <item x="3"/>
        <item x="5"/>
        <item x="6"/>
        <item t="default"/>
      </items>
    </pivotField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CANT. VAL." fld="1" baseField="0" baseItem="0"/>
  </dataFields>
  <formats count="6">
    <format dxfId="92">
      <pivotArea type="all" dataOnly="0" outline="0" fieldPosition="0"/>
    </format>
    <format dxfId="91">
      <pivotArea outline="0" collapsedLevelsAreSubtotals="1" fieldPosition="0"/>
    </format>
    <format dxfId="90">
      <pivotArea field="0" type="button" dataOnly="0" labelOnly="1" outline="0" axis="axisRow" fieldPosition="0"/>
    </format>
    <format dxfId="89">
      <pivotArea dataOnly="0" labelOnly="1" outline="0" axis="axisValues" fieldPosition="0"/>
    </format>
    <format dxfId="88">
      <pivotArea dataOnly="0" labelOnly="1" fieldPosition="0">
        <references count="1">
          <reference field="0" count="0"/>
        </references>
      </pivotArea>
    </format>
    <format dxfId="87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7000000}" name="PivotTable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L5:AM15" firstHeaderRow="1" firstDataRow="1" firstDataCol="1"/>
  <pivotFields count="2">
    <pivotField axis="axisRow" showAll="0">
      <items count="10">
        <item x="0"/>
        <item x="8"/>
        <item x="4"/>
        <item x="1"/>
        <item x="7"/>
        <item x="2"/>
        <item x="3"/>
        <item x="5"/>
        <item x="6"/>
        <item t="default"/>
      </items>
    </pivotField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CANT. VAL." fld="1" baseField="0" baseItem="0"/>
  </dataFields>
  <formats count="6">
    <format dxfId="86">
      <pivotArea type="all" dataOnly="0" outline="0" fieldPosition="0"/>
    </format>
    <format dxfId="85">
      <pivotArea outline="0" collapsedLevelsAreSubtotals="1" fieldPosition="0"/>
    </format>
    <format dxfId="84">
      <pivotArea field="0" type="button" dataOnly="0" labelOnly="1" outline="0" axis="axisRow" fieldPosition="0"/>
    </format>
    <format dxfId="83">
      <pivotArea dataOnly="0" labelOnly="1" outline="0" axis="axisValues" fieldPosition="0"/>
    </format>
    <format dxfId="82">
      <pivotArea dataOnly="0" labelOnly="1" fieldPosition="0">
        <references count="1">
          <reference field="0" count="0"/>
        </references>
      </pivotArea>
    </format>
    <format dxfId="8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8000000}" name="PivotTable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L5:AM15" firstHeaderRow="1" firstDataRow="1" firstDataCol="1"/>
  <pivotFields count="2">
    <pivotField axis="axisRow" showAll="0">
      <items count="10">
        <item x="0"/>
        <item x="8"/>
        <item x="4"/>
        <item x="1"/>
        <item x="7"/>
        <item x="2"/>
        <item x="3"/>
        <item x="5"/>
        <item x="6"/>
        <item t="default"/>
      </items>
    </pivotField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CANT. VAL." fld="1" baseField="0" baseItem="0"/>
  </dataFields>
  <formats count="6">
    <format dxfId="80">
      <pivotArea type="all" dataOnly="0" outline="0" fieldPosition="0"/>
    </format>
    <format dxfId="79">
      <pivotArea outline="0" collapsedLevelsAreSubtotals="1" fieldPosition="0"/>
    </format>
    <format dxfId="78">
      <pivotArea field="0" type="button" dataOnly="0" labelOnly="1" outline="0" axis="axisRow" fieldPosition="0"/>
    </format>
    <format dxfId="77">
      <pivotArea dataOnly="0" labelOnly="1" outline="0" axis="axisValues" fieldPosition="0"/>
    </format>
    <format dxfId="76">
      <pivotArea dataOnly="0" labelOnly="1" fieldPosition="0">
        <references count="1">
          <reference field="0" count="0"/>
        </references>
      </pivotArea>
    </format>
    <format dxfId="75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9000000}" name="PivotTable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L5:AM15" firstHeaderRow="1" firstDataRow="1" firstDataCol="1"/>
  <pivotFields count="2">
    <pivotField axis="axisRow" showAll="0">
      <items count="10">
        <item x="0"/>
        <item x="8"/>
        <item x="4"/>
        <item x="1"/>
        <item x="7"/>
        <item x="2"/>
        <item x="3"/>
        <item x="5"/>
        <item x="6"/>
        <item t="default"/>
      </items>
    </pivotField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CANT. VAL." fld="1" baseField="0" baseItem="0"/>
  </dataFields>
  <formats count="6"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0" type="button" dataOnly="0" labelOnly="1" outline="0" axis="axisRow" fieldPosition="0"/>
    </format>
    <format dxfId="71">
      <pivotArea dataOnly="0" labelOnly="1" outline="0" axis="axisValues" fieldPosition="0"/>
    </format>
    <format dxfId="70">
      <pivotArea dataOnly="0" labelOnly="1" fieldPosition="0">
        <references count="1">
          <reference field="0" count="0"/>
        </references>
      </pivotArea>
    </format>
    <format dxfId="69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A000000}" name="PivotTable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V5:AW15" firstHeaderRow="1" firstDataRow="1" firstDataCol="1"/>
  <pivotFields count="2">
    <pivotField axis="axisRow" showAll="0">
      <items count="10">
        <item x="0"/>
        <item x="8"/>
        <item x="4"/>
        <item x="1"/>
        <item x="7"/>
        <item x="2"/>
        <item x="3"/>
        <item x="5"/>
        <item x="6"/>
        <item t="default"/>
      </items>
    </pivotField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CANT. VAL." fld="1" baseField="0" baseItem="0"/>
  </dataFields>
  <formats count="6"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0" type="button" dataOnly="0" labelOnly="1" outline="0" axis="axisRow" fieldPosition="0"/>
    </format>
    <format dxfId="65">
      <pivotArea dataOnly="0" labelOnly="1" outline="0" axis="axisValues" fieldPosition="0"/>
    </format>
    <format dxfId="64">
      <pivotArea dataOnly="0" labelOnly="1" fieldPosition="0">
        <references count="1">
          <reference field="0" count="0"/>
        </references>
      </pivotArea>
    </format>
    <format dxfId="6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B000000}" name="PivotTable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V5:AW15" firstHeaderRow="1" firstDataRow="1" firstDataCol="1"/>
  <pivotFields count="2">
    <pivotField axis="axisRow" showAll="0">
      <items count="10">
        <item x="0"/>
        <item x="8"/>
        <item x="4"/>
        <item x="1"/>
        <item x="7"/>
        <item x="2"/>
        <item x="3"/>
        <item x="5"/>
        <item x="6"/>
        <item t="default"/>
      </items>
    </pivotField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CANT. VAL." fld="1" baseField="0" baseItem="0"/>
  </dataFields>
  <formats count="6"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0" type="button" dataOnly="0" labelOnly="1" outline="0" axis="axisRow" fieldPosition="0"/>
    </format>
    <format dxfId="59">
      <pivotArea dataOnly="0" labelOnly="1" outline="0" axis="axisValues" fieldPosition="0"/>
    </format>
    <format dxfId="58">
      <pivotArea dataOnly="0" labelOnly="1" fieldPosition="0">
        <references count="1">
          <reference field="0" count="0"/>
        </references>
      </pivotArea>
    </format>
    <format dxfId="57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C000000}" name="PivotTable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V10:AW20" firstHeaderRow="1" firstDataRow="1" firstDataCol="1"/>
  <pivotFields count="2">
    <pivotField axis="axisRow" showAll="0">
      <items count="10">
        <item x="0"/>
        <item x="8"/>
        <item x="4"/>
        <item x="1"/>
        <item x="7"/>
        <item x="2"/>
        <item x="3"/>
        <item x="5"/>
        <item x="6"/>
        <item t="default"/>
      </items>
    </pivotField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CANT. VAL." fld="1" baseField="0" baseItem="0"/>
  </dataFields>
  <formats count="6"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0" type="button" dataOnly="0" labelOnly="1" outline="0" axis="axisRow" fieldPosition="0"/>
    </format>
    <format dxfId="53">
      <pivotArea dataOnly="0" labelOnly="1" outline="0" axis="axisValues" fieldPosition="0"/>
    </format>
    <format dxfId="52">
      <pivotArea dataOnly="0" labelOnly="1" fieldPosition="0">
        <references count="1">
          <reference field="0" count="0"/>
        </references>
      </pivotArea>
    </format>
    <format dxfId="5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D000000}" name="PivotTable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BH10:BI20" firstHeaderRow="1" firstDataRow="1" firstDataCol="1"/>
  <pivotFields count="2">
    <pivotField axis="axisRow" showAll="0">
      <items count="10">
        <item x="0"/>
        <item x="8"/>
        <item x="4"/>
        <item x="1"/>
        <item x="7"/>
        <item x="2"/>
        <item x="3"/>
        <item x="5"/>
        <item x="6"/>
        <item t="default"/>
      </items>
    </pivotField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CANT. VAL." fld="1" baseField="0" baseItem="0"/>
  </dataFields>
  <formats count="6"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0" type="button" dataOnly="0" labelOnly="1" outline="0" axis="axisRow" fieldPosition="0"/>
    </format>
    <format dxfId="47">
      <pivotArea dataOnly="0" labelOnly="1" outline="0" axis="axisValues" fieldPosition="0"/>
    </format>
    <format dxfId="46">
      <pivotArea dataOnly="0" labelOnly="1" fieldPosition="0">
        <references count="1">
          <reference field="0" count="0"/>
        </references>
      </pivotArea>
    </format>
    <format dxfId="45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0000000}" name="PivotTable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V10:AW20" firstHeaderRow="1" firstDataRow="1" firstDataCol="1"/>
  <pivotFields count="2">
    <pivotField axis="axisRow" showAll="0">
      <items count="10">
        <item x="0"/>
        <item x="8"/>
        <item x="4"/>
        <item x="1"/>
        <item x="7"/>
        <item x="2"/>
        <item x="3"/>
        <item x="5"/>
        <item x="6"/>
        <item t="default"/>
      </items>
    </pivotField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CANT. VAL." fld="1" baseField="0" baseItem="0"/>
  </dataFields>
  <formats count="6">
    <format dxfId="128">
      <pivotArea type="all" dataOnly="0" outline="0" fieldPosition="0"/>
    </format>
    <format dxfId="127">
      <pivotArea outline="0" collapsedLevelsAreSubtotals="1" fieldPosition="0"/>
    </format>
    <format dxfId="126">
      <pivotArea field="0" type="button" dataOnly="0" labelOnly="1" outline="0" axis="axisRow" fieldPosition="0"/>
    </format>
    <format dxfId="125">
      <pivotArea dataOnly="0" labelOnly="1" outline="0" axis="axisValues" fieldPosition="0"/>
    </format>
    <format dxfId="124">
      <pivotArea dataOnly="0" labelOnly="1" fieldPosition="0">
        <references count="1">
          <reference field="0" count="0"/>
        </references>
      </pivotArea>
    </format>
    <format dxfId="12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15B6FA-2D9F-4C3B-A8A9-1E3D7F4866A8}" name="PivotTable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L10:AM20" firstHeaderRow="1" firstDataRow="1" firstDataCol="1"/>
  <pivotFields count="2">
    <pivotField axis="axisRow" showAll="0">
      <items count="10">
        <item x="0"/>
        <item x="8"/>
        <item x="4"/>
        <item x="1"/>
        <item x="7"/>
        <item x="2"/>
        <item x="3"/>
        <item x="5"/>
        <item x="6"/>
        <item t="default"/>
      </items>
    </pivotField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CANT. VAL." fld="1" baseField="0" baseItem="0"/>
  </dataFields>
  <formats count="6">
    <format dxfId="39">
      <pivotArea type="all" dataOnly="0" outline="0" fieldPosition="0"/>
    </format>
    <format dxfId="40">
      <pivotArea outline="0" collapsedLevelsAreSubtotals="1" fieldPosition="0"/>
    </format>
    <format dxfId="41">
      <pivotArea field="0" type="button" dataOnly="0" labelOnly="1" outline="0" axis="axisRow" fieldPosition="0"/>
    </format>
    <format dxfId="42">
      <pivotArea dataOnly="0" labelOnly="1" outline="0" axis="axisValues" fieldPosition="0"/>
    </format>
    <format dxfId="43">
      <pivotArea dataOnly="0" labelOnly="1" fieldPosition="0">
        <references count="1">
          <reference field="0" count="0"/>
        </references>
      </pivotArea>
    </format>
    <format dxfId="4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7.xml"/><Relationship Id="rId4" Type="http://schemas.openxmlformats.org/officeDocument/2006/relationships/comments" Target="../comments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8.xml"/><Relationship Id="rId4" Type="http://schemas.openxmlformats.org/officeDocument/2006/relationships/comments" Target="../comments6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9.xml"/><Relationship Id="rId4" Type="http://schemas.openxmlformats.org/officeDocument/2006/relationships/comments" Target="../comments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10.xml"/><Relationship Id="rId4" Type="http://schemas.openxmlformats.org/officeDocument/2006/relationships/comments" Target="../comments8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11.xml"/><Relationship Id="rId4" Type="http://schemas.openxmlformats.org/officeDocument/2006/relationships/comments" Target="../comments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1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13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14.xml"/><Relationship Id="rId5" Type="http://schemas.openxmlformats.org/officeDocument/2006/relationships/comments" Target="../comments10.xml"/><Relationship Id="rId4" Type="http://schemas.openxmlformats.org/officeDocument/2006/relationships/vmlDrawing" Target="../drawings/vmlDrawing10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5.xml"/><Relationship Id="rId5" Type="http://schemas.openxmlformats.org/officeDocument/2006/relationships/comments" Target="../comments11.xml"/><Relationship Id="rId4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1:M58"/>
  <sheetViews>
    <sheetView topLeftCell="A8" workbookViewId="0">
      <selection activeCell="C2" sqref="C2:L4"/>
    </sheetView>
  </sheetViews>
  <sheetFormatPr baseColWidth="10" defaultColWidth="8.7109375" defaultRowHeight="15" x14ac:dyDescent="0.25"/>
  <cols>
    <col min="1" max="1" width="8.7109375" style="1"/>
    <col min="2" max="2" width="9" style="1" bestFit="1" customWidth="1"/>
    <col min="3" max="3" width="14.42578125" style="1" bestFit="1" customWidth="1"/>
    <col min="4" max="4" width="17.28515625" style="1" bestFit="1" customWidth="1"/>
    <col min="5" max="5" width="10" style="1" bestFit="1" customWidth="1"/>
    <col min="6" max="6" width="9.5703125" style="1" bestFit="1" customWidth="1"/>
    <col min="7" max="8" width="7.5703125" style="1" bestFit="1" customWidth="1"/>
    <col min="9" max="9" width="9" style="1" bestFit="1" customWidth="1"/>
    <col min="10" max="10" width="14.42578125" style="1" bestFit="1" customWidth="1"/>
    <col min="11" max="11" width="17.28515625" style="1" bestFit="1" customWidth="1"/>
    <col min="12" max="12" width="14.5703125" style="1" bestFit="1" customWidth="1"/>
    <col min="13" max="13" width="9.5703125" style="1" bestFit="1" customWidth="1"/>
    <col min="14" max="16384" width="8.7109375" style="1"/>
  </cols>
  <sheetData>
    <row r="1" spans="2:13" ht="15.75" thickBot="1" x14ac:dyDescent="0.3"/>
    <row r="2" spans="2:13" x14ac:dyDescent="0.25">
      <c r="C2" s="94" t="s">
        <v>128</v>
      </c>
      <c r="D2" s="95"/>
      <c r="E2" s="95"/>
      <c r="F2" s="95"/>
      <c r="G2" s="95"/>
      <c r="H2" s="95"/>
      <c r="I2" s="95"/>
      <c r="J2" s="95"/>
      <c r="K2" s="95"/>
      <c r="L2" s="96"/>
    </row>
    <row r="3" spans="2:13" x14ac:dyDescent="0.25">
      <c r="C3" s="97"/>
      <c r="D3" s="98"/>
      <c r="E3" s="98"/>
      <c r="F3" s="98"/>
      <c r="G3" s="98"/>
      <c r="H3" s="98"/>
      <c r="I3" s="98"/>
      <c r="J3" s="98"/>
      <c r="K3" s="98"/>
      <c r="L3" s="99"/>
    </row>
    <row r="4" spans="2:13" ht="15.75" thickBot="1" x14ac:dyDescent="0.3">
      <c r="C4" s="100"/>
      <c r="D4" s="101"/>
      <c r="E4" s="101"/>
      <c r="F4" s="101"/>
      <c r="G4" s="101"/>
      <c r="H4" s="101"/>
      <c r="I4" s="101"/>
      <c r="J4" s="101"/>
      <c r="K4" s="101"/>
      <c r="L4" s="102"/>
    </row>
    <row r="5" spans="2:13" ht="15.75" thickBot="1" x14ac:dyDescent="0.3"/>
    <row r="6" spans="2:13" ht="42.6" customHeight="1" thickBot="1" x14ac:dyDescent="0.3">
      <c r="B6" s="103" t="s">
        <v>135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5"/>
    </row>
    <row r="8" spans="2:13" x14ac:dyDescent="0.25">
      <c r="B8" s="4" t="s">
        <v>0</v>
      </c>
      <c r="C8" s="4" t="s">
        <v>86</v>
      </c>
      <c r="D8" s="4" t="s">
        <v>89</v>
      </c>
      <c r="E8" s="4" t="s">
        <v>81</v>
      </c>
      <c r="F8" s="4" t="s">
        <v>130</v>
      </c>
      <c r="I8" s="4" t="s">
        <v>0</v>
      </c>
      <c r="J8" s="4" t="s">
        <v>86</v>
      </c>
      <c r="K8" s="4" t="s">
        <v>89</v>
      </c>
      <c r="L8" s="4" t="s">
        <v>81</v>
      </c>
      <c r="M8" s="4" t="s">
        <v>130</v>
      </c>
    </row>
    <row r="9" spans="2:13" x14ac:dyDescent="0.25">
      <c r="B9" s="2" t="s">
        <v>87</v>
      </c>
      <c r="C9" s="2" t="s">
        <v>88</v>
      </c>
      <c r="D9" s="2" t="s">
        <v>1</v>
      </c>
      <c r="E9" s="22" t="s">
        <v>2</v>
      </c>
      <c r="F9" s="2"/>
      <c r="I9" s="2" t="s">
        <v>87</v>
      </c>
      <c r="J9" s="2" t="s">
        <v>88</v>
      </c>
      <c r="K9" s="2" t="s">
        <v>47</v>
      </c>
      <c r="L9" s="22" t="s">
        <v>48</v>
      </c>
      <c r="M9" s="2"/>
    </row>
    <row r="10" spans="2:13" x14ac:dyDescent="0.25">
      <c r="B10" s="2" t="s">
        <v>87</v>
      </c>
      <c r="C10" s="2" t="s">
        <v>88</v>
      </c>
      <c r="D10" s="2" t="s">
        <v>3</v>
      </c>
      <c r="E10" s="22" t="s">
        <v>2</v>
      </c>
      <c r="F10" s="2"/>
      <c r="I10" s="2" t="s">
        <v>87</v>
      </c>
      <c r="J10" s="2" t="s">
        <v>88</v>
      </c>
      <c r="K10" s="2" t="s">
        <v>49</v>
      </c>
      <c r="L10" s="22" t="s">
        <v>48</v>
      </c>
      <c r="M10" s="2"/>
    </row>
    <row r="11" spans="2:13" x14ac:dyDescent="0.25">
      <c r="B11" s="2" t="s">
        <v>87</v>
      </c>
      <c r="C11" s="2" t="s">
        <v>88</v>
      </c>
      <c r="D11" s="2" t="s">
        <v>4</v>
      </c>
      <c r="E11" s="22" t="s">
        <v>2</v>
      </c>
      <c r="F11" s="2"/>
      <c r="I11" s="2" t="s">
        <v>87</v>
      </c>
      <c r="J11" s="2" t="s">
        <v>88</v>
      </c>
      <c r="K11" s="2" t="s">
        <v>50</v>
      </c>
      <c r="L11" s="22" t="s">
        <v>48</v>
      </c>
      <c r="M11" s="2"/>
    </row>
    <row r="12" spans="2:13" x14ac:dyDescent="0.25">
      <c r="B12" s="2" t="s">
        <v>87</v>
      </c>
      <c r="C12" s="2" t="s">
        <v>88</v>
      </c>
      <c r="D12" s="2" t="s">
        <v>5</v>
      </c>
      <c r="E12" s="22" t="s">
        <v>2</v>
      </c>
      <c r="F12" s="2"/>
      <c r="I12" s="2" t="s">
        <v>87</v>
      </c>
      <c r="J12" s="2" t="s">
        <v>88</v>
      </c>
      <c r="K12" s="2" t="s">
        <v>51</v>
      </c>
      <c r="L12" s="22" t="s">
        <v>48</v>
      </c>
      <c r="M12" s="2"/>
    </row>
    <row r="13" spans="2:13" x14ac:dyDescent="0.25">
      <c r="B13" s="2" t="s">
        <v>87</v>
      </c>
      <c r="C13" s="2" t="s">
        <v>88</v>
      </c>
      <c r="D13" s="2" t="s">
        <v>6</v>
      </c>
      <c r="E13" s="22" t="s">
        <v>2</v>
      </c>
      <c r="F13" s="2"/>
      <c r="I13" s="2" t="s">
        <v>87</v>
      </c>
      <c r="J13" s="2" t="s">
        <v>88</v>
      </c>
      <c r="K13" s="2" t="s">
        <v>52</v>
      </c>
      <c r="L13" s="22" t="s">
        <v>48</v>
      </c>
      <c r="M13" s="2"/>
    </row>
    <row r="14" spans="2:13" x14ac:dyDescent="0.25">
      <c r="B14" s="2" t="s">
        <v>87</v>
      </c>
      <c r="C14" s="2" t="s">
        <v>88</v>
      </c>
      <c r="D14" s="2" t="s">
        <v>7</v>
      </c>
      <c r="E14" s="22" t="s">
        <v>2</v>
      </c>
      <c r="F14" s="2"/>
      <c r="I14" s="2" t="s">
        <v>87</v>
      </c>
      <c r="J14" s="2" t="s">
        <v>88</v>
      </c>
      <c r="K14" s="2" t="s">
        <v>53</v>
      </c>
      <c r="L14" s="22" t="s">
        <v>54</v>
      </c>
      <c r="M14" s="2"/>
    </row>
    <row r="15" spans="2:13" x14ac:dyDescent="0.25">
      <c r="B15" s="2" t="s">
        <v>87</v>
      </c>
      <c r="C15" s="2" t="s">
        <v>88</v>
      </c>
      <c r="D15" s="2" t="s">
        <v>8</v>
      </c>
      <c r="E15" s="22" t="s">
        <v>2</v>
      </c>
      <c r="F15" s="2"/>
      <c r="I15" s="2" t="s">
        <v>87</v>
      </c>
      <c r="J15" s="2" t="s">
        <v>88</v>
      </c>
      <c r="K15" s="2" t="s">
        <v>55</v>
      </c>
      <c r="L15" s="22" t="s">
        <v>54</v>
      </c>
      <c r="M15" s="2"/>
    </row>
    <row r="16" spans="2:13" x14ac:dyDescent="0.25">
      <c r="I16" s="2" t="s">
        <v>87</v>
      </c>
      <c r="J16" s="2" t="s">
        <v>88</v>
      </c>
      <c r="K16" s="2" t="s">
        <v>56</v>
      </c>
      <c r="L16" s="22" t="s">
        <v>54</v>
      </c>
      <c r="M16" s="2"/>
    </row>
    <row r="17" spans="2:13" x14ac:dyDescent="0.25">
      <c r="B17" s="2" t="s">
        <v>87</v>
      </c>
      <c r="C17" s="2" t="s">
        <v>88</v>
      </c>
      <c r="D17" s="2" t="s">
        <v>9</v>
      </c>
      <c r="E17" s="22" t="s">
        <v>10</v>
      </c>
      <c r="F17" s="2"/>
      <c r="I17" s="2" t="s">
        <v>87</v>
      </c>
      <c r="J17" s="2" t="s">
        <v>88</v>
      </c>
      <c r="K17" s="2" t="s">
        <v>57</v>
      </c>
      <c r="L17" s="22" t="s">
        <v>54</v>
      </c>
      <c r="M17" s="2"/>
    </row>
    <row r="18" spans="2:13" x14ac:dyDescent="0.25">
      <c r="B18" s="2" t="s">
        <v>87</v>
      </c>
      <c r="C18" s="2" t="s">
        <v>88</v>
      </c>
      <c r="D18" s="2" t="s">
        <v>11</v>
      </c>
      <c r="E18" s="22" t="s">
        <v>10</v>
      </c>
      <c r="F18" s="2"/>
      <c r="I18" s="2" t="s">
        <v>87</v>
      </c>
      <c r="J18" s="2" t="s">
        <v>88</v>
      </c>
      <c r="K18" s="2" t="s">
        <v>58</v>
      </c>
      <c r="L18" s="22" t="s">
        <v>54</v>
      </c>
      <c r="M18" s="2"/>
    </row>
    <row r="19" spans="2:13" x14ac:dyDescent="0.25">
      <c r="B19" s="2" t="s">
        <v>87</v>
      </c>
      <c r="C19" s="2" t="s">
        <v>88</v>
      </c>
      <c r="D19" s="2" t="s">
        <v>12</v>
      </c>
      <c r="E19" s="22" t="s">
        <v>10</v>
      </c>
      <c r="F19" s="2"/>
      <c r="I19" s="2"/>
      <c r="J19" s="2"/>
      <c r="K19" s="2"/>
      <c r="L19" s="22"/>
      <c r="M19" s="2"/>
    </row>
    <row r="20" spans="2:13" x14ac:dyDescent="0.25">
      <c r="B20" s="2" t="s">
        <v>87</v>
      </c>
      <c r="C20" s="2" t="s">
        <v>88</v>
      </c>
      <c r="D20" s="2" t="s">
        <v>13</v>
      </c>
      <c r="E20" s="22" t="s">
        <v>10</v>
      </c>
      <c r="F20" s="2"/>
      <c r="I20" s="2" t="s">
        <v>87</v>
      </c>
      <c r="J20" s="2" t="s">
        <v>88</v>
      </c>
      <c r="K20" s="2" t="s">
        <v>59</v>
      </c>
      <c r="L20" s="22" t="s">
        <v>60</v>
      </c>
      <c r="M20" s="2"/>
    </row>
    <row r="21" spans="2:13" x14ac:dyDescent="0.25">
      <c r="B21" s="2" t="s">
        <v>87</v>
      </c>
      <c r="C21" s="2" t="s">
        <v>88</v>
      </c>
      <c r="D21" s="2" t="s">
        <v>14</v>
      </c>
      <c r="E21" s="22" t="s">
        <v>10</v>
      </c>
      <c r="F21" s="2"/>
      <c r="I21" s="2" t="s">
        <v>87</v>
      </c>
      <c r="J21" s="2" t="s">
        <v>88</v>
      </c>
      <c r="K21" s="2" t="s">
        <v>61</v>
      </c>
      <c r="L21" s="22" t="s">
        <v>60</v>
      </c>
      <c r="M21" s="2"/>
    </row>
    <row r="22" spans="2:13" x14ac:dyDescent="0.25">
      <c r="B22" s="2" t="s">
        <v>87</v>
      </c>
      <c r="C22" s="2" t="s">
        <v>88</v>
      </c>
      <c r="D22" s="2" t="s">
        <v>15</v>
      </c>
      <c r="E22" s="22" t="s">
        <v>10</v>
      </c>
      <c r="F22" s="2"/>
      <c r="I22" s="2" t="s">
        <v>87</v>
      </c>
      <c r="J22" s="2" t="s">
        <v>88</v>
      </c>
      <c r="K22" s="2" t="s">
        <v>62</v>
      </c>
      <c r="L22" s="22" t="s">
        <v>60</v>
      </c>
      <c r="M22" s="2"/>
    </row>
    <row r="23" spans="2:13" x14ac:dyDescent="0.25">
      <c r="B23" s="2"/>
      <c r="C23" s="2"/>
      <c r="D23" s="2"/>
      <c r="E23" s="22"/>
      <c r="F23" s="2"/>
      <c r="I23" s="2" t="s">
        <v>87</v>
      </c>
      <c r="J23" s="2" t="s">
        <v>88</v>
      </c>
      <c r="K23" s="2" t="s">
        <v>63</v>
      </c>
      <c r="L23" s="22" t="s">
        <v>60</v>
      </c>
      <c r="M23" s="2"/>
    </row>
    <row r="24" spans="2:13" x14ac:dyDescent="0.25">
      <c r="B24" s="2" t="s">
        <v>87</v>
      </c>
      <c r="C24" s="2" t="s">
        <v>88</v>
      </c>
      <c r="D24" s="2" t="s">
        <v>16</v>
      </c>
      <c r="E24" s="22" t="s">
        <v>17</v>
      </c>
      <c r="F24" s="2"/>
      <c r="I24" s="2" t="s">
        <v>87</v>
      </c>
      <c r="J24" s="2" t="s">
        <v>88</v>
      </c>
      <c r="K24" s="2" t="s">
        <v>64</v>
      </c>
      <c r="L24" s="22" t="s">
        <v>60</v>
      </c>
      <c r="M24" s="2"/>
    </row>
    <row r="25" spans="2:13" x14ac:dyDescent="0.25">
      <c r="B25" s="2" t="s">
        <v>87</v>
      </c>
      <c r="C25" s="2" t="s">
        <v>88</v>
      </c>
      <c r="D25" s="2" t="s">
        <v>18</v>
      </c>
      <c r="E25" s="22" t="s">
        <v>17</v>
      </c>
      <c r="F25" s="2"/>
      <c r="I25" s="2" t="s">
        <v>87</v>
      </c>
      <c r="J25" s="2" t="s">
        <v>88</v>
      </c>
      <c r="K25" s="2" t="s">
        <v>65</v>
      </c>
      <c r="L25" s="22" t="s">
        <v>60</v>
      </c>
      <c r="M25" s="2"/>
    </row>
    <row r="26" spans="2:13" x14ac:dyDescent="0.25">
      <c r="B26" s="2" t="s">
        <v>87</v>
      </c>
      <c r="C26" s="2" t="s">
        <v>88</v>
      </c>
      <c r="D26" s="2" t="s">
        <v>19</v>
      </c>
      <c r="E26" s="22" t="s">
        <v>17</v>
      </c>
      <c r="F26" s="2"/>
      <c r="I26" s="2" t="s">
        <v>87</v>
      </c>
      <c r="J26" s="2" t="s">
        <v>88</v>
      </c>
      <c r="K26" s="2" t="s">
        <v>66</v>
      </c>
      <c r="L26" s="22" t="s">
        <v>60</v>
      </c>
      <c r="M26" s="2"/>
    </row>
    <row r="27" spans="2:13" x14ac:dyDescent="0.25">
      <c r="B27" s="2" t="s">
        <v>87</v>
      </c>
      <c r="C27" s="2" t="s">
        <v>88</v>
      </c>
      <c r="D27" s="2" t="s">
        <v>20</v>
      </c>
      <c r="E27" s="22" t="s">
        <v>17</v>
      </c>
      <c r="F27" s="2"/>
      <c r="I27" s="2" t="s">
        <v>87</v>
      </c>
      <c r="J27" s="2" t="s">
        <v>88</v>
      </c>
      <c r="K27" s="2" t="s">
        <v>67</v>
      </c>
      <c r="L27" s="22" t="s">
        <v>60</v>
      </c>
      <c r="M27" s="2"/>
    </row>
    <row r="28" spans="2:13" x14ac:dyDescent="0.25">
      <c r="B28" s="2" t="s">
        <v>87</v>
      </c>
      <c r="C28" s="2" t="s">
        <v>88</v>
      </c>
      <c r="D28" s="2" t="s">
        <v>21</v>
      </c>
      <c r="E28" s="22" t="s">
        <v>17</v>
      </c>
      <c r="F28" s="2"/>
      <c r="I28" s="2" t="s">
        <v>87</v>
      </c>
      <c r="J28" s="2" t="s">
        <v>88</v>
      </c>
      <c r="K28" s="2" t="s">
        <v>68</v>
      </c>
      <c r="L28" s="22" t="s">
        <v>60</v>
      </c>
      <c r="M28" s="2"/>
    </row>
    <row r="29" spans="2:13" x14ac:dyDescent="0.25">
      <c r="B29" s="2" t="s">
        <v>87</v>
      </c>
      <c r="C29" s="2" t="s">
        <v>88</v>
      </c>
      <c r="D29" s="2" t="s">
        <v>22</v>
      </c>
      <c r="E29" s="22" t="s">
        <v>17</v>
      </c>
      <c r="F29" s="2"/>
      <c r="I29" s="2" t="s">
        <v>87</v>
      </c>
      <c r="J29" s="2" t="s">
        <v>88</v>
      </c>
      <c r="K29" s="2" t="s">
        <v>69</v>
      </c>
      <c r="L29" s="22" t="s">
        <v>60</v>
      </c>
      <c r="M29" s="2"/>
    </row>
    <row r="30" spans="2:13" x14ac:dyDescent="0.25">
      <c r="B30" s="2" t="s">
        <v>87</v>
      </c>
      <c r="C30" s="2" t="s">
        <v>88</v>
      </c>
      <c r="D30" s="2" t="s">
        <v>23</v>
      </c>
      <c r="E30" s="22" t="s">
        <v>17</v>
      </c>
      <c r="F30" s="2"/>
      <c r="I30" s="2" t="s">
        <v>87</v>
      </c>
      <c r="J30" s="2" t="s">
        <v>88</v>
      </c>
      <c r="K30" s="2" t="s">
        <v>70</v>
      </c>
      <c r="L30" s="22" t="s">
        <v>71</v>
      </c>
      <c r="M30" s="2"/>
    </row>
    <row r="31" spans="2:13" x14ac:dyDescent="0.25">
      <c r="B31" s="2" t="s">
        <v>87</v>
      </c>
      <c r="C31" s="2" t="s">
        <v>88</v>
      </c>
      <c r="D31" s="2" t="s">
        <v>24</v>
      </c>
      <c r="E31" s="22" t="s">
        <v>17</v>
      </c>
      <c r="F31" s="2"/>
      <c r="I31" s="2" t="s">
        <v>87</v>
      </c>
      <c r="J31" s="2" t="s">
        <v>88</v>
      </c>
      <c r="K31" s="2" t="s">
        <v>72</v>
      </c>
      <c r="L31" s="22" t="s">
        <v>71</v>
      </c>
      <c r="M31" s="2"/>
    </row>
    <row r="32" spans="2:13" x14ac:dyDescent="0.25">
      <c r="B32" s="2" t="s">
        <v>87</v>
      </c>
      <c r="C32" s="2" t="s">
        <v>88</v>
      </c>
      <c r="D32" s="2" t="s">
        <v>25</v>
      </c>
      <c r="E32" s="22" t="s">
        <v>17</v>
      </c>
      <c r="F32" s="2"/>
      <c r="I32" s="2" t="s">
        <v>87</v>
      </c>
      <c r="J32" s="2" t="s">
        <v>88</v>
      </c>
      <c r="K32" s="2" t="s">
        <v>73</v>
      </c>
      <c r="L32" s="22" t="s">
        <v>71</v>
      </c>
      <c r="M32" s="2"/>
    </row>
    <row r="33" spans="2:13" x14ac:dyDescent="0.25">
      <c r="B33" s="2" t="s">
        <v>87</v>
      </c>
      <c r="C33" s="2" t="s">
        <v>88</v>
      </c>
      <c r="D33" s="2" t="s">
        <v>26</v>
      </c>
      <c r="E33" s="22" t="s">
        <v>17</v>
      </c>
      <c r="F33" s="2"/>
      <c r="I33" s="2" t="s">
        <v>87</v>
      </c>
      <c r="J33" s="2" t="s">
        <v>88</v>
      </c>
      <c r="K33" s="2" t="s">
        <v>74</v>
      </c>
      <c r="L33" s="22" t="s">
        <v>71</v>
      </c>
      <c r="M33" s="2"/>
    </row>
    <row r="34" spans="2:13" x14ac:dyDescent="0.25">
      <c r="B34" s="2" t="s">
        <v>87</v>
      </c>
      <c r="C34" s="2" t="s">
        <v>88</v>
      </c>
      <c r="D34" s="2" t="s">
        <v>27</v>
      </c>
      <c r="E34" s="22" t="s">
        <v>17</v>
      </c>
      <c r="F34" s="2"/>
      <c r="I34" s="2" t="s">
        <v>87</v>
      </c>
      <c r="J34" s="2" t="s">
        <v>88</v>
      </c>
      <c r="K34" s="2" t="s">
        <v>75</v>
      </c>
      <c r="L34" s="22" t="s">
        <v>71</v>
      </c>
      <c r="M34" s="2"/>
    </row>
    <row r="35" spans="2:13" x14ac:dyDescent="0.25">
      <c r="B35" s="2" t="s">
        <v>87</v>
      </c>
      <c r="C35" s="2" t="s">
        <v>88</v>
      </c>
      <c r="D35" s="2" t="s">
        <v>28</v>
      </c>
      <c r="E35" s="22" t="s">
        <v>17</v>
      </c>
      <c r="F35" s="2"/>
      <c r="I35" s="2" t="s">
        <v>87</v>
      </c>
      <c r="J35" s="2" t="s">
        <v>88</v>
      </c>
      <c r="K35" s="2" t="s">
        <v>76</v>
      </c>
      <c r="L35" s="22" t="s">
        <v>71</v>
      </c>
      <c r="M35" s="2"/>
    </row>
    <row r="36" spans="2:13" x14ac:dyDescent="0.25">
      <c r="B36" s="2" t="s">
        <v>87</v>
      </c>
      <c r="C36" s="2" t="s">
        <v>88</v>
      </c>
      <c r="D36" s="2" t="s">
        <v>29</v>
      </c>
      <c r="E36" s="22" t="s">
        <v>17</v>
      </c>
      <c r="F36" s="2"/>
      <c r="I36" s="2" t="s">
        <v>87</v>
      </c>
      <c r="J36" s="2" t="s">
        <v>88</v>
      </c>
      <c r="K36" s="2" t="s">
        <v>77</v>
      </c>
      <c r="L36" s="22" t="s">
        <v>71</v>
      </c>
      <c r="M36" s="2"/>
    </row>
    <row r="37" spans="2:13" x14ac:dyDescent="0.25">
      <c r="B37" s="2" t="s">
        <v>87</v>
      </c>
      <c r="C37" s="2" t="s">
        <v>88</v>
      </c>
      <c r="D37" s="2" t="s">
        <v>30</v>
      </c>
      <c r="E37" s="22" t="s">
        <v>17</v>
      </c>
      <c r="F37" s="2"/>
      <c r="I37" s="2" t="s">
        <v>87</v>
      </c>
      <c r="J37" s="2" t="s">
        <v>88</v>
      </c>
      <c r="K37" s="2" t="s">
        <v>78</v>
      </c>
      <c r="L37" s="22" t="s">
        <v>71</v>
      </c>
      <c r="M37" s="2"/>
    </row>
    <row r="38" spans="2:13" x14ac:dyDescent="0.25">
      <c r="B38" s="2" t="s">
        <v>87</v>
      </c>
      <c r="C38" s="2" t="s">
        <v>88</v>
      </c>
      <c r="D38" s="2" t="s">
        <v>31</v>
      </c>
      <c r="E38" s="22" t="s">
        <v>17</v>
      </c>
      <c r="F38" s="2"/>
      <c r="I38" s="2" t="s">
        <v>87</v>
      </c>
      <c r="J38" s="2" t="s">
        <v>88</v>
      </c>
      <c r="K38" s="2" t="s">
        <v>79</v>
      </c>
      <c r="L38" s="22" t="s">
        <v>71</v>
      </c>
      <c r="M38" s="2"/>
    </row>
    <row r="39" spans="2:13" x14ac:dyDescent="0.25">
      <c r="B39" s="2" t="s">
        <v>87</v>
      </c>
      <c r="C39" s="2" t="s">
        <v>88</v>
      </c>
      <c r="D39" s="2" t="s">
        <v>32</v>
      </c>
      <c r="E39" s="22" t="s">
        <v>17</v>
      </c>
      <c r="F39" s="2"/>
      <c r="I39" s="2" t="s">
        <v>87</v>
      </c>
      <c r="J39" s="2" t="s">
        <v>88</v>
      </c>
      <c r="K39" s="2" t="s">
        <v>80</v>
      </c>
      <c r="L39" s="22" t="s">
        <v>71</v>
      </c>
      <c r="M39" s="2"/>
    </row>
    <row r="40" spans="2:13" x14ac:dyDescent="0.25">
      <c r="B40" s="2" t="s">
        <v>87</v>
      </c>
      <c r="C40" s="2" t="s">
        <v>88</v>
      </c>
      <c r="D40" s="2" t="s">
        <v>33</v>
      </c>
      <c r="E40" s="22" t="s">
        <v>17</v>
      </c>
      <c r="F40" s="2"/>
    </row>
    <row r="41" spans="2:13" x14ac:dyDescent="0.25">
      <c r="B41" s="2" t="s">
        <v>87</v>
      </c>
      <c r="C41" s="2" t="s">
        <v>88</v>
      </c>
      <c r="D41" s="2" t="s">
        <v>34</v>
      </c>
      <c r="E41" s="22" t="s">
        <v>17</v>
      </c>
      <c r="F41" s="2"/>
    </row>
    <row r="42" spans="2:13" x14ac:dyDescent="0.25">
      <c r="B42" s="2" t="s">
        <v>87</v>
      </c>
      <c r="C42" s="2" t="s">
        <v>88</v>
      </c>
      <c r="D42" s="2" t="s">
        <v>35</v>
      </c>
      <c r="E42" s="22" t="s">
        <v>17</v>
      </c>
      <c r="F42" s="2"/>
    </row>
    <row r="43" spans="2:13" x14ac:dyDescent="0.25">
      <c r="B43" s="2" t="s">
        <v>87</v>
      </c>
      <c r="C43" s="2" t="s">
        <v>88</v>
      </c>
      <c r="D43" s="2" t="s">
        <v>36</v>
      </c>
      <c r="E43" s="22" t="s">
        <v>17</v>
      </c>
      <c r="F43" s="2"/>
    </row>
    <row r="44" spans="2:13" x14ac:dyDescent="0.25">
      <c r="B44" s="2" t="s">
        <v>87</v>
      </c>
      <c r="C44" s="2" t="s">
        <v>88</v>
      </c>
      <c r="D44" s="2" t="s">
        <v>37</v>
      </c>
      <c r="E44" s="22" t="s">
        <v>17</v>
      </c>
      <c r="F44" s="2"/>
    </row>
    <row r="45" spans="2:13" x14ac:dyDescent="0.25">
      <c r="B45" s="2" t="s">
        <v>87</v>
      </c>
      <c r="C45" s="2" t="s">
        <v>88</v>
      </c>
      <c r="D45" s="2" t="s">
        <v>38</v>
      </c>
      <c r="E45" s="22" t="s">
        <v>17</v>
      </c>
      <c r="F45" s="2"/>
    </row>
    <row r="46" spans="2:13" x14ac:dyDescent="0.25">
      <c r="B46" s="2" t="s">
        <v>87</v>
      </c>
      <c r="C46" s="2" t="s">
        <v>88</v>
      </c>
      <c r="D46" s="2" t="s">
        <v>39</v>
      </c>
      <c r="E46" s="22" t="s">
        <v>17</v>
      </c>
      <c r="F46" s="2"/>
    </row>
    <row r="47" spans="2:13" x14ac:dyDescent="0.25">
      <c r="B47" s="2" t="s">
        <v>87</v>
      </c>
      <c r="C47" s="2" t="s">
        <v>88</v>
      </c>
      <c r="D47" s="2" t="s">
        <v>40</v>
      </c>
      <c r="E47" s="22" t="s">
        <v>17</v>
      </c>
      <c r="F47" s="2"/>
    </row>
    <row r="48" spans="2:13" x14ac:dyDescent="0.25">
      <c r="B48" s="2" t="s">
        <v>87</v>
      </c>
      <c r="C48" s="2" t="s">
        <v>88</v>
      </c>
      <c r="D48" s="2" t="s">
        <v>41</v>
      </c>
      <c r="E48" s="22" t="s">
        <v>17</v>
      </c>
      <c r="F48" s="2"/>
    </row>
    <row r="49" spans="2:13" x14ac:dyDescent="0.25">
      <c r="B49" s="2" t="s">
        <v>87</v>
      </c>
      <c r="C49" s="2" t="s">
        <v>88</v>
      </c>
      <c r="D49" s="2" t="s">
        <v>42</v>
      </c>
      <c r="E49" s="22" t="s">
        <v>17</v>
      </c>
      <c r="F49" s="2"/>
    </row>
    <row r="50" spans="2:13" x14ac:dyDescent="0.25">
      <c r="B50" s="2" t="s">
        <v>87</v>
      </c>
      <c r="C50" s="2" t="s">
        <v>88</v>
      </c>
      <c r="D50" s="2" t="s">
        <v>43</v>
      </c>
      <c r="E50" s="22" t="s">
        <v>17</v>
      </c>
      <c r="F50" s="2"/>
    </row>
    <row r="51" spans="2:13" x14ac:dyDescent="0.25">
      <c r="B51" s="2" t="s">
        <v>87</v>
      </c>
      <c r="C51" s="2" t="s">
        <v>88</v>
      </c>
      <c r="D51" s="2" t="s">
        <v>44</v>
      </c>
      <c r="E51" s="22" t="s">
        <v>17</v>
      </c>
      <c r="F51" s="2"/>
    </row>
    <row r="52" spans="2:13" x14ac:dyDescent="0.25">
      <c r="B52" s="2" t="s">
        <v>87</v>
      </c>
      <c r="C52" s="2" t="s">
        <v>88</v>
      </c>
      <c r="D52" s="2" t="s">
        <v>45</v>
      </c>
      <c r="E52" s="22" t="s">
        <v>17</v>
      </c>
      <c r="F52" s="2"/>
    </row>
    <row r="53" spans="2:13" x14ac:dyDescent="0.25">
      <c r="B53" s="2" t="s">
        <v>87</v>
      </c>
      <c r="C53" s="2" t="s">
        <v>88</v>
      </c>
      <c r="D53" s="2" t="s">
        <v>46</v>
      </c>
      <c r="E53" s="22" t="s">
        <v>17</v>
      </c>
      <c r="F53" s="2"/>
    </row>
    <row r="58" spans="2:13" ht="15.75" thickBot="1" x14ac:dyDescent="0.3">
      <c r="B58" s="23" t="s">
        <v>131</v>
      </c>
      <c r="C58" s="106"/>
      <c r="D58" s="106"/>
      <c r="E58" s="23" t="s">
        <v>132</v>
      </c>
      <c r="F58" s="106"/>
      <c r="G58" s="106"/>
      <c r="H58" s="23" t="s">
        <v>133</v>
      </c>
      <c r="I58" s="106"/>
      <c r="J58" s="106"/>
      <c r="K58" s="23" t="s">
        <v>134</v>
      </c>
      <c r="L58" s="107"/>
      <c r="M58" s="107"/>
    </row>
  </sheetData>
  <mergeCells count="6">
    <mergeCell ref="C2:L4"/>
    <mergeCell ref="B6:M6"/>
    <mergeCell ref="C58:D58"/>
    <mergeCell ref="F58:G58"/>
    <mergeCell ref="I58:J58"/>
    <mergeCell ref="L58:M5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50"/>
  </sheetPr>
  <dimension ref="B2:AX82"/>
  <sheetViews>
    <sheetView zoomScale="91" zoomScaleNormal="85" workbookViewId="0">
      <pane xSplit="14" topLeftCell="O1" activePane="topRight" state="frozen"/>
      <selection activeCell="E86" sqref="E86"/>
      <selection pane="topRight" activeCell="A12" sqref="A12"/>
    </sheetView>
  </sheetViews>
  <sheetFormatPr baseColWidth="10" defaultColWidth="8.7109375" defaultRowHeight="15" x14ac:dyDescent="0.25"/>
  <cols>
    <col min="1" max="1" width="8.7109375" style="1"/>
    <col min="2" max="2" width="11.7109375" style="1" customWidth="1"/>
    <col min="3" max="3" width="14.42578125" style="1" bestFit="1" customWidth="1"/>
    <col min="4" max="4" width="19.140625" style="1" customWidth="1"/>
    <col min="5" max="5" width="14.5703125" style="1" bestFit="1" customWidth="1"/>
    <col min="6" max="6" width="8.7109375" style="1"/>
    <col min="7" max="7" width="14.85546875" style="1" bestFit="1" customWidth="1"/>
    <col min="8" max="8" width="10.7109375" style="1" bestFit="1" customWidth="1"/>
    <col min="9" max="9" width="10.140625" style="1" customWidth="1"/>
    <col min="10" max="10" width="7.5703125" style="1" customWidth="1"/>
    <col min="11" max="11" width="4.7109375" style="1" customWidth="1"/>
    <col min="12" max="12" width="9" style="1" customWidth="1"/>
    <col min="13" max="13" width="5.5703125" style="1" customWidth="1"/>
    <col min="14" max="14" width="10.140625" style="1" bestFit="1" customWidth="1"/>
    <col min="15" max="16" width="9.140625" style="1" bestFit="1" customWidth="1"/>
    <col min="17" max="30" width="8.7109375" style="1"/>
    <col min="31" max="32" width="8.7109375" style="17"/>
    <col min="33" max="37" width="8.7109375" style="1"/>
    <col min="38" max="38" width="8.7109375" style="1" customWidth="1"/>
    <col min="39" max="39" width="8.7109375" style="1"/>
    <col min="40" max="40" width="0" style="1" hidden="1" customWidth="1"/>
    <col min="41" max="42" width="8.7109375" style="1"/>
    <col min="43" max="43" width="10" style="1" bestFit="1" customWidth="1"/>
    <col min="44" max="44" width="10" style="1" customWidth="1"/>
    <col min="45" max="45" width="13" style="1" bestFit="1" customWidth="1"/>
    <col min="46" max="46" width="11.5703125" style="1" bestFit="1" customWidth="1"/>
    <col min="47" max="47" width="8.7109375" style="1"/>
    <col min="48" max="48" width="12.85546875" style="1" customWidth="1"/>
    <col min="49" max="49" width="16.5703125" style="1" customWidth="1"/>
    <col min="50" max="16384" width="8.7109375" style="1"/>
  </cols>
  <sheetData>
    <row r="2" spans="2:50" x14ac:dyDescent="0.25">
      <c r="B2" s="4" t="s">
        <v>99</v>
      </c>
      <c r="C2" s="88" t="s">
        <v>100</v>
      </c>
      <c r="D2" s="88"/>
    </row>
    <row r="3" spans="2:50" x14ac:dyDescent="0.25">
      <c r="B3" s="89">
        <f ca="1">TODAY()</f>
        <v>46309</v>
      </c>
      <c r="C3" s="4" t="s">
        <v>97</v>
      </c>
      <c r="D3" s="2" t="s">
        <v>127</v>
      </c>
      <c r="H3" s="4" t="s">
        <v>84</v>
      </c>
    </row>
    <row r="4" spans="2:50" x14ac:dyDescent="0.25">
      <c r="B4" s="89"/>
      <c r="C4" s="4" t="s">
        <v>98</v>
      </c>
      <c r="D4" s="2"/>
      <c r="H4" s="4" t="s">
        <v>85</v>
      </c>
      <c r="O4" s="87">
        <v>46209</v>
      </c>
      <c r="P4" s="87"/>
      <c r="Q4" s="87">
        <v>46210</v>
      </c>
      <c r="R4" s="87"/>
      <c r="S4" s="87">
        <v>46211</v>
      </c>
      <c r="T4" s="87"/>
      <c r="U4" s="87">
        <v>46212</v>
      </c>
      <c r="V4" s="87"/>
      <c r="W4" s="87">
        <v>46213</v>
      </c>
      <c r="X4" s="87"/>
      <c r="Y4" s="87">
        <v>46216</v>
      </c>
      <c r="Z4" s="87"/>
      <c r="AA4" s="87">
        <v>46217</v>
      </c>
      <c r="AB4" s="87"/>
      <c r="AC4" s="87">
        <v>46218</v>
      </c>
      <c r="AD4" s="87"/>
      <c r="AE4" s="87">
        <v>46219</v>
      </c>
      <c r="AF4" s="87"/>
      <c r="AG4" s="87">
        <v>46220</v>
      </c>
      <c r="AH4" s="87"/>
      <c r="AI4" s="6" t="s">
        <v>92</v>
      </c>
    </row>
    <row r="5" spans="2:50" x14ac:dyDescent="0.25">
      <c r="B5" s="4" t="s">
        <v>0</v>
      </c>
      <c r="C5" s="4" t="s">
        <v>86</v>
      </c>
      <c r="D5" s="4" t="s">
        <v>89</v>
      </c>
      <c r="E5" s="4" t="s">
        <v>81</v>
      </c>
      <c r="F5" s="4" t="s">
        <v>82</v>
      </c>
      <c r="G5" s="4" t="s">
        <v>83</v>
      </c>
      <c r="H5" s="5" t="s">
        <v>101</v>
      </c>
      <c r="I5" s="4" t="s">
        <v>103</v>
      </c>
      <c r="J5" s="4" t="s">
        <v>91</v>
      </c>
      <c r="K5" s="4" t="s">
        <v>93</v>
      </c>
      <c r="L5" s="4" t="s">
        <v>94</v>
      </c>
      <c r="M5" s="4" t="s">
        <v>95</v>
      </c>
      <c r="N5" s="4" t="s">
        <v>96</v>
      </c>
      <c r="O5" s="4" t="s">
        <v>97</v>
      </c>
      <c r="P5" s="4" t="s">
        <v>98</v>
      </c>
      <c r="Q5" s="4" t="s">
        <v>97</v>
      </c>
      <c r="R5" s="4" t="s">
        <v>98</v>
      </c>
      <c r="S5" s="4" t="s">
        <v>97</v>
      </c>
      <c r="T5" s="4" t="s">
        <v>98</v>
      </c>
      <c r="U5" s="4" t="s">
        <v>97</v>
      </c>
      <c r="V5" s="4" t="s">
        <v>98</v>
      </c>
      <c r="W5" s="4" t="s">
        <v>97</v>
      </c>
      <c r="X5" s="4" t="s">
        <v>98</v>
      </c>
      <c r="Y5" s="4" t="s">
        <v>97</v>
      </c>
      <c r="Z5" s="4" t="s">
        <v>98</v>
      </c>
      <c r="AA5" s="4" t="s">
        <v>97</v>
      </c>
      <c r="AB5" s="4" t="s">
        <v>98</v>
      </c>
      <c r="AC5" s="4" t="s">
        <v>97</v>
      </c>
      <c r="AD5" s="4" t="s">
        <v>98</v>
      </c>
      <c r="AE5" s="18" t="s">
        <v>97</v>
      </c>
      <c r="AF5" s="18" t="s">
        <v>98</v>
      </c>
      <c r="AG5" s="4" t="s">
        <v>97</v>
      </c>
      <c r="AH5" s="4" t="s">
        <v>98</v>
      </c>
      <c r="AI5" s="4" t="s">
        <v>104</v>
      </c>
      <c r="AJ5" s="4" t="s">
        <v>90</v>
      </c>
      <c r="AK5" s="4" t="s">
        <v>126</v>
      </c>
      <c r="AL5" s="4" t="s">
        <v>105</v>
      </c>
      <c r="AM5" s="4" t="s">
        <v>105</v>
      </c>
      <c r="AN5" s="4" t="s">
        <v>106</v>
      </c>
      <c r="AO5" s="4" t="s">
        <v>106</v>
      </c>
      <c r="AP5" s="4" t="s">
        <v>107</v>
      </c>
      <c r="AQ5" s="4" t="s">
        <v>109</v>
      </c>
      <c r="AR5" s="4" t="s">
        <v>122</v>
      </c>
      <c r="AS5" s="4" t="s">
        <v>118</v>
      </c>
      <c r="AT5" s="4" t="s">
        <v>120</v>
      </c>
      <c r="AV5" s="16" t="s">
        <v>123</v>
      </c>
      <c r="AW5" s="15" t="s">
        <v>125</v>
      </c>
      <c r="AX5"/>
    </row>
    <row r="6" spans="2:50" x14ac:dyDescent="0.25">
      <c r="B6" s="2" t="s">
        <v>87</v>
      </c>
      <c r="C6" s="2" t="s">
        <v>88</v>
      </c>
      <c r="D6" s="2" t="s">
        <v>1</v>
      </c>
      <c r="E6" s="2" t="s">
        <v>2</v>
      </c>
      <c r="F6" s="2">
        <v>0.42</v>
      </c>
      <c r="G6" s="3">
        <v>0.02</v>
      </c>
      <c r="H6" s="2">
        <f>VLOOKUP(D6,'[1]LENNOX WK 29'!$A$3:$E$76,5,0)</f>
        <v>1300</v>
      </c>
      <c r="I6" s="2">
        <v>0</v>
      </c>
      <c r="J6" s="2">
        <v>0</v>
      </c>
      <c r="K6" s="2"/>
      <c r="L6" s="2">
        <f>600+5000</f>
        <v>5600</v>
      </c>
      <c r="M6" s="2"/>
      <c r="N6" s="8">
        <f>+H6+I6+J6+K6+L6+M6-SUM(O6:AI6)</f>
        <v>5600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1300</v>
      </c>
      <c r="AA6" s="2"/>
      <c r="AB6" s="2"/>
      <c r="AC6" s="2"/>
      <c r="AD6" s="2"/>
      <c r="AE6" s="19"/>
      <c r="AF6" s="19"/>
      <c r="AG6" s="2"/>
      <c r="AH6" s="2"/>
      <c r="AI6" s="2">
        <v>0</v>
      </c>
      <c r="AJ6" s="7">
        <f>+G6*SUM(H6:M6)</f>
        <v>138</v>
      </c>
      <c r="AK6" s="7">
        <v>1000</v>
      </c>
      <c r="AL6" s="7">
        <v>0</v>
      </c>
      <c r="AM6" s="8">
        <f t="shared" ref="AM6:AM37" si="0">+H6*AL6</f>
        <v>0</v>
      </c>
      <c r="AN6" s="8">
        <v>0</v>
      </c>
      <c r="AO6" s="8">
        <f t="shared" ref="AO6:AO37" si="1">+H6*AN6</f>
        <v>0</v>
      </c>
      <c r="AP6" s="8">
        <f>+AO6*2</f>
        <v>0</v>
      </c>
      <c r="AQ6" s="8">
        <v>0</v>
      </c>
      <c r="AR6" s="8">
        <v>0</v>
      </c>
      <c r="AS6" s="8" t="s">
        <v>119</v>
      </c>
      <c r="AT6" s="8" t="s">
        <v>121</v>
      </c>
      <c r="AV6" s="14">
        <v>0</v>
      </c>
      <c r="AW6" s="15">
        <v>0</v>
      </c>
      <c r="AX6"/>
    </row>
    <row r="7" spans="2:50" x14ac:dyDescent="0.25">
      <c r="B7" s="2" t="s">
        <v>87</v>
      </c>
      <c r="C7" s="2" t="s">
        <v>88</v>
      </c>
      <c r="D7" s="2" t="s">
        <v>3</v>
      </c>
      <c r="E7" s="2" t="s">
        <v>2</v>
      </c>
      <c r="F7" s="2">
        <v>0.42</v>
      </c>
      <c r="G7" s="3">
        <v>3.1E-2</v>
      </c>
      <c r="H7" s="2">
        <f>VLOOKUP(D7,'[1]LENNOX WK 29'!$A$3:$E$76,5,0)</f>
        <v>5600</v>
      </c>
      <c r="I7" s="2">
        <v>0</v>
      </c>
      <c r="J7" s="2">
        <v>0</v>
      </c>
      <c r="K7" s="2"/>
      <c r="L7" s="2">
        <f>2500+4000</f>
        <v>6500</v>
      </c>
      <c r="M7" s="2"/>
      <c r="N7" s="8">
        <f t="shared" ref="N7:N70" si="2">+H7+I7+J7+K7+L7+M7-SUM(O7:AI7)</f>
        <v>4338</v>
      </c>
      <c r="O7" s="2">
        <v>0</v>
      </c>
      <c r="P7" s="2">
        <v>1200</v>
      </c>
      <c r="Q7" s="2">
        <v>0</v>
      </c>
      <c r="R7" s="2">
        <v>1630</v>
      </c>
      <c r="S7" s="2">
        <v>0</v>
      </c>
      <c r="T7" s="2">
        <v>650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/>
      <c r="AB7" s="2">
        <v>1200</v>
      </c>
      <c r="AC7" s="2"/>
      <c r="AD7" s="2">
        <v>1600</v>
      </c>
      <c r="AE7" s="19"/>
      <c r="AF7" s="19">
        <v>1482</v>
      </c>
      <c r="AG7" s="2"/>
      <c r="AH7" s="2"/>
      <c r="AI7" s="2">
        <v>0</v>
      </c>
      <c r="AJ7" s="7">
        <f t="shared" ref="AJ7:AJ70" si="3">+G7*SUM(H7:M7)</f>
        <v>375.1</v>
      </c>
      <c r="AK7" s="7">
        <v>1000</v>
      </c>
      <c r="AL7" s="7">
        <v>0</v>
      </c>
      <c r="AM7" s="8">
        <f t="shared" si="0"/>
        <v>0</v>
      </c>
      <c r="AN7" s="8">
        <v>0</v>
      </c>
      <c r="AO7" s="8">
        <f t="shared" si="1"/>
        <v>0</v>
      </c>
      <c r="AP7" s="8">
        <f t="shared" ref="AP7:AP70" si="4">+AO7*2</f>
        <v>0</v>
      </c>
      <c r="AQ7" s="8">
        <v>0</v>
      </c>
      <c r="AR7" s="8">
        <v>0</v>
      </c>
      <c r="AS7" s="8" t="s">
        <v>119</v>
      </c>
      <c r="AT7" s="8" t="s">
        <v>121</v>
      </c>
      <c r="AV7" s="14" t="s">
        <v>117</v>
      </c>
      <c r="AW7" s="15">
        <v>128</v>
      </c>
      <c r="AX7"/>
    </row>
    <row r="8" spans="2:50" x14ac:dyDescent="0.25">
      <c r="B8" s="2" t="s">
        <v>87</v>
      </c>
      <c r="C8" s="2" t="s">
        <v>88</v>
      </c>
      <c r="D8" s="2" t="s">
        <v>4</v>
      </c>
      <c r="E8" s="2" t="s">
        <v>2</v>
      </c>
      <c r="F8" s="2">
        <v>0.42</v>
      </c>
      <c r="G8" s="3">
        <v>3.3000000000000002E-2</v>
      </c>
      <c r="H8" s="2">
        <f>VLOOKUP(D8,'[1]LENNOX WK 29'!$A$3:$E$76,5,0)</f>
        <v>1200</v>
      </c>
      <c r="I8" s="2">
        <v>0</v>
      </c>
      <c r="J8" s="2">
        <v>0</v>
      </c>
      <c r="K8" s="2"/>
      <c r="L8" s="2">
        <f>500+1200</f>
        <v>1700</v>
      </c>
      <c r="M8" s="2"/>
      <c r="N8" s="8">
        <f t="shared" si="2"/>
        <v>1300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400</v>
      </c>
      <c r="U8" s="2">
        <v>0</v>
      </c>
      <c r="V8" s="2">
        <v>800</v>
      </c>
      <c r="W8" s="2">
        <v>0</v>
      </c>
      <c r="X8" s="2">
        <v>0</v>
      </c>
      <c r="Y8" s="2">
        <v>0</v>
      </c>
      <c r="Z8" s="2">
        <v>0</v>
      </c>
      <c r="AA8" s="2"/>
      <c r="AB8" s="2"/>
      <c r="AC8" s="2"/>
      <c r="AD8" s="2"/>
      <c r="AE8" s="19"/>
      <c r="AF8" s="19">
        <v>400</v>
      </c>
      <c r="AG8" s="2"/>
      <c r="AH8" s="2"/>
      <c r="AI8" s="2">
        <v>0</v>
      </c>
      <c r="AJ8" s="7">
        <f t="shared" si="3"/>
        <v>95.7</v>
      </c>
      <c r="AK8" s="7">
        <v>1000</v>
      </c>
      <c r="AL8" s="7">
        <v>0</v>
      </c>
      <c r="AM8" s="8">
        <f t="shared" si="0"/>
        <v>0</v>
      </c>
      <c r="AN8" s="8">
        <v>0</v>
      </c>
      <c r="AO8" s="8">
        <f t="shared" si="1"/>
        <v>0</v>
      </c>
      <c r="AP8" s="8">
        <f t="shared" si="4"/>
        <v>0</v>
      </c>
      <c r="AQ8" s="8">
        <v>0</v>
      </c>
      <c r="AR8" s="8">
        <v>0</v>
      </c>
      <c r="AS8" s="8" t="s">
        <v>119</v>
      </c>
      <c r="AT8" s="8" t="s">
        <v>121</v>
      </c>
      <c r="AV8" s="14" t="s">
        <v>113</v>
      </c>
      <c r="AW8" s="15">
        <v>0</v>
      </c>
      <c r="AX8"/>
    </row>
    <row r="9" spans="2:50" x14ac:dyDescent="0.25">
      <c r="B9" s="2" t="s">
        <v>87</v>
      </c>
      <c r="C9" s="2" t="s">
        <v>88</v>
      </c>
      <c r="D9" s="2" t="s">
        <v>5</v>
      </c>
      <c r="E9" s="2" t="s">
        <v>2</v>
      </c>
      <c r="F9" s="2">
        <v>0.42</v>
      </c>
      <c r="G9" s="3">
        <v>1.9E-2</v>
      </c>
      <c r="H9" s="2">
        <f>VLOOKUP(D9,'[1]LENNOX WK 29'!$A$3:$E$76,5,0)</f>
        <v>1400</v>
      </c>
      <c r="I9" s="2">
        <v>0</v>
      </c>
      <c r="J9" s="2">
        <v>0</v>
      </c>
      <c r="K9" s="2"/>
      <c r="L9" s="2">
        <v>0</v>
      </c>
      <c r="M9" s="2"/>
      <c r="N9" s="8">
        <f t="shared" si="2"/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/>
      <c r="AB9" s="2">
        <v>800</v>
      </c>
      <c r="AC9" s="2"/>
      <c r="AD9" s="2">
        <v>600</v>
      </c>
      <c r="AE9" s="19"/>
      <c r="AF9" s="19"/>
      <c r="AG9" s="2"/>
      <c r="AH9" s="2"/>
      <c r="AI9" s="2">
        <v>0</v>
      </c>
      <c r="AJ9" s="7">
        <f t="shared" si="3"/>
        <v>26.599999999999998</v>
      </c>
      <c r="AK9" s="7">
        <v>1000</v>
      </c>
      <c r="AL9" s="7">
        <v>0</v>
      </c>
      <c r="AM9" s="8">
        <f t="shared" si="0"/>
        <v>0</v>
      </c>
      <c r="AN9" s="8">
        <v>0</v>
      </c>
      <c r="AO9" s="8">
        <f t="shared" si="1"/>
        <v>0</v>
      </c>
      <c r="AP9" s="8">
        <f t="shared" si="4"/>
        <v>0</v>
      </c>
      <c r="AQ9" s="8">
        <v>0</v>
      </c>
      <c r="AR9" s="8">
        <v>0</v>
      </c>
      <c r="AS9" s="8" t="s">
        <v>119</v>
      </c>
      <c r="AT9" s="8" t="s">
        <v>121</v>
      </c>
      <c r="AV9" s="14" t="s">
        <v>110</v>
      </c>
      <c r="AW9" s="15">
        <v>864</v>
      </c>
      <c r="AX9"/>
    </row>
    <row r="10" spans="2:50" x14ac:dyDescent="0.25">
      <c r="B10" s="2" t="s">
        <v>87</v>
      </c>
      <c r="C10" s="2" t="s">
        <v>88</v>
      </c>
      <c r="D10" s="2" t="s">
        <v>6</v>
      </c>
      <c r="E10" s="2" t="s">
        <v>2</v>
      </c>
      <c r="F10" s="2">
        <v>0.42</v>
      </c>
      <c r="G10" s="3">
        <v>0.03</v>
      </c>
      <c r="H10" s="2">
        <f>VLOOKUP(D10,'[1]LENNOX WK 29'!$A$3:$E$76,5,0)</f>
        <v>200</v>
      </c>
      <c r="I10" s="2">
        <v>0</v>
      </c>
      <c r="J10" s="2">
        <v>0</v>
      </c>
      <c r="K10" s="2"/>
      <c r="L10" s="2">
        <v>1000</v>
      </c>
      <c r="M10" s="2"/>
      <c r="N10" s="8">
        <f t="shared" si="2"/>
        <v>1000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/>
      <c r="AB10" s="2"/>
      <c r="AC10" s="2"/>
      <c r="AD10" s="2">
        <v>200</v>
      </c>
      <c r="AE10" s="19"/>
      <c r="AF10" s="19"/>
      <c r="AG10" s="2"/>
      <c r="AH10" s="2"/>
      <c r="AI10" s="2">
        <v>0</v>
      </c>
      <c r="AJ10" s="7">
        <f t="shared" si="3"/>
        <v>36</v>
      </c>
      <c r="AK10" s="7">
        <v>1000</v>
      </c>
      <c r="AL10" s="7">
        <v>0</v>
      </c>
      <c r="AM10" s="8">
        <f t="shared" si="0"/>
        <v>0</v>
      </c>
      <c r="AN10" s="8">
        <v>0</v>
      </c>
      <c r="AO10" s="8">
        <f t="shared" si="1"/>
        <v>0</v>
      </c>
      <c r="AP10" s="8">
        <f t="shared" si="4"/>
        <v>0</v>
      </c>
      <c r="AQ10" s="8">
        <v>0</v>
      </c>
      <c r="AR10" s="8">
        <v>0</v>
      </c>
      <c r="AS10" s="8" t="s">
        <v>119</v>
      </c>
      <c r="AT10" s="8" t="s">
        <v>121</v>
      </c>
      <c r="AV10" s="14" t="s">
        <v>116</v>
      </c>
      <c r="AW10" s="15">
        <v>0</v>
      </c>
      <c r="AX10"/>
    </row>
    <row r="11" spans="2:50" x14ac:dyDescent="0.25">
      <c r="B11" s="2" t="s">
        <v>87</v>
      </c>
      <c r="C11" s="2" t="s">
        <v>88</v>
      </c>
      <c r="D11" s="2" t="s">
        <v>7</v>
      </c>
      <c r="E11" s="2" t="s">
        <v>2</v>
      </c>
      <c r="F11" s="2">
        <v>0.42</v>
      </c>
      <c r="G11" s="3">
        <v>2.1999999999999999E-2</v>
      </c>
      <c r="H11" s="2">
        <f>VLOOKUP(D11,'[1]LENNOX WK 29'!$A$3:$E$76,5,0)</f>
        <v>600</v>
      </c>
      <c r="I11" s="2">
        <v>0</v>
      </c>
      <c r="J11" s="2">
        <v>0</v>
      </c>
      <c r="K11" s="2"/>
      <c r="L11" s="2">
        <v>2000</v>
      </c>
      <c r="M11" s="2"/>
      <c r="N11" s="8">
        <f t="shared" si="2"/>
        <v>1707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600</v>
      </c>
      <c r="AA11" s="2"/>
      <c r="AB11" s="2"/>
      <c r="AC11" s="2"/>
      <c r="AD11" s="2"/>
      <c r="AE11" s="19"/>
      <c r="AF11" s="19">
        <v>293</v>
      </c>
      <c r="AG11" s="2"/>
      <c r="AH11" s="2"/>
      <c r="AI11" s="2">
        <v>0</v>
      </c>
      <c r="AJ11" s="7">
        <f t="shared" si="3"/>
        <v>57.199999999999996</v>
      </c>
      <c r="AK11" s="7">
        <v>1000</v>
      </c>
      <c r="AL11" s="7">
        <v>0</v>
      </c>
      <c r="AM11" s="8">
        <f t="shared" si="0"/>
        <v>0</v>
      </c>
      <c r="AN11" s="8">
        <v>0</v>
      </c>
      <c r="AO11" s="8">
        <f t="shared" si="1"/>
        <v>0</v>
      </c>
      <c r="AP11" s="8">
        <f t="shared" si="4"/>
        <v>0</v>
      </c>
      <c r="AQ11" s="8">
        <v>0</v>
      </c>
      <c r="AR11" s="8">
        <v>0</v>
      </c>
      <c r="AS11" s="8" t="s">
        <v>119</v>
      </c>
      <c r="AT11" s="8" t="s">
        <v>121</v>
      </c>
      <c r="AV11" s="14" t="s">
        <v>111</v>
      </c>
      <c r="AW11" s="15">
        <v>7704</v>
      </c>
      <c r="AX11"/>
    </row>
    <row r="12" spans="2:50" x14ac:dyDescent="0.25">
      <c r="B12" s="2" t="s">
        <v>87</v>
      </c>
      <c r="C12" s="2" t="s">
        <v>88</v>
      </c>
      <c r="D12" s="2" t="s">
        <v>8</v>
      </c>
      <c r="E12" s="2" t="s">
        <v>2</v>
      </c>
      <c r="F12" s="2">
        <v>0.42</v>
      </c>
      <c r="G12" s="3">
        <v>2.3E-2</v>
      </c>
      <c r="H12" s="2">
        <f>VLOOKUP(D12,'[1]LENNOX WK 29'!$A$3:$E$76,5,0)</f>
        <v>0</v>
      </c>
      <c r="I12" s="2">
        <v>0</v>
      </c>
      <c r="J12" s="2">
        <v>0</v>
      </c>
      <c r="K12" s="2"/>
      <c r="L12" s="2">
        <v>0</v>
      </c>
      <c r="M12" s="2"/>
      <c r="N12" s="8">
        <f t="shared" si="2"/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/>
      <c r="AB12" s="2"/>
      <c r="AC12" s="2"/>
      <c r="AD12" s="2"/>
      <c r="AE12" s="19"/>
      <c r="AF12" s="19"/>
      <c r="AG12" s="2"/>
      <c r="AH12" s="2"/>
      <c r="AI12" s="2">
        <v>0</v>
      </c>
      <c r="AJ12" s="7">
        <f t="shared" si="3"/>
        <v>0</v>
      </c>
      <c r="AK12" s="7">
        <v>1000</v>
      </c>
      <c r="AL12" s="7">
        <v>0</v>
      </c>
      <c r="AM12" s="8">
        <f t="shared" si="0"/>
        <v>0</v>
      </c>
      <c r="AN12" s="8">
        <v>0</v>
      </c>
      <c r="AO12" s="8">
        <f t="shared" si="1"/>
        <v>0</v>
      </c>
      <c r="AP12" s="8">
        <f t="shared" si="4"/>
        <v>0</v>
      </c>
      <c r="AQ12" s="8">
        <v>0</v>
      </c>
      <c r="AR12" s="8">
        <v>0</v>
      </c>
      <c r="AS12" s="8" t="s">
        <v>119</v>
      </c>
      <c r="AT12" s="8" t="s">
        <v>121</v>
      </c>
      <c r="AV12" s="14" t="s">
        <v>112</v>
      </c>
      <c r="AW12" s="15">
        <v>3840</v>
      </c>
      <c r="AX12"/>
    </row>
    <row r="13" spans="2:50" x14ac:dyDescent="0.25">
      <c r="B13" s="2" t="s">
        <v>87</v>
      </c>
      <c r="C13" s="2" t="s">
        <v>88</v>
      </c>
      <c r="D13" s="2" t="s">
        <v>9</v>
      </c>
      <c r="E13" s="2" t="s">
        <v>10</v>
      </c>
      <c r="F13" s="2">
        <v>2.8000000000000001E-2</v>
      </c>
      <c r="G13" s="3">
        <v>5.7000000000000002E-2</v>
      </c>
      <c r="H13" s="2">
        <f>VLOOKUP(D13,'[1]LENNOX WK 29'!$A$3:$E$76,5,0)</f>
        <v>0</v>
      </c>
      <c r="I13" s="2">
        <v>0</v>
      </c>
      <c r="J13" s="2">
        <v>0</v>
      </c>
      <c r="K13" s="2"/>
      <c r="L13" s="2">
        <v>0</v>
      </c>
      <c r="M13" s="2"/>
      <c r="N13" s="8">
        <f t="shared" si="2"/>
        <v>-3900</v>
      </c>
      <c r="O13" s="2">
        <v>0</v>
      </c>
      <c r="P13" s="2">
        <v>1200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900</v>
      </c>
      <c r="W13" s="2">
        <v>700</v>
      </c>
      <c r="X13" s="2">
        <v>700</v>
      </c>
      <c r="Y13" s="2">
        <v>400</v>
      </c>
      <c r="Z13" s="2">
        <v>0</v>
      </c>
      <c r="AA13" s="2"/>
      <c r="AB13" s="2"/>
      <c r="AC13" s="2"/>
      <c r="AD13" s="2"/>
      <c r="AE13" s="19"/>
      <c r="AF13" s="19"/>
      <c r="AG13" s="2"/>
      <c r="AH13" s="2"/>
      <c r="AI13" s="2">
        <v>0</v>
      </c>
      <c r="AJ13" s="7">
        <f t="shared" si="3"/>
        <v>0</v>
      </c>
      <c r="AK13" s="7">
        <v>1000</v>
      </c>
      <c r="AL13" s="7">
        <v>0</v>
      </c>
      <c r="AM13" s="8">
        <f t="shared" si="0"/>
        <v>0</v>
      </c>
      <c r="AN13" s="8">
        <v>0</v>
      </c>
      <c r="AO13" s="8">
        <f t="shared" si="1"/>
        <v>0</v>
      </c>
      <c r="AP13" s="8">
        <f t="shared" si="4"/>
        <v>0</v>
      </c>
      <c r="AQ13" s="8">
        <v>0</v>
      </c>
      <c r="AR13" s="8">
        <v>0</v>
      </c>
      <c r="AS13" s="8" t="s">
        <v>119</v>
      </c>
      <c r="AT13" s="8" t="s">
        <v>121</v>
      </c>
      <c r="AV13" s="14" t="s">
        <v>114</v>
      </c>
      <c r="AW13" s="15">
        <v>1280</v>
      </c>
      <c r="AX13"/>
    </row>
    <row r="14" spans="2:50" x14ac:dyDescent="0.25">
      <c r="B14" s="2" t="s">
        <v>87</v>
      </c>
      <c r="C14" s="2" t="s">
        <v>88</v>
      </c>
      <c r="D14" s="2" t="s">
        <v>11</v>
      </c>
      <c r="E14" s="2" t="s">
        <v>10</v>
      </c>
      <c r="F14" s="2">
        <v>2.8000000000000001E-2</v>
      </c>
      <c r="G14" s="3">
        <v>4.3999999999999997E-2</v>
      </c>
      <c r="H14" s="2">
        <f>VLOOKUP(D14,'[1]LENNOX WK 29'!$A$3:$E$76,5,0)</f>
        <v>0</v>
      </c>
      <c r="I14" s="2">
        <v>600</v>
      </c>
      <c r="J14" s="2">
        <v>0</v>
      </c>
      <c r="K14" s="2"/>
      <c r="L14" s="2">
        <v>1500</v>
      </c>
      <c r="M14" s="2"/>
      <c r="N14" s="8">
        <f t="shared" si="2"/>
        <v>-2966</v>
      </c>
      <c r="O14" s="2">
        <v>1200</v>
      </c>
      <c r="P14" s="2">
        <v>0</v>
      </c>
      <c r="Q14" s="2">
        <v>566</v>
      </c>
      <c r="R14" s="2">
        <v>0</v>
      </c>
      <c r="S14" s="2">
        <v>0</v>
      </c>
      <c r="T14" s="2">
        <v>700</v>
      </c>
      <c r="U14" s="2">
        <v>600</v>
      </c>
      <c r="V14" s="2">
        <v>0</v>
      </c>
      <c r="W14" s="2">
        <v>500</v>
      </c>
      <c r="X14" s="2">
        <v>0</v>
      </c>
      <c r="Y14" s="2">
        <v>0</v>
      </c>
      <c r="Z14" s="2">
        <v>0</v>
      </c>
      <c r="AA14" s="2"/>
      <c r="AB14" s="2"/>
      <c r="AC14" s="2"/>
      <c r="AD14" s="2"/>
      <c r="AE14" s="19"/>
      <c r="AF14" s="19"/>
      <c r="AG14" s="2">
        <v>1500</v>
      </c>
      <c r="AH14" s="2"/>
      <c r="AI14" s="2">
        <v>0</v>
      </c>
      <c r="AJ14" s="7">
        <f t="shared" si="3"/>
        <v>92.399999999999991</v>
      </c>
      <c r="AK14" s="7">
        <v>1000</v>
      </c>
      <c r="AL14" s="7">
        <v>0</v>
      </c>
      <c r="AM14" s="8">
        <f t="shared" si="0"/>
        <v>0</v>
      </c>
      <c r="AN14" s="8">
        <v>0</v>
      </c>
      <c r="AO14" s="8">
        <f t="shared" si="1"/>
        <v>0</v>
      </c>
      <c r="AP14" s="8">
        <f t="shared" si="4"/>
        <v>0</v>
      </c>
      <c r="AQ14" s="8">
        <v>0</v>
      </c>
      <c r="AR14" s="8">
        <v>0</v>
      </c>
      <c r="AS14" s="8" t="s">
        <v>119</v>
      </c>
      <c r="AT14" s="8" t="s">
        <v>121</v>
      </c>
      <c r="AV14" s="14" t="s">
        <v>115</v>
      </c>
      <c r="AW14" s="15">
        <v>384</v>
      </c>
      <c r="AX14"/>
    </row>
    <row r="15" spans="2:50" x14ac:dyDescent="0.25">
      <c r="B15" s="2" t="s">
        <v>87</v>
      </c>
      <c r="C15" s="2" t="s">
        <v>88</v>
      </c>
      <c r="D15" s="2" t="s">
        <v>12</v>
      </c>
      <c r="E15" s="2" t="s">
        <v>10</v>
      </c>
      <c r="F15" s="2">
        <v>2.8000000000000001E-2</v>
      </c>
      <c r="G15" s="3">
        <v>1.4999999999999999E-2</v>
      </c>
      <c r="H15" s="2">
        <f>VLOOKUP(D15,'[1]LENNOX WK 29'!$A$3:$E$76,5,0)</f>
        <v>1300</v>
      </c>
      <c r="I15" s="2">
        <v>0</v>
      </c>
      <c r="J15" s="2">
        <v>0</v>
      </c>
      <c r="K15" s="2"/>
      <c r="L15" s="2">
        <v>4000</v>
      </c>
      <c r="M15" s="2"/>
      <c r="N15" s="8">
        <f t="shared" si="2"/>
        <v>2400</v>
      </c>
      <c r="O15" s="2">
        <v>0</v>
      </c>
      <c r="P15" s="2">
        <v>0</v>
      </c>
      <c r="Q15" s="2">
        <v>1300</v>
      </c>
      <c r="R15" s="2">
        <v>0</v>
      </c>
      <c r="S15" s="2">
        <v>0</v>
      </c>
      <c r="T15" s="2">
        <v>400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/>
      <c r="AB15" s="2"/>
      <c r="AC15" s="2"/>
      <c r="AD15" s="2"/>
      <c r="AE15" s="19"/>
      <c r="AF15" s="19"/>
      <c r="AG15" s="2"/>
      <c r="AH15" s="2">
        <v>1200</v>
      </c>
      <c r="AI15" s="2">
        <v>0</v>
      </c>
      <c r="AJ15" s="7">
        <f t="shared" si="3"/>
        <v>79.5</v>
      </c>
      <c r="AK15" s="7">
        <v>1000</v>
      </c>
      <c r="AL15" s="7">
        <v>0</v>
      </c>
      <c r="AM15" s="8">
        <f t="shared" si="0"/>
        <v>0</v>
      </c>
      <c r="AN15" s="8">
        <v>0</v>
      </c>
      <c r="AO15" s="8">
        <f t="shared" si="1"/>
        <v>0</v>
      </c>
      <c r="AP15" s="8">
        <f t="shared" si="4"/>
        <v>0</v>
      </c>
      <c r="AQ15" s="8">
        <v>0</v>
      </c>
      <c r="AR15" s="8">
        <v>0</v>
      </c>
      <c r="AS15" s="8" t="s">
        <v>119</v>
      </c>
      <c r="AT15" s="8" t="s">
        <v>121</v>
      </c>
      <c r="AV15" s="14" t="s">
        <v>124</v>
      </c>
      <c r="AW15" s="15">
        <v>14200</v>
      </c>
      <c r="AX15"/>
    </row>
    <row r="16" spans="2:50" x14ac:dyDescent="0.25">
      <c r="B16" s="2" t="s">
        <v>87</v>
      </c>
      <c r="C16" s="2" t="s">
        <v>88</v>
      </c>
      <c r="D16" s="2" t="s">
        <v>13</v>
      </c>
      <c r="E16" s="2" t="s">
        <v>10</v>
      </c>
      <c r="F16" s="2">
        <v>2.8000000000000001E-2</v>
      </c>
      <c r="G16" s="3">
        <v>1.9E-2</v>
      </c>
      <c r="H16" s="2">
        <f>VLOOKUP(D16,'[1]LENNOX WK 29'!$A$3:$E$76,5,0)</f>
        <v>700</v>
      </c>
      <c r="I16" s="2">
        <v>300</v>
      </c>
      <c r="J16" s="2">
        <v>0</v>
      </c>
      <c r="K16" s="2"/>
      <c r="L16" s="2">
        <v>400</v>
      </c>
      <c r="M16" s="2"/>
      <c r="N16" s="8">
        <f t="shared" si="2"/>
        <v>400</v>
      </c>
      <c r="O16" s="2">
        <v>0</v>
      </c>
      <c r="P16" s="2">
        <v>0</v>
      </c>
      <c r="Q16" s="2">
        <v>0</v>
      </c>
      <c r="R16" s="2">
        <v>0</v>
      </c>
      <c r="S16" s="2">
        <v>700</v>
      </c>
      <c r="T16" s="2">
        <v>0</v>
      </c>
      <c r="U16" s="2">
        <v>300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/>
      <c r="AB16" s="2"/>
      <c r="AC16" s="2"/>
      <c r="AD16" s="2"/>
      <c r="AE16" s="19"/>
      <c r="AF16" s="19"/>
      <c r="AG16" s="2"/>
      <c r="AH16" s="2"/>
      <c r="AI16" s="2">
        <v>0</v>
      </c>
      <c r="AJ16" s="7">
        <f t="shared" si="3"/>
        <v>26.599999999999998</v>
      </c>
      <c r="AK16" s="7">
        <v>1000</v>
      </c>
      <c r="AL16" s="7">
        <v>0</v>
      </c>
      <c r="AM16" s="8">
        <f t="shared" si="0"/>
        <v>0</v>
      </c>
      <c r="AN16" s="8">
        <v>0</v>
      </c>
      <c r="AO16" s="8">
        <f t="shared" si="1"/>
        <v>0</v>
      </c>
      <c r="AP16" s="8">
        <f t="shared" si="4"/>
        <v>0</v>
      </c>
      <c r="AQ16" s="8">
        <v>0</v>
      </c>
      <c r="AR16" s="8">
        <v>0</v>
      </c>
      <c r="AS16" s="8" t="s">
        <v>119</v>
      </c>
      <c r="AT16" s="8" t="s">
        <v>121</v>
      </c>
      <c r="AV16"/>
      <c r="AW16"/>
      <c r="AX16"/>
    </row>
    <row r="17" spans="2:50" x14ac:dyDescent="0.25">
      <c r="B17" s="2" t="s">
        <v>87</v>
      </c>
      <c r="C17" s="2" t="s">
        <v>88</v>
      </c>
      <c r="D17" s="2" t="s">
        <v>14</v>
      </c>
      <c r="E17" s="2" t="s">
        <v>10</v>
      </c>
      <c r="F17" s="2">
        <v>2.8000000000000001E-2</v>
      </c>
      <c r="G17" s="3">
        <v>2.4E-2</v>
      </c>
      <c r="H17" s="2">
        <f>VLOOKUP(D17,'[1]LENNOX WK 29'!$A$3:$E$76,5,0)</f>
        <v>700</v>
      </c>
      <c r="I17" s="2">
        <v>700</v>
      </c>
      <c r="J17" s="2">
        <v>4500</v>
      </c>
      <c r="K17" s="2"/>
      <c r="L17" s="2">
        <v>5000</v>
      </c>
      <c r="M17" s="2"/>
      <c r="N17" s="8">
        <f t="shared" si="2"/>
        <v>3600</v>
      </c>
      <c r="O17" s="2">
        <v>0</v>
      </c>
      <c r="P17" s="2">
        <v>0</v>
      </c>
      <c r="Q17" s="2">
        <v>0</v>
      </c>
      <c r="R17" s="2">
        <v>700</v>
      </c>
      <c r="S17" s="2">
        <v>800</v>
      </c>
      <c r="T17" s="2">
        <v>0</v>
      </c>
      <c r="U17" s="2">
        <v>700</v>
      </c>
      <c r="V17" s="2">
        <v>0</v>
      </c>
      <c r="W17" s="2">
        <v>300</v>
      </c>
      <c r="X17" s="2">
        <v>0</v>
      </c>
      <c r="Y17" s="2">
        <v>0</v>
      </c>
      <c r="Z17" s="2">
        <v>0</v>
      </c>
      <c r="AA17" s="2"/>
      <c r="AB17" s="2"/>
      <c r="AC17" s="2">
        <v>1100</v>
      </c>
      <c r="AD17" s="2">
        <v>700</v>
      </c>
      <c r="AE17" s="19">
        <v>1600</v>
      </c>
      <c r="AF17" s="19">
        <v>1400</v>
      </c>
      <c r="AG17" s="2"/>
      <c r="AH17" s="2"/>
      <c r="AI17" s="2">
        <v>0</v>
      </c>
      <c r="AJ17" s="7">
        <f t="shared" si="3"/>
        <v>261.60000000000002</v>
      </c>
      <c r="AK17" s="7">
        <v>1000</v>
      </c>
      <c r="AL17" s="7">
        <v>0</v>
      </c>
      <c r="AM17" s="8">
        <f t="shared" si="0"/>
        <v>0</v>
      </c>
      <c r="AN17" s="8">
        <v>0</v>
      </c>
      <c r="AO17" s="8">
        <f t="shared" si="1"/>
        <v>0</v>
      </c>
      <c r="AP17" s="8">
        <f t="shared" si="4"/>
        <v>0</v>
      </c>
      <c r="AQ17" s="8">
        <v>0</v>
      </c>
      <c r="AR17" s="8">
        <v>0</v>
      </c>
      <c r="AS17" s="8" t="s">
        <v>119</v>
      </c>
      <c r="AT17" s="8" t="s">
        <v>121</v>
      </c>
      <c r="AV17"/>
      <c r="AW17"/>
      <c r="AX17"/>
    </row>
    <row r="18" spans="2:50" x14ac:dyDescent="0.25">
      <c r="B18" s="2" t="s">
        <v>87</v>
      </c>
      <c r="C18" s="2" t="s">
        <v>88</v>
      </c>
      <c r="D18" s="2" t="s">
        <v>15</v>
      </c>
      <c r="E18" s="2" t="s">
        <v>10</v>
      </c>
      <c r="F18" s="2">
        <v>2.8000000000000001E-2</v>
      </c>
      <c r="G18" s="3">
        <v>1.9E-2</v>
      </c>
      <c r="H18" s="2">
        <f>VLOOKUP(D18,'[1]LENNOX WK 29'!$A$3:$E$76,5,0)</f>
        <v>0</v>
      </c>
      <c r="I18" s="2">
        <v>0</v>
      </c>
      <c r="J18" s="2">
        <v>0</v>
      </c>
      <c r="K18" s="2"/>
      <c r="L18" s="2">
        <v>0</v>
      </c>
      <c r="M18" s="2"/>
      <c r="N18" s="8">
        <f t="shared" si="2"/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/>
      <c r="AB18" s="2"/>
      <c r="AC18" s="2"/>
      <c r="AD18" s="2"/>
      <c r="AE18" s="19"/>
      <c r="AF18" s="19"/>
      <c r="AG18" s="2"/>
      <c r="AH18" s="2"/>
      <c r="AI18" s="2">
        <v>0</v>
      </c>
      <c r="AJ18" s="7">
        <f t="shared" si="3"/>
        <v>0</v>
      </c>
      <c r="AK18" s="7">
        <v>1000</v>
      </c>
      <c r="AL18" s="7">
        <v>0</v>
      </c>
      <c r="AM18" s="8">
        <f t="shared" si="0"/>
        <v>0</v>
      </c>
      <c r="AN18" s="8">
        <v>0</v>
      </c>
      <c r="AO18" s="8">
        <f t="shared" si="1"/>
        <v>0</v>
      </c>
      <c r="AP18" s="8">
        <f t="shared" si="4"/>
        <v>0</v>
      </c>
      <c r="AQ18" s="8">
        <v>0</v>
      </c>
      <c r="AR18" s="8">
        <v>0</v>
      </c>
      <c r="AS18" s="8" t="s">
        <v>119</v>
      </c>
      <c r="AT18" s="8" t="s">
        <v>121</v>
      </c>
      <c r="AV18"/>
      <c r="AW18"/>
      <c r="AX18"/>
    </row>
    <row r="19" spans="2:50" x14ac:dyDescent="0.25">
      <c r="B19" s="2" t="s">
        <v>87</v>
      </c>
      <c r="C19" s="2" t="s">
        <v>88</v>
      </c>
      <c r="D19" s="2" t="s">
        <v>16</v>
      </c>
      <c r="E19" s="2" t="s">
        <v>17</v>
      </c>
      <c r="F19" s="2">
        <v>2.8000000000000001E-2</v>
      </c>
      <c r="G19" s="3">
        <v>8.5999999999999993E-2</v>
      </c>
      <c r="H19" s="2">
        <f>VLOOKUP(D19,'[1]LENNOX WK 29'!$A$3:$E$76,5,0)</f>
        <v>100</v>
      </c>
      <c r="I19" s="2">
        <v>0</v>
      </c>
      <c r="J19" s="2">
        <v>500</v>
      </c>
      <c r="K19" s="2"/>
      <c r="L19" s="2">
        <v>0</v>
      </c>
      <c r="M19" s="2"/>
      <c r="N19" s="8">
        <f t="shared" si="2"/>
        <v>-55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100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/>
      <c r="AB19" s="2"/>
      <c r="AC19" s="2"/>
      <c r="AD19" s="2"/>
      <c r="AE19" s="19">
        <v>555</v>
      </c>
      <c r="AF19" s="19"/>
      <c r="AG19" s="2"/>
      <c r="AH19" s="2"/>
      <c r="AI19" s="2">
        <v>0</v>
      </c>
      <c r="AJ19" s="7">
        <f t="shared" si="3"/>
        <v>51.599999999999994</v>
      </c>
      <c r="AK19" s="7">
        <v>100</v>
      </c>
      <c r="AL19" s="7">
        <v>0</v>
      </c>
      <c r="AM19" s="8">
        <f t="shared" si="0"/>
        <v>0</v>
      </c>
      <c r="AN19" s="8">
        <v>0</v>
      </c>
      <c r="AO19" s="8">
        <f t="shared" si="1"/>
        <v>0</v>
      </c>
      <c r="AP19" s="8">
        <f t="shared" si="4"/>
        <v>0</v>
      </c>
      <c r="AQ19" s="8">
        <v>0</v>
      </c>
      <c r="AR19" s="8">
        <v>0</v>
      </c>
      <c r="AS19" s="8" t="s">
        <v>119</v>
      </c>
      <c r="AT19" s="8" t="s">
        <v>121</v>
      </c>
      <c r="AV19"/>
      <c r="AW19"/>
      <c r="AX19"/>
    </row>
    <row r="20" spans="2:50" x14ac:dyDescent="0.25">
      <c r="B20" s="2" t="s">
        <v>87</v>
      </c>
      <c r="C20" s="2" t="s">
        <v>88</v>
      </c>
      <c r="D20" s="2" t="s">
        <v>18</v>
      </c>
      <c r="E20" s="2" t="s">
        <v>17</v>
      </c>
      <c r="F20" s="2">
        <v>2.8000000000000001E-2</v>
      </c>
      <c r="G20" s="3">
        <v>0.11700000000000001</v>
      </c>
      <c r="H20" s="2">
        <f>VLOOKUP(D20,'[1]LENNOX WK 29'!$A$3:$E$76,5,0)</f>
        <v>0</v>
      </c>
      <c r="I20" s="2">
        <v>0</v>
      </c>
      <c r="J20" s="2">
        <v>0</v>
      </c>
      <c r="K20" s="2"/>
      <c r="L20" s="2">
        <v>0</v>
      </c>
      <c r="M20" s="2"/>
      <c r="N20" s="8">
        <f t="shared" si="2"/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/>
      <c r="AB20" s="2"/>
      <c r="AC20" s="2"/>
      <c r="AD20" s="2"/>
      <c r="AE20" s="19"/>
      <c r="AF20" s="19"/>
      <c r="AG20" s="2"/>
      <c r="AH20" s="2"/>
      <c r="AI20" s="2">
        <v>0</v>
      </c>
      <c r="AJ20" s="7">
        <f t="shared" si="3"/>
        <v>0</v>
      </c>
      <c r="AK20" s="7">
        <v>100</v>
      </c>
      <c r="AL20" s="7">
        <v>0</v>
      </c>
      <c r="AM20" s="8">
        <f t="shared" si="0"/>
        <v>0</v>
      </c>
      <c r="AN20" s="8">
        <v>0</v>
      </c>
      <c r="AO20" s="8">
        <f t="shared" si="1"/>
        <v>0</v>
      </c>
      <c r="AP20" s="8">
        <f t="shared" si="4"/>
        <v>0</v>
      </c>
      <c r="AQ20" s="8">
        <v>0</v>
      </c>
      <c r="AR20" s="8">
        <v>0</v>
      </c>
      <c r="AS20" s="8" t="s">
        <v>119</v>
      </c>
      <c r="AT20" s="8" t="s">
        <v>121</v>
      </c>
      <c r="AV20"/>
      <c r="AW20"/>
      <c r="AX20"/>
    </row>
    <row r="21" spans="2:50" x14ac:dyDescent="0.25">
      <c r="B21" s="2" t="s">
        <v>87</v>
      </c>
      <c r="C21" s="2" t="s">
        <v>88</v>
      </c>
      <c r="D21" s="2" t="s">
        <v>19</v>
      </c>
      <c r="E21" s="2" t="s">
        <v>17</v>
      </c>
      <c r="F21" s="2">
        <v>2.8000000000000001E-2</v>
      </c>
      <c r="G21" s="3">
        <v>0.129</v>
      </c>
      <c r="H21" s="2">
        <f>VLOOKUP(D21,'[1]LENNOX WK 29'!$A$3:$E$76,5,0)</f>
        <v>0</v>
      </c>
      <c r="I21" s="2">
        <v>300</v>
      </c>
      <c r="J21" s="2">
        <v>100</v>
      </c>
      <c r="K21" s="2"/>
      <c r="L21" s="2">
        <v>300</v>
      </c>
      <c r="M21" s="2"/>
      <c r="N21" s="8">
        <f t="shared" si="2"/>
        <v>-25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250</v>
      </c>
      <c r="Z21" s="2">
        <v>0</v>
      </c>
      <c r="AA21" s="2"/>
      <c r="AB21" s="2"/>
      <c r="AC21" s="2">
        <v>100</v>
      </c>
      <c r="AD21" s="2"/>
      <c r="AE21" s="19"/>
      <c r="AF21" s="19"/>
      <c r="AG21" s="2">
        <v>375</v>
      </c>
      <c r="AH21" s="2"/>
      <c r="AI21" s="2">
        <v>0</v>
      </c>
      <c r="AJ21" s="7">
        <f t="shared" si="3"/>
        <v>90.3</v>
      </c>
      <c r="AK21" s="7">
        <v>100</v>
      </c>
      <c r="AL21" s="7">
        <v>0</v>
      </c>
      <c r="AM21" s="8">
        <f t="shared" si="0"/>
        <v>0</v>
      </c>
      <c r="AN21" s="8">
        <v>0</v>
      </c>
      <c r="AO21" s="8">
        <f t="shared" si="1"/>
        <v>0</v>
      </c>
      <c r="AP21" s="8">
        <f t="shared" si="4"/>
        <v>0</v>
      </c>
      <c r="AQ21" s="8">
        <v>0</v>
      </c>
      <c r="AR21" s="8">
        <v>0</v>
      </c>
      <c r="AS21" s="8" t="s">
        <v>119</v>
      </c>
      <c r="AT21" s="8" t="s">
        <v>121</v>
      </c>
      <c r="AV21"/>
      <c r="AW21"/>
      <c r="AX21"/>
    </row>
    <row r="22" spans="2:50" x14ac:dyDescent="0.25">
      <c r="B22" s="2" t="s">
        <v>87</v>
      </c>
      <c r="C22" s="2" t="s">
        <v>88</v>
      </c>
      <c r="D22" s="2" t="s">
        <v>20</v>
      </c>
      <c r="E22" s="2" t="s">
        <v>17</v>
      </c>
      <c r="F22" s="2">
        <v>2.8000000000000001E-2</v>
      </c>
      <c r="G22" s="3">
        <v>0.11899999999999999</v>
      </c>
      <c r="H22" s="2">
        <f>VLOOKUP(D22,'[1]LENNOX WK 29'!$A$3:$E$76,5,0)</f>
        <v>0</v>
      </c>
      <c r="I22" s="2">
        <v>0</v>
      </c>
      <c r="J22" s="2">
        <v>0</v>
      </c>
      <c r="K22" s="2"/>
      <c r="L22" s="2">
        <v>0</v>
      </c>
      <c r="M22" s="2"/>
      <c r="N22" s="8">
        <f t="shared" si="2"/>
        <v>-250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250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/>
      <c r="AB22" s="2"/>
      <c r="AC22" s="2"/>
      <c r="AD22" s="2"/>
      <c r="AE22" s="19"/>
      <c r="AF22" s="19"/>
      <c r="AG22" s="2"/>
      <c r="AH22" s="2"/>
      <c r="AI22" s="2">
        <v>0</v>
      </c>
      <c r="AJ22" s="7">
        <f t="shared" si="3"/>
        <v>0</v>
      </c>
      <c r="AK22" s="7">
        <v>100</v>
      </c>
      <c r="AL22" s="7">
        <v>0</v>
      </c>
      <c r="AM22" s="8">
        <f t="shared" si="0"/>
        <v>0</v>
      </c>
      <c r="AN22" s="8">
        <v>0</v>
      </c>
      <c r="AO22" s="8">
        <f t="shared" si="1"/>
        <v>0</v>
      </c>
      <c r="AP22" s="8">
        <f t="shared" si="4"/>
        <v>0</v>
      </c>
      <c r="AQ22" s="8">
        <v>0</v>
      </c>
      <c r="AR22" s="8">
        <v>0</v>
      </c>
      <c r="AS22" s="8" t="s">
        <v>119</v>
      </c>
      <c r="AT22" s="8" t="s">
        <v>121</v>
      </c>
      <c r="AV22"/>
      <c r="AW22"/>
      <c r="AX22"/>
    </row>
    <row r="23" spans="2:50" x14ac:dyDescent="0.25">
      <c r="B23" s="2" t="s">
        <v>87</v>
      </c>
      <c r="C23" s="2" t="s">
        <v>88</v>
      </c>
      <c r="D23" s="2" t="s">
        <v>21</v>
      </c>
      <c r="E23" s="2" t="s">
        <v>17</v>
      </c>
      <c r="F23" s="2">
        <v>2.8000000000000001E-2</v>
      </c>
      <c r="G23" s="3">
        <v>0.127</v>
      </c>
      <c r="H23" s="2">
        <f>VLOOKUP(D23,'[1]LENNOX WK 29'!$A$3:$E$76,5,0)</f>
        <v>0</v>
      </c>
      <c r="I23" s="2">
        <v>0</v>
      </c>
      <c r="J23" s="2">
        <v>0</v>
      </c>
      <c r="K23" s="2"/>
      <c r="L23" s="2">
        <v>900</v>
      </c>
      <c r="M23" s="2"/>
      <c r="N23" s="8">
        <f t="shared" si="2"/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/>
      <c r="AB23" s="2"/>
      <c r="AC23" s="2"/>
      <c r="AD23" s="2"/>
      <c r="AE23" s="19"/>
      <c r="AF23" s="19"/>
      <c r="AG23" s="2">
        <v>900</v>
      </c>
      <c r="AH23" s="2"/>
      <c r="AI23" s="2">
        <v>0</v>
      </c>
      <c r="AJ23" s="7">
        <f t="shared" si="3"/>
        <v>114.3</v>
      </c>
      <c r="AK23" s="7">
        <v>100</v>
      </c>
      <c r="AL23" s="7">
        <v>0</v>
      </c>
      <c r="AM23" s="8">
        <f t="shared" si="0"/>
        <v>0</v>
      </c>
      <c r="AN23" s="8">
        <v>0</v>
      </c>
      <c r="AO23" s="8">
        <f t="shared" si="1"/>
        <v>0</v>
      </c>
      <c r="AP23" s="8">
        <f t="shared" si="4"/>
        <v>0</v>
      </c>
      <c r="AQ23" s="8">
        <v>0</v>
      </c>
      <c r="AR23" s="8">
        <v>0</v>
      </c>
      <c r="AS23" s="8" t="s">
        <v>119</v>
      </c>
      <c r="AT23" s="8" t="s">
        <v>121</v>
      </c>
    </row>
    <row r="24" spans="2:50" x14ac:dyDescent="0.25">
      <c r="B24" s="2" t="s">
        <v>87</v>
      </c>
      <c r="C24" s="2" t="s">
        <v>88</v>
      </c>
      <c r="D24" s="2" t="s">
        <v>22</v>
      </c>
      <c r="E24" s="2" t="s">
        <v>17</v>
      </c>
      <c r="F24" s="2">
        <v>2.8000000000000001E-2</v>
      </c>
      <c r="G24" s="3">
        <v>0.114</v>
      </c>
      <c r="H24" s="2">
        <f>VLOOKUP(D24,'[1]LENNOX WK 29'!$A$3:$E$76,5,0)</f>
        <v>0</v>
      </c>
      <c r="I24" s="2">
        <v>1000</v>
      </c>
      <c r="J24" s="2">
        <v>0</v>
      </c>
      <c r="K24" s="2"/>
      <c r="L24" s="2">
        <v>0</v>
      </c>
      <c r="M24" s="2"/>
      <c r="N24" s="8">
        <f t="shared" si="2"/>
        <v>-55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315</v>
      </c>
      <c r="V24" s="2">
        <v>0</v>
      </c>
      <c r="W24" s="2">
        <v>640</v>
      </c>
      <c r="X24" s="2">
        <v>0</v>
      </c>
      <c r="Y24" s="2">
        <v>100</v>
      </c>
      <c r="Z24" s="2">
        <v>0</v>
      </c>
      <c r="AA24" s="2"/>
      <c r="AB24" s="2"/>
      <c r="AC24" s="2"/>
      <c r="AD24" s="2"/>
      <c r="AE24" s="19"/>
      <c r="AF24" s="18"/>
      <c r="AG24" s="2"/>
      <c r="AH24" s="2"/>
      <c r="AI24" s="2">
        <v>0</v>
      </c>
      <c r="AJ24" s="7">
        <f t="shared" si="3"/>
        <v>114</v>
      </c>
      <c r="AK24" s="7">
        <v>100</v>
      </c>
      <c r="AL24" s="7">
        <v>0</v>
      </c>
      <c r="AM24" s="8">
        <f t="shared" si="0"/>
        <v>0</v>
      </c>
      <c r="AN24" s="8">
        <v>0</v>
      </c>
      <c r="AO24" s="8">
        <f t="shared" si="1"/>
        <v>0</v>
      </c>
      <c r="AP24" s="8">
        <f t="shared" si="4"/>
        <v>0</v>
      </c>
      <c r="AQ24" s="8">
        <v>0</v>
      </c>
      <c r="AR24" s="8">
        <v>0</v>
      </c>
      <c r="AS24" s="8" t="s">
        <v>119</v>
      </c>
      <c r="AT24" s="8" t="s">
        <v>121</v>
      </c>
    </row>
    <row r="25" spans="2:50" x14ac:dyDescent="0.25">
      <c r="B25" s="2" t="s">
        <v>87</v>
      </c>
      <c r="C25" s="2" t="s">
        <v>88</v>
      </c>
      <c r="D25" s="2" t="s">
        <v>23</v>
      </c>
      <c r="E25" s="2" t="s">
        <v>17</v>
      </c>
      <c r="F25" s="2">
        <v>2.8000000000000001E-2</v>
      </c>
      <c r="G25" s="3">
        <v>6.9000000000000006E-2</v>
      </c>
      <c r="H25" s="2">
        <f>VLOOKUP(D25,'[1]LENNOX WK 29'!$A$3:$E$76,5,0)</f>
        <v>0</v>
      </c>
      <c r="I25" s="2">
        <v>300</v>
      </c>
      <c r="J25" s="2">
        <v>0</v>
      </c>
      <c r="K25" s="2"/>
      <c r="L25" s="2">
        <v>600</v>
      </c>
      <c r="M25" s="2"/>
      <c r="N25" s="8">
        <f t="shared" si="2"/>
        <v>-50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350</v>
      </c>
      <c r="Y25" s="2">
        <v>0</v>
      </c>
      <c r="Z25" s="2">
        <v>0</v>
      </c>
      <c r="AA25" s="2"/>
      <c r="AB25" s="2"/>
      <c r="AC25" s="2"/>
      <c r="AD25" s="2"/>
      <c r="AE25" s="19"/>
      <c r="AF25" s="19"/>
      <c r="AG25" s="2"/>
      <c r="AH25" s="2">
        <v>600</v>
      </c>
      <c r="AI25" s="2">
        <v>0</v>
      </c>
      <c r="AJ25" s="7">
        <f t="shared" si="3"/>
        <v>62.100000000000009</v>
      </c>
      <c r="AK25" s="7">
        <v>100</v>
      </c>
      <c r="AL25" s="7">
        <v>0</v>
      </c>
      <c r="AM25" s="8">
        <f t="shared" si="0"/>
        <v>0</v>
      </c>
      <c r="AN25" s="8">
        <v>0</v>
      </c>
      <c r="AO25" s="8">
        <f t="shared" si="1"/>
        <v>0</v>
      </c>
      <c r="AP25" s="8">
        <f t="shared" si="4"/>
        <v>0</v>
      </c>
      <c r="AQ25" s="8">
        <v>0</v>
      </c>
      <c r="AR25" s="8">
        <v>0</v>
      </c>
      <c r="AS25" s="8" t="s">
        <v>119</v>
      </c>
      <c r="AT25" s="8" t="s">
        <v>121</v>
      </c>
    </row>
    <row r="26" spans="2:50" x14ac:dyDescent="0.25">
      <c r="B26" s="2" t="s">
        <v>87</v>
      </c>
      <c r="C26" s="2" t="s">
        <v>88</v>
      </c>
      <c r="D26" s="2" t="s">
        <v>24</v>
      </c>
      <c r="E26" s="2" t="s">
        <v>17</v>
      </c>
      <c r="F26" s="2">
        <v>2.8000000000000001E-2</v>
      </c>
      <c r="G26" s="3">
        <v>0.129</v>
      </c>
      <c r="H26" s="2">
        <f>VLOOKUP(D26,'[1]LENNOX WK 29'!$A$3:$E$76,5,0)</f>
        <v>0</v>
      </c>
      <c r="I26" s="2">
        <v>0</v>
      </c>
      <c r="J26" s="2">
        <v>0</v>
      </c>
      <c r="K26" s="2"/>
      <c r="L26" s="2">
        <v>0</v>
      </c>
      <c r="M26" s="2"/>
      <c r="N26" s="8">
        <f t="shared" si="2"/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/>
      <c r="AB26" s="2"/>
      <c r="AC26" s="2"/>
      <c r="AD26" s="2"/>
      <c r="AE26" s="19"/>
      <c r="AF26" s="19"/>
      <c r="AG26" s="2"/>
      <c r="AH26" s="2"/>
      <c r="AI26" s="2">
        <v>0</v>
      </c>
      <c r="AJ26" s="7">
        <f t="shared" si="3"/>
        <v>0</v>
      </c>
      <c r="AK26" s="7">
        <v>100</v>
      </c>
      <c r="AL26" s="7">
        <v>0</v>
      </c>
      <c r="AM26" s="8">
        <f t="shared" si="0"/>
        <v>0</v>
      </c>
      <c r="AN26" s="8">
        <v>0</v>
      </c>
      <c r="AO26" s="8">
        <f t="shared" si="1"/>
        <v>0</v>
      </c>
      <c r="AP26" s="8">
        <f t="shared" si="4"/>
        <v>0</v>
      </c>
      <c r="AQ26" s="8">
        <v>0</v>
      </c>
      <c r="AR26" s="8">
        <v>0</v>
      </c>
      <c r="AS26" s="8" t="s">
        <v>119</v>
      </c>
      <c r="AT26" s="8" t="s">
        <v>121</v>
      </c>
    </row>
    <row r="27" spans="2:50" x14ac:dyDescent="0.25">
      <c r="B27" s="2" t="s">
        <v>87</v>
      </c>
      <c r="C27" s="2" t="s">
        <v>88</v>
      </c>
      <c r="D27" s="2" t="s">
        <v>25</v>
      </c>
      <c r="E27" s="2" t="s">
        <v>17</v>
      </c>
      <c r="F27" s="2">
        <v>2.8000000000000001E-2</v>
      </c>
      <c r="G27" s="3">
        <v>7.8E-2</v>
      </c>
      <c r="H27" s="2">
        <f>VLOOKUP(D27,'[1]LENNOX WK 29'!$A$3:$E$76,5,0)</f>
        <v>200</v>
      </c>
      <c r="I27" s="2">
        <v>900</v>
      </c>
      <c r="J27" s="2">
        <v>200</v>
      </c>
      <c r="K27" s="2"/>
      <c r="L27" s="2">
        <v>800</v>
      </c>
      <c r="M27" s="2"/>
      <c r="N27" s="8">
        <f t="shared" si="2"/>
        <v>307</v>
      </c>
      <c r="O27" s="2">
        <v>0</v>
      </c>
      <c r="P27" s="2">
        <v>0</v>
      </c>
      <c r="Q27" s="2">
        <v>226</v>
      </c>
      <c r="R27" s="2">
        <v>0</v>
      </c>
      <c r="S27" s="2">
        <v>0</v>
      </c>
      <c r="T27" s="2">
        <v>0</v>
      </c>
      <c r="U27" s="2">
        <v>0</v>
      </c>
      <c r="V27" s="2">
        <v>580</v>
      </c>
      <c r="W27" s="2">
        <v>294</v>
      </c>
      <c r="X27" s="2">
        <v>0</v>
      </c>
      <c r="Y27" s="2">
        <v>0</v>
      </c>
      <c r="Z27" s="2">
        <v>0</v>
      </c>
      <c r="AA27" s="2"/>
      <c r="AB27" s="2"/>
      <c r="AC27" s="2"/>
      <c r="AD27" s="2"/>
      <c r="AE27" s="19">
        <v>209</v>
      </c>
      <c r="AF27" s="19"/>
      <c r="AG27" s="2"/>
      <c r="AH27" s="2">
        <v>484</v>
      </c>
      <c r="AI27" s="2">
        <v>0</v>
      </c>
      <c r="AJ27" s="7">
        <f t="shared" si="3"/>
        <v>163.80000000000001</v>
      </c>
      <c r="AK27" s="7">
        <v>100</v>
      </c>
      <c r="AL27" s="7">
        <v>0</v>
      </c>
      <c r="AM27" s="8">
        <f t="shared" si="0"/>
        <v>0</v>
      </c>
      <c r="AN27" s="8">
        <v>0</v>
      </c>
      <c r="AO27" s="8">
        <f t="shared" si="1"/>
        <v>0</v>
      </c>
      <c r="AP27" s="8">
        <f t="shared" si="4"/>
        <v>0</v>
      </c>
      <c r="AQ27" s="8">
        <v>0</v>
      </c>
      <c r="AR27" s="8">
        <v>0</v>
      </c>
      <c r="AS27" s="8" t="s">
        <v>119</v>
      </c>
      <c r="AT27" s="8" t="s">
        <v>121</v>
      </c>
    </row>
    <row r="28" spans="2:50" x14ac:dyDescent="0.25">
      <c r="B28" s="2" t="s">
        <v>87</v>
      </c>
      <c r="C28" s="2" t="s">
        <v>88</v>
      </c>
      <c r="D28" s="2" t="s">
        <v>26</v>
      </c>
      <c r="E28" s="2" t="s">
        <v>17</v>
      </c>
      <c r="F28" s="2">
        <v>2.8000000000000001E-2</v>
      </c>
      <c r="G28" s="3">
        <v>0.10100000000000001</v>
      </c>
      <c r="H28" s="2">
        <f>VLOOKUP(D28,'[1]LENNOX WK 29'!$A$3:$E$76,5,0)</f>
        <v>600</v>
      </c>
      <c r="I28" s="2">
        <v>1100</v>
      </c>
      <c r="J28" s="2">
        <v>200</v>
      </c>
      <c r="K28" s="2"/>
      <c r="L28" s="2">
        <v>0</v>
      </c>
      <c r="M28" s="2"/>
      <c r="N28" s="8">
        <f t="shared" si="2"/>
        <v>-77</v>
      </c>
      <c r="O28" s="2">
        <v>0</v>
      </c>
      <c r="P28" s="2">
        <v>0</v>
      </c>
      <c r="Q28" s="2">
        <v>300</v>
      </c>
      <c r="R28" s="2">
        <v>320</v>
      </c>
      <c r="S28" s="2">
        <v>0</v>
      </c>
      <c r="T28" s="2">
        <v>634</v>
      </c>
      <c r="U28" s="2">
        <v>523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/>
      <c r="AB28" s="2"/>
      <c r="AC28" s="2">
        <v>200</v>
      </c>
      <c r="AD28" s="2"/>
      <c r="AE28" s="19"/>
      <c r="AF28" s="19"/>
      <c r="AG28" s="2"/>
      <c r="AH28" s="2"/>
      <c r="AI28" s="2">
        <v>0</v>
      </c>
      <c r="AJ28" s="7">
        <f t="shared" si="3"/>
        <v>191.9</v>
      </c>
      <c r="AK28" s="7">
        <v>100</v>
      </c>
      <c r="AL28" s="7">
        <v>0</v>
      </c>
      <c r="AM28" s="8">
        <f t="shared" si="0"/>
        <v>0</v>
      </c>
      <c r="AN28" s="8">
        <v>0</v>
      </c>
      <c r="AO28" s="8">
        <f t="shared" si="1"/>
        <v>0</v>
      </c>
      <c r="AP28" s="8">
        <f t="shared" si="4"/>
        <v>0</v>
      </c>
      <c r="AQ28" s="8">
        <v>0</v>
      </c>
      <c r="AR28" s="8">
        <v>0</v>
      </c>
      <c r="AS28" s="8" t="s">
        <v>119</v>
      </c>
      <c r="AT28" s="8" t="s">
        <v>121</v>
      </c>
    </row>
    <row r="29" spans="2:50" x14ac:dyDescent="0.25">
      <c r="B29" s="2" t="s">
        <v>87</v>
      </c>
      <c r="C29" s="2" t="s">
        <v>88</v>
      </c>
      <c r="D29" s="2" t="s">
        <v>27</v>
      </c>
      <c r="E29" s="2" t="s">
        <v>17</v>
      </c>
      <c r="F29" s="2">
        <v>2.8000000000000001E-2</v>
      </c>
      <c r="G29" s="3">
        <v>7.5999999999999998E-2</v>
      </c>
      <c r="H29" s="2">
        <f>VLOOKUP(D29,'[1]LENNOX WK 29'!$A$3:$E$76,5,0)</f>
        <v>500</v>
      </c>
      <c r="I29" s="2">
        <v>0</v>
      </c>
      <c r="J29" s="2">
        <v>200</v>
      </c>
      <c r="K29" s="2"/>
      <c r="L29" s="2">
        <v>300</v>
      </c>
      <c r="M29" s="2"/>
      <c r="N29" s="8">
        <f t="shared" si="2"/>
        <v>300</v>
      </c>
      <c r="O29" s="2">
        <v>0</v>
      </c>
      <c r="P29" s="2">
        <v>0</v>
      </c>
      <c r="Q29" s="2">
        <v>0</v>
      </c>
      <c r="R29" s="2">
        <v>0</v>
      </c>
      <c r="S29" s="2">
        <v>500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/>
      <c r="AB29" s="2"/>
      <c r="AC29" s="2"/>
      <c r="AD29" s="2"/>
      <c r="AE29" s="19">
        <v>200</v>
      </c>
      <c r="AF29" s="19"/>
      <c r="AG29" s="2"/>
      <c r="AH29" s="2"/>
      <c r="AI29" s="2">
        <v>0</v>
      </c>
      <c r="AJ29" s="7">
        <f t="shared" si="3"/>
        <v>76</v>
      </c>
      <c r="AK29" s="7">
        <v>100</v>
      </c>
      <c r="AL29" s="7">
        <v>0</v>
      </c>
      <c r="AM29" s="8">
        <f t="shared" si="0"/>
        <v>0</v>
      </c>
      <c r="AN29" s="8">
        <v>0</v>
      </c>
      <c r="AO29" s="8">
        <f t="shared" si="1"/>
        <v>0</v>
      </c>
      <c r="AP29" s="8">
        <f t="shared" si="4"/>
        <v>0</v>
      </c>
      <c r="AQ29" s="8">
        <v>0</v>
      </c>
      <c r="AR29" s="8">
        <v>0</v>
      </c>
      <c r="AS29" s="8" t="s">
        <v>119</v>
      </c>
      <c r="AT29" s="8" t="s">
        <v>121</v>
      </c>
    </row>
    <row r="30" spans="2:50" x14ac:dyDescent="0.25">
      <c r="B30" s="2" t="s">
        <v>87</v>
      </c>
      <c r="C30" s="2" t="s">
        <v>88</v>
      </c>
      <c r="D30" s="2" t="s">
        <v>28</v>
      </c>
      <c r="E30" s="2" t="s">
        <v>17</v>
      </c>
      <c r="F30" s="2">
        <v>2.8000000000000001E-2</v>
      </c>
      <c r="G30" s="3">
        <v>4.2000000000000003E-2</v>
      </c>
      <c r="H30" s="2">
        <f>VLOOKUP(D30,'[1]LENNOX WK 29'!$A$3:$E$76,5,0)</f>
        <v>0</v>
      </c>
      <c r="I30" s="2">
        <v>0</v>
      </c>
      <c r="J30" s="2">
        <v>0</v>
      </c>
      <c r="K30" s="2"/>
      <c r="L30" s="2">
        <v>0</v>
      </c>
      <c r="M30" s="2"/>
      <c r="N30" s="8">
        <f t="shared" si="2"/>
        <v>-445</v>
      </c>
      <c r="O30" s="2">
        <v>0</v>
      </c>
      <c r="P30" s="2">
        <v>0</v>
      </c>
      <c r="Q30" s="2">
        <v>0</v>
      </c>
      <c r="R30" s="2">
        <v>0</v>
      </c>
      <c r="S30" s="2">
        <v>445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/>
      <c r="AB30" s="2"/>
      <c r="AC30" s="2"/>
      <c r="AD30" s="2"/>
      <c r="AE30" s="19"/>
      <c r="AF30" s="19"/>
      <c r="AG30" s="2"/>
      <c r="AH30" s="2"/>
      <c r="AI30" s="2">
        <v>0</v>
      </c>
      <c r="AJ30" s="7">
        <f t="shared" si="3"/>
        <v>0</v>
      </c>
      <c r="AK30" s="7">
        <v>100</v>
      </c>
      <c r="AL30" s="7">
        <v>0</v>
      </c>
      <c r="AM30" s="8">
        <f t="shared" si="0"/>
        <v>0</v>
      </c>
      <c r="AN30" s="8">
        <v>0</v>
      </c>
      <c r="AO30" s="8">
        <f t="shared" si="1"/>
        <v>0</v>
      </c>
      <c r="AP30" s="8">
        <f t="shared" si="4"/>
        <v>0</v>
      </c>
      <c r="AQ30" s="8">
        <v>0</v>
      </c>
      <c r="AR30" s="8">
        <v>0</v>
      </c>
      <c r="AS30" s="8" t="s">
        <v>119</v>
      </c>
      <c r="AT30" s="8" t="s">
        <v>121</v>
      </c>
    </row>
    <row r="31" spans="2:50" x14ac:dyDescent="0.25">
      <c r="B31" s="2" t="s">
        <v>87</v>
      </c>
      <c r="C31" s="2" t="s">
        <v>88</v>
      </c>
      <c r="D31" s="2" t="s">
        <v>29</v>
      </c>
      <c r="E31" s="2" t="s">
        <v>17</v>
      </c>
      <c r="F31" s="2">
        <v>2.8000000000000001E-2</v>
      </c>
      <c r="G31" s="3">
        <v>0.105</v>
      </c>
      <c r="H31" s="2">
        <f>VLOOKUP(D31,'[1]LENNOX WK 29'!$A$3:$E$76,5,0)</f>
        <v>0</v>
      </c>
      <c r="I31" s="2">
        <v>500</v>
      </c>
      <c r="J31" s="2">
        <v>0</v>
      </c>
      <c r="K31" s="2"/>
      <c r="L31" s="2">
        <v>300</v>
      </c>
      <c r="M31" s="2"/>
      <c r="N31" s="8">
        <f t="shared" si="2"/>
        <v>-83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180</v>
      </c>
      <c r="X31" s="2">
        <v>0</v>
      </c>
      <c r="Y31" s="2">
        <v>703</v>
      </c>
      <c r="Z31" s="2">
        <v>0</v>
      </c>
      <c r="AA31" s="2"/>
      <c r="AB31" s="2"/>
      <c r="AC31" s="2"/>
      <c r="AD31" s="2"/>
      <c r="AE31" s="19"/>
      <c r="AF31" s="19"/>
      <c r="AG31" s="2"/>
      <c r="AH31" s="2"/>
      <c r="AI31" s="2">
        <v>0</v>
      </c>
      <c r="AJ31" s="7">
        <f t="shared" si="3"/>
        <v>84</v>
      </c>
      <c r="AK31" s="7">
        <v>100</v>
      </c>
      <c r="AL31" s="7">
        <v>0</v>
      </c>
      <c r="AM31" s="8">
        <f t="shared" si="0"/>
        <v>0</v>
      </c>
      <c r="AN31" s="8">
        <v>0</v>
      </c>
      <c r="AO31" s="8">
        <f t="shared" si="1"/>
        <v>0</v>
      </c>
      <c r="AP31" s="8">
        <f t="shared" si="4"/>
        <v>0</v>
      </c>
      <c r="AQ31" s="8">
        <v>0</v>
      </c>
      <c r="AR31" s="8">
        <v>0</v>
      </c>
      <c r="AS31" s="8" t="s">
        <v>119</v>
      </c>
      <c r="AT31" s="8" t="s">
        <v>121</v>
      </c>
    </row>
    <row r="32" spans="2:50" x14ac:dyDescent="0.25">
      <c r="B32" s="2" t="s">
        <v>87</v>
      </c>
      <c r="C32" s="2" t="s">
        <v>88</v>
      </c>
      <c r="D32" s="2" t="s">
        <v>30</v>
      </c>
      <c r="E32" s="2" t="s">
        <v>17</v>
      </c>
      <c r="F32" s="2">
        <v>2.8000000000000001E-2</v>
      </c>
      <c r="G32" s="3">
        <v>0.14299999999999999</v>
      </c>
      <c r="H32" s="2">
        <f>VLOOKUP(D32,'[1]LENNOX WK 29'!$A$3:$E$76,5,0)</f>
        <v>0</v>
      </c>
      <c r="I32" s="2">
        <v>0</v>
      </c>
      <c r="J32" s="2">
        <v>0</v>
      </c>
      <c r="K32" s="2"/>
      <c r="L32" s="2">
        <v>0</v>
      </c>
      <c r="M32" s="2"/>
      <c r="N32" s="8">
        <f t="shared" si="2"/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/>
      <c r="AB32" s="2"/>
      <c r="AC32" s="2"/>
      <c r="AD32" s="2"/>
      <c r="AE32" s="19"/>
      <c r="AF32" s="19"/>
      <c r="AG32" s="2"/>
      <c r="AH32" s="2"/>
      <c r="AI32" s="2">
        <v>0</v>
      </c>
      <c r="AJ32" s="7">
        <f t="shared" si="3"/>
        <v>0</v>
      </c>
      <c r="AK32" s="7">
        <v>100</v>
      </c>
      <c r="AL32" s="7">
        <v>0</v>
      </c>
      <c r="AM32" s="8">
        <f t="shared" si="0"/>
        <v>0</v>
      </c>
      <c r="AN32" s="8">
        <v>0</v>
      </c>
      <c r="AO32" s="8">
        <f t="shared" si="1"/>
        <v>0</v>
      </c>
      <c r="AP32" s="8">
        <f t="shared" si="4"/>
        <v>0</v>
      </c>
      <c r="AQ32" s="8">
        <v>0</v>
      </c>
      <c r="AR32" s="8">
        <v>0</v>
      </c>
      <c r="AS32" s="8" t="s">
        <v>119</v>
      </c>
      <c r="AT32" s="8" t="s">
        <v>121</v>
      </c>
    </row>
    <row r="33" spans="2:46" x14ac:dyDescent="0.25">
      <c r="B33" s="2" t="s">
        <v>87</v>
      </c>
      <c r="C33" s="2" t="s">
        <v>88</v>
      </c>
      <c r="D33" s="2" t="s">
        <v>31</v>
      </c>
      <c r="E33" s="2" t="s">
        <v>17</v>
      </c>
      <c r="F33" s="2">
        <v>2.8000000000000001E-2</v>
      </c>
      <c r="G33" s="3">
        <v>4.5999999999999999E-2</v>
      </c>
      <c r="H33" s="2">
        <f>VLOOKUP(D33,'[1]LENNOX WK 29'!$A$3:$E$76,5,0)</f>
        <v>0</v>
      </c>
      <c r="I33" s="2">
        <v>0</v>
      </c>
      <c r="J33" s="2">
        <v>0</v>
      </c>
      <c r="K33" s="2"/>
      <c r="L33" s="2">
        <v>300</v>
      </c>
      <c r="M33" s="2"/>
      <c r="N33" s="8">
        <f t="shared" si="2"/>
        <v>300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/>
      <c r="AB33" s="2"/>
      <c r="AC33" s="2"/>
      <c r="AD33" s="2"/>
      <c r="AE33" s="19"/>
      <c r="AF33" s="19"/>
      <c r="AG33" s="2"/>
      <c r="AH33" s="2"/>
      <c r="AI33" s="2">
        <v>0</v>
      </c>
      <c r="AJ33" s="7">
        <f t="shared" si="3"/>
        <v>13.799999999999999</v>
      </c>
      <c r="AK33" s="7">
        <v>100</v>
      </c>
      <c r="AL33" s="7">
        <v>0</v>
      </c>
      <c r="AM33" s="8">
        <f t="shared" si="0"/>
        <v>0</v>
      </c>
      <c r="AN33" s="8">
        <v>0</v>
      </c>
      <c r="AO33" s="8">
        <f t="shared" si="1"/>
        <v>0</v>
      </c>
      <c r="AP33" s="8">
        <f t="shared" si="4"/>
        <v>0</v>
      </c>
      <c r="AQ33" s="8">
        <v>0</v>
      </c>
      <c r="AR33" s="8">
        <v>0</v>
      </c>
      <c r="AS33" s="8" t="s">
        <v>119</v>
      </c>
      <c r="AT33" s="8" t="s">
        <v>121</v>
      </c>
    </row>
    <row r="34" spans="2:46" x14ac:dyDescent="0.25">
      <c r="B34" s="2" t="s">
        <v>87</v>
      </c>
      <c r="C34" s="2" t="s">
        <v>88</v>
      </c>
      <c r="D34" s="2" t="s">
        <v>32</v>
      </c>
      <c r="E34" s="2" t="s">
        <v>17</v>
      </c>
      <c r="F34" s="2">
        <v>2.8000000000000001E-2</v>
      </c>
      <c r="G34" s="3">
        <v>0.129</v>
      </c>
      <c r="H34" s="2">
        <f>VLOOKUP(D34,'[1]LENNOX WK 29'!$A$3:$E$76,5,0)</f>
        <v>600</v>
      </c>
      <c r="I34" s="2">
        <v>0</v>
      </c>
      <c r="J34" s="2">
        <v>100</v>
      </c>
      <c r="K34" s="2">
        <v>80</v>
      </c>
      <c r="L34" s="2">
        <v>400</v>
      </c>
      <c r="M34" s="2"/>
      <c r="N34" s="8">
        <f t="shared" si="2"/>
        <v>500</v>
      </c>
      <c r="O34" s="2">
        <v>0</v>
      </c>
      <c r="P34" s="2">
        <v>0</v>
      </c>
      <c r="Q34" s="2">
        <v>0</v>
      </c>
      <c r="R34" s="2">
        <v>0</v>
      </c>
      <c r="S34" s="2">
        <v>580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/>
      <c r="AB34" s="2"/>
      <c r="AC34" s="2">
        <v>100</v>
      </c>
      <c r="AD34" s="2"/>
      <c r="AE34" s="19"/>
      <c r="AF34" s="19"/>
      <c r="AG34" s="2"/>
      <c r="AH34" s="2"/>
      <c r="AI34" s="2">
        <v>0</v>
      </c>
      <c r="AJ34" s="7">
        <f t="shared" si="3"/>
        <v>152.22</v>
      </c>
      <c r="AK34" s="7">
        <v>100</v>
      </c>
      <c r="AL34" s="7">
        <v>0</v>
      </c>
      <c r="AM34" s="8">
        <f t="shared" si="0"/>
        <v>0</v>
      </c>
      <c r="AN34" s="8">
        <v>0</v>
      </c>
      <c r="AO34" s="8">
        <f t="shared" si="1"/>
        <v>0</v>
      </c>
      <c r="AP34" s="8">
        <f t="shared" si="4"/>
        <v>0</v>
      </c>
      <c r="AQ34" s="8">
        <v>0</v>
      </c>
      <c r="AR34" s="8">
        <v>0</v>
      </c>
      <c r="AS34" s="8" t="s">
        <v>119</v>
      </c>
      <c r="AT34" s="8" t="s">
        <v>121</v>
      </c>
    </row>
    <row r="35" spans="2:46" x14ac:dyDescent="0.25">
      <c r="B35" s="2" t="s">
        <v>87</v>
      </c>
      <c r="C35" s="2" t="s">
        <v>88</v>
      </c>
      <c r="D35" s="2" t="s">
        <v>33</v>
      </c>
      <c r="E35" s="2" t="s">
        <v>17</v>
      </c>
      <c r="F35" s="2">
        <v>2.8000000000000001E-2</v>
      </c>
      <c r="G35" s="3">
        <v>0.13400000000000001</v>
      </c>
      <c r="H35" s="2">
        <f>VLOOKUP(D35,'[1]LENNOX WK 29'!$A$3:$E$76,5,0)</f>
        <v>0</v>
      </c>
      <c r="I35" s="2">
        <v>0</v>
      </c>
      <c r="J35" s="2">
        <v>0</v>
      </c>
      <c r="K35" s="2"/>
      <c r="L35" s="2">
        <v>300</v>
      </c>
      <c r="M35" s="2"/>
      <c r="N35" s="8">
        <f t="shared" si="2"/>
        <v>300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/>
      <c r="AB35" s="2"/>
      <c r="AC35" s="2"/>
      <c r="AD35" s="2"/>
      <c r="AE35" s="19"/>
      <c r="AF35" s="19"/>
      <c r="AG35" s="2"/>
      <c r="AH35" s="2"/>
      <c r="AI35" s="2">
        <v>0</v>
      </c>
      <c r="AJ35" s="7">
        <f t="shared" si="3"/>
        <v>40.200000000000003</v>
      </c>
      <c r="AK35" s="7">
        <v>100</v>
      </c>
      <c r="AL35" s="7">
        <v>0</v>
      </c>
      <c r="AM35" s="8">
        <f t="shared" si="0"/>
        <v>0</v>
      </c>
      <c r="AN35" s="8">
        <v>0</v>
      </c>
      <c r="AO35" s="8">
        <f t="shared" si="1"/>
        <v>0</v>
      </c>
      <c r="AP35" s="8">
        <f t="shared" si="4"/>
        <v>0</v>
      </c>
      <c r="AQ35" s="8">
        <v>0</v>
      </c>
      <c r="AR35" s="8">
        <v>0</v>
      </c>
      <c r="AS35" s="8" t="s">
        <v>119</v>
      </c>
      <c r="AT35" s="8" t="s">
        <v>121</v>
      </c>
    </row>
    <row r="36" spans="2:46" x14ac:dyDescent="0.25">
      <c r="B36" s="2" t="s">
        <v>87</v>
      </c>
      <c r="C36" s="2" t="s">
        <v>88</v>
      </c>
      <c r="D36" s="2" t="s">
        <v>34</v>
      </c>
      <c r="E36" s="2" t="s">
        <v>17</v>
      </c>
      <c r="F36" s="2">
        <v>2.8000000000000001E-2</v>
      </c>
      <c r="G36" s="3">
        <v>0.105</v>
      </c>
      <c r="H36" s="2">
        <f>VLOOKUP(D36,'[1]LENNOX WK 29'!$A$3:$E$76,5,0)</f>
        <v>0</v>
      </c>
      <c r="I36" s="2">
        <v>0</v>
      </c>
      <c r="J36" s="2">
        <v>0</v>
      </c>
      <c r="K36" s="2"/>
      <c r="L36" s="2">
        <v>0</v>
      </c>
      <c r="M36" s="2"/>
      <c r="N36" s="8">
        <f t="shared" si="2"/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/>
      <c r="AB36" s="2"/>
      <c r="AC36" s="2"/>
      <c r="AD36" s="2"/>
      <c r="AE36" s="19"/>
      <c r="AF36" s="19"/>
      <c r="AG36" s="2"/>
      <c r="AH36" s="2"/>
      <c r="AI36" s="2">
        <v>0</v>
      </c>
      <c r="AJ36" s="7">
        <f t="shared" si="3"/>
        <v>0</v>
      </c>
      <c r="AK36" s="7">
        <v>100</v>
      </c>
      <c r="AL36" s="7">
        <v>0</v>
      </c>
      <c r="AM36" s="8">
        <f t="shared" si="0"/>
        <v>0</v>
      </c>
      <c r="AN36" s="8">
        <v>0</v>
      </c>
      <c r="AO36" s="8">
        <f t="shared" si="1"/>
        <v>0</v>
      </c>
      <c r="AP36" s="8">
        <f t="shared" si="4"/>
        <v>0</v>
      </c>
      <c r="AQ36" s="8">
        <v>0</v>
      </c>
      <c r="AR36" s="8">
        <v>0</v>
      </c>
      <c r="AS36" s="8" t="s">
        <v>119</v>
      </c>
      <c r="AT36" s="8" t="s">
        <v>121</v>
      </c>
    </row>
    <row r="37" spans="2:46" x14ac:dyDescent="0.25">
      <c r="B37" s="2" t="s">
        <v>87</v>
      </c>
      <c r="C37" s="2" t="s">
        <v>88</v>
      </c>
      <c r="D37" s="2" t="s">
        <v>35</v>
      </c>
      <c r="E37" s="2" t="s">
        <v>17</v>
      </c>
      <c r="F37" s="2">
        <v>2.8000000000000001E-2</v>
      </c>
      <c r="G37" s="3">
        <v>9.9000000000000005E-2</v>
      </c>
      <c r="H37" s="2">
        <f>VLOOKUP(D37,'[1]LENNOX WK 29'!$A$3:$E$76,5,0)</f>
        <v>0</v>
      </c>
      <c r="I37" s="2">
        <v>0</v>
      </c>
      <c r="J37" s="2">
        <v>0</v>
      </c>
      <c r="K37" s="2"/>
      <c r="L37" s="2">
        <v>300</v>
      </c>
      <c r="M37" s="2"/>
      <c r="N37" s="8">
        <f t="shared" si="2"/>
        <v>300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/>
      <c r="AB37" s="2"/>
      <c r="AC37" s="2"/>
      <c r="AD37" s="2"/>
      <c r="AE37" s="19"/>
      <c r="AF37" s="19"/>
      <c r="AG37" s="2"/>
      <c r="AH37" s="2"/>
      <c r="AI37" s="2">
        <v>0</v>
      </c>
      <c r="AJ37" s="7">
        <f t="shared" si="3"/>
        <v>29.700000000000003</v>
      </c>
      <c r="AK37" s="7">
        <v>100</v>
      </c>
      <c r="AL37" s="7">
        <v>0</v>
      </c>
      <c r="AM37" s="8">
        <f t="shared" si="0"/>
        <v>0</v>
      </c>
      <c r="AN37" s="8">
        <v>0</v>
      </c>
      <c r="AO37" s="8">
        <f t="shared" si="1"/>
        <v>0</v>
      </c>
      <c r="AP37" s="8">
        <f t="shared" si="4"/>
        <v>0</v>
      </c>
      <c r="AQ37" s="8">
        <v>0</v>
      </c>
      <c r="AR37" s="8">
        <v>0</v>
      </c>
      <c r="AS37" s="8" t="s">
        <v>119</v>
      </c>
      <c r="AT37" s="8" t="s">
        <v>121</v>
      </c>
    </row>
    <row r="38" spans="2:46" x14ac:dyDescent="0.25">
      <c r="B38" s="2" t="s">
        <v>87</v>
      </c>
      <c r="C38" s="2" t="s">
        <v>88</v>
      </c>
      <c r="D38" s="2" t="s">
        <v>36</v>
      </c>
      <c r="E38" s="2" t="s">
        <v>17</v>
      </c>
      <c r="F38" s="2">
        <v>2.8000000000000001E-2</v>
      </c>
      <c r="G38" s="3">
        <v>0.13100000000000001</v>
      </c>
      <c r="H38" s="2">
        <f>VLOOKUP(D38,'[1]LENNOX WK 29'!$A$3:$E$76,5,0)</f>
        <v>0</v>
      </c>
      <c r="I38" s="2">
        <v>0</v>
      </c>
      <c r="J38" s="2">
        <v>0</v>
      </c>
      <c r="K38" s="2"/>
      <c r="L38" s="2">
        <v>0</v>
      </c>
      <c r="M38" s="2"/>
      <c r="N38" s="8">
        <f t="shared" si="2"/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/>
      <c r="AB38" s="2"/>
      <c r="AC38" s="2"/>
      <c r="AD38" s="2"/>
      <c r="AE38" s="19"/>
      <c r="AF38" s="19"/>
      <c r="AG38" s="2"/>
      <c r="AH38" s="2"/>
      <c r="AI38" s="2">
        <v>0</v>
      </c>
      <c r="AJ38" s="7">
        <f t="shared" si="3"/>
        <v>0</v>
      </c>
      <c r="AK38" s="7">
        <v>100</v>
      </c>
      <c r="AL38" s="7">
        <v>0</v>
      </c>
      <c r="AM38" s="8">
        <f t="shared" ref="AM38:AM69" si="5">+H38*AL38</f>
        <v>0</v>
      </c>
      <c r="AN38" s="8">
        <v>0</v>
      </c>
      <c r="AO38" s="8">
        <f t="shared" ref="AO38:AO69" si="6">+H38*AN38</f>
        <v>0</v>
      </c>
      <c r="AP38" s="8">
        <f t="shared" si="4"/>
        <v>0</v>
      </c>
      <c r="AQ38" s="8">
        <v>0</v>
      </c>
      <c r="AR38" s="8">
        <v>0</v>
      </c>
      <c r="AS38" s="8" t="s">
        <v>119</v>
      </c>
      <c r="AT38" s="8" t="s">
        <v>121</v>
      </c>
    </row>
    <row r="39" spans="2:46" x14ac:dyDescent="0.25">
      <c r="B39" s="2" t="s">
        <v>87</v>
      </c>
      <c r="C39" s="2" t="s">
        <v>88</v>
      </c>
      <c r="D39" s="2" t="s">
        <v>37</v>
      </c>
      <c r="E39" s="2" t="s">
        <v>17</v>
      </c>
      <c r="F39" s="2">
        <v>2.8000000000000001E-2</v>
      </c>
      <c r="G39" s="3">
        <v>9.4E-2</v>
      </c>
      <c r="H39" s="2">
        <f>VLOOKUP(D39,'[1]LENNOX WK 29'!$A$3:$E$76,5,0)</f>
        <v>0</v>
      </c>
      <c r="I39" s="2">
        <v>0</v>
      </c>
      <c r="J39" s="2">
        <v>0</v>
      </c>
      <c r="K39" s="2"/>
      <c r="L39" s="2">
        <v>0</v>
      </c>
      <c r="M39" s="2"/>
      <c r="N39" s="8">
        <f t="shared" si="2"/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/>
      <c r="AB39" s="2"/>
      <c r="AC39" s="2"/>
      <c r="AD39" s="2"/>
      <c r="AE39" s="19"/>
      <c r="AF39" s="19"/>
      <c r="AG39" s="2"/>
      <c r="AH39" s="2"/>
      <c r="AI39" s="2">
        <v>0</v>
      </c>
      <c r="AJ39" s="7">
        <f t="shared" si="3"/>
        <v>0</v>
      </c>
      <c r="AK39" s="7">
        <v>100</v>
      </c>
      <c r="AL39" s="7">
        <v>0</v>
      </c>
      <c r="AM39" s="8">
        <f t="shared" si="5"/>
        <v>0</v>
      </c>
      <c r="AN39" s="8">
        <v>0</v>
      </c>
      <c r="AO39" s="8">
        <f t="shared" si="6"/>
        <v>0</v>
      </c>
      <c r="AP39" s="8">
        <f t="shared" si="4"/>
        <v>0</v>
      </c>
      <c r="AQ39" s="8">
        <v>0</v>
      </c>
      <c r="AR39" s="8">
        <v>0</v>
      </c>
      <c r="AS39" s="8" t="s">
        <v>119</v>
      </c>
      <c r="AT39" s="8" t="s">
        <v>121</v>
      </c>
    </row>
    <row r="40" spans="2:46" x14ac:dyDescent="0.25">
      <c r="B40" s="2" t="s">
        <v>87</v>
      </c>
      <c r="C40" s="2" t="s">
        <v>88</v>
      </c>
      <c r="D40" s="2" t="s">
        <v>38</v>
      </c>
      <c r="E40" s="2" t="s">
        <v>17</v>
      </c>
      <c r="F40" s="2">
        <v>2.8000000000000001E-2</v>
      </c>
      <c r="G40" s="3">
        <v>0.122</v>
      </c>
      <c r="H40" s="2">
        <f>VLOOKUP(D40,'[1]LENNOX WK 29'!$A$3:$E$76,5,0)</f>
        <v>0</v>
      </c>
      <c r="I40" s="2">
        <v>0</v>
      </c>
      <c r="J40" s="2">
        <v>0</v>
      </c>
      <c r="K40" s="2"/>
      <c r="L40" s="2">
        <v>0</v>
      </c>
      <c r="M40" s="2"/>
      <c r="N40" s="8">
        <f t="shared" si="2"/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/>
      <c r="AB40" s="2"/>
      <c r="AC40" s="2"/>
      <c r="AD40" s="2"/>
      <c r="AE40" s="19"/>
      <c r="AF40" s="19"/>
      <c r="AG40" s="2"/>
      <c r="AH40" s="2"/>
      <c r="AI40" s="2">
        <v>0</v>
      </c>
      <c r="AJ40" s="7">
        <f t="shared" si="3"/>
        <v>0</v>
      </c>
      <c r="AK40" s="7">
        <v>100</v>
      </c>
      <c r="AL40" s="7">
        <v>0</v>
      </c>
      <c r="AM40" s="8">
        <f t="shared" si="5"/>
        <v>0</v>
      </c>
      <c r="AN40" s="8">
        <v>0</v>
      </c>
      <c r="AO40" s="8">
        <f t="shared" si="6"/>
        <v>0</v>
      </c>
      <c r="AP40" s="8">
        <f t="shared" si="4"/>
        <v>0</v>
      </c>
      <c r="AQ40" s="8">
        <v>0</v>
      </c>
      <c r="AR40" s="8">
        <v>0</v>
      </c>
      <c r="AS40" s="8" t="s">
        <v>119</v>
      </c>
      <c r="AT40" s="8" t="s">
        <v>121</v>
      </c>
    </row>
    <row r="41" spans="2:46" x14ac:dyDescent="0.25">
      <c r="B41" s="2" t="s">
        <v>87</v>
      </c>
      <c r="C41" s="2" t="s">
        <v>88</v>
      </c>
      <c r="D41" s="2" t="s">
        <v>39</v>
      </c>
      <c r="E41" s="2" t="s">
        <v>17</v>
      </c>
      <c r="F41" s="2">
        <v>2.8000000000000001E-2</v>
      </c>
      <c r="G41" s="3">
        <v>0.10100000000000001</v>
      </c>
      <c r="H41" s="2">
        <f>VLOOKUP(D41,'[1]LENNOX WK 29'!$A$3:$E$76,5,0)</f>
        <v>0</v>
      </c>
      <c r="I41" s="2">
        <v>0</v>
      </c>
      <c r="J41" s="2">
        <v>0</v>
      </c>
      <c r="K41" s="2"/>
      <c r="L41" s="2">
        <v>0</v>
      </c>
      <c r="M41" s="2"/>
      <c r="N41" s="8">
        <f t="shared" si="2"/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/>
      <c r="AB41" s="2"/>
      <c r="AC41" s="2"/>
      <c r="AD41" s="2"/>
      <c r="AE41" s="19"/>
      <c r="AF41" s="19"/>
      <c r="AG41" s="2"/>
      <c r="AH41" s="2"/>
      <c r="AI41" s="2">
        <v>0</v>
      </c>
      <c r="AJ41" s="7">
        <f t="shared" si="3"/>
        <v>0</v>
      </c>
      <c r="AK41" s="7">
        <v>100</v>
      </c>
      <c r="AL41" s="7">
        <v>0</v>
      </c>
      <c r="AM41" s="8">
        <f t="shared" si="5"/>
        <v>0</v>
      </c>
      <c r="AN41" s="8">
        <v>0</v>
      </c>
      <c r="AO41" s="8">
        <f t="shared" si="6"/>
        <v>0</v>
      </c>
      <c r="AP41" s="8">
        <f t="shared" si="4"/>
        <v>0</v>
      </c>
      <c r="AQ41" s="8">
        <v>0</v>
      </c>
      <c r="AR41" s="8">
        <v>0</v>
      </c>
      <c r="AS41" s="8" t="s">
        <v>119</v>
      </c>
      <c r="AT41" s="8" t="s">
        <v>121</v>
      </c>
    </row>
    <row r="42" spans="2:46" x14ac:dyDescent="0.25">
      <c r="B42" s="2" t="s">
        <v>87</v>
      </c>
      <c r="C42" s="2" t="s">
        <v>88</v>
      </c>
      <c r="D42" s="2" t="s">
        <v>40</v>
      </c>
      <c r="E42" s="2" t="s">
        <v>17</v>
      </c>
      <c r="F42" s="2">
        <v>2.8000000000000001E-2</v>
      </c>
      <c r="G42" s="3">
        <v>0.11899999999999999</v>
      </c>
      <c r="H42" s="2">
        <f>VLOOKUP(D42,'[1]LENNOX WK 29'!$A$3:$E$76,5,0)</f>
        <v>0</v>
      </c>
      <c r="I42" s="2">
        <v>0</v>
      </c>
      <c r="J42" s="2">
        <v>0</v>
      </c>
      <c r="K42" s="2"/>
      <c r="L42" s="2">
        <v>0</v>
      </c>
      <c r="M42" s="2"/>
      <c r="N42" s="8">
        <f t="shared" si="2"/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/>
      <c r="AB42" s="2"/>
      <c r="AC42" s="2"/>
      <c r="AD42" s="2"/>
      <c r="AE42" s="19"/>
      <c r="AF42" s="19"/>
      <c r="AG42" s="2"/>
      <c r="AH42" s="2"/>
      <c r="AI42" s="2">
        <v>0</v>
      </c>
      <c r="AJ42" s="7">
        <f t="shared" si="3"/>
        <v>0</v>
      </c>
      <c r="AK42" s="7">
        <v>100</v>
      </c>
      <c r="AL42" s="7">
        <v>0</v>
      </c>
      <c r="AM42" s="8">
        <f t="shared" si="5"/>
        <v>0</v>
      </c>
      <c r="AN42" s="8">
        <v>0</v>
      </c>
      <c r="AO42" s="8">
        <f t="shared" si="6"/>
        <v>0</v>
      </c>
      <c r="AP42" s="8">
        <f t="shared" si="4"/>
        <v>0</v>
      </c>
      <c r="AQ42" s="8">
        <v>0</v>
      </c>
      <c r="AR42" s="8">
        <v>0</v>
      </c>
      <c r="AS42" s="8" t="s">
        <v>119</v>
      </c>
      <c r="AT42" s="8" t="s">
        <v>121</v>
      </c>
    </row>
    <row r="43" spans="2:46" x14ac:dyDescent="0.25">
      <c r="B43" s="2" t="s">
        <v>87</v>
      </c>
      <c r="C43" s="2" t="s">
        <v>88</v>
      </c>
      <c r="D43" s="2" t="s">
        <v>41</v>
      </c>
      <c r="E43" s="2" t="s">
        <v>17</v>
      </c>
      <c r="F43" s="2">
        <v>2.8000000000000001E-2</v>
      </c>
      <c r="G43" s="3">
        <v>0.121</v>
      </c>
      <c r="H43" s="2">
        <f>VLOOKUP(D43,'[1]LENNOX WK 29'!$A$3:$E$76,5,0)</f>
        <v>200</v>
      </c>
      <c r="I43" s="2">
        <v>100</v>
      </c>
      <c r="J43" s="2">
        <v>100</v>
      </c>
      <c r="K43" s="2"/>
      <c r="L43" s="2">
        <v>0</v>
      </c>
      <c r="M43" s="2"/>
      <c r="N43" s="8">
        <f t="shared" si="2"/>
        <v>0</v>
      </c>
      <c r="O43" s="2">
        <v>220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/>
      <c r="AB43" s="2"/>
      <c r="AC43" s="2"/>
      <c r="AD43" s="2"/>
      <c r="AE43" s="19"/>
      <c r="AF43" s="19">
        <v>180</v>
      </c>
      <c r="AG43" s="2"/>
      <c r="AH43" s="2"/>
      <c r="AI43" s="2">
        <v>0</v>
      </c>
      <c r="AJ43" s="7">
        <f t="shared" si="3"/>
        <v>48.4</v>
      </c>
      <c r="AK43" s="7">
        <v>100</v>
      </c>
      <c r="AL43" s="7">
        <v>0</v>
      </c>
      <c r="AM43" s="8">
        <f t="shared" si="5"/>
        <v>0</v>
      </c>
      <c r="AN43" s="8">
        <v>0</v>
      </c>
      <c r="AO43" s="8">
        <f t="shared" si="6"/>
        <v>0</v>
      </c>
      <c r="AP43" s="8">
        <f t="shared" si="4"/>
        <v>0</v>
      </c>
      <c r="AQ43" s="8">
        <v>0</v>
      </c>
      <c r="AR43" s="8">
        <v>0</v>
      </c>
      <c r="AS43" s="8" t="s">
        <v>119</v>
      </c>
      <c r="AT43" s="8" t="s">
        <v>121</v>
      </c>
    </row>
    <row r="44" spans="2:46" x14ac:dyDescent="0.25">
      <c r="B44" s="2" t="s">
        <v>87</v>
      </c>
      <c r="C44" s="2" t="s">
        <v>88</v>
      </c>
      <c r="D44" s="2" t="s">
        <v>42</v>
      </c>
      <c r="E44" s="2" t="s">
        <v>17</v>
      </c>
      <c r="F44" s="2">
        <v>2.8000000000000001E-2</v>
      </c>
      <c r="G44" s="3">
        <v>0.127</v>
      </c>
      <c r="H44" s="2">
        <f>VLOOKUP(D44,'[1]LENNOX WK 29'!$A$3:$E$76,5,0)</f>
        <v>0</v>
      </c>
      <c r="I44" s="2">
        <v>0</v>
      </c>
      <c r="J44" s="2">
        <v>0</v>
      </c>
      <c r="K44" s="2"/>
      <c r="L44" s="2">
        <v>0</v>
      </c>
      <c r="M44" s="2"/>
      <c r="N44" s="8">
        <f t="shared" si="2"/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/>
      <c r="AB44" s="2"/>
      <c r="AC44" s="2"/>
      <c r="AD44" s="2"/>
      <c r="AE44" s="19"/>
      <c r="AF44" s="19"/>
      <c r="AG44" s="2"/>
      <c r="AH44" s="2"/>
      <c r="AI44" s="2">
        <v>0</v>
      </c>
      <c r="AJ44" s="7">
        <f t="shared" si="3"/>
        <v>0</v>
      </c>
      <c r="AK44" s="7">
        <v>100</v>
      </c>
      <c r="AL44" s="7">
        <v>0</v>
      </c>
      <c r="AM44" s="8">
        <f t="shared" si="5"/>
        <v>0</v>
      </c>
      <c r="AN44" s="8">
        <v>0</v>
      </c>
      <c r="AO44" s="8">
        <f t="shared" si="6"/>
        <v>0</v>
      </c>
      <c r="AP44" s="8">
        <f t="shared" si="4"/>
        <v>0</v>
      </c>
      <c r="AQ44" s="8">
        <v>0</v>
      </c>
      <c r="AR44" s="8">
        <v>0</v>
      </c>
      <c r="AS44" s="8" t="s">
        <v>119</v>
      </c>
      <c r="AT44" s="8" t="s">
        <v>121</v>
      </c>
    </row>
    <row r="45" spans="2:46" x14ac:dyDescent="0.25">
      <c r="B45" s="2" t="s">
        <v>87</v>
      </c>
      <c r="C45" s="2" t="s">
        <v>88</v>
      </c>
      <c r="D45" s="2" t="s">
        <v>43</v>
      </c>
      <c r="E45" s="2" t="s">
        <v>17</v>
      </c>
      <c r="F45" s="2">
        <v>2.8000000000000001E-2</v>
      </c>
      <c r="G45" s="3">
        <v>0.10299999999999999</v>
      </c>
      <c r="H45" s="2">
        <f>VLOOKUP(D45,'[1]LENNOX WK 29'!$A$3:$E$76,5,0)</f>
        <v>700</v>
      </c>
      <c r="I45" s="2">
        <v>0</v>
      </c>
      <c r="J45" s="2">
        <v>0</v>
      </c>
      <c r="K45" s="2"/>
      <c r="L45" s="2">
        <v>400</v>
      </c>
      <c r="M45" s="2"/>
      <c r="N45" s="8">
        <f t="shared" si="2"/>
        <v>328</v>
      </c>
      <c r="O45" s="2">
        <v>0</v>
      </c>
      <c r="P45" s="2">
        <v>260</v>
      </c>
      <c r="Q45" s="2">
        <v>512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/>
      <c r="AB45" s="2"/>
      <c r="AC45" s="2"/>
      <c r="AD45" s="2"/>
      <c r="AE45" s="19"/>
      <c r="AF45" s="19"/>
      <c r="AG45" s="2"/>
      <c r="AH45" s="2"/>
      <c r="AI45" s="2">
        <v>0</v>
      </c>
      <c r="AJ45" s="7">
        <f t="shared" si="3"/>
        <v>113.3</v>
      </c>
      <c r="AK45" s="7">
        <v>100</v>
      </c>
      <c r="AL45" s="7">
        <v>0</v>
      </c>
      <c r="AM45" s="8">
        <f t="shared" si="5"/>
        <v>0</v>
      </c>
      <c r="AN45" s="8">
        <v>0</v>
      </c>
      <c r="AO45" s="8">
        <f t="shared" si="6"/>
        <v>0</v>
      </c>
      <c r="AP45" s="8">
        <f t="shared" si="4"/>
        <v>0</v>
      </c>
      <c r="AQ45" s="8">
        <v>0</v>
      </c>
      <c r="AR45" s="8">
        <v>0</v>
      </c>
      <c r="AS45" s="8" t="s">
        <v>119</v>
      </c>
      <c r="AT45" s="8" t="s">
        <v>121</v>
      </c>
    </row>
    <row r="46" spans="2:46" x14ac:dyDescent="0.25">
      <c r="B46" s="2" t="s">
        <v>87</v>
      </c>
      <c r="C46" s="2" t="s">
        <v>88</v>
      </c>
      <c r="D46" s="2" t="s">
        <v>44</v>
      </c>
      <c r="E46" s="2" t="s">
        <v>17</v>
      </c>
      <c r="F46" s="2">
        <v>2.8000000000000001E-2</v>
      </c>
      <c r="G46" s="3">
        <v>0.23799999999999999</v>
      </c>
      <c r="H46" s="2">
        <f>VLOOKUP(D46,'[1]LENNOX WK 29'!$A$3:$E$76,5,0)</f>
        <v>0</v>
      </c>
      <c r="I46" s="2">
        <v>0</v>
      </c>
      <c r="J46" s="2">
        <v>100</v>
      </c>
      <c r="K46" s="2"/>
      <c r="L46" s="2">
        <v>300</v>
      </c>
      <c r="M46" s="2"/>
      <c r="N46" s="8">
        <f t="shared" si="2"/>
        <v>400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/>
      <c r="AB46" s="2"/>
      <c r="AC46" s="2"/>
      <c r="AD46" s="2"/>
      <c r="AE46" s="19"/>
      <c r="AF46" s="19"/>
      <c r="AG46" s="2"/>
      <c r="AH46" s="2"/>
      <c r="AI46" s="2">
        <v>0</v>
      </c>
      <c r="AJ46" s="7">
        <f t="shared" si="3"/>
        <v>95.199999999999989</v>
      </c>
      <c r="AK46" s="7">
        <v>100</v>
      </c>
      <c r="AL46" s="7">
        <v>0</v>
      </c>
      <c r="AM46" s="8">
        <f t="shared" si="5"/>
        <v>0</v>
      </c>
      <c r="AN46" s="8">
        <v>0</v>
      </c>
      <c r="AO46" s="8">
        <f t="shared" si="6"/>
        <v>0</v>
      </c>
      <c r="AP46" s="8">
        <f t="shared" si="4"/>
        <v>0</v>
      </c>
      <c r="AQ46" s="8">
        <v>0</v>
      </c>
      <c r="AR46" s="8">
        <v>0</v>
      </c>
      <c r="AS46" s="8" t="s">
        <v>119</v>
      </c>
      <c r="AT46" s="8" t="s">
        <v>121</v>
      </c>
    </row>
    <row r="47" spans="2:46" x14ac:dyDescent="0.25">
      <c r="B47" s="2" t="s">
        <v>87</v>
      </c>
      <c r="C47" s="2" t="s">
        <v>88</v>
      </c>
      <c r="D47" s="2" t="s">
        <v>45</v>
      </c>
      <c r="E47" s="2" t="s">
        <v>17</v>
      </c>
      <c r="F47" s="2">
        <v>2.8000000000000001E-2</v>
      </c>
      <c r="G47" s="3">
        <v>0.10100000000000001</v>
      </c>
      <c r="H47" s="2">
        <f>VLOOKUP(D47,'[1]LENNOX WK 29'!$A$3:$E$76,5,0)</f>
        <v>0</v>
      </c>
      <c r="I47" s="2">
        <v>0</v>
      </c>
      <c r="J47" s="2">
        <v>0</v>
      </c>
      <c r="K47" s="2"/>
      <c r="L47" s="2">
        <v>0</v>
      </c>
      <c r="M47" s="2"/>
      <c r="N47" s="8">
        <f t="shared" si="2"/>
        <v>-1493</v>
      </c>
      <c r="O47" s="2">
        <v>0</v>
      </c>
      <c r="P47" s="2">
        <v>0</v>
      </c>
      <c r="Q47" s="2">
        <v>0</v>
      </c>
      <c r="R47" s="2">
        <v>0</v>
      </c>
      <c r="S47" s="2">
        <v>1493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/>
      <c r="AB47" s="2"/>
      <c r="AC47" s="2"/>
      <c r="AD47" s="2"/>
      <c r="AE47" s="19"/>
      <c r="AF47" s="19"/>
      <c r="AG47" s="2"/>
      <c r="AH47" s="2"/>
      <c r="AI47" s="2">
        <v>0</v>
      </c>
      <c r="AJ47" s="7">
        <f t="shared" si="3"/>
        <v>0</v>
      </c>
      <c r="AK47" s="7">
        <v>100</v>
      </c>
      <c r="AL47" s="7">
        <v>0</v>
      </c>
      <c r="AM47" s="8">
        <f t="shared" si="5"/>
        <v>0</v>
      </c>
      <c r="AN47" s="8">
        <v>0</v>
      </c>
      <c r="AO47" s="8">
        <f t="shared" si="6"/>
        <v>0</v>
      </c>
      <c r="AP47" s="8">
        <f t="shared" si="4"/>
        <v>0</v>
      </c>
      <c r="AQ47" s="8">
        <v>0</v>
      </c>
      <c r="AR47" s="8">
        <v>0</v>
      </c>
      <c r="AS47" s="8" t="s">
        <v>119</v>
      </c>
      <c r="AT47" s="8" t="s">
        <v>121</v>
      </c>
    </row>
    <row r="48" spans="2:46" x14ac:dyDescent="0.25">
      <c r="B48" s="2" t="s">
        <v>87</v>
      </c>
      <c r="C48" s="2" t="s">
        <v>88</v>
      </c>
      <c r="D48" s="2" t="s">
        <v>46</v>
      </c>
      <c r="E48" s="2" t="s">
        <v>17</v>
      </c>
      <c r="F48" s="2">
        <v>2.8000000000000001E-2</v>
      </c>
      <c r="G48" s="3">
        <v>3.9E-2</v>
      </c>
      <c r="H48" s="2">
        <f>VLOOKUP(D48,'[1]LENNOX WK 29'!$A$3:$E$76,5,0)</f>
        <v>0</v>
      </c>
      <c r="I48" s="2">
        <v>1200</v>
      </c>
      <c r="J48" s="2">
        <v>1100</v>
      </c>
      <c r="K48" s="2"/>
      <c r="L48" s="2">
        <v>1500</v>
      </c>
      <c r="M48" s="2"/>
      <c r="N48" s="8">
        <f t="shared" si="2"/>
        <v>-66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800</v>
      </c>
      <c r="V48" s="2">
        <v>236</v>
      </c>
      <c r="W48" s="2">
        <v>100</v>
      </c>
      <c r="X48" s="2">
        <v>0</v>
      </c>
      <c r="Y48" s="2">
        <v>0</v>
      </c>
      <c r="Z48" s="2">
        <v>0</v>
      </c>
      <c r="AA48" s="2"/>
      <c r="AB48" s="2"/>
      <c r="AC48" s="2"/>
      <c r="AD48" s="2"/>
      <c r="AE48" s="19">
        <v>1000</v>
      </c>
      <c r="AF48" s="19"/>
      <c r="AG48" s="2">
        <v>1730</v>
      </c>
      <c r="AH48" s="2"/>
      <c r="AI48" s="2">
        <v>0</v>
      </c>
      <c r="AJ48" s="7">
        <f t="shared" si="3"/>
        <v>148.19999999999999</v>
      </c>
      <c r="AK48" s="7">
        <v>100</v>
      </c>
      <c r="AL48" s="7">
        <v>0</v>
      </c>
      <c r="AM48" s="8">
        <f t="shared" si="5"/>
        <v>0</v>
      </c>
      <c r="AN48" s="8">
        <v>0</v>
      </c>
      <c r="AO48" s="8">
        <f t="shared" si="6"/>
        <v>0</v>
      </c>
      <c r="AP48" s="8">
        <f t="shared" si="4"/>
        <v>0</v>
      </c>
      <c r="AQ48" s="8">
        <v>0</v>
      </c>
      <c r="AR48" s="8">
        <v>0</v>
      </c>
      <c r="AS48" s="8" t="s">
        <v>119</v>
      </c>
      <c r="AT48" s="8" t="s">
        <v>121</v>
      </c>
    </row>
    <row r="49" spans="2:46" x14ac:dyDescent="0.25">
      <c r="B49" s="2" t="s">
        <v>87</v>
      </c>
      <c r="C49" s="2" t="s">
        <v>88</v>
      </c>
      <c r="D49" s="2" t="s">
        <v>47</v>
      </c>
      <c r="E49" s="2" t="s">
        <v>48</v>
      </c>
      <c r="F49" s="2">
        <v>3.5000000000000003E-2</v>
      </c>
      <c r="G49" s="3">
        <v>0.14799999999999999</v>
      </c>
      <c r="H49" s="2">
        <f>VLOOKUP(D49,'[1]LENNOX WK 29'!$A$3:$E$76,5,0)</f>
        <v>0</v>
      </c>
      <c r="I49" s="2">
        <v>0</v>
      </c>
      <c r="J49" s="2">
        <v>0</v>
      </c>
      <c r="K49" s="2"/>
      <c r="L49" s="2">
        <v>0</v>
      </c>
      <c r="M49" s="2"/>
      <c r="N49" s="8">
        <f t="shared" si="2"/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/>
      <c r="AB49" s="2"/>
      <c r="AC49" s="2"/>
      <c r="AD49" s="2"/>
      <c r="AE49" s="19"/>
      <c r="AF49" s="19"/>
      <c r="AG49" s="2"/>
      <c r="AH49" s="2"/>
      <c r="AI49" s="2">
        <v>0</v>
      </c>
      <c r="AJ49" s="7">
        <f t="shared" si="3"/>
        <v>0</v>
      </c>
      <c r="AK49" s="7">
        <v>500</v>
      </c>
      <c r="AL49" s="7">
        <v>0</v>
      </c>
      <c r="AM49" s="8">
        <f t="shared" si="5"/>
        <v>0</v>
      </c>
      <c r="AN49" s="8">
        <v>0</v>
      </c>
      <c r="AO49" s="8">
        <f t="shared" si="6"/>
        <v>0</v>
      </c>
      <c r="AP49" s="8">
        <f t="shared" si="4"/>
        <v>0</v>
      </c>
      <c r="AQ49" s="8">
        <v>0</v>
      </c>
      <c r="AR49" s="8">
        <v>0</v>
      </c>
      <c r="AS49" s="8" t="s">
        <v>119</v>
      </c>
      <c r="AT49" s="8" t="s">
        <v>121</v>
      </c>
    </row>
    <row r="50" spans="2:46" x14ac:dyDescent="0.25">
      <c r="B50" s="2" t="s">
        <v>87</v>
      </c>
      <c r="C50" s="2" t="s">
        <v>88</v>
      </c>
      <c r="D50" s="2" t="s">
        <v>49</v>
      </c>
      <c r="E50" s="2" t="s">
        <v>48</v>
      </c>
      <c r="F50" s="2">
        <v>3.5000000000000003E-2</v>
      </c>
      <c r="G50" s="3">
        <v>0.14399999999999999</v>
      </c>
      <c r="H50" s="2">
        <f>VLOOKUP(D50,'[1]LENNOX WK 29'!$A$3:$E$76,5,0)</f>
        <v>0</v>
      </c>
      <c r="I50" s="2">
        <v>0</v>
      </c>
      <c r="J50" s="2">
        <v>0</v>
      </c>
      <c r="K50" s="2"/>
      <c r="L50" s="2">
        <v>0</v>
      </c>
      <c r="M50" s="2"/>
      <c r="N50" s="8">
        <f t="shared" si="2"/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/>
      <c r="AB50" s="2"/>
      <c r="AC50" s="2"/>
      <c r="AD50" s="2"/>
      <c r="AE50" s="19"/>
      <c r="AF50" s="19"/>
      <c r="AG50" s="2"/>
      <c r="AH50" s="2"/>
      <c r="AI50" s="2">
        <v>0</v>
      </c>
      <c r="AJ50" s="7">
        <f t="shared" si="3"/>
        <v>0</v>
      </c>
      <c r="AK50" s="7">
        <v>500</v>
      </c>
      <c r="AL50" s="7">
        <v>0</v>
      </c>
      <c r="AM50" s="8">
        <f t="shared" si="5"/>
        <v>0</v>
      </c>
      <c r="AN50" s="8">
        <v>0</v>
      </c>
      <c r="AO50" s="8">
        <f t="shared" si="6"/>
        <v>0</v>
      </c>
      <c r="AP50" s="8">
        <f t="shared" si="4"/>
        <v>0</v>
      </c>
      <c r="AQ50" s="8">
        <v>0</v>
      </c>
      <c r="AR50" s="8">
        <v>0</v>
      </c>
      <c r="AS50" s="8" t="s">
        <v>119</v>
      </c>
      <c r="AT50" s="8" t="s">
        <v>121</v>
      </c>
    </row>
    <row r="51" spans="2:46" x14ac:dyDescent="0.25">
      <c r="B51" s="2" t="s">
        <v>87</v>
      </c>
      <c r="C51" s="2" t="s">
        <v>88</v>
      </c>
      <c r="D51" s="2" t="s">
        <v>50</v>
      </c>
      <c r="E51" s="2" t="s">
        <v>48</v>
      </c>
      <c r="F51" s="2">
        <v>3.5000000000000003E-2</v>
      </c>
      <c r="G51" s="3">
        <v>5.2999999999999999E-2</v>
      </c>
      <c r="H51" s="2">
        <f>VLOOKUP(D51,'[1]LENNOX WK 29'!$A$3:$E$76,5,0)</f>
        <v>300</v>
      </c>
      <c r="I51" s="2">
        <v>0</v>
      </c>
      <c r="J51" s="2">
        <v>200</v>
      </c>
      <c r="K51" s="2"/>
      <c r="L51" s="2">
        <v>1200</v>
      </c>
      <c r="M51" s="2"/>
      <c r="N51" s="8">
        <f t="shared" si="2"/>
        <v>1200</v>
      </c>
      <c r="O51" s="2">
        <v>0</v>
      </c>
      <c r="P51" s="2">
        <v>0</v>
      </c>
      <c r="Q51" s="2">
        <v>300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/>
      <c r="AB51" s="2"/>
      <c r="AC51" s="2"/>
      <c r="AD51" s="2"/>
      <c r="AE51" s="19">
        <v>200</v>
      </c>
      <c r="AF51" s="19"/>
      <c r="AG51" s="2"/>
      <c r="AH51" s="2"/>
      <c r="AI51" s="2">
        <v>0</v>
      </c>
      <c r="AJ51" s="7">
        <f t="shared" si="3"/>
        <v>90.1</v>
      </c>
      <c r="AK51" s="7">
        <v>1000</v>
      </c>
      <c r="AL51" s="7">
        <v>0</v>
      </c>
      <c r="AM51" s="8">
        <f t="shared" si="5"/>
        <v>0</v>
      </c>
      <c r="AN51" s="8">
        <v>0</v>
      </c>
      <c r="AO51" s="8">
        <f t="shared" si="6"/>
        <v>0</v>
      </c>
      <c r="AP51" s="8">
        <f t="shared" si="4"/>
        <v>0</v>
      </c>
      <c r="AQ51" s="8">
        <v>0</v>
      </c>
      <c r="AR51" s="8">
        <v>0</v>
      </c>
      <c r="AS51" s="8" t="s">
        <v>119</v>
      </c>
      <c r="AT51" s="8" t="s">
        <v>121</v>
      </c>
    </row>
    <row r="52" spans="2:46" x14ac:dyDescent="0.25">
      <c r="B52" s="2" t="s">
        <v>87</v>
      </c>
      <c r="C52" s="2" t="s">
        <v>88</v>
      </c>
      <c r="D52" s="2" t="s">
        <v>51</v>
      </c>
      <c r="E52" s="2" t="s">
        <v>48</v>
      </c>
      <c r="F52" s="2">
        <v>3.5000000000000003E-2</v>
      </c>
      <c r="G52" s="3">
        <v>0.13800000000000001</v>
      </c>
      <c r="H52" s="2">
        <f>VLOOKUP(D52,'[1]LENNOX WK 29'!$A$3:$E$76,5,0)</f>
        <v>0</v>
      </c>
      <c r="I52" s="2">
        <v>0</v>
      </c>
      <c r="J52" s="2">
        <v>0</v>
      </c>
      <c r="K52" s="2"/>
      <c r="L52" s="2">
        <v>0</v>
      </c>
      <c r="M52" s="2"/>
      <c r="N52" s="8">
        <f t="shared" si="2"/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/>
      <c r="AB52" s="2"/>
      <c r="AC52" s="2"/>
      <c r="AD52" s="2"/>
      <c r="AE52" s="19"/>
      <c r="AF52" s="19"/>
      <c r="AG52" s="2"/>
      <c r="AH52" s="2"/>
      <c r="AI52" s="2">
        <v>0</v>
      </c>
      <c r="AJ52" s="7">
        <f t="shared" si="3"/>
        <v>0</v>
      </c>
      <c r="AK52" s="7">
        <v>500</v>
      </c>
      <c r="AL52" s="7">
        <v>0</v>
      </c>
      <c r="AM52" s="8">
        <f t="shared" si="5"/>
        <v>0</v>
      </c>
      <c r="AN52" s="8">
        <v>0</v>
      </c>
      <c r="AO52" s="8">
        <f t="shared" si="6"/>
        <v>0</v>
      </c>
      <c r="AP52" s="8">
        <f t="shared" si="4"/>
        <v>0</v>
      </c>
      <c r="AQ52" s="8">
        <v>0</v>
      </c>
      <c r="AR52" s="8">
        <v>0</v>
      </c>
      <c r="AS52" s="8" t="s">
        <v>119</v>
      </c>
      <c r="AT52" s="8" t="s">
        <v>121</v>
      </c>
    </row>
    <row r="53" spans="2:46" x14ac:dyDescent="0.25">
      <c r="B53" s="2" t="s">
        <v>87</v>
      </c>
      <c r="C53" s="2" t="s">
        <v>88</v>
      </c>
      <c r="D53" s="2" t="s">
        <v>52</v>
      </c>
      <c r="E53" s="2" t="s">
        <v>48</v>
      </c>
      <c r="F53" s="2">
        <v>3.5000000000000003E-2</v>
      </c>
      <c r="G53" s="3">
        <v>0.11</v>
      </c>
      <c r="H53" s="2">
        <f>VLOOKUP(D53,'[1]LENNOX WK 29'!$A$3:$E$76,5,0)</f>
        <v>0</v>
      </c>
      <c r="I53" s="2">
        <v>0</v>
      </c>
      <c r="J53" s="2">
        <v>1000</v>
      </c>
      <c r="K53" s="2"/>
      <c r="L53" s="2">
        <v>0</v>
      </c>
      <c r="M53" s="2"/>
      <c r="N53" s="8">
        <f t="shared" si="2"/>
        <v>1000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/>
      <c r="AB53" s="2"/>
      <c r="AC53" s="2"/>
      <c r="AD53" s="2"/>
      <c r="AE53" s="19"/>
      <c r="AF53" s="19"/>
      <c r="AG53" s="2"/>
      <c r="AH53" s="2"/>
      <c r="AI53" s="2">
        <v>0</v>
      </c>
      <c r="AJ53" s="7">
        <f t="shared" si="3"/>
        <v>110</v>
      </c>
      <c r="AK53" s="7">
        <v>500</v>
      </c>
      <c r="AL53" s="7">
        <v>0</v>
      </c>
      <c r="AM53" s="8">
        <f t="shared" si="5"/>
        <v>0</v>
      </c>
      <c r="AN53" s="8">
        <v>0</v>
      </c>
      <c r="AO53" s="8">
        <f t="shared" si="6"/>
        <v>0</v>
      </c>
      <c r="AP53" s="8">
        <f t="shared" si="4"/>
        <v>0</v>
      </c>
      <c r="AQ53" s="8">
        <v>0</v>
      </c>
      <c r="AR53" s="8">
        <v>0</v>
      </c>
      <c r="AS53" s="8" t="s">
        <v>119</v>
      </c>
      <c r="AT53" s="8" t="s">
        <v>121</v>
      </c>
    </row>
    <row r="54" spans="2:46" x14ac:dyDescent="0.25">
      <c r="B54" s="2" t="s">
        <v>87</v>
      </c>
      <c r="C54" s="2" t="s">
        <v>88</v>
      </c>
      <c r="D54" s="2" t="s">
        <v>53</v>
      </c>
      <c r="E54" s="2" t="s">
        <v>54</v>
      </c>
      <c r="F54" s="2">
        <v>4.1000000000000002E-2</v>
      </c>
      <c r="G54" s="3">
        <v>7.3999999999999996E-2</v>
      </c>
      <c r="H54" s="2">
        <f>VLOOKUP(D54,'[1]LENNOX WK 29'!$A$3:$E$76,5,0)</f>
        <v>600</v>
      </c>
      <c r="I54" s="2">
        <v>0</v>
      </c>
      <c r="J54" s="2">
        <v>0</v>
      </c>
      <c r="K54" s="2"/>
      <c r="L54" s="2">
        <v>2800</v>
      </c>
      <c r="M54" s="2"/>
      <c r="N54" s="8">
        <f t="shared" si="2"/>
        <v>2800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600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/>
      <c r="AB54" s="2"/>
      <c r="AC54" s="2"/>
      <c r="AD54" s="2"/>
      <c r="AE54" s="19"/>
      <c r="AF54" s="19"/>
      <c r="AG54" s="2"/>
      <c r="AH54" s="2"/>
      <c r="AI54" s="2">
        <v>0</v>
      </c>
      <c r="AJ54" s="7">
        <f t="shared" si="3"/>
        <v>251.6</v>
      </c>
      <c r="AK54" s="7">
        <v>1000</v>
      </c>
      <c r="AL54" s="7">
        <v>0</v>
      </c>
      <c r="AM54" s="8">
        <f t="shared" si="5"/>
        <v>0</v>
      </c>
      <c r="AN54" s="8">
        <v>0</v>
      </c>
      <c r="AO54" s="8">
        <f t="shared" si="6"/>
        <v>0</v>
      </c>
      <c r="AP54" s="8">
        <f t="shared" si="4"/>
        <v>0</v>
      </c>
      <c r="AQ54" s="8">
        <v>0</v>
      </c>
      <c r="AR54" s="8">
        <v>0</v>
      </c>
      <c r="AS54" s="8" t="s">
        <v>119</v>
      </c>
      <c r="AT54" s="8" t="s">
        <v>121</v>
      </c>
    </row>
    <row r="55" spans="2:46" x14ac:dyDescent="0.25">
      <c r="B55" s="2" t="s">
        <v>87</v>
      </c>
      <c r="C55" s="2" t="s">
        <v>88</v>
      </c>
      <c r="D55" s="2" t="s">
        <v>55</v>
      </c>
      <c r="E55" s="2" t="s">
        <v>54</v>
      </c>
      <c r="F55" s="2">
        <v>4.4999999999999998E-2</v>
      </c>
      <c r="G55" s="3">
        <v>0.46</v>
      </c>
      <c r="H55" s="2">
        <f>VLOOKUP(D55,'[1]LENNOX WK 29'!$A$3:$E$76,5,0)</f>
        <v>100</v>
      </c>
      <c r="I55" s="2">
        <v>0</v>
      </c>
      <c r="J55" s="2">
        <v>400</v>
      </c>
      <c r="K55" s="2"/>
      <c r="L55" s="2">
        <v>1000</v>
      </c>
      <c r="M55" s="2"/>
      <c r="N55" s="8">
        <f t="shared" si="2"/>
        <v>1000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100</v>
      </c>
      <c r="X55" s="2">
        <v>0</v>
      </c>
      <c r="Y55" s="2">
        <v>0</v>
      </c>
      <c r="Z55" s="2">
        <v>0</v>
      </c>
      <c r="AA55" s="2"/>
      <c r="AB55" s="2"/>
      <c r="AC55" s="2"/>
      <c r="AD55" s="2"/>
      <c r="AE55" s="19">
        <v>300</v>
      </c>
      <c r="AF55" s="19">
        <v>100</v>
      </c>
      <c r="AG55" s="2"/>
      <c r="AH55" s="2"/>
      <c r="AI55" s="2">
        <v>0</v>
      </c>
      <c r="AJ55" s="7">
        <f t="shared" si="3"/>
        <v>690</v>
      </c>
      <c r="AK55" s="7">
        <v>200</v>
      </c>
      <c r="AL55" s="7">
        <v>0</v>
      </c>
      <c r="AM55" s="8">
        <f t="shared" si="5"/>
        <v>0</v>
      </c>
      <c r="AN55" s="8">
        <v>0</v>
      </c>
      <c r="AO55" s="8">
        <f t="shared" si="6"/>
        <v>0</v>
      </c>
      <c r="AP55" s="8">
        <f t="shared" si="4"/>
        <v>0</v>
      </c>
      <c r="AQ55" s="8">
        <v>0</v>
      </c>
      <c r="AR55" s="8">
        <v>0</v>
      </c>
      <c r="AS55" s="8" t="s">
        <v>119</v>
      </c>
      <c r="AT55" s="8" t="s">
        <v>121</v>
      </c>
    </row>
    <row r="56" spans="2:46" x14ac:dyDescent="0.25">
      <c r="B56" s="2" t="s">
        <v>87</v>
      </c>
      <c r="C56" s="2" t="s">
        <v>88</v>
      </c>
      <c r="D56" s="2" t="s">
        <v>56</v>
      </c>
      <c r="E56" s="2" t="s">
        <v>54</v>
      </c>
      <c r="F56" s="2">
        <v>4.4999999999999998E-2</v>
      </c>
      <c r="G56" s="3">
        <v>0.23300000000000001</v>
      </c>
      <c r="H56" s="2">
        <f>VLOOKUP(D56,'[1]LENNOX WK 29'!$A$3:$E$76,5,0)</f>
        <v>0</v>
      </c>
      <c r="I56" s="2">
        <v>0</v>
      </c>
      <c r="J56" s="2">
        <v>0</v>
      </c>
      <c r="K56" s="2"/>
      <c r="L56" s="2">
        <v>1000</v>
      </c>
      <c r="M56" s="2"/>
      <c r="N56" s="8">
        <f t="shared" si="2"/>
        <v>416</v>
      </c>
      <c r="O56" s="2">
        <v>0</v>
      </c>
      <c r="P56" s="2">
        <v>584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/>
      <c r="AB56" s="2"/>
      <c r="AC56" s="2"/>
      <c r="AD56" s="2"/>
      <c r="AE56" s="19"/>
      <c r="AF56" s="19"/>
      <c r="AG56" s="2"/>
      <c r="AH56" s="2"/>
      <c r="AI56" s="2">
        <v>0</v>
      </c>
      <c r="AJ56" s="7">
        <f t="shared" si="3"/>
        <v>233</v>
      </c>
      <c r="AK56" s="7">
        <v>500</v>
      </c>
      <c r="AL56" s="7">
        <v>0</v>
      </c>
      <c r="AM56" s="8">
        <f t="shared" si="5"/>
        <v>0</v>
      </c>
      <c r="AN56" s="8">
        <v>0</v>
      </c>
      <c r="AO56" s="8">
        <f t="shared" si="6"/>
        <v>0</v>
      </c>
      <c r="AP56" s="8">
        <f t="shared" si="4"/>
        <v>0</v>
      </c>
      <c r="AQ56" s="8">
        <v>0</v>
      </c>
      <c r="AR56" s="8">
        <v>0</v>
      </c>
      <c r="AS56" s="8" t="s">
        <v>119</v>
      </c>
      <c r="AT56" s="8" t="s">
        <v>121</v>
      </c>
    </row>
    <row r="57" spans="2:46" x14ac:dyDescent="0.25">
      <c r="B57" s="2" t="s">
        <v>87</v>
      </c>
      <c r="C57" s="2" t="s">
        <v>88</v>
      </c>
      <c r="D57" s="2" t="s">
        <v>57</v>
      </c>
      <c r="E57" s="2" t="s">
        <v>54</v>
      </c>
      <c r="F57" s="2">
        <v>4.1000000000000002E-2</v>
      </c>
      <c r="G57" s="3">
        <v>0.19700000000000001</v>
      </c>
      <c r="H57" s="2">
        <f>VLOOKUP(D57,'[1]LENNOX WK 29'!$A$3:$E$76,5,0)</f>
        <v>1800</v>
      </c>
      <c r="I57" s="2">
        <v>0</v>
      </c>
      <c r="J57" s="2">
        <v>0</v>
      </c>
      <c r="K57" s="2"/>
      <c r="L57" s="2">
        <v>2200</v>
      </c>
      <c r="M57" s="2"/>
      <c r="N57" s="8">
        <f t="shared" si="2"/>
        <v>2200</v>
      </c>
      <c r="O57" s="2">
        <v>0</v>
      </c>
      <c r="P57" s="2">
        <v>0</v>
      </c>
      <c r="Q57" s="2">
        <v>0</v>
      </c>
      <c r="R57" s="2">
        <v>0</v>
      </c>
      <c r="S57" s="2">
        <v>463</v>
      </c>
      <c r="T57" s="2">
        <v>0</v>
      </c>
      <c r="U57" s="2">
        <v>500</v>
      </c>
      <c r="V57" s="2">
        <v>290</v>
      </c>
      <c r="W57" s="2">
        <v>0</v>
      </c>
      <c r="X57" s="2">
        <v>0</v>
      </c>
      <c r="Y57" s="2">
        <v>547</v>
      </c>
      <c r="Z57" s="2">
        <v>0</v>
      </c>
      <c r="AA57" s="2"/>
      <c r="AB57" s="2"/>
      <c r="AC57" s="2"/>
      <c r="AD57" s="2"/>
      <c r="AE57" s="19"/>
      <c r="AF57" s="19"/>
      <c r="AG57" s="2"/>
      <c r="AH57" s="2"/>
      <c r="AI57" s="2">
        <v>0</v>
      </c>
      <c r="AJ57" s="7">
        <f t="shared" si="3"/>
        <v>788</v>
      </c>
      <c r="AK57" s="7">
        <v>500</v>
      </c>
      <c r="AL57" s="7">
        <v>0</v>
      </c>
      <c r="AM57" s="8">
        <f t="shared" si="5"/>
        <v>0</v>
      </c>
      <c r="AN57" s="8">
        <v>0</v>
      </c>
      <c r="AO57" s="8">
        <f t="shared" si="6"/>
        <v>0</v>
      </c>
      <c r="AP57" s="8">
        <f t="shared" si="4"/>
        <v>0</v>
      </c>
      <c r="AQ57" s="8">
        <v>0</v>
      </c>
      <c r="AR57" s="8">
        <v>0</v>
      </c>
      <c r="AS57" s="8" t="s">
        <v>119</v>
      </c>
      <c r="AT57" s="8" t="s">
        <v>121</v>
      </c>
    </row>
    <row r="58" spans="2:46" x14ac:dyDescent="0.25">
      <c r="B58" s="2" t="s">
        <v>87</v>
      </c>
      <c r="C58" s="2" t="s">
        <v>88</v>
      </c>
      <c r="D58" s="2" t="s">
        <v>58</v>
      </c>
      <c r="E58" s="2" t="s">
        <v>54</v>
      </c>
      <c r="F58" s="2">
        <v>4.4999999999999998E-2</v>
      </c>
      <c r="G58" s="3">
        <v>0.17299999999999999</v>
      </c>
      <c r="H58" s="2">
        <f>VLOOKUP(D58,'[1]LENNOX WK 29'!$A$3:$E$76,5,0)</f>
        <v>300</v>
      </c>
      <c r="I58" s="2">
        <v>0</v>
      </c>
      <c r="J58" s="2">
        <v>1200</v>
      </c>
      <c r="K58" s="2"/>
      <c r="L58" s="2">
        <v>900</v>
      </c>
      <c r="M58" s="2"/>
      <c r="N58" s="8">
        <f t="shared" si="2"/>
        <v>1720</v>
      </c>
      <c r="O58" s="2">
        <v>0</v>
      </c>
      <c r="P58" s="2">
        <v>0</v>
      </c>
      <c r="Q58" s="2">
        <v>680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/>
      <c r="AB58" s="2"/>
      <c r="AC58" s="2"/>
      <c r="AD58" s="2"/>
      <c r="AE58" s="19"/>
      <c r="AF58" s="19"/>
      <c r="AG58" s="2"/>
      <c r="AH58" s="2"/>
      <c r="AI58" s="2">
        <v>0</v>
      </c>
      <c r="AJ58" s="7">
        <f t="shared" si="3"/>
        <v>415.2</v>
      </c>
      <c r="AK58" s="7">
        <v>500</v>
      </c>
      <c r="AL58" s="7">
        <v>0</v>
      </c>
      <c r="AM58" s="8">
        <f t="shared" si="5"/>
        <v>0</v>
      </c>
      <c r="AN58" s="8">
        <v>0</v>
      </c>
      <c r="AO58" s="8">
        <f t="shared" si="6"/>
        <v>0</v>
      </c>
      <c r="AP58" s="8">
        <f t="shared" si="4"/>
        <v>0</v>
      </c>
      <c r="AQ58" s="8">
        <v>0</v>
      </c>
      <c r="AR58" s="8">
        <v>0</v>
      </c>
      <c r="AS58" s="8" t="s">
        <v>119</v>
      </c>
      <c r="AT58" s="8" t="s">
        <v>121</v>
      </c>
    </row>
    <row r="59" spans="2:46" ht="14.25" customHeight="1" x14ac:dyDescent="0.25">
      <c r="B59" s="2" t="s">
        <v>87</v>
      </c>
      <c r="C59" s="2" t="s">
        <v>88</v>
      </c>
      <c r="D59" s="2" t="s">
        <v>59</v>
      </c>
      <c r="E59" s="2" t="s">
        <v>60</v>
      </c>
      <c r="F59" s="2">
        <v>3.5000000000000003E-2</v>
      </c>
      <c r="G59" s="3">
        <v>0.29799999999999999</v>
      </c>
      <c r="H59" s="2">
        <f>VLOOKUP(D59,'[1]LENNOX WK 29'!$A$3:$E$76,5,0)</f>
        <v>0</v>
      </c>
      <c r="I59" s="2">
        <v>0</v>
      </c>
      <c r="J59" s="2">
        <v>0</v>
      </c>
      <c r="K59" s="2"/>
      <c r="L59" s="2">
        <v>0</v>
      </c>
      <c r="M59" s="2"/>
      <c r="N59" s="8">
        <f t="shared" si="2"/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/>
      <c r="AB59" s="2"/>
      <c r="AC59" s="2"/>
      <c r="AD59" s="2"/>
      <c r="AE59" s="19"/>
      <c r="AF59" s="19"/>
      <c r="AG59" s="2"/>
      <c r="AH59" s="2"/>
      <c r="AI59" s="2">
        <v>0</v>
      </c>
      <c r="AJ59" s="7">
        <f t="shared" si="3"/>
        <v>0</v>
      </c>
      <c r="AK59" s="7">
        <v>144</v>
      </c>
      <c r="AL59" s="7">
        <v>0</v>
      </c>
      <c r="AM59" s="8">
        <f t="shared" si="5"/>
        <v>0</v>
      </c>
      <c r="AN59" s="8">
        <v>0</v>
      </c>
      <c r="AO59" s="8">
        <f t="shared" si="6"/>
        <v>0</v>
      </c>
      <c r="AP59" s="8">
        <f t="shared" si="4"/>
        <v>0</v>
      </c>
      <c r="AQ59" s="8" t="s">
        <v>110</v>
      </c>
      <c r="AR59" s="8">
        <f t="shared" ref="AR59:AR78" si="7">+SUM(H59:M59)</f>
        <v>0</v>
      </c>
      <c r="AS59" s="8" t="s">
        <v>119</v>
      </c>
      <c r="AT59" s="8" t="s">
        <v>121</v>
      </c>
    </row>
    <row r="60" spans="2:46" x14ac:dyDescent="0.25">
      <c r="B60" s="2" t="s">
        <v>87</v>
      </c>
      <c r="C60" s="2" t="s">
        <v>88</v>
      </c>
      <c r="D60" s="2" t="s">
        <v>61</v>
      </c>
      <c r="E60" s="2" t="s">
        <v>60</v>
      </c>
      <c r="F60" s="2">
        <v>3.5000000000000003E-2</v>
      </c>
      <c r="G60" s="3">
        <v>0.249</v>
      </c>
      <c r="H60" s="2">
        <f>VLOOKUP(D60,'[1]LENNOX WK 29'!$A$3:$E$76,5,0)</f>
        <v>1008</v>
      </c>
      <c r="I60" s="2">
        <v>0</v>
      </c>
      <c r="J60" s="2">
        <v>0</v>
      </c>
      <c r="K60" s="2"/>
      <c r="L60" s="2">
        <v>0</v>
      </c>
      <c r="M60" s="2"/>
      <c r="N60" s="8">
        <f t="shared" si="2"/>
        <v>-576</v>
      </c>
      <c r="O60" s="2">
        <v>0</v>
      </c>
      <c r="P60" s="2">
        <v>0</v>
      </c>
      <c r="Q60" s="2">
        <v>144</v>
      </c>
      <c r="R60" s="2">
        <v>720</v>
      </c>
      <c r="S60" s="2">
        <v>144</v>
      </c>
      <c r="T60" s="2">
        <v>144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/>
      <c r="AB60" s="2"/>
      <c r="AC60" s="2"/>
      <c r="AD60" s="2"/>
      <c r="AE60" s="19"/>
      <c r="AF60" s="19">
        <v>288</v>
      </c>
      <c r="AG60" s="2"/>
      <c r="AH60" s="2">
        <v>144</v>
      </c>
      <c r="AI60" s="2">
        <v>0</v>
      </c>
      <c r="AJ60" s="7">
        <f t="shared" si="3"/>
        <v>250.99199999999999</v>
      </c>
      <c r="AK60" s="7">
        <v>144</v>
      </c>
      <c r="AL60" s="7">
        <v>1</v>
      </c>
      <c r="AM60" s="8">
        <f t="shared" si="5"/>
        <v>1008</v>
      </c>
      <c r="AN60" s="8">
        <v>0</v>
      </c>
      <c r="AO60" s="8">
        <f t="shared" si="6"/>
        <v>0</v>
      </c>
      <c r="AP60" s="8">
        <f t="shared" si="4"/>
        <v>0</v>
      </c>
      <c r="AQ60" s="8" t="s">
        <v>111</v>
      </c>
      <c r="AR60" s="8">
        <f t="shared" si="7"/>
        <v>1008</v>
      </c>
      <c r="AS60" s="8" t="s">
        <v>119</v>
      </c>
      <c r="AT60" s="8" t="s">
        <v>121</v>
      </c>
    </row>
    <row r="61" spans="2:46" x14ac:dyDescent="0.25">
      <c r="B61" s="2" t="s">
        <v>87</v>
      </c>
      <c r="C61" s="2" t="s">
        <v>88</v>
      </c>
      <c r="D61" s="2" t="s">
        <v>62</v>
      </c>
      <c r="E61" s="2" t="s">
        <v>60</v>
      </c>
      <c r="F61" s="2">
        <v>3.5000000000000003E-2</v>
      </c>
      <c r="G61" s="3">
        <v>0.253</v>
      </c>
      <c r="H61" s="2">
        <f>VLOOKUP(D61,'[1]LENNOX WK 29'!$A$3:$E$76,5,0)</f>
        <v>0</v>
      </c>
      <c r="I61" s="2">
        <v>0</v>
      </c>
      <c r="J61" s="2">
        <v>0</v>
      </c>
      <c r="K61" s="2"/>
      <c r="L61" s="2">
        <v>0</v>
      </c>
      <c r="M61" s="2"/>
      <c r="N61" s="8">
        <f t="shared" si="2"/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/>
      <c r="AB61" s="2"/>
      <c r="AC61" s="2"/>
      <c r="AD61" s="2"/>
      <c r="AE61" s="19"/>
      <c r="AF61" s="19"/>
      <c r="AG61" s="2"/>
      <c r="AH61" s="2"/>
      <c r="AI61" s="2">
        <v>0</v>
      </c>
      <c r="AJ61" s="7">
        <f t="shared" si="3"/>
        <v>0</v>
      </c>
      <c r="AK61" s="7">
        <v>144</v>
      </c>
      <c r="AL61" s="7">
        <v>1</v>
      </c>
      <c r="AM61" s="8">
        <f t="shared" si="5"/>
        <v>0</v>
      </c>
      <c r="AN61" s="8">
        <v>0</v>
      </c>
      <c r="AO61" s="8">
        <f t="shared" si="6"/>
        <v>0</v>
      </c>
      <c r="AP61" s="8">
        <f t="shared" si="4"/>
        <v>0</v>
      </c>
      <c r="AQ61" s="8" t="s">
        <v>111</v>
      </c>
      <c r="AR61" s="8">
        <f t="shared" si="7"/>
        <v>0</v>
      </c>
      <c r="AS61" s="8" t="s">
        <v>119</v>
      </c>
      <c r="AT61" s="8" t="s">
        <v>121</v>
      </c>
    </row>
    <row r="62" spans="2:46" x14ac:dyDescent="0.25">
      <c r="B62" s="2" t="s">
        <v>87</v>
      </c>
      <c r="C62" s="2" t="s">
        <v>88</v>
      </c>
      <c r="D62" s="2" t="s">
        <v>63</v>
      </c>
      <c r="E62" s="2" t="s">
        <v>60</v>
      </c>
      <c r="F62" s="2">
        <v>3.5000000000000003E-2</v>
      </c>
      <c r="G62" s="3">
        <v>0.215</v>
      </c>
      <c r="H62" s="2">
        <f>VLOOKUP(D62,'[1]LENNOX WK 29'!$A$3:$E$76,5,0)</f>
        <v>576</v>
      </c>
      <c r="I62" s="2">
        <v>432</v>
      </c>
      <c r="J62" s="2">
        <v>0</v>
      </c>
      <c r="K62" s="2"/>
      <c r="L62" s="2">
        <v>432</v>
      </c>
      <c r="M62" s="2">
        <v>720</v>
      </c>
      <c r="N62" s="8">
        <f t="shared" si="2"/>
        <v>144</v>
      </c>
      <c r="O62" s="2">
        <v>288</v>
      </c>
      <c r="P62" s="2">
        <v>0</v>
      </c>
      <c r="Q62" s="2">
        <v>432</v>
      </c>
      <c r="R62" s="2">
        <v>144</v>
      </c>
      <c r="S62" s="2">
        <v>288</v>
      </c>
      <c r="T62" s="2">
        <v>0</v>
      </c>
      <c r="U62" s="2">
        <v>0</v>
      </c>
      <c r="V62" s="2">
        <v>0</v>
      </c>
      <c r="W62" s="2">
        <v>0</v>
      </c>
      <c r="X62" s="2">
        <v>432</v>
      </c>
      <c r="Y62" s="2">
        <v>0</v>
      </c>
      <c r="Z62" s="2">
        <v>144</v>
      </c>
      <c r="AA62" s="2"/>
      <c r="AB62" s="2"/>
      <c r="AC62" s="2"/>
      <c r="AD62" s="2"/>
      <c r="AE62" s="19"/>
      <c r="AF62" s="19"/>
      <c r="AG62" s="2">
        <v>144</v>
      </c>
      <c r="AH62" s="2">
        <v>144</v>
      </c>
      <c r="AI62" s="2">
        <v>0</v>
      </c>
      <c r="AJ62" s="7">
        <f t="shared" si="3"/>
        <v>464.4</v>
      </c>
      <c r="AK62" s="7">
        <v>144</v>
      </c>
      <c r="AL62" s="7">
        <v>1</v>
      </c>
      <c r="AM62" s="8">
        <f t="shared" si="5"/>
        <v>576</v>
      </c>
      <c r="AN62" s="8">
        <v>0</v>
      </c>
      <c r="AO62" s="8">
        <f t="shared" si="6"/>
        <v>0</v>
      </c>
      <c r="AP62" s="8">
        <f t="shared" si="4"/>
        <v>0</v>
      </c>
      <c r="AQ62" s="8" t="s">
        <v>111</v>
      </c>
      <c r="AR62" s="8">
        <f t="shared" si="7"/>
        <v>2160</v>
      </c>
      <c r="AS62" s="8" t="s">
        <v>119</v>
      </c>
      <c r="AT62" s="8" t="s">
        <v>121</v>
      </c>
    </row>
    <row r="63" spans="2:46" x14ac:dyDescent="0.25">
      <c r="B63" s="2" t="s">
        <v>87</v>
      </c>
      <c r="C63" s="2" t="s">
        <v>88</v>
      </c>
      <c r="D63" s="2" t="s">
        <v>64</v>
      </c>
      <c r="E63" s="2" t="s">
        <v>60</v>
      </c>
      <c r="F63" s="2">
        <v>3.5000000000000003E-2</v>
      </c>
      <c r="G63" s="3">
        <v>0.253</v>
      </c>
      <c r="H63" s="2">
        <f>VLOOKUP(D63,'[1]LENNOX WK 29'!$A$3:$E$76,5,0)</f>
        <v>288</v>
      </c>
      <c r="I63" s="2">
        <v>0</v>
      </c>
      <c r="J63" s="2">
        <v>1008</v>
      </c>
      <c r="K63" s="2"/>
      <c r="L63" s="2">
        <v>432</v>
      </c>
      <c r="M63" s="2"/>
      <c r="N63" s="8">
        <f t="shared" si="2"/>
        <v>0</v>
      </c>
      <c r="O63" s="2">
        <v>0</v>
      </c>
      <c r="P63" s="2">
        <v>0</v>
      </c>
      <c r="Q63" s="2">
        <v>0</v>
      </c>
      <c r="R63" s="2">
        <v>144</v>
      </c>
      <c r="S63" s="2">
        <v>144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/>
      <c r="AB63" s="2">
        <v>374</v>
      </c>
      <c r="AC63" s="2">
        <v>144</v>
      </c>
      <c r="AD63" s="2">
        <v>200</v>
      </c>
      <c r="AE63" s="19"/>
      <c r="AF63" s="19"/>
      <c r="AG63" s="2">
        <v>432</v>
      </c>
      <c r="AH63" s="2"/>
      <c r="AI63" s="2">
        <v>290</v>
      </c>
      <c r="AJ63" s="7">
        <f t="shared" si="3"/>
        <v>437.18400000000003</v>
      </c>
      <c r="AK63" s="7">
        <v>144</v>
      </c>
      <c r="AL63" s="7">
        <v>1</v>
      </c>
      <c r="AM63" s="8">
        <f t="shared" si="5"/>
        <v>288</v>
      </c>
      <c r="AN63" s="8">
        <v>0</v>
      </c>
      <c r="AO63" s="8">
        <f t="shared" si="6"/>
        <v>0</v>
      </c>
      <c r="AP63" s="8">
        <f t="shared" si="4"/>
        <v>0</v>
      </c>
      <c r="AQ63" s="8" t="s">
        <v>111</v>
      </c>
      <c r="AR63" s="8">
        <f t="shared" si="7"/>
        <v>1728</v>
      </c>
      <c r="AS63" s="8" t="s">
        <v>119</v>
      </c>
      <c r="AT63" s="8" t="s">
        <v>121</v>
      </c>
    </row>
    <row r="64" spans="2:46" x14ac:dyDescent="0.25">
      <c r="B64" s="2" t="s">
        <v>87</v>
      </c>
      <c r="C64" s="2" t="s">
        <v>88</v>
      </c>
      <c r="D64" s="2" t="s">
        <v>65</v>
      </c>
      <c r="E64" s="2" t="s">
        <v>60</v>
      </c>
      <c r="F64" s="2">
        <v>3.5000000000000003E-2</v>
      </c>
      <c r="G64" s="3">
        <v>0.249</v>
      </c>
      <c r="H64" s="2">
        <f>VLOOKUP(D64,'[1]LENNOX WK 29'!$A$3:$E$76,5,0)</f>
        <v>720</v>
      </c>
      <c r="I64" s="2">
        <v>144</v>
      </c>
      <c r="J64" s="2">
        <v>792</v>
      </c>
      <c r="K64" s="2"/>
      <c r="L64" s="2">
        <v>864</v>
      </c>
      <c r="M64" s="2"/>
      <c r="N64" s="8">
        <f t="shared" si="2"/>
        <v>576</v>
      </c>
      <c r="O64" s="2">
        <v>0</v>
      </c>
      <c r="P64" s="2">
        <v>0</v>
      </c>
      <c r="Q64" s="2">
        <v>144</v>
      </c>
      <c r="R64" s="2">
        <v>0</v>
      </c>
      <c r="S64" s="2">
        <v>0</v>
      </c>
      <c r="T64" s="2">
        <v>576</v>
      </c>
      <c r="U64" s="2">
        <v>0</v>
      </c>
      <c r="V64" s="2">
        <v>0</v>
      </c>
      <c r="W64" s="2">
        <v>0</v>
      </c>
      <c r="X64" s="2">
        <v>0</v>
      </c>
      <c r="Y64" s="2">
        <v>144</v>
      </c>
      <c r="Z64" s="2">
        <v>0</v>
      </c>
      <c r="AA64" s="2">
        <v>288</v>
      </c>
      <c r="AB64" s="2">
        <v>144</v>
      </c>
      <c r="AC64" s="2">
        <v>288</v>
      </c>
      <c r="AD64" s="2"/>
      <c r="AE64" s="19">
        <v>72</v>
      </c>
      <c r="AF64" s="19"/>
      <c r="AG64" s="2">
        <v>144</v>
      </c>
      <c r="AH64" s="2">
        <v>144</v>
      </c>
      <c r="AI64" s="2">
        <v>0</v>
      </c>
      <c r="AJ64" s="7">
        <f t="shared" si="3"/>
        <v>627.48</v>
      </c>
      <c r="AK64" s="7">
        <v>144</v>
      </c>
      <c r="AL64" s="7">
        <v>1</v>
      </c>
      <c r="AM64" s="8">
        <f t="shared" si="5"/>
        <v>720</v>
      </c>
      <c r="AN64" s="8">
        <v>0</v>
      </c>
      <c r="AO64" s="8">
        <f t="shared" si="6"/>
        <v>0</v>
      </c>
      <c r="AP64" s="8">
        <f t="shared" si="4"/>
        <v>0</v>
      </c>
      <c r="AQ64" s="8" t="s">
        <v>111</v>
      </c>
      <c r="AR64" s="8">
        <f t="shared" si="7"/>
        <v>2520</v>
      </c>
      <c r="AS64" s="8" t="s">
        <v>119</v>
      </c>
      <c r="AT64" s="8" t="s">
        <v>121</v>
      </c>
    </row>
    <row r="65" spans="2:46" x14ac:dyDescent="0.25">
      <c r="B65" s="2" t="s">
        <v>87</v>
      </c>
      <c r="C65" s="2" t="s">
        <v>88</v>
      </c>
      <c r="D65" s="2" t="s">
        <v>66</v>
      </c>
      <c r="E65" s="2" t="s">
        <v>60</v>
      </c>
      <c r="F65" s="2">
        <v>3.5000000000000003E-2</v>
      </c>
      <c r="G65" s="3">
        <v>0.30299999999999999</v>
      </c>
      <c r="H65" s="2">
        <f>VLOOKUP(D65,'[1]LENNOX WK 29'!$A$3:$E$76,5,0)</f>
        <v>432</v>
      </c>
      <c r="I65" s="2">
        <v>0</v>
      </c>
      <c r="J65" s="2">
        <v>0</v>
      </c>
      <c r="K65" s="2"/>
      <c r="L65" s="2">
        <v>0</v>
      </c>
      <c r="M65" s="2"/>
      <c r="N65" s="8">
        <f t="shared" si="2"/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288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/>
      <c r="AB65" s="2"/>
      <c r="AC65" s="2"/>
      <c r="AD65" s="2"/>
      <c r="AE65" s="19"/>
      <c r="AF65" s="19">
        <v>144</v>
      </c>
      <c r="AG65" s="2"/>
      <c r="AH65" s="2"/>
      <c r="AI65" s="2">
        <v>0</v>
      </c>
      <c r="AJ65" s="7">
        <f t="shared" si="3"/>
        <v>130.89599999999999</v>
      </c>
      <c r="AK65" s="7">
        <v>144</v>
      </c>
      <c r="AL65" s="7">
        <v>0</v>
      </c>
      <c r="AM65" s="8">
        <f t="shared" si="5"/>
        <v>0</v>
      </c>
      <c r="AN65" s="8">
        <v>0</v>
      </c>
      <c r="AO65" s="8">
        <f t="shared" si="6"/>
        <v>0</v>
      </c>
      <c r="AP65" s="8">
        <f t="shared" si="4"/>
        <v>0</v>
      </c>
      <c r="AQ65" s="8" t="s">
        <v>110</v>
      </c>
      <c r="AR65" s="8">
        <f t="shared" si="7"/>
        <v>432</v>
      </c>
      <c r="AS65" s="8" t="s">
        <v>119</v>
      </c>
      <c r="AT65" s="8" t="s">
        <v>121</v>
      </c>
    </row>
    <row r="66" spans="2:46" x14ac:dyDescent="0.25">
      <c r="B66" s="2" t="s">
        <v>87</v>
      </c>
      <c r="C66" s="2" t="s">
        <v>88</v>
      </c>
      <c r="D66" s="2" t="s">
        <v>67</v>
      </c>
      <c r="E66" s="2" t="s">
        <v>60</v>
      </c>
      <c r="F66" s="2">
        <v>3.5000000000000003E-2</v>
      </c>
      <c r="G66" s="3">
        <v>0.216</v>
      </c>
      <c r="H66" s="2">
        <f>VLOOKUP(D66,'[1]LENNOX WK 29'!$A$3:$E$76,5,0)</f>
        <v>144</v>
      </c>
      <c r="I66" s="2">
        <v>288</v>
      </c>
      <c r="J66" s="2">
        <v>0</v>
      </c>
      <c r="K66" s="2"/>
      <c r="L66" s="2">
        <v>0</v>
      </c>
      <c r="M66" s="2"/>
      <c r="N66" s="8">
        <f t="shared" si="2"/>
        <v>0</v>
      </c>
      <c r="O66" s="2">
        <v>0</v>
      </c>
      <c r="P66" s="2">
        <v>0</v>
      </c>
      <c r="Q66" s="2">
        <v>144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144</v>
      </c>
      <c r="Z66" s="2">
        <v>0</v>
      </c>
      <c r="AA66" s="2">
        <v>144</v>
      </c>
      <c r="AB66" s="2"/>
      <c r="AC66" s="2"/>
      <c r="AD66" s="2"/>
      <c r="AE66" s="19"/>
      <c r="AF66" s="19"/>
      <c r="AG66" s="2"/>
      <c r="AH66" s="2"/>
      <c r="AI66" s="2">
        <v>0</v>
      </c>
      <c r="AJ66" s="7">
        <f t="shared" si="3"/>
        <v>93.311999999999998</v>
      </c>
      <c r="AK66" s="7">
        <v>144</v>
      </c>
      <c r="AL66" s="7">
        <v>1</v>
      </c>
      <c r="AM66" s="8">
        <f t="shared" si="5"/>
        <v>144</v>
      </c>
      <c r="AN66" s="8">
        <v>0</v>
      </c>
      <c r="AO66" s="8">
        <f t="shared" si="6"/>
        <v>0</v>
      </c>
      <c r="AP66" s="8">
        <f t="shared" si="4"/>
        <v>0</v>
      </c>
      <c r="AQ66" s="8" t="s">
        <v>111</v>
      </c>
      <c r="AR66" s="8">
        <f t="shared" si="7"/>
        <v>432</v>
      </c>
      <c r="AS66" s="8" t="s">
        <v>119</v>
      </c>
      <c r="AT66" s="8" t="s">
        <v>121</v>
      </c>
    </row>
    <row r="67" spans="2:46" x14ac:dyDescent="0.25">
      <c r="B67" s="2" t="s">
        <v>87</v>
      </c>
      <c r="C67" s="2" t="s">
        <v>88</v>
      </c>
      <c r="D67" s="2" t="s">
        <v>68</v>
      </c>
      <c r="E67" s="2" t="s">
        <v>60</v>
      </c>
      <c r="F67" s="2">
        <v>3.5000000000000003E-2</v>
      </c>
      <c r="G67" s="3">
        <v>0.28399999999999997</v>
      </c>
      <c r="H67" s="2">
        <f>VLOOKUP(D67,'[1]LENNOX WK 29'!$A$3:$E$76,5,0)</f>
        <v>288</v>
      </c>
      <c r="I67" s="2">
        <v>0</v>
      </c>
      <c r="J67" s="2">
        <v>0</v>
      </c>
      <c r="K67" s="2"/>
      <c r="L67" s="2">
        <v>144</v>
      </c>
      <c r="M67" s="2"/>
      <c r="N67" s="8">
        <f t="shared" si="2"/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288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/>
      <c r="AB67" s="2"/>
      <c r="AC67" s="2"/>
      <c r="AD67" s="2"/>
      <c r="AE67" s="19"/>
      <c r="AF67" s="19"/>
      <c r="AG67" s="2">
        <v>144</v>
      </c>
      <c r="AH67" s="2"/>
      <c r="AI67" s="2">
        <v>0</v>
      </c>
      <c r="AJ67" s="7">
        <f t="shared" si="3"/>
        <v>122.68799999999999</v>
      </c>
      <c r="AK67" s="7">
        <v>144</v>
      </c>
      <c r="AL67" s="7">
        <v>0</v>
      </c>
      <c r="AM67" s="8">
        <f t="shared" si="5"/>
        <v>0</v>
      </c>
      <c r="AN67" s="8">
        <v>0</v>
      </c>
      <c r="AO67" s="8">
        <f t="shared" si="6"/>
        <v>0</v>
      </c>
      <c r="AP67" s="8">
        <f t="shared" si="4"/>
        <v>0</v>
      </c>
      <c r="AQ67" s="8" t="s">
        <v>110</v>
      </c>
      <c r="AR67" s="8">
        <f t="shared" si="7"/>
        <v>432</v>
      </c>
      <c r="AS67" s="8" t="s">
        <v>119</v>
      </c>
      <c r="AT67" s="8" t="s">
        <v>121</v>
      </c>
    </row>
    <row r="68" spans="2:46" x14ac:dyDescent="0.25">
      <c r="B68" s="2" t="s">
        <v>87</v>
      </c>
      <c r="C68" s="2" t="s">
        <v>88</v>
      </c>
      <c r="D68" s="2" t="s">
        <v>69</v>
      </c>
      <c r="E68" s="2" t="s">
        <v>60</v>
      </c>
      <c r="F68" s="2">
        <v>3.5000000000000003E-2</v>
      </c>
      <c r="G68" s="3">
        <v>0.252</v>
      </c>
      <c r="H68" s="2">
        <f>VLOOKUP(D68,'[1]LENNOX WK 29'!$A$3:$E$76,5,0)</f>
        <v>0</v>
      </c>
      <c r="I68" s="2">
        <v>288</v>
      </c>
      <c r="J68" s="2">
        <v>288</v>
      </c>
      <c r="K68" s="2"/>
      <c r="L68" s="2">
        <v>0</v>
      </c>
      <c r="M68" s="2"/>
      <c r="N68" s="8">
        <f t="shared" si="2"/>
        <v>-144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288</v>
      </c>
      <c r="Z68" s="2">
        <v>0</v>
      </c>
      <c r="AA68" s="2"/>
      <c r="AB68" s="2">
        <v>288</v>
      </c>
      <c r="AC68" s="2"/>
      <c r="AD68" s="2">
        <v>144</v>
      </c>
      <c r="AE68" s="19"/>
      <c r="AF68" s="19"/>
      <c r="AG68" s="2"/>
      <c r="AH68" s="2"/>
      <c r="AI68" s="2">
        <v>0</v>
      </c>
      <c r="AJ68" s="7">
        <f t="shared" si="3"/>
        <v>145.15199999999999</v>
      </c>
      <c r="AK68" s="7">
        <v>144</v>
      </c>
      <c r="AL68" s="7">
        <v>1</v>
      </c>
      <c r="AM68" s="8">
        <f t="shared" si="5"/>
        <v>0</v>
      </c>
      <c r="AN68" s="8">
        <v>0</v>
      </c>
      <c r="AO68" s="8">
        <f t="shared" si="6"/>
        <v>0</v>
      </c>
      <c r="AP68" s="8">
        <f t="shared" si="4"/>
        <v>0</v>
      </c>
      <c r="AQ68" s="8" t="s">
        <v>111</v>
      </c>
      <c r="AR68" s="8">
        <f t="shared" si="7"/>
        <v>576</v>
      </c>
      <c r="AS68" s="8" t="s">
        <v>119</v>
      </c>
      <c r="AT68" s="8" t="s">
        <v>121</v>
      </c>
    </row>
    <row r="69" spans="2:46" x14ac:dyDescent="0.25">
      <c r="B69" s="2" t="s">
        <v>87</v>
      </c>
      <c r="C69" s="2" t="s">
        <v>88</v>
      </c>
      <c r="D69" s="2" t="s">
        <v>70</v>
      </c>
      <c r="E69" s="2" t="s">
        <v>71</v>
      </c>
      <c r="F69" s="2">
        <v>4.4999999999999998E-2</v>
      </c>
      <c r="G69" s="3">
        <v>0.373</v>
      </c>
      <c r="H69" s="2">
        <f>VLOOKUP(D69,'[1]LENNOX WK 29'!$A$3:$E$76,5,0)</f>
        <v>640</v>
      </c>
      <c r="I69" s="2">
        <v>256</v>
      </c>
      <c r="J69" s="2">
        <v>1024</v>
      </c>
      <c r="K69" s="2"/>
      <c r="L69" s="2">
        <v>768</v>
      </c>
      <c r="M69" s="2"/>
      <c r="N69" s="8">
        <f t="shared" si="2"/>
        <v>512</v>
      </c>
      <c r="O69" s="2">
        <v>0</v>
      </c>
      <c r="P69" s="2">
        <v>0</v>
      </c>
      <c r="Q69" s="2">
        <v>0</v>
      </c>
      <c r="R69" s="2">
        <v>128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256</v>
      </c>
      <c r="Y69" s="2">
        <v>0</v>
      </c>
      <c r="Z69" s="2">
        <v>0</v>
      </c>
      <c r="AA69" s="2">
        <v>128</v>
      </c>
      <c r="AB69" s="2">
        <v>128</v>
      </c>
      <c r="AC69" s="2">
        <v>640</v>
      </c>
      <c r="AD69" s="2"/>
      <c r="AE69" s="19">
        <v>128</v>
      </c>
      <c r="AF69" s="19"/>
      <c r="AG69" s="2">
        <v>256</v>
      </c>
      <c r="AH69" s="2"/>
      <c r="AI69" s="2">
        <v>512</v>
      </c>
      <c r="AJ69" s="7">
        <f t="shared" si="3"/>
        <v>1002.624</v>
      </c>
      <c r="AK69" s="7">
        <v>288</v>
      </c>
      <c r="AL69" s="7">
        <v>1</v>
      </c>
      <c r="AM69" s="8">
        <f t="shared" si="5"/>
        <v>640</v>
      </c>
      <c r="AN69" s="8">
        <v>0</v>
      </c>
      <c r="AO69" s="8">
        <f t="shared" si="6"/>
        <v>0</v>
      </c>
      <c r="AP69" s="8">
        <f t="shared" si="4"/>
        <v>0</v>
      </c>
      <c r="AQ69" s="8" t="s">
        <v>112</v>
      </c>
      <c r="AR69" s="8">
        <f t="shared" si="7"/>
        <v>2688</v>
      </c>
      <c r="AS69" s="8" t="s">
        <v>119</v>
      </c>
      <c r="AT69" s="8" t="s">
        <v>121</v>
      </c>
    </row>
    <row r="70" spans="2:46" x14ac:dyDescent="0.25">
      <c r="B70" s="2" t="s">
        <v>87</v>
      </c>
      <c r="C70" s="2" t="s">
        <v>88</v>
      </c>
      <c r="D70" s="2" t="s">
        <v>72</v>
      </c>
      <c r="E70" s="2" t="s">
        <v>71</v>
      </c>
      <c r="F70" s="2">
        <v>4.1000000000000002E-2</v>
      </c>
      <c r="G70" s="3">
        <v>0.375</v>
      </c>
      <c r="H70" s="2">
        <f>VLOOKUP(D70,'[1]LENNOX WK 29'!$A$3:$E$76,5,0)</f>
        <v>0</v>
      </c>
      <c r="I70" s="2">
        <v>0</v>
      </c>
      <c r="J70" s="2">
        <v>0</v>
      </c>
      <c r="K70" s="2"/>
      <c r="L70" s="2">
        <v>0</v>
      </c>
      <c r="M70" s="2"/>
      <c r="N70" s="8">
        <f t="shared" si="2"/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/>
      <c r="AB70" s="2"/>
      <c r="AC70" s="2"/>
      <c r="AD70" s="2"/>
      <c r="AE70" s="19"/>
      <c r="AF70" s="19"/>
      <c r="AG70" s="2"/>
      <c r="AH70" s="2"/>
      <c r="AI70" s="2">
        <v>0</v>
      </c>
      <c r="AJ70" s="7">
        <f t="shared" si="3"/>
        <v>0</v>
      </c>
      <c r="AK70" s="7">
        <v>288</v>
      </c>
      <c r="AL70" s="7">
        <v>0</v>
      </c>
      <c r="AM70" s="8">
        <f t="shared" ref="AM70:AM78" si="8">+H70*AL70</f>
        <v>0</v>
      </c>
      <c r="AN70" s="8">
        <v>1</v>
      </c>
      <c r="AO70" s="8">
        <f t="shared" ref="AO70:AO78" si="9">+H70*AN70</f>
        <v>0</v>
      </c>
      <c r="AP70" s="8">
        <f t="shared" si="4"/>
        <v>0</v>
      </c>
      <c r="AQ70" s="8" t="s">
        <v>113</v>
      </c>
      <c r="AR70" s="8">
        <f t="shared" si="7"/>
        <v>0</v>
      </c>
      <c r="AS70" s="8" t="s">
        <v>119</v>
      </c>
      <c r="AT70" s="8" t="s">
        <v>121</v>
      </c>
    </row>
    <row r="71" spans="2:46" x14ac:dyDescent="0.25">
      <c r="B71" s="2" t="s">
        <v>87</v>
      </c>
      <c r="C71" s="2" t="s">
        <v>88</v>
      </c>
      <c r="D71" s="2" t="s">
        <v>73</v>
      </c>
      <c r="E71" s="2" t="s">
        <v>71</v>
      </c>
      <c r="F71" s="2">
        <v>4.4999999999999998E-2</v>
      </c>
      <c r="G71" s="3">
        <v>0.35599999999999998</v>
      </c>
      <c r="H71" s="2">
        <f>VLOOKUP(D71,'[1]LENNOX WK 29'!$A$3:$E$76,5,0)</f>
        <v>0</v>
      </c>
      <c r="I71" s="2">
        <v>256</v>
      </c>
      <c r="J71" s="2">
        <v>0</v>
      </c>
      <c r="K71" s="2"/>
      <c r="L71" s="2">
        <v>0</v>
      </c>
      <c r="M71" s="2"/>
      <c r="N71" s="8">
        <f t="shared" ref="N71:N78" si="10">+H71+I71+J71+K71+L71+M71-SUM(O71:AI71)</f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256</v>
      </c>
      <c r="Z71" s="2">
        <v>0</v>
      </c>
      <c r="AA71" s="2"/>
      <c r="AB71" s="2"/>
      <c r="AC71" s="2"/>
      <c r="AD71" s="2"/>
      <c r="AE71" s="19"/>
      <c r="AF71" s="19"/>
      <c r="AG71" s="2"/>
      <c r="AH71" s="2"/>
      <c r="AI71" s="2">
        <v>0</v>
      </c>
      <c r="AJ71" s="7">
        <f t="shared" ref="AJ71:AJ78" si="11">+G71*SUM(H71:M71)</f>
        <v>91.135999999999996</v>
      </c>
      <c r="AK71" s="7">
        <v>288</v>
      </c>
      <c r="AL71" s="7">
        <v>1</v>
      </c>
      <c r="AM71" s="8">
        <f t="shared" si="8"/>
        <v>0</v>
      </c>
      <c r="AN71" s="8">
        <v>0</v>
      </c>
      <c r="AO71" s="8">
        <f t="shared" si="9"/>
        <v>0</v>
      </c>
      <c r="AP71" s="8">
        <f t="shared" ref="AP71:AP78" si="12">+AO71*2</f>
        <v>0</v>
      </c>
      <c r="AQ71" s="8" t="s">
        <v>112</v>
      </c>
      <c r="AR71" s="8">
        <f t="shared" si="7"/>
        <v>256</v>
      </c>
      <c r="AS71" s="8" t="s">
        <v>119</v>
      </c>
      <c r="AT71" s="8" t="s">
        <v>121</v>
      </c>
    </row>
    <row r="72" spans="2:46" x14ac:dyDescent="0.25">
      <c r="B72" s="2" t="s">
        <v>87</v>
      </c>
      <c r="C72" s="2" t="s">
        <v>88</v>
      </c>
      <c r="D72" s="2" t="s">
        <v>74</v>
      </c>
      <c r="E72" s="2" t="s">
        <v>71</v>
      </c>
      <c r="F72" s="2">
        <v>4.4999999999999998E-2</v>
      </c>
      <c r="G72" s="3">
        <v>0.35199999999999998</v>
      </c>
      <c r="H72" s="2">
        <f>VLOOKUP(D72,'[1]LENNOX WK 29'!$A$3:$E$76,5,0)</f>
        <v>640</v>
      </c>
      <c r="I72" s="2">
        <v>128</v>
      </c>
      <c r="J72" s="2">
        <v>256</v>
      </c>
      <c r="K72" s="2"/>
      <c r="L72" s="2">
        <v>128</v>
      </c>
      <c r="M72" s="2">
        <v>128</v>
      </c>
      <c r="N72" s="8">
        <f t="shared" si="10"/>
        <v>0</v>
      </c>
      <c r="O72" s="2">
        <v>128</v>
      </c>
      <c r="P72" s="2">
        <v>0</v>
      </c>
      <c r="Q72" s="2">
        <v>0</v>
      </c>
      <c r="R72" s="2">
        <v>0</v>
      </c>
      <c r="S72" s="2">
        <v>384</v>
      </c>
      <c r="T72" s="2">
        <v>128</v>
      </c>
      <c r="U72" s="2">
        <v>128</v>
      </c>
      <c r="V72" s="2">
        <v>0</v>
      </c>
      <c r="W72" s="2">
        <v>0</v>
      </c>
      <c r="X72" s="2">
        <v>0</v>
      </c>
      <c r="Y72" s="2">
        <v>0</v>
      </c>
      <c r="Z72" s="2">
        <v>128</v>
      </c>
      <c r="AA72" s="2"/>
      <c r="AB72" s="2"/>
      <c r="AC72" s="2"/>
      <c r="AD72" s="2">
        <v>256</v>
      </c>
      <c r="AE72" s="19"/>
      <c r="AF72" s="19">
        <v>128</v>
      </c>
      <c r="AG72" s="2"/>
      <c r="AH72" s="2"/>
      <c r="AI72" s="2">
        <v>0</v>
      </c>
      <c r="AJ72" s="7">
        <f t="shared" si="11"/>
        <v>450.55999999999995</v>
      </c>
      <c r="AK72" s="7">
        <v>288</v>
      </c>
      <c r="AL72" s="7">
        <v>1</v>
      </c>
      <c r="AM72" s="8">
        <f t="shared" si="8"/>
        <v>640</v>
      </c>
      <c r="AN72" s="8">
        <v>0</v>
      </c>
      <c r="AO72" s="8">
        <f t="shared" si="9"/>
        <v>0</v>
      </c>
      <c r="AP72" s="8">
        <f t="shared" si="12"/>
        <v>0</v>
      </c>
      <c r="AQ72" s="8" t="s">
        <v>114</v>
      </c>
      <c r="AR72" s="8">
        <f t="shared" si="7"/>
        <v>1280</v>
      </c>
      <c r="AS72" s="8" t="s">
        <v>119</v>
      </c>
      <c r="AT72" s="8" t="s">
        <v>121</v>
      </c>
    </row>
    <row r="73" spans="2:46" x14ac:dyDescent="0.25">
      <c r="B73" s="2" t="s">
        <v>87</v>
      </c>
      <c r="C73" s="2" t="s">
        <v>88</v>
      </c>
      <c r="D73" s="2" t="s">
        <v>75</v>
      </c>
      <c r="E73" s="2" t="s">
        <v>71</v>
      </c>
      <c r="F73" s="2">
        <v>4.4999999999999998E-2</v>
      </c>
      <c r="G73" s="3">
        <v>0.35299999999999998</v>
      </c>
      <c r="H73" s="2">
        <f>VLOOKUP(D73,'[1]LENNOX WK 29'!$A$3:$E$76,5,0)</f>
        <v>0</v>
      </c>
      <c r="I73" s="2">
        <v>0</v>
      </c>
      <c r="J73" s="2">
        <v>0</v>
      </c>
      <c r="K73" s="2"/>
      <c r="L73" s="2">
        <v>0</v>
      </c>
      <c r="M73" s="2"/>
      <c r="N73" s="8">
        <f t="shared" si="10"/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/>
      <c r="AB73" s="2"/>
      <c r="AC73" s="2"/>
      <c r="AD73" s="2"/>
      <c r="AE73" s="19"/>
      <c r="AF73" s="19"/>
      <c r="AG73" s="2"/>
      <c r="AH73" s="2"/>
      <c r="AI73" s="2">
        <v>0</v>
      </c>
      <c r="AJ73" s="7">
        <f t="shared" si="11"/>
        <v>0</v>
      </c>
      <c r="AK73" s="7">
        <v>288</v>
      </c>
      <c r="AL73" s="7">
        <v>1</v>
      </c>
      <c r="AM73" s="8">
        <f t="shared" si="8"/>
        <v>0</v>
      </c>
      <c r="AN73" s="8">
        <v>0</v>
      </c>
      <c r="AO73" s="8">
        <f t="shared" si="9"/>
        <v>0</v>
      </c>
      <c r="AP73" s="8">
        <f t="shared" si="12"/>
        <v>0</v>
      </c>
      <c r="AQ73" s="8" t="s">
        <v>115</v>
      </c>
      <c r="AR73" s="8">
        <f t="shared" si="7"/>
        <v>0</v>
      </c>
      <c r="AS73" s="8" t="s">
        <v>119</v>
      </c>
      <c r="AT73" s="8" t="s">
        <v>121</v>
      </c>
    </row>
    <row r="74" spans="2:46" x14ac:dyDescent="0.25">
      <c r="B74" s="2" t="s">
        <v>87</v>
      </c>
      <c r="C74" s="2" t="s">
        <v>88</v>
      </c>
      <c r="D74" s="2" t="s">
        <v>76</v>
      </c>
      <c r="E74" s="2" t="s">
        <v>71</v>
      </c>
      <c r="F74" s="2">
        <v>4.4999999999999998E-2</v>
      </c>
      <c r="G74" s="3">
        <v>0.35599999999999998</v>
      </c>
      <c r="H74" s="2">
        <f>VLOOKUP(D74,'[1]LENNOX WK 29'!$A$3:$E$76,5,0)</f>
        <v>128</v>
      </c>
      <c r="I74" s="2">
        <v>256</v>
      </c>
      <c r="J74" s="2">
        <v>0</v>
      </c>
      <c r="K74" s="2"/>
      <c r="L74" s="2">
        <v>0</v>
      </c>
      <c r="M74" s="2"/>
      <c r="N74" s="8">
        <f t="shared" si="10"/>
        <v>0</v>
      </c>
      <c r="O74" s="2">
        <v>0</v>
      </c>
      <c r="P74" s="2">
        <v>0</v>
      </c>
      <c r="Q74" s="2">
        <v>128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256</v>
      </c>
      <c r="AA74" s="2"/>
      <c r="AB74" s="2"/>
      <c r="AC74" s="2"/>
      <c r="AD74" s="2"/>
      <c r="AE74" s="19"/>
      <c r="AF74" s="19"/>
      <c r="AG74" s="2"/>
      <c r="AH74" s="2"/>
      <c r="AI74" s="2">
        <v>0</v>
      </c>
      <c r="AJ74" s="7">
        <f t="shared" si="11"/>
        <v>136.70400000000001</v>
      </c>
      <c r="AK74" s="7">
        <v>288</v>
      </c>
      <c r="AL74" s="7">
        <v>1</v>
      </c>
      <c r="AM74" s="8">
        <f t="shared" si="8"/>
        <v>128</v>
      </c>
      <c r="AN74" s="8">
        <v>0</v>
      </c>
      <c r="AO74" s="8">
        <f t="shared" si="9"/>
        <v>0</v>
      </c>
      <c r="AP74" s="8">
        <f t="shared" si="12"/>
        <v>0</v>
      </c>
      <c r="AQ74" s="8" t="s">
        <v>115</v>
      </c>
      <c r="AR74" s="8">
        <f t="shared" si="7"/>
        <v>384</v>
      </c>
      <c r="AS74" s="8" t="s">
        <v>119</v>
      </c>
      <c r="AT74" s="8" t="s">
        <v>121</v>
      </c>
    </row>
    <row r="75" spans="2:46" x14ac:dyDescent="0.25">
      <c r="B75" s="2" t="s">
        <v>87</v>
      </c>
      <c r="C75" s="2" t="s">
        <v>88</v>
      </c>
      <c r="D75" s="2" t="s">
        <v>77</v>
      </c>
      <c r="E75" s="2" t="s">
        <v>71</v>
      </c>
      <c r="F75" s="2">
        <v>4.1000000000000002E-2</v>
      </c>
      <c r="G75" s="3">
        <v>0.441</v>
      </c>
      <c r="H75" s="2">
        <f>VLOOKUP(D75,'[1]LENNOX WK 29'!$A$3:$E$76,5,0)</f>
        <v>0</v>
      </c>
      <c r="I75" s="2">
        <v>0</v>
      </c>
      <c r="J75" s="2">
        <v>0</v>
      </c>
      <c r="K75" s="2"/>
      <c r="L75" s="2">
        <v>0</v>
      </c>
      <c r="M75" s="2"/>
      <c r="N75" s="8">
        <f t="shared" si="10"/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/>
      <c r="AB75" s="2"/>
      <c r="AC75" s="2"/>
      <c r="AD75" s="2"/>
      <c r="AE75" s="19"/>
      <c r="AF75" s="19"/>
      <c r="AG75" s="2"/>
      <c r="AH75" s="2"/>
      <c r="AI75" s="2">
        <v>0</v>
      </c>
      <c r="AJ75" s="7">
        <f t="shared" si="11"/>
        <v>0</v>
      </c>
      <c r="AK75" s="7">
        <v>288</v>
      </c>
      <c r="AL75" s="7">
        <v>0</v>
      </c>
      <c r="AM75" s="8">
        <f t="shared" si="8"/>
        <v>0</v>
      </c>
      <c r="AN75" s="8">
        <v>0</v>
      </c>
      <c r="AO75" s="8">
        <f t="shared" si="9"/>
        <v>0</v>
      </c>
      <c r="AP75" s="8">
        <f t="shared" si="12"/>
        <v>0</v>
      </c>
      <c r="AQ75" s="8" t="s">
        <v>116</v>
      </c>
      <c r="AR75" s="8">
        <f t="shared" si="7"/>
        <v>0</v>
      </c>
      <c r="AS75" s="8" t="s">
        <v>119</v>
      </c>
      <c r="AT75" s="8" t="s">
        <v>121</v>
      </c>
    </row>
    <row r="76" spans="2:46" x14ac:dyDescent="0.25">
      <c r="B76" s="2" t="s">
        <v>87</v>
      </c>
      <c r="C76" s="2" t="s">
        <v>88</v>
      </c>
      <c r="D76" s="2" t="s">
        <v>78</v>
      </c>
      <c r="E76" s="2" t="s">
        <v>71</v>
      </c>
      <c r="F76" s="2">
        <v>4.4999999999999998E-2</v>
      </c>
      <c r="G76" s="3">
        <v>0.374</v>
      </c>
      <c r="H76" s="2">
        <f>VLOOKUP(D76,'[1]LENNOX WK 29'!$A$3:$E$76,5,0)</f>
        <v>0</v>
      </c>
      <c r="I76" s="2">
        <v>128</v>
      </c>
      <c r="J76" s="2">
        <v>256</v>
      </c>
      <c r="K76" s="2"/>
      <c r="L76" s="2">
        <v>256</v>
      </c>
      <c r="M76" s="2"/>
      <c r="N76" s="8">
        <f t="shared" si="10"/>
        <v>128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128</v>
      </c>
      <c r="AA76" s="2"/>
      <c r="AB76" s="2">
        <v>128</v>
      </c>
      <c r="AC76" s="2"/>
      <c r="AD76" s="2">
        <v>128</v>
      </c>
      <c r="AE76" s="19"/>
      <c r="AF76" s="19"/>
      <c r="AG76" s="2"/>
      <c r="AH76" s="2"/>
      <c r="AI76" s="2">
        <v>128</v>
      </c>
      <c r="AJ76" s="7">
        <f t="shared" si="11"/>
        <v>239.36</v>
      </c>
      <c r="AK76" s="7">
        <v>288</v>
      </c>
      <c r="AL76" s="7">
        <v>1</v>
      </c>
      <c r="AM76" s="8">
        <f t="shared" si="8"/>
        <v>0</v>
      </c>
      <c r="AN76" s="8">
        <v>0</v>
      </c>
      <c r="AO76" s="8">
        <f t="shared" si="9"/>
        <v>0</v>
      </c>
      <c r="AP76" s="8">
        <f t="shared" si="12"/>
        <v>0</v>
      </c>
      <c r="AQ76" s="8" t="s">
        <v>112</v>
      </c>
      <c r="AR76" s="8">
        <f t="shared" si="7"/>
        <v>640</v>
      </c>
      <c r="AS76" s="8" t="s">
        <v>119</v>
      </c>
      <c r="AT76" s="8" t="s">
        <v>121</v>
      </c>
    </row>
    <row r="77" spans="2:46" x14ac:dyDescent="0.25">
      <c r="B77" s="2" t="s">
        <v>87</v>
      </c>
      <c r="C77" s="2" t="s">
        <v>88</v>
      </c>
      <c r="D77" s="2" t="s">
        <v>79</v>
      </c>
      <c r="E77" s="2" t="s">
        <v>71</v>
      </c>
      <c r="F77" s="2">
        <v>4.1000000000000002E-2</v>
      </c>
      <c r="G77" s="3">
        <v>0.41599999999999998</v>
      </c>
      <c r="H77" s="2">
        <f>VLOOKUP(D77,'[1]LENNOX WK 29'!$A$3:$E$76,5,0)</f>
        <v>128</v>
      </c>
      <c r="I77" s="2">
        <v>0</v>
      </c>
      <c r="J77" s="2">
        <v>0</v>
      </c>
      <c r="K77" s="2"/>
      <c r="L77" s="2">
        <v>0</v>
      </c>
      <c r="M77" s="2"/>
      <c r="N77" s="8">
        <f t="shared" si="10"/>
        <v>0</v>
      </c>
      <c r="O77" s="2">
        <v>0</v>
      </c>
      <c r="P77" s="2">
        <v>0</v>
      </c>
      <c r="Q77" s="2">
        <v>128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/>
      <c r="AB77" s="2"/>
      <c r="AC77" s="2"/>
      <c r="AD77" s="2"/>
      <c r="AE77" s="19"/>
      <c r="AF77" s="19"/>
      <c r="AG77" s="2"/>
      <c r="AH77" s="2"/>
      <c r="AI77" s="2">
        <v>0</v>
      </c>
      <c r="AJ77" s="7">
        <f t="shared" si="11"/>
        <v>53.247999999999998</v>
      </c>
      <c r="AK77" s="7">
        <v>288</v>
      </c>
      <c r="AL77" s="7">
        <v>0</v>
      </c>
      <c r="AM77" s="8">
        <f t="shared" si="8"/>
        <v>0</v>
      </c>
      <c r="AN77" s="8">
        <v>1</v>
      </c>
      <c r="AO77" s="8">
        <f t="shared" si="9"/>
        <v>128</v>
      </c>
      <c r="AP77" s="8">
        <f t="shared" si="12"/>
        <v>256</v>
      </c>
      <c r="AQ77" s="8" t="s">
        <v>117</v>
      </c>
      <c r="AR77" s="8">
        <f t="shared" si="7"/>
        <v>128</v>
      </c>
      <c r="AS77" s="8" t="s">
        <v>119</v>
      </c>
      <c r="AT77" s="8" t="s">
        <v>121</v>
      </c>
    </row>
    <row r="78" spans="2:46" x14ac:dyDescent="0.25">
      <c r="B78" s="2" t="s">
        <v>87</v>
      </c>
      <c r="C78" s="2" t="s">
        <v>88</v>
      </c>
      <c r="D78" s="2" t="s">
        <v>80</v>
      </c>
      <c r="E78" s="2" t="s">
        <v>71</v>
      </c>
      <c r="F78" s="2">
        <v>4.4999999999999998E-2</v>
      </c>
      <c r="G78" s="3">
        <v>0.39500000000000002</v>
      </c>
      <c r="H78" s="2">
        <f>VLOOKUP(D78,'[1]LENNOX WK 29'!$A$3:$E$76,5,0)</f>
        <v>128</v>
      </c>
      <c r="I78" s="2">
        <v>128</v>
      </c>
      <c r="J78" s="2">
        <v>0</v>
      </c>
      <c r="K78" s="2"/>
      <c r="L78" s="2">
        <v>0</v>
      </c>
      <c r="M78" s="2"/>
      <c r="N78" s="8">
        <f t="shared" si="10"/>
        <v>0</v>
      </c>
      <c r="O78" s="2">
        <v>128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128</v>
      </c>
      <c r="Z78" s="2">
        <v>0</v>
      </c>
      <c r="AA78" s="2"/>
      <c r="AB78" s="2"/>
      <c r="AC78" s="2"/>
      <c r="AD78" s="2"/>
      <c r="AE78" s="19"/>
      <c r="AF78" s="19"/>
      <c r="AG78" s="2"/>
      <c r="AH78" s="2"/>
      <c r="AI78" s="2">
        <v>0</v>
      </c>
      <c r="AJ78" s="7">
        <f t="shared" si="11"/>
        <v>101.12</v>
      </c>
      <c r="AK78" s="7">
        <v>288</v>
      </c>
      <c r="AL78" s="7">
        <v>1</v>
      </c>
      <c r="AM78" s="8">
        <f t="shared" si="8"/>
        <v>128</v>
      </c>
      <c r="AN78" s="8">
        <v>0</v>
      </c>
      <c r="AO78" s="8">
        <f t="shared" si="9"/>
        <v>0</v>
      </c>
      <c r="AP78" s="8">
        <f t="shared" si="12"/>
        <v>0</v>
      </c>
      <c r="AQ78" s="8" t="s">
        <v>112</v>
      </c>
      <c r="AR78" s="8">
        <f t="shared" si="7"/>
        <v>256</v>
      </c>
      <c r="AS78" s="8" t="s">
        <v>119</v>
      </c>
      <c r="AT78" s="8" t="s">
        <v>121</v>
      </c>
    </row>
    <row r="79" spans="2:46" x14ac:dyDescent="0.25">
      <c r="G79" s="4" t="s">
        <v>102</v>
      </c>
      <c r="H79" s="9">
        <f>SUM(H6:H78)</f>
        <v>24120</v>
      </c>
      <c r="I79" s="9">
        <f t="shared" ref="I79" si="13">SUM(I6:I78)</f>
        <v>9304</v>
      </c>
      <c r="J79" s="9">
        <f t="shared" ref="J79" si="14">SUM(J6:J78)</f>
        <v>13524</v>
      </c>
      <c r="K79" s="9">
        <f t="shared" ref="K79" si="15">SUM(K6:K78)</f>
        <v>80</v>
      </c>
      <c r="L79" s="9">
        <f t="shared" ref="L79" si="16">SUM(L6:L78)</f>
        <v>46524</v>
      </c>
      <c r="M79" s="9">
        <f t="shared" ref="M79" si="17">SUM(M6:M78)</f>
        <v>848</v>
      </c>
      <c r="N79" s="13">
        <f>SUM(N6:N78)</f>
        <v>24591</v>
      </c>
      <c r="O79" s="9">
        <f t="shared" ref="O79" si="18">SUM(O6:O78)</f>
        <v>1964</v>
      </c>
      <c r="P79" s="9">
        <f t="shared" ref="P79" si="19">SUM(P6:P78)</f>
        <v>3244</v>
      </c>
      <c r="Q79" s="9">
        <f t="shared" ref="Q79" si="20">SUM(Q6:Q78)</f>
        <v>5004</v>
      </c>
      <c r="R79" s="9">
        <f t="shared" ref="R79" si="21">SUM(R6:R78)</f>
        <v>3786</v>
      </c>
      <c r="S79" s="9">
        <f t="shared" ref="S79" si="22">SUM(S6:S78)</f>
        <v>5941</v>
      </c>
      <c r="T79" s="9">
        <f t="shared" ref="T79" si="23">SUM(T6:T78)</f>
        <v>4908</v>
      </c>
      <c r="U79" s="9">
        <f t="shared" ref="U79" si="24">SUM(U6:U78)</f>
        <v>4116</v>
      </c>
      <c r="V79" s="9">
        <f t="shared" ref="V79" si="25">SUM(V6:V78)</f>
        <v>2806</v>
      </c>
      <c r="W79" s="9">
        <f t="shared" ref="W79" si="26">SUM(W6:W78)</f>
        <v>2814</v>
      </c>
      <c r="X79" s="9">
        <f t="shared" ref="X79" si="27">SUM(X6:X78)</f>
        <v>1738</v>
      </c>
      <c r="Y79" s="9">
        <f t="shared" ref="Y79" si="28">SUM(Y6:Y78)</f>
        <v>2960</v>
      </c>
      <c r="Z79" s="9">
        <f t="shared" ref="Z79" si="29">SUM(Z6:Z78)</f>
        <v>2556</v>
      </c>
      <c r="AA79" s="9">
        <f t="shared" ref="AA79" si="30">SUM(AA6:AA78)</f>
        <v>560</v>
      </c>
      <c r="AB79" s="9">
        <f t="shared" ref="AB79" si="31">SUM(AB6:AB78)</f>
        <v>3062</v>
      </c>
      <c r="AC79" s="9">
        <f t="shared" ref="AC79" si="32">SUM(AC6:AC78)</f>
        <v>2572</v>
      </c>
      <c r="AD79" s="9">
        <f t="shared" ref="AD79" si="33">SUM(AD6:AD78)</f>
        <v>3828</v>
      </c>
      <c r="AE79" s="20">
        <f t="shared" ref="AE79" si="34">SUM(AE6:AE78)</f>
        <v>4264</v>
      </c>
      <c r="AF79" s="20">
        <f t="shared" ref="AF79" si="35">SUM(AF6:AF78)</f>
        <v>4415</v>
      </c>
      <c r="AG79" s="9">
        <f t="shared" ref="AG79" si="36">SUM(AG6:AG78)</f>
        <v>5625</v>
      </c>
      <c r="AH79" s="9">
        <f t="shared" ref="AH79" si="37">SUM(AH6:AH78)</f>
        <v>2716</v>
      </c>
      <c r="AI79" s="9">
        <f t="shared" ref="AI79:AP79" si="38">SUM(AI6:AI78)</f>
        <v>930</v>
      </c>
      <c r="AJ79" s="9">
        <f t="shared" si="38"/>
        <v>9702.4760000000006</v>
      </c>
      <c r="AK79" s="9"/>
      <c r="AL79" s="10">
        <f t="shared" si="38"/>
        <v>14</v>
      </c>
      <c r="AM79" s="11">
        <f t="shared" si="38"/>
        <v>4272</v>
      </c>
      <c r="AN79" s="11">
        <f t="shared" si="38"/>
        <v>2</v>
      </c>
      <c r="AO79" s="11">
        <f t="shared" si="38"/>
        <v>128</v>
      </c>
      <c r="AP79" s="11">
        <f t="shared" si="38"/>
        <v>256</v>
      </c>
      <c r="AR79" s="11">
        <f>SUM(AR6:AR78)</f>
        <v>14920</v>
      </c>
    </row>
    <row r="80" spans="2:46" x14ac:dyDescent="0.25">
      <c r="G80" s="4" t="s">
        <v>108</v>
      </c>
      <c r="H80" s="91">
        <f>+H79+I79+J79+K79+L79+M79</f>
        <v>94400</v>
      </c>
      <c r="I80" s="91"/>
      <c r="J80" s="91"/>
      <c r="K80" s="91"/>
      <c r="L80" s="91"/>
      <c r="M80" s="91"/>
      <c r="O80" s="108">
        <f>+O79+P79</f>
        <v>5208</v>
      </c>
      <c r="P80" s="86"/>
      <c r="Q80" s="108">
        <f>+Q79+R79</f>
        <v>8790</v>
      </c>
      <c r="R80" s="86"/>
      <c r="S80" s="108">
        <f>+S79+T79</f>
        <v>10849</v>
      </c>
      <c r="T80" s="86"/>
      <c r="U80" s="108">
        <f t="shared" ref="U80" si="39">+U79+V79</f>
        <v>6922</v>
      </c>
      <c r="V80" s="86"/>
      <c r="W80" s="108">
        <f>+W79+X79</f>
        <v>4552</v>
      </c>
      <c r="X80" s="86"/>
      <c r="Y80" s="108">
        <f t="shared" ref="Y80" si="40">+Y79+Z79</f>
        <v>5516</v>
      </c>
      <c r="Z80" s="86"/>
      <c r="AA80" s="108">
        <f t="shared" ref="AA80" si="41">+AA79+AB79</f>
        <v>3622</v>
      </c>
      <c r="AB80" s="86"/>
      <c r="AC80" s="108">
        <f t="shared" ref="AC80" si="42">+AC79+AD79</f>
        <v>6400</v>
      </c>
      <c r="AD80" s="86"/>
      <c r="AE80" s="108">
        <f t="shared" ref="AE80" si="43">+AE79+AF79</f>
        <v>8679</v>
      </c>
      <c r="AF80" s="86"/>
      <c r="AG80" s="108">
        <f t="shared" ref="AG80" si="44">+AG79+AH79</f>
        <v>8341</v>
      </c>
      <c r="AH80" s="86"/>
      <c r="AI80" s="12">
        <f>+AI79</f>
        <v>930</v>
      </c>
    </row>
    <row r="82" spans="31:31" x14ac:dyDescent="0.25">
      <c r="AE82" s="21"/>
    </row>
  </sheetData>
  <autoFilter ref="B5:AT80" xr:uid="{00000000-0009-0000-0000-000001000000}"/>
  <mergeCells count="23">
    <mergeCell ref="B3:B4"/>
    <mergeCell ref="H80:M80"/>
    <mergeCell ref="AC80:AD80"/>
    <mergeCell ref="AE80:AF80"/>
    <mergeCell ref="AG80:AH80"/>
    <mergeCell ref="O80:P80"/>
    <mergeCell ref="Q80:R80"/>
    <mergeCell ref="S80:T80"/>
    <mergeCell ref="U80:V80"/>
    <mergeCell ref="W80:X80"/>
    <mergeCell ref="Y80:Z80"/>
    <mergeCell ref="AA80:AB80"/>
    <mergeCell ref="C2:D2"/>
    <mergeCell ref="AG4:AH4"/>
    <mergeCell ref="AE4:AF4"/>
    <mergeCell ref="AC4:AD4"/>
    <mergeCell ref="AA4:AB4"/>
    <mergeCell ref="Y4:Z4"/>
    <mergeCell ref="W4:X4"/>
    <mergeCell ref="U4:V4"/>
    <mergeCell ref="S4:T4"/>
    <mergeCell ref="Q4:R4"/>
    <mergeCell ref="O4:P4"/>
  </mergeCells>
  <pageMargins left="0.70866141732283472" right="0.70866141732283472" top="0.74803149606299213" bottom="0.74803149606299213" header="0.31496062992125984" footer="0.31496062992125984"/>
  <pageSetup paperSize="9" orientation="landscape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00B050"/>
    <pageSetUpPr fitToPage="1"/>
  </sheetPr>
  <dimension ref="B2:AQ88"/>
  <sheetViews>
    <sheetView topLeftCell="A55" zoomScale="80" zoomScaleNormal="80" workbookViewId="0">
      <pane xSplit="14" topLeftCell="O1" activePane="topRight" state="frozen"/>
      <selection activeCell="E86" sqref="E86"/>
      <selection pane="topRight" activeCell="D15" sqref="D15"/>
    </sheetView>
  </sheetViews>
  <sheetFormatPr baseColWidth="10" defaultColWidth="8.7109375" defaultRowHeight="15" x14ac:dyDescent="0.25"/>
  <cols>
    <col min="1" max="1" width="8.7109375" style="1"/>
    <col min="2" max="2" width="11.7109375" style="1" customWidth="1"/>
    <col min="3" max="3" width="14.42578125" style="1" bestFit="1" customWidth="1"/>
    <col min="4" max="4" width="19.140625" style="1" customWidth="1"/>
    <col min="5" max="5" width="14.5703125" style="1" bestFit="1" customWidth="1"/>
    <col min="6" max="6" width="17.7109375" style="1" bestFit="1" customWidth="1"/>
    <col min="7" max="7" width="14.85546875" style="1" hidden="1" customWidth="1"/>
    <col min="8" max="8" width="10.7109375" style="1" customWidth="1"/>
    <col min="9" max="9" width="10.140625" style="1" customWidth="1"/>
    <col min="10" max="10" width="10" style="1" bestFit="1" customWidth="1"/>
    <col min="11" max="11" width="4.7109375" style="1" customWidth="1"/>
    <col min="12" max="12" width="9" style="1" customWidth="1"/>
    <col min="13" max="13" width="5.5703125" style="1" customWidth="1"/>
    <col min="14" max="14" width="10.140625" style="1" bestFit="1" customWidth="1"/>
    <col min="15" max="16" width="9.140625" style="1" bestFit="1" customWidth="1"/>
    <col min="17" max="17" width="8.7109375" style="1"/>
    <col min="18" max="18" width="8.7109375" style="17"/>
    <col min="19" max="20" width="8.7109375" style="1"/>
    <col min="21" max="21" width="8.7109375" style="17"/>
    <col min="22" max="27" width="8.7109375" style="1"/>
    <col min="28" max="28" width="8.7109375" style="1" customWidth="1"/>
    <col min="29" max="29" width="8.7109375" style="1"/>
    <col min="30" max="30" width="0" style="1" hidden="1" customWidth="1"/>
    <col min="31" max="32" width="8.7109375" style="1"/>
    <col min="33" max="33" width="10" style="1" bestFit="1" customWidth="1"/>
    <col min="34" max="34" width="10" style="1" customWidth="1"/>
    <col min="35" max="35" width="13" style="1" bestFit="1" customWidth="1"/>
    <col min="36" max="36" width="11.5703125" style="1" bestFit="1" customWidth="1"/>
    <col min="37" max="37" width="8.7109375" style="1"/>
    <col min="38" max="38" width="12.85546875" style="1" customWidth="1"/>
    <col min="39" max="39" width="16.5703125" style="1" customWidth="1"/>
    <col min="40" max="16384" width="8.7109375" style="1"/>
  </cols>
  <sheetData>
    <row r="2" spans="2:43" x14ac:dyDescent="0.25">
      <c r="B2" s="4" t="s">
        <v>99</v>
      </c>
      <c r="C2" s="88" t="s">
        <v>100</v>
      </c>
      <c r="D2" s="88"/>
    </row>
    <row r="3" spans="2:43" x14ac:dyDescent="0.25">
      <c r="B3" s="89">
        <f ca="1">TODAY()</f>
        <v>46309</v>
      </c>
      <c r="C3" s="4" t="s">
        <v>97</v>
      </c>
      <c r="D3" s="2" t="s">
        <v>127</v>
      </c>
      <c r="H3" s="4" t="s">
        <v>84</v>
      </c>
    </row>
    <row r="4" spans="2:43" x14ac:dyDescent="0.25">
      <c r="B4" s="89"/>
      <c r="C4" s="4" t="s">
        <v>98</v>
      </c>
      <c r="D4" s="2"/>
      <c r="H4" s="4" t="s">
        <v>85</v>
      </c>
      <c r="O4" s="87">
        <v>46223</v>
      </c>
      <c r="P4" s="87"/>
      <c r="Q4" s="109">
        <v>46224</v>
      </c>
      <c r="R4" s="109"/>
      <c r="S4" s="87">
        <v>46225</v>
      </c>
      <c r="T4" s="87"/>
      <c r="U4" s="87">
        <v>46226</v>
      </c>
      <c r="V4" s="87"/>
      <c r="W4" s="87">
        <v>46227</v>
      </c>
      <c r="X4" s="87"/>
      <c r="Y4" s="6" t="s">
        <v>92</v>
      </c>
    </row>
    <row r="5" spans="2:43" x14ac:dyDescent="0.25">
      <c r="B5" s="4" t="s">
        <v>0</v>
      </c>
      <c r="C5" s="4" t="s">
        <v>86</v>
      </c>
      <c r="D5" s="4" t="s">
        <v>89</v>
      </c>
      <c r="E5" s="4" t="s">
        <v>81</v>
      </c>
      <c r="F5" s="4" t="s">
        <v>82</v>
      </c>
      <c r="G5" s="4" t="s">
        <v>83</v>
      </c>
      <c r="H5" s="5">
        <v>30</v>
      </c>
      <c r="I5" s="4" t="s">
        <v>92</v>
      </c>
      <c r="J5" s="4" t="s">
        <v>91</v>
      </c>
      <c r="K5" s="4" t="s">
        <v>93</v>
      </c>
      <c r="L5" s="4" t="s">
        <v>94</v>
      </c>
      <c r="M5" s="4" t="s">
        <v>95</v>
      </c>
      <c r="N5" s="4" t="s">
        <v>96</v>
      </c>
      <c r="O5" s="4" t="s">
        <v>97</v>
      </c>
      <c r="P5" s="4" t="s">
        <v>98</v>
      </c>
      <c r="Q5" s="4" t="s">
        <v>97</v>
      </c>
      <c r="R5" s="18" t="s">
        <v>98</v>
      </c>
      <c r="S5" s="4" t="s">
        <v>97</v>
      </c>
      <c r="T5" s="4" t="s">
        <v>98</v>
      </c>
      <c r="U5" s="18" t="s">
        <v>97</v>
      </c>
      <c r="V5" s="4" t="s">
        <v>98</v>
      </c>
      <c r="W5" s="4" t="s">
        <v>97</v>
      </c>
      <c r="X5" s="4" t="s">
        <v>98</v>
      </c>
      <c r="Y5" s="4" t="s">
        <v>104</v>
      </c>
      <c r="Z5" s="4" t="s">
        <v>90</v>
      </c>
      <c r="AA5" s="4" t="s">
        <v>126</v>
      </c>
      <c r="AB5" s="4" t="s">
        <v>105</v>
      </c>
      <c r="AC5" s="4" t="s">
        <v>105</v>
      </c>
      <c r="AD5" s="4" t="s">
        <v>106</v>
      </c>
      <c r="AE5" s="4" t="s">
        <v>106</v>
      </c>
      <c r="AF5" s="4" t="s">
        <v>107</v>
      </c>
      <c r="AG5" s="4" t="s">
        <v>109</v>
      </c>
      <c r="AH5" s="4" t="s">
        <v>122</v>
      </c>
      <c r="AI5" s="4" t="s">
        <v>118</v>
      </c>
      <c r="AJ5" s="4" t="s">
        <v>120</v>
      </c>
      <c r="AL5" s="15" t="s">
        <v>123</v>
      </c>
      <c r="AM5" s="15" t="s">
        <v>125</v>
      </c>
      <c r="AN5"/>
    </row>
    <row r="6" spans="2:43" x14ac:dyDescent="0.25">
      <c r="B6" s="2" t="s">
        <v>87</v>
      </c>
      <c r="C6" s="2" t="s">
        <v>88</v>
      </c>
      <c r="D6" s="2" t="s">
        <v>1</v>
      </c>
      <c r="E6" s="2" t="s">
        <v>2</v>
      </c>
      <c r="F6" s="2">
        <v>0.42</v>
      </c>
      <c r="G6" s="3">
        <v>0.02</v>
      </c>
      <c r="H6" s="2">
        <v>5600</v>
      </c>
      <c r="I6" s="2">
        <v>0</v>
      </c>
      <c r="J6" s="2">
        <v>0</v>
      </c>
      <c r="K6" s="2"/>
      <c r="L6" s="2"/>
      <c r="M6" s="2"/>
      <c r="N6" s="8">
        <f t="shared" ref="N6:N37" si="0">+H6+I6+J6+K6+L6+M6-SUM(O6:Y6)</f>
        <v>2350</v>
      </c>
      <c r="O6" s="2"/>
      <c r="P6" s="2"/>
      <c r="Q6" s="2"/>
      <c r="R6" s="19">
        <v>2250</v>
      </c>
      <c r="S6" s="2"/>
      <c r="T6" s="2">
        <v>1000</v>
      </c>
      <c r="U6" s="19"/>
      <c r="V6" s="2"/>
      <c r="W6" s="2"/>
      <c r="X6" s="2"/>
      <c r="Y6" s="2"/>
      <c r="Z6" s="7">
        <f t="shared" ref="Z6:Z37" si="1">+G6*SUM(H6:M6)</f>
        <v>112</v>
      </c>
      <c r="AA6" s="7">
        <v>1000</v>
      </c>
      <c r="AB6" s="7">
        <v>0</v>
      </c>
      <c r="AC6" s="8">
        <f t="shared" ref="AC6:AC37" si="2">+H6*AB6</f>
        <v>0</v>
      </c>
      <c r="AD6" s="8">
        <v>0</v>
      </c>
      <c r="AE6" s="8">
        <f t="shared" ref="AE6:AE37" si="3">+H6*AD6</f>
        <v>0</v>
      </c>
      <c r="AF6" s="8">
        <f>+AE6*2</f>
        <v>0</v>
      </c>
      <c r="AG6" s="8">
        <v>0</v>
      </c>
      <c r="AH6" s="8">
        <v>0</v>
      </c>
      <c r="AI6" s="8" t="s">
        <v>119</v>
      </c>
      <c r="AJ6" s="8" t="s">
        <v>121</v>
      </c>
      <c r="AL6" s="14">
        <v>0</v>
      </c>
      <c r="AM6" s="15">
        <v>0</v>
      </c>
      <c r="AN6"/>
      <c r="AQ6" s="1">
        <v>5600</v>
      </c>
    </row>
    <row r="7" spans="2:43" x14ac:dyDescent="0.25">
      <c r="B7" s="2" t="s">
        <v>87</v>
      </c>
      <c r="C7" s="2" t="s">
        <v>88</v>
      </c>
      <c r="D7" s="2" t="s">
        <v>3</v>
      </c>
      <c r="E7" s="2" t="s">
        <v>2</v>
      </c>
      <c r="F7" s="2">
        <v>0.42</v>
      </c>
      <c r="G7" s="3">
        <v>3.1E-2</v>
      </c>
      <c r="H7" s="2">
        <v>4338</v>
      </c>
      <c r="I7" s="2">
        <v>0</v>
      </c>
      <c r="J7" s="2">
        <v>1000</v>
      </c>
      <c r="K7" s="2"/>
      <c r="L7" s="2"/>
      <c r="M7" s="2"/>
      <c r="N7" s="8">
        <f t="shared" si="0"/>
        <v>1668</v>
      </c>
      <c r="O7" s="2"/>
      <c r="P7" s="2">
        <v>1800</v>
      </c>
      <c r="Q7" s="2"/>
      <c r="R7" s="19"/>
      <c r="S7" s="2"/>
      <c r="T7" s="2"/>
      <c r="U7" s="19"/>
      <c r="V7" s="2">
        <v>600</v>
      </c>
      <c r="W7" s="2"/>
      <c r="X7" s="2">
        <v>1270</v>
      </c>
      <c r="Y7" s="2"/>
      <c r="Z7" s="7">
        <f t="shared" si="1"/>
        <v>165.47800000000001</v>
      </c>
      <c r="AA7" s="7">
        <v>1000</v>
      </c>
      <c r="AB7" s="7">
        <v>0</v>
      </c>
      <c r="AC7" s="8">
        <f t="shared" si="2"/>
        <v>0</v>
      </c>
      <c r="AD7" s="8">
        <v>0</v>
      </c>
      <c r="AE7" s="8">
        <f t="shared" si="3"/>
        <v>0</v>
      </c>
      <c r="AF7" s="8">
        <f t="shared" ref="AF7:AF70" si="4">+AE7*2</f>
        <v>0</v>
      </c>
      <c r="AG7" s="8">
        <v>0</v>
      </c>
      <c r="AH7" s="8">
        <v>0</v>
      </c>
      <c r="AI7" s="8" t="s">
        <v>119</v>
      </c>
      <c r="AJ7" s="8" t="s">
        <v>121</v>
      </c>
      <c r="AL7" s="14" t="s">
        <v>117</v>
      </c>
      <c r="AM7" s="15">
        <v>128</v>
      </c>
      <c r="AN7"/>
      <c r="AQ7" s="1">
        <v>4338</v>
      </c>
    </row>
    <row r="8" spans="2:43" x14ac:dyDescent="0.25">
      <c r="B8" s="2" t="s">
        <v>87</v>
      </c>
      <c r="C8" s="2" t="s">
        <v>88</v>
      </c>
      <c r="D8" s="2" t="s">
        <v>4</v>
      </c>
      <c r="E8" s="2" t="s">
        <v>2</v>
      </c>
      <c r="F8" s="2">
        <v>0.42</v>
      </c>
      <c r="G8" s="3">
        <v>3.3000000000000002E-2</v>
      </c>
      <c r="H8" s="2">
        <v>1300</v>
      </c>
      <c r="I8" s="2">
        <v>0</v>
      </c>
      <c r="J8" s="2">
        <v>0</v>
      </c>
      <c r="K8" s="2"/>
      <c r="L8" s="2"/>
      <c r="M8" s="2"/>
      <c r="N8" s="8">
        <f t="shared" si="0"/>
        <v>100</v>
      </c>
      <c r="O8" s="2"/>
      <c r="P8" s="2"/>
      <c r="Q8" s="2"/>
      <c r="R8" s="19"/>
      <c r="S8" s="2"/>
      <c r="T8" s="2">
        <v>600</v>
      </c>
      <c r="U8" s="19"/>
      <c r="V8" s="2">
        <v>600</v>
      </c>
      <c r="W8" s="2"/>
      <c r="X8" s="2"/>
      <c r="Y8" s="2"/>
      <c r="Z8" s="7">
        <f t="shared" si="1"/>
        <v>42.9</v>
      </c>
      <c r="AA8" s="7">
        <v>1000</v>
      </c>
      <c r="AB8" s="7">
        <v>0</v>
      </c>
      <c r="AC8" s="8">
        <f t="shared" si="2"/>
        <v>0</v>
      </c>
      <c r="AD8" s="8">
        <v>0</v>
      </c>
      <c r="AE8" s="8">
        <f t="shared" si="3"/>
        <v>0</v>
      </c>
      <c r="AF8" s="8">
        <f t="shared" si="4"/>
        <v>0</v>
      </c>
      <c r="AG8" s="8">
        <v>0</v>
      </c>
      <c r="AH8" s="8">
        <v>0</v>
      </c>
      <c r="AI8" s="8" t="s">
        <v>119</v>
      </c>
      <c r="AJ8" s="8" t="s">
        <v>121</v>
      </c>
      <c r="AL8" s="14" t="s">
        <v>113</v>
      </c>
      <c r="AM8" s="15">
        <v>0</v>
      </c>
      <c r="AN8"/>
      <c r="AQ8" s="1">
        <v>1300</v>
      </c>
    </row>
    <row r="9" spans="2:43" x14ac:dyDescent="0.25">
      <c r="B9" s="2" t="s">
        <v>87</v>
      </c>
      <c r="C9" s="2" t="s">
        <v>88</v>
      </c>
      <c r="D9" s="2" t="s">
        <v>5</v>
      </c>
      <c r="E9" s="2" t="s">
        <v>2</v>
      </c>
      <c r="F9" s="2">
        <v>0.42</v>
      </c>
      <c r="G9" s="3">
        <v>1.9E-2</v>
      </c>
      <c r="H9" s="2">
        <v>0</v>
      </c>
      <c r="I9" s="2">
        <v>0</v>
      </c>
      <c r="J9" s="2">
        <v>0</v>
      </c>
      <c r="K9" s="2"/>
      <c r="L9" s="2"/>
      <c r="M9" s="2"/>
      <c r="N9" s="8">
        <f t="shared" si="0"/>
        <v>0</v>
      </c>
      <c r="O9" s="2"/>
      <c r="P9" s="2"/>
      <c r="Q9" s="2"/>
      <c r="R9" s="19"/>
      <c r="S9" s="2"/>
      <c r="T9" s="2"/>
      <c r="U9" s="19"/>
      <c r="V9" s="2"/>
      <c r="W9" s="2"/>
      <c r="X9" s="2"/>
      <c r="Y9" s="2"/>
      <c r="Z9" s="7">
        <f t="shared" si="1"/>
        <v>0</v>
      </c>
      <c r="AA9" s="7">
        <v>1000</v>
      </c>
      <c r="AB9" s="7">
        <v>0</v>
      </c>
      <c r="AC9" s="8">
        <f t="shared" si="2"/>
        <v>0</v>
      </c>
      <c r="AD9" s="8">
        <v>0</v>
      </c>
      <c r="AE9" s="8">
        <f t="shared" si="3"/>
        <v>0</v>
      </c>
      <c r="AF9" s="8">
        <f t="shared" si="4"/>
        <v>0</v>
      </c>
      <c r="AG9" s="8">
        <v>0</v>
      </c>
      <c r="AH9" s="8">
        <v>0</v>
      </c>
      <c r="AI9" s="8" t="s">
        <v>119</v>
      </c>
      <c r="AJ9" s="8" t="s">
        <v>121</v>
      </c>
      <c r="AL9" s="14" t="s">
        <v>110</v>
      </c>
      <c r="AM9" s="15">
        <v>864</v>
      </c>
      <c r="AN9"/>
      <c r="AQ9" s="1">
        <v>0</v>
      </c>
    </row>
    <row r="10" spans="2:43" x14ac:dyDescent="0.25">
      <c r="B10" s="2" t="s">
        <v>87</v>
      </c>
      <c r="C10" s="2" t="s">
        <v>88</v>
      </c>
      <c r="D10" s="2" t="s">
        <v>6</v>
      </c>
      <c r="E10" s="2" t="s">
        <v>2</v>
      </c>
      <c r="F10" s="2">
        <v>0.42</v>
      </c>
      <c r="G10" s="3">
        <v>0.03</v>
      </c>
      <c r="H10" s="2">
        <v>1000</v>
      </c>
      <c r="I10" s="2">
        <v>0</v>
      </c>
      <c r="J10" s="2">
        <v>0</v>
      </c>
      <c r="K10" s="2"/>
      <c r="L10" s="2"/>
      <c r="M10" s="2"/>
      <c r="N10" s="8">
        <f t="shared" si="0"/>
        <v>1000</v>
      </c>
      <c r="O10" s="2"/>
      <c r="P10" s="2"/>
      <c r="Q10" s="2"/>
      <c r="R10" s="19"/>
      <c r="S10" s="2"/>
      <c r="T10" s="2"/>
      <c r="U10" s="19"/>
      <c r="V10" s="2"/>
      <c r="W10" s="2"/>
      <c r="X10" s="2"/>
      <c r="Y10" s="2"/>
      <c r="Z10" s="7">
        <f t="shared" si="1"/>
        <v>30</v>
      </c>
      <c r="AA10" s="7">
        <v>1000</v>
      </c>
      <c r="AB10" s="7">
        <v>0</v>
      </c>
      <c r="AC10" s="8">
        <f t="shared" si="2"/>
        <v>0</v>
      </c>
      <c r="AD10" s="8">
        <v>0</v>
      </c>
      <c r="AE10" s="8">
        <f t="shared" si="3"/>
        <v>0</v>
      </c>
      <c r="AF10" s="8">
        <f t="shared" si="4"/>
        <v>0</v>
      </c>
      <c r="AG10" s="8">
        <v>0</v>
      </c>
      <c r="AH10" s="8">
        <v>0</v>
      </c>
      <c r="AI10" s="8" t="s">
        <v>119</v>
      </c>
      <c r="AJ10" s="8" t="s">
        <v>121</v>
      </c>
      <c r="AL10" s="14" t="s">
        <v>116</v>
      </c>
      <c r="AM10" s="15">
        <v>0</v>
      </c>
      <c r="AN10"/>
      <c r="AQ10" s="1">
        <v>1000</v>
      </c>
    </row>
    <row r="11" spans="2:43" x14ac:dyDescent="0.25">
      <c r="B11" s="2" t="s">
        <v>87</v>
      </c>
      <c r="C11" s="2" t="s">
        <v>88</v>
      </c>
      <c r="D11" s="2" t="s">
        <v>7</v>
      </c>
      <c r="E11" s="2" t="s">
        <v>2</v>
      </c>
      <c r="F11" s="2">
        <v>0.42</v>
      </c>
      <c r="G11" s="3">
        <v>2.1999999999999999E-2</v>
      </c>
      <c r="H11" s="2">
        <v>1707</v>
      </c>
      <c r="I11" s="2">
        <v>0</v>
      </c>
      <c r="J11" s="2">
        <v>0</v>
      </c>
      <c r="K11" s="2"/>
      <c r="L11" s="2"/>
      <c r="M11" s="2"/>
      <c r="N11" s="8">
        <f t="shared" si="0"/>
        <v>1707</v>
      </c>
      <c r="O11" s="2"/>
      <c r="P11" s="2"/>
      <c r="Q11" s="2"/>
      <c r="R11" s="19"/>
      <c r="S11" s="2"/>
      <c r="T11" s="2"/>
      <c r="U11" s="19"/>
      <c r="V11" s="2"/>
      <c r="W11" s="2"/>
      <c r="X11" s="2"/>
      <c r="Y11" s="2"/>
      <c r="Z11" s="7">
        <f t="shared" si="1"/>
        <v>37.553999999999995</v>
      </c>
      <c r="AA11" s="7">
        <v>1000</v>
      </c>
      <c r="AB11" s="7">
        <v>0</v>
      </c>
      <c r="AC11" s="8">
        <f t="shared" si="2"/>
        <v>0</v>
      </c>
      <c r="AD11" s="8">
        <v>0</v>
      </c>
      <c r="AE11" s="8">
        <f t="shared" si="3"/>
        <v>0</v>
      </c>
      <c r="AF11" s="8">
        <f t="shared" si="4"/>
        <v>0</v>
      </c>
      <c r="AG11" s="8">
        <v>0</v>
      </c>
      <c r="AH11" s="8">
        <v>0</v>
      </c>
      <c r="AI11" s="8" t="s">
        <v>119</v>
      </c>
      <c r="AJ11" s="8" t="s">
        <v>121</v>
      </c>
      <c r="AL11" s="14" t="s">
        <v>111</v>
      </c>
      <c r="AM11" s="15">
        <v>7704</v>
      </c>
      <c r="AN11"/>
      <c r="AQ11" s="1">
        <v>1707</v>
      </c>
    </row>
    <row r="12" spans="2:43" x14ac:dyDescent="0.25">
      <c r="B12" s="2" t="s">
        <v>87</v>
      </c>
      <c r="C12" s="2" t="s">
        <v>88</v>
      </c>
      <c r="D12" s="2" t="s">
        <v>8</v>
      </c>
      <c r="E12" s="2" t="s">
        <v>2</v>
      </c>
      <c r="F12" s="2">
        <v>0.42</v>
      </c>
      <c r="G12" s="3">
        <v>2.3E-2</v>
      </c>
      <c r="H12" s="2">
        <v>0</v>
      </c>
      <c r="I12" s="2">
        <v>0</v>
      </c>
      <c r="J12" s="2">
        <v>0</v>
      </c>
      <c r="K12" s="2"/>
      <c r="L12" s="2"/>
      <c r="M12" s="2"/>
      <c r="N12" s="8">
        <f t="shared" si="0"/>
        <v>0</v>
      </c>
      <c r="O12" s="2"/>
      <c r="P12" s="2"/>
      <c r="Q12" s="2"/>
      <c r="R12" s="19"/>
      <c r="S12" s="2"/>
      <c r="T12" s="2"/>
      <c r="U12" s="19"/>
      <c r="V12" s="2"/>
      <c r="W12" s="2"/>
      <c r="X12" s="2"/>
      <c r="Y12" s="2"/>
      <c r="Z12" s="7">
        <f t="shared" si="1"/>
        <v>0</v>
      </c>
      <c r="AA12" s="7">
        <v>1000</v>
      </c>
      <c r="AB12" s="7">
        <v>0</v>
      </c>
      <c r="AC12" s="8">
        <f t="shared" si="2"/>
        <v>0</v>
      </c>
      <c r="AD12" s="8">
        <v>0</v>
      </c>
      <c r="AE12" s="8">
        <f t="shared" si="3"/>
        <v>0</v>
      </c>
      <c r="AF12" s="8">
        <f t="shared" si="4"/>
        <v>0</v>
      </c>
      <c r="AG12" s="8">
        <v>0</v>
      </c>
      <c r="AH12" s="8">
        <v>0</v>
      </c>
      <c r="AI12" s="8" t="s">
        <v>119</v>
      </c>
      <c r="AJ12" s="8" t="s">
        <v>121</v>
      </c>
      <c r="AL12" s="14" t="s">
        <v>112</v>
      </c>
      <c r="AM12" s="15">
        <v>3840</v>
      </c>
      <c r="AN12"/>
      <c r="AQ12" s="1">
        <v>0</v>
      </c>
    </row>
    <row r="13" spans="2:43" x14ac:dyDescent="0.25">
      <c r="B13" s="2" t="s">
        <v>87</v>
      </c>
      <c r="C13" s="2" t="s">
        <v>88</v>
      </c>
      <c r="D13" s="2" t="s">
        <v>9</v>
      </c>
      <c r="E13" s="2" t="s">
        <v>10</v>
      </c>
      <c r="F13" s="2">
        <v>2.8000000000000001E-2</v>
      </c>
      <c r="G13" s="3">
        <v>5.7000000000000002E-2</v>
      </c>
      <c r="H13" s="2">
        <v>-3900</v>
      </c>
      <c r="I13" s="2">
        <v>0</v>
      </c>
      <c r="J13" s="2">
        <v>0</v>
      </c>
      <c r="K13" s="2"/>
      <c r="L13" s="2"/>
      <c r="M13" s="2"/>
      <c r="N13" s="8">
        <f t="shared" si="0"/>
        <v>-3900</v>
      </c>
      <c r="O13" s="2"/>
      <c r="P13" s="2"/>
      <c r="Q13" s="2"/>
      <c r="R13" s="19"/>
      <c r="S13" s="2"/>
      <c r="T13" s="2"/>
      <c r="U13" s="19"/>
      <c r="V13" s="2"/>
      <c r="W13" s="2"/>
      <c r="X13" s="2"/>
      <c r="Y13" s="2"/>
      <c r="Z13" s="7">
        <f t="shared" si="1"/>
        <v>-222.3</v>
      </c>
      <c r="AA13" s="7">
        <v>1000</v>
      </c>
      <c r="AB13" s="7">
        <v>0</v>
      </c>
      <c r="AC13" s="8">
        <f t="shared" si="2"/>
        <v>0</v>
      </c>
      <c r="AD13" s="8">
        <v>0</v>
      </c>
      <c r="AE13" s="8">
        <f t="shared" si="3"/>
        <v>0</v>
      </c>
      <c r="AF13" s="8">
        <f t="shared" si="4"/>
        <v>0</v>
      </c>
      <c r="AG13" s="8">
        <v>0</v>
      </c>
      <c r="AH13" s="8">
        <v>0</v>
      </c>
      <c r="AI13" s="8" t="s">
        <v>119</v>
      </c>
      <c r="AJ13" s="8" t="s">
        <v>121</v>
      </c>
      <c r="AL13" s="14" t="s">
        <v>114</v>
      </c>
      <c r="AM13" s="15">
        <v>1280</v>
      </c>
      <c r="AN13"/>
      <c r="AQ13" s="1">
        <v>-3900</v>
      </c>
    </row>
    <row r="14" spans="2:43" x14ac:dyDescent="0.25">
      <c r="B14" s="2" t="s">
        <v>87</v>
      </c>
      <c r="C14" s="2" t="s">
        <v>88</v>
      </c>
      <c r="D14" s="2" t="s">
        <v>11</v>
      </c>
      <c r="E14" s="2" t="s">
        <v>10</v>
      </c>
      <c r="F14" s="2">
        <v>2.8000000000000001E-2</v>
      </c>
      <c r="G14" s="3">
        <v>4.3999999999999997E-2</v>
      </c>
      <c r="H14" s="2">
        <v>-2966</v>
      </c>
      <c r="I14" s="2">
        <v>0</v>
      </c>
      <c r="J14" s="2">
        <v>0</v>
      </c>
      <c r="K14" s="2"/>
      <c r="L14" s="2"/>
      <c r="M14" s="2"/>
      <c r="N14" s="8">
        <f t="shared" si="0"/>
        <v>-4366</v>
      </c>
      <c r="O14" s="2"/>
      <c r="P14" s="2">
        <v>400</v>
      </c>
      <c r="Q14" s="2"/>
      <c r="R14" s="19"/>
      <c r="S14" s="2"/>
      <c r="T14" s="2"/>
      <c r="U14" s="19"/>
      <c r="V14" s="2">
        <v>1000</v>
      </c>
      <c r="W14" s="2"/>
      <c r="X14" s="2"/>
      <c r="Y14" s="2"/>
      <c r="Z14" s="7">
        <f t="shared" si="1"/>
        <v>-130.50399999999999</v>
      </c>
      <c r="AA14" s="7">
        <v>1000</v>
      </c>
      <c r="AB14" s="7">
        <v>0</v>
      </c>
      <c r="AC14" s="8">
        <f t="shared" si="2"/>
        <v>0</v>
      </c>
      <c r="AD14" s="8">
        <v>0</v>
      </c>
      <c r="AE14" s="8">
        <f t="shared" si="3"/>
        <v>0</v>
      </c>
      <c r="AF14" s="8">
        <f t="shared" si="4"/>
        <v>0</v>
      </c>
      <c r="AG14" s="8">
        <v>0</v>
      </c>
      <c r="AH14" s="8">
        <v>0</v>
      </c>
      <c r="AI14" s="8" t="s">
        <v>119</v>
      </c>
      <c r="AJ14" s="8" t="s">
        <v>121</v>
      </c>
      <c r="AL14" s="14" t="s">
        <v>115</v>
      </c>
      <c r="AM14" s="15">
        <v>384</v>
      </c>
      <c r="AN14"/>
      <c r="AQ14" s="1">
        <v>-2966</v>
      </c>
    </row>
    <row r="15" spans="2:43" x14ac:dyDescent="0.25">
      <c r="B15" s="2" t="s">
        <v>87</v>
      </c>
      <c r="C15" s="2" t="s">
        <v>88</v>
      </c>
      <c r="D15" s="2" t="s">
        <v>12</v>
      </c>
      <c r="E15" s="2" t="s">
        <v>10</v>
      </c>
      <c r="F15" s="2">
        <v>2.8000000000000001E-2</v>
      </c>
      <c r="G15" s="3">
        <v>1.4999999999999999E-2</v>
      </c>
      <c r="H15" s="2">
        <v>2400</v>
      </c>
      <c r="I15" s="2">
        <v>0</v>
      </c>
      <c r="J15" s="2">
        <v>500</v>
      </c>
      <c r="K15" s="2"/>
      <c r="L15" s="2"/>
      <c r="M15" s="2"/>
      <c r="N15" s="27">
        <f t="shared" si="0"/>
        <v>-1200</v>
      </c>
      <c r="O15" s="2">
        <v>1900</v>
      </c>
      <c r="P15" s="2">
        <v>500</v>
      </c>
      <c r="Q15" s="2"/>
      <c r="R15" s="19"/>
      <c r="S15" s="2">
        <v>500</v>
      </c>
      <c r="T15" s="2"/>
      <c r="U15" s="19"/>
      <c r="V15" s="2"/>
      <c r="W15" s="2"/>
      <c r="X15" s="2">
        <v>1200</v>
      </c>
      <c r="Y15" s="2"/>
      <c r="Z15" s="7">
        <f t="shared" si="1"/>
        <v>43.5</v>
      </c>
      <c r="AA15" s="7">
        <v>1000</v>
      </c>
      <c r="AB15" s="7">
        <v>0</v>
      </c>
      <c r="AC15" s="8">
        <f t="shared" si="2"/>
        <v>0</v>
      </c>
      <c r="AD15" s="8">
        <v>0</v>
      </c>
      <c r="AE15" s="8">
        <f t="shared" si="3"/>
        <v>0</v>
      </c>
      <c r="AF15" s="8">
        <f t="shared" si="4"/>
        <v>0</v>
      </c>
      <c r="AG15" s="8">
        <v>0</v>
      </c>
      <c r="AH15" s="8">
        <v>0</v>
      </c>
      <c r="AI15" s="8" t="s">
        <v>119</v>
      </c>
      <c r="AJ15" s="8" t="s">
        <v>121</v>
      </c>
      <c r="AL15" s="14" t="s">
        <v>124</v>
      </c>
      <c r="AM15" s="15">
        <v>14200</v>
      </c>
      <c r="AN15"/>
      <c r="AQ15" s="1">
        <v>2400</v>
      </c>
    </row>
    <row r="16" spans="2:43" x14ac:dyDescent="0.25">
      <c r="B16" s="2" t="s">
        <v>87</v>
      </c>
      <c r="C16" s="2" t="s">
        <v>88</v>
      </c>
      <c r="D16" s="2" t="s">
        <v>13</v>
      </c>
      <c r="E16" s="2" t="s">
        <v>10</v>
      </c>
      <c r="F16" s="2">
        <v>2.8000000000000001E-2</v>
      </c>
      <c r="G16" s="3">
        <v>1.9E-2</v>
      </c>
      <c r="H16" s="2">
        <v>400</v>
      </c>
      <c r="I16" s="2">
        <v>0</v>
      </c>
      <c r="J16" s="2">
        <v>0</v>
      </c>
      <c r="K16" s="2"/>
      <c r="L16" s="2"/>
      <c r="M16" s="2"/>
      <c r="N16" s="8">
        <f t="shared" si="0"/>
        <v>0</v>
      </c>
      <c r="O16" s="2"/>
      <c r="P16" s="2"/>
      <c r="Q16" s="2"/>
      <c r="R16" s="19"/>
      <c r="S16" s="2">
        <v>400</v>
      </c>
      <c r="T16" s="2"/>
      <c r="U16" s="19"/>
      <c r="V16" s="2"/>
      <c r="W16" s="2"/>
      <c r="X16" s="2"/>
      <c r="Y16" s="2"/>
      <c r="Z16" s="7">
        <f t="shared" si="1"/>
        <v>7.6</v>
      </c>
      <c r="AA16" s="7">
        <v>1000</v>
      </c>
      <c r="AB16" s="7">
        <v>0</v>
      </c>
      <c r="AC16" s="8">
        <f t="shared" si="2"/>
        <v>0</v>
      </c>
      <c r="AD16" s="8">
        <v>0</v>
      </c>
      <c r="AE16" s="8">
        <f t="shared" si="3"/>
        <v>0</v>
      </c>
      <c r="AF16" s="8">
        <f t="shared" si="4"/>
        <v>0</v>
      </c>
      <c r="AG16" s="8">
        <v>0</v>
      </c>
      <c r="AH16" s="8">
        <v>0</v>
      </c>
      <c r="AI16" s="8" t="s">
        <v>119</v>
      </c>
      <c r="AJ16" s="8" t="s">
        <v>121</v>
      </c>
      <c r="AL16"/>
      <c r="AM16"/>
      <c r="AN16"/>
      <c r="AQ16" s="1">
        <v>400</v>
      </c>
    </row>
    <row r="17" spans="2:43" x14ac:dyDescent="0.25">
      <c r="B17" s="2" t="s">
        <v>87</v>
      </c>
      <c r="C17" s="2" t="s">
        <v>88</v>
      </c>
      <c r="D17" s="2" t="s">
        <v>14</v>
      </c>
      <c r="E17" s="2" t="s">
        <v>10</v>
      </c>
      <c r="F17" s="2">
        <v>2.8000000000000001E-2</v>
      </c>
      <c r="G17" s="3">
        <v>2.4E-2</v>
      </c>
      <c r="H17" s="2">
        <v>3600</v>
      </c>
      <c r="I17" s="2">
        <v>0</v>
      </c>
      <c r="J17" s="2">
        <v>0</v>
      </c>
      <c r="K17" s="2"/>
      <c r="L17" s="2"/>
      <c r="M17" s="2"/>
      <c r="N17" s="27">
        <f t="shared" si="0"/>
        <v>-300</v>
      </c>
      <c r="O17" s="2"/>
      <c r="P17" s="2">
        <v>300</v>
      </c>
      <c r="Q17" s="2">
        <v>1900</v>
      </c>
      <c r="R17" s="19">
        <v>1300</v>
      </c>
      <c r="S17" s="2">
        <v>400</v>
      </c>
      <c r="T17" s="2"/>
      <c r="U17" s="19"/>
      <c r="V17" s="2"/>
      <c r="W17" s="2"/>
      <c r="X17" s="2"/>
      <c r="Y17" s="2"/>
      <c r="Z17" s="7">
        <f t="shared" si="1"/>
        <v>86.4</v>
      </c>
      <c r="AA17" s="7">
        <v>1000</v>
      </c>
      <c r="AB17" s="7">
        <v>0</v>
      </c>
      <c r="AC17" s="8">
        <f t="shared" si="2"/>
        <v>0</v>
      </c>
      <c r="AD17" s="8">
        <v>0</v>
      </c>
      <c r="AE17" s="8">
        <f t="shared" si="3"/>
        <v>0</v>
      </c>
      <c r="AF17" s="8">
        <f t="shared" si="4"/>
        <v>0</v>
      </c>
      <c r="AG17" s="8">
        <v>0</v>
      </c>
      <c r="AH17" s="8">
        <v>0</v>
      </c>
      <c r="AI17" s="8" t="s">
        <v>119</v>
      </c>
      <c r="AJ17" s="8" t="s">
        <v>121</v>
      </c>
      <c r="AL17"/>
      <c r="AM17"/>
      <c r="AN17"/>
      <c r="AQ17" s="1">
        <v>3600</v>
      </c>
    </row>
    <row r="18" spans="2:43" x14ac:dyDescent="0.25">
      <c r="B18" s="2" t="s">
        <v>87</v>
      </c>
      <c r="C18" s="2" t="s">
        <v>88</v>
      </c>
      <c r="D18" s="2" t="s">
        <v>15</v>
      </c>
      <c r="E18" s="2" t="s">
        <v>10</v>
      </c>
      <c r="F18" s="2">
        <v>2.8000000000000001E-2</v>
      </c>
      <c r="G18" s="3">
        <v>1.9E-2</v>
      </c>
      <c r="H18" s="2">
        <v>0</v>
      </c>
      <c r="I18" s="2">
        <v>0</v>
      </c>
      <c r="J18" s="2">
        <v>0</v>
      </c>
      <c r="K18" s="2"/>
      <c r="L18" s="2"/>
      <c r="M18" s="2"/>
      <c r="N18" s="8">
        <f t="shared" si="0"/>
        <v>0</v>
      </c>
      <c r="O18" s="2"/>
      <c r="P18" s="2"/>
      <c r="Q18" s="2"/>
      <c r="R18" s="19"/>
      <c r="S18" s="2"/>
      <c r="T18" s="2"/>
      <c r="U18" s="19"/>
      <c r="V18" s="2"/>
      <c r="W18" s="2"/>
      <c r="X18" s="2"/>
      <c r="Y18" s="2"/>
      <c r="Z18" s="7">
        <f t="shared" si="1"/>
        <v>0</v>
      </c>
      <c r="AA18" s="7">
        <v>1000</v>
      </c>
      <c r="AB18" s="7">
        <v>0</v>
      </c>
      <c r="AC18" s="8">
        <f t="shared" si="2"/>
        <v>0</v>
      </c>
      <c r="AD18" s="8">
        <v>0</v>
      </c>
      <c r="AE18" s="8">
        <f t="shared" si="3"/>
        <v>0</v>
      </c>
      <c r="AF18" s="8">
        <f t="shared" si="4"/>
        <v>0</v>
      </c>
      <c r="AG18" s="8">
        <v>0</v>
      </c>
      <c r="AH18" s="8">
        <v>0</v>
      </c>
      <c r="AI18" s="8" t="s">
        <v>119</v>
      </c>
      <c r="AJ18" s="8" t="s">
        <v>121</v>
      </c>
      <c r="AL18"/>
      <c r="AM18"/>
      <c r="AN18"/>
      <c r="AQ18" s="1">
        <v>0</v>
      </c>
    </row>
    <row r="19" spans="2:43" x14ac:dyDescent="0.25">
      <c r="B19" s="2" t="s">
        <v>87</v>
      </c>
      <c r="C19" s="2" t="s">
        <v>88</v>
      </c>
      <c r="D19" s="2" t="s">
        <v>16</v>
      </c>
      <c r="E19" s="2" t="s">
        <v>17</v>
      </c>
      <c r="F19" s="2">
        <v>2.8000000000000001E-2</v>
      </c>
      <c r="G19" s="3">
        <v>8.5999999999999993E-2</v>
      </c>
      <c r="H19" s="2">
        <v>-55</v>
      </c>
      <c r="I19" s="2">
        <v>0</v>
      </c>
      <c r="J19" s="2">
        <v>0</v>
      </c>
      <c r="K19" s="2"/>
      <c r="L19" s="2"/>
      <c r="M19" s="2"/>
      <c r="N19" s="8">
        <f t="shared" si="0"/>
        <v>-55</v>
      </c>
      <c r="O19" s="2"/>
      <c r="P19" s="2"/>
      <c r="Q19" s="2"/>
      <c r="R19" s="19"/>
      <c r="S19" s="2"/>
      <c r="T19" s="2"/>
      <c r="U19" s="19"/>
      <c r="V19" s="2"/>
      <c r="W19" s="2"/>
      <c r="X19" s="2"/>
      <c r="Y19" s="2"/>
      <c r="Z19" s="7">
        <f t="shared" si="1"/>
        <v>-4.7299999999999995</v>
      </c>
      <c r="AA19" s="7">
        <v>100</v>
      </c>
      <c r="AB19" s="7">
        <v>0</v>
      </c>
      <c r="AC19" s="8">
        <f t="shared" si="2"/>
        <v>0</v>
      </c>
      <c r="AD19" s="8">
        <v>0</v>
      </c>
      <c r="AE19" s="8">
        <f t="shared" si="3"/>
        <v>0</v>
      </c>
      <c r="AF19" s="8">
        <f t="shared" si="4"/>
        <v>0</v>
      </c>
      <c r="AG19" s="8">
        <v>0</v>
      </c>
      <c r="AH19" s="8">
        <v>0</v>
      </c>
      <c r="AI19" s="8" t="s">
        <v>119</v>
      </c>
      <c r="AJ19" s="8" t="s">
        <v>121</v>
      </c>
      <c r="AL19"/>
      <c r="AM19"/>
      <c r="AN19"/>
      <c r="AQ19" s="1">
        <v>-55</v>
      </c>
    </row>
    <row r="20" spans="2:43" x14ac:dyDescent="0.25">
      <c r="B20" s="2" t="s">
        <v>87</v>
      </c>
      <c r="C20" s="2" t="s">
        <v>88</v>
      </c>
      <c r="D20" s="2" t="s">
        <v>18</v>
      </c>
      <c r="E20" s="2" t="s">
        <v>17</v>
      </c>
      <c r="F20" s="2">
        <v>2.8000000000000001E-2</v>
      </c>
      <c r="G20" s="3">
        <v>0.11700000000000001</v>
      </c>
      <c r="H20" s="2">
        <v>0</v>
      </c>
      <c r="I20" s="2">
        <v>0</v>
      </c>
      <c r="J20" s="2">
        <v>0</v>
      </c>
      <c r="K20" s="2"/>
      <c r="L20" s="2"/>
      <c r="M20" s="2"/>
      <c r="N20" s="8">
        <f t="shared" si="0"/>
        <v>0</v>
      </c>
      <c r="O20" s="2"/>
      <c r="P20" s="2"/>
      <c r="Q20" s="2"/>
      <c r="R20" s="19"/>
      <c r="S20" s="2"/>
      <c r="T20" s="2"/>
      <c r="U20" s="19"/>
      <c r="V20" s="2"/>
      <c r="W20" s="2"/>
      <c r="X20" s="2"/>
      <c r="Y20" s="2"/>
      <c r="Z20" s="7">
        <f t="shared" si="1"/>
        <v>0</v>
      </c>
      <c r="AA20" s="7">
        <v>100</v>
      </c>
      <c r="AB20" s="7">
        <v>0</v>
      </c>
      <c r="AC20" s="8">
        <f t="shared" si="2"/>
        <v>0</v>
      </c>
      <c r="AD20" s="8">
        <v>0</v>
      </c>
      <c r="AE20" s="8">
        <f t="shared" si="3"/>
        <v>0</v>
      </c>
      <c r="AF20" s="8">
        <f t="shared" si="4"/>
        <v>0</v>
      </c>
      <c r="AG20" s="8">
        <v>0</v>
      </c>
      <c r="AH20" s="8">
        <v>0</v>
      </c>
      <c r="AI20" s="8" t="s">
        <v>119</v>
      </c>
      <c r="AJ20" s="8" t="s">
        <v>121</v>
      </c>
      <c r="AL20"/>
      <c r="AM20"/>
      <c r="AN20"/>
      <c r="AQ20" s="1">
        <v>0</v>
      </c>
    </row>
    <row r="21" spans="2:43" x14ac:dyDescent="0.25">
      <c r="B21" s="2" t="s">
        <v>87</v>
      </c>
      <c r="C21" s="2" t="s">
        <v>88</v>
      </c>
      <c r="D21" s="2" t="s">
        <v>19</v>
      </c>
      <c r="E21" s="2" t="s">
        <v>17</v>
      </c>
      <c r="F21" s="2">
        <v>2.8000000000000001E-2</v>
      </c>
      <c r="G21" s="3">
        <v>0.129</v>
      </c>
      <c r="H21" s="2">
        <v>-25</v>
      </c>
      <c r="I21" s="2">
        <v>0</v>
      </c>
      <c r="J21" s="2">
        <v>0</v>
      </c>
      <c r="K21" s="2"/>
      <c r="L21" s="2"/>
      <c r="M21" s="2"/>
      <c r="N21" s="8">
        <f t="shared" si="0"/>
        <v>-370</v>
      </c>
      <c r="O21" s="2"/>
      <c r="P21" s="2"/>
      <c r="Q21" s="2">
        <v>345</v>
      </c>
      <c r="R21" s="19"/>
      <c r="S21" s="2"/>
      <c r="T21" s="2"/>
      <c r="U21" s="19"/>
      <c r="V21" s="2"/>
      <c r="W21" s="2"/>
      <c r="X21" s="2"/>
      <c r="Y21" s="2"/>
      <c r="Z21" s="7">
        <f t="shared" si="1"/>
        <v>-3.2250000000000001</v>
      </c>
      <c r="AA21" s="7">
        <v>100</v>
      </c>
      <c r="AB21" s="7">
        <v>0</v>
      </c>
      <c r="AC21" s="8">
        <f t="shared" si="2"/>
        <v>0</v>
      </c>
      <c r="AD21" s="8">
        <v>0</v>
      </c>
      <c r="AE21" s="8">
        <f t="shared" si="3"/>
        <v>0</v>
      </c>
      <c r="AF21" s="8">
        <f t="shared" si="4"/>
        <v>0</v>
      </c>
      <c r="AG21" s="8">
        <v>0</v>
      </c>
      <c r="AH21" s="8">
        <v>0</v>
      </c>
      <c r="AI21" s="8" t="s">
        <v>119</v>
      </c>
      <c r="AJ21" s="8" t="s">
        <v>121</v>
      </c>
      <c r="AL21"/>
      <c r="AM21"/>
      <c r="AN21"/>
      <c r="AQ21" s="1">
        <v>-25</v>
      </c>
    </row>
    <row r="22" spans="2:43" x14ac:dyDescent="0.25">
      <c r="B22" s="2" t="s">
        <v>87</v>
      </c>
      <c r="C22" s="2" t="s">
        <v>88</v>
      </c>
      <c r="D22" s="2" t="s">
        <v>20</v>
      </c>
      <c r="E22" s="2" t="s">
        <v>17</v>
      </c>
      <c r="F22" s="2">
        <v>2.8000000000000001E-2</v>
      </c>
      <c r="G22" s="3">
        <v>0.11899999999999999</v>
      </c>
      <c r="H22" s="2">
        <v>-250</v>
      </c>
      <c r="I22" s="2">
        <v>0</v>
      </c>
      <c r="J22" s="2">
        <v>0</v>
      </c>
      <c r="K22" s="2"/>
      <c r="L22" s="2"/>
      <c r="M22" s="2"/>
      <c r="N22" s="8">
        <f t="shared" si="0"/>
        <v>-250</v>
      </c>
      <c r="O22" s="2"/>
      <c r="P22" s="2"/>
      <c r="Q22" s="2"/>
      <c r="R22" s="19"/>
      <c r="S22" s="2"/>
      <c r="T22" s="2"/>
      <c r="U22" s="19"/>
      <c r="V22" s="2"/>
      <c r="W22" s="2"/>
      <c r="X22" s="2"/>
      <c r="Y22" s="2"/>
      <c r="Z22" s="7">
        <f t="shared" si="1"/>
        <v>-29.75</v>
      </c>
      <c r="AA22" s="7">
        <v>100</v>
      </c>
      <c r="AB22" s="7">
        <v>0</v>
      </c>
      <c r="AC22" s="8">
        <f t="shared" si="2"/>
        <v>0</v>
      </c>
      <c r="AD22" s="8">
        <v>0</v>
      </c>
      <c r="AE22" s="8">
        <f t="shared" si="3"/>
        <v>0</v>
      </c>
      <c r="AF22" s="8">
        <f t="shared" si="4"/>
        <v>0</v>
      </c>
      <c r="AG22" s="8">
        <v>0</v>
      </c>
      <c r="AH22" s="8">
        <v>0</v>
      </c>
      <c r="AI22" s="8" t="s">
        <v>119</v>
      </c>
      <c r="AJ22" s="8" t="s">
        <v>121</v>
      </c>
      <c r="AL22"/>
      <c r="AM22"/>
      <c r="AN22"/>
      <c r="AQ22" s="1">
        <v>-250</v>
      </c>
    </row>
    <row r="23" spans="2:43" x14ac:dyDescent="0.25">
      <c r="B23" s="2" t="s">
        <v>87</v>
      </c>
      <c r="C23" s="2" t="s">
        <v>88</v>
      </c>
      <c r="D23" s="2" t="s">
        <v>21</v>
      </c>
      <c r="E23" s="2" t="s">
        <v>17</v>
      </c>
      <c r="F23" s="2">
        <v>2.8000000000000001E-2</v>
      </c>
      <c r="G23" s="3">
        <v>0.127</v>
      </c>
      <c r="H23" s="2">
        <v>0</v>
      </c>
      <c r="I23" s="2">
        <v>0</v>
      </c>
      <c r="J23" s="2">
        <v>0</v>
      </c>
      <c r="K23" s="2"/>
      <c r="L23" s="2"/>
      <c r="M23" s="2"/>
      <c r="N23" s="8">
        <f t="shared" si="0"/>
        <v>-945</v>
      </c>
      <c r="O23" s="2"/>
      <c r="P23" s="2"/>
      <c r="Q23" s="2">
        <v>645</v>
      </c>
      <c r="R23" s="19">
        <v>300</v>
      </c>
      <c r="S23" s="2"/>
      <c r="T23" s="2"/>
      <c r="U23" s="19"/>
      <c r="V23" s="2"/>
      <c r="W23" s="2"/>
      <c r="X23" s="2"/>
      <c r="Y23" s="2"/>
      <c r="Z23" s="7">
        <f t="shared" si="1"/>
        <v>0</v>
      </c>
      <c r="AA23" s="7">
        <v>100</v>
      </c>
      <c r="AB23" s="7">
        <v>0</v>
      </c>
      <c r="AC23" s="8">
        <f t="shared" si="2"/>
        <v>0</v>
      </c>
      <c r="AD23" s="8">
        <v>0</v>
      </c>
      <c r="AE23" s="8">
        <f t="shared" si="3"/>
        <v>0</v>
      </c>
      <c r="AF23" s="8">
        <f t="shared" si="4"/>
        <v>0</v>
      </c>
      <c r="AG23" s="8">
        <v>0</v>
      </c>
      <c r="AH23" s="8">
        <v>0</v>
      </c>
      <c r="AI23" s="8" t="s">
        <v>119</v>
      </c>
      <c r="AJ23" s="8" t="s">
        <v>121</v>
      </c>
      <c r="AQ23" s="1">
        <v>0</v>
      </c>
    </row>
    <row r="24" spans="2:43" x14ac:dyDescent="0.25">
      <c r="B24" s="2" t="s">
        <v>87</v>
      </c>
      <c r="C24" s="2" t="s">
        <v>88</v>
      </c>
      <c r="D24" s="2" t="s">
        <v>22</v>
      </c>
      <c r="E24" s="2" t="s">
        <v>17</v>
      </c>
      <c r="F24" s="2">
        <v>2.8000000000000001E-2</v>
      </c>
      <c r="G24" s="3">
        <v>0.114</v>
      </c>
      <c r="H24" s="2">
        <v>-55</v>
      </c>
      <c r="I24" s="2">
        <v>0</v>
      </c>
      <c r="J24" s="2">
        <v>0</v>
      </c>
      <c r="K24" s="2"/>
      <c r="L24" s="2"/>
      <c r="M24" s="2"/>
      <c r="N24" s="8">
        <f t="shared" si="0"/>
        <v>-1205</v>
      </c>
      <c r="O24" s="2"/>
      <c r="P24" s="2"/>
      <c r="Q24" s="2"/>
      <c r="R24" s="19"/>
      <c r="S24" s="2"/>
      <c r="T24" s="2"/>
      <c r="U24" s="19"/>
      <c r="V24" s="2"/>
      <c r="W24" s="2"/>
      <c r="X24" s="2">
        <v>1150</v>
      </c>
      <c r="Y24" s="2"/>
      <c r="Z24" s="7">
        <f t="shared" si="1"/>
        <v>-6.2700000000000005</v>
      </c>
      <c r="AA24" s="7">
        <v>100</v>
      </c>
      <c r="AB24" s="7">
        <v>0</v>
      </c>
      <c r="AC24" s="8">
        <f t="shared" si="2"/>
        <v>0</v>
      </c>
      <c r="AD24" s="8">
        <v>0</v>
      </c>
      <c r="AE24" s="8">
        <f t="shared" si="3"/>
        <v>0</v>
      </c>
      <c r="AF24" s="8">
        <f t="shared" si="4"/>
        <v>0</v>
      </c>
      <c r="AG24" s="8">
        <v>0</v>
      </c>
      <c r="AH24" s="8">
        <v>0</v>
      </c>
      <c r="AI24" s="8" t="s">
        <v>119</v>
      </c>
      <c r="AJ24" s="8" t="s">
        <v>121</v>
      </c>
      <c r="AQ24" s="1">
        <v>-55</v>
      </c>
    </row>
    <row r="25" spans="2:43" x14ac:dyDescent="0.25">
      <c r="B25" s="2" t="s">
        <v>87</v>
      </c>
      <c r="C25" s="2" t="s">
        <v>88</v>
      </c>
      <c r="D25" s="2" t="s">
        <v>23</v>
      </c>
      <c r="E25" s="2" t="s">
        <v>17</v>
      </c>
      <c r="F25" s="2">
        <v>2.8000000000000001E-2</v>
      </c>
      <c r="G25" s="3">
        <v>6.9000000000000006E-2</v>
      </c>
      <c r="H25" s="2">
        <v>-50</v>
      </c>
      <c r="I25" s="2">
        <v>0</v>
      </c>
      <c r="J25" s="2">
        <v>0</v>
      </c>
      <c r="K25" s="2"/>
      <c r="L25" s="2"/>
      <c r="M25" s="2"/>
      <c r="N25" s="8">
        <f t="shared" si="0"/>
        <v>-574</v>
      </c>
      <c r="O25" s="2"/>
      <c r="P25" s="2"/>
      <c r="Q25" s="2"/>
      <c r="R25" s="19"/>
      <c r="S25" s="2">
        <v>524</v>
      </c>
      <c r="T25" s="2"/>
      <c r="U25" s="19"/>
      <c r="V25" s="2"/>
      <c r="W25" s="2"/>
      <c r="X25" s="2"/>
      <c r="Y25" s="2"/>
      <c r="Z25" s="7">
        <f t="shared" si="1"/>
        <v>-3.45</v>
      </c>
      <c r="AA25" s="7">
        <v>100</v>
      </c>
      <c r="AB25" s="7">
        <v>0</v>
      </c>
      <c r="AC25" s="8">
        <f t="shared" si="2"/>
        <v>0</v>
      </c>
      <c r="AD25" s="8">
        <v>0</v>
      </c>
      <c r="AE25" s="8">
        <f t="shared" si="3"/>
        <v>0</v>
      </c>
      <c r="AF25" s="8">
        <f t="shared" si="4"/>
        <v>0</v>
      </c>
      <c r="AG25" s="8">
        <v>0</v>
      </c>
      <c r="AH25" s="8">
        <v>0</v>
      </c>
      <c r="AI25" s="8" t="s">
        <v>119</v>
      </c>
      <c r="AJ25" s="8" t="s">
        <v>121</v>
      </c>
      <c r="AQ25" s="1">
        <v>-50</v>
      </c>
    </row>
    <row r="26" spans="2:43" x14ac:dyDescent="0.25">
      <c r="B26" s="2" t="s">
        <v>87</v>
      </c>
      <c r="C26" s="2" t="s">
        <v>88</v>
      </c>
      <c r="D26" s="2" t="s">
        <v>24</v>
      </c>
      <c r="E26" s="2" t="s">
        <v>17</v>
      </c>
      <c r="F26" s="2">
        <v>2.8000000000000001E-2</v>
      </c>
      <c r="G26" s="3">
        <v>0.129</v>
      </c>
      <c r="H26" s="2">
        <v>0</v>
      </c>
      <c r="I26" s="2">
        <v>0</v>
      </c>
      <c r="J26" s="2">
        <v>0</v>
      </c>
      <c r="K26" s="2"/>
      <c r="L26" s="2"/>
      <c r="M26" s="2"/>
      <c r="N26" s="8">
        <f t="shared" si="0"/>
        <v>0</v>
      </c>
      <c r="O26" s="2"/>
      <c r="P26" s="2"/>
      <c r="Q26" s="2"/>
      <c r="R26" s="19"/>
      <c r="S26" s="2"/>
      <c r="T26" s="2"/>
      <c r="U26" s="19"/>
      <c r="V26" s="2"/>
      <c r="W26" s="2"/>
      <c r="X26" s="2"/>
      <c r="Y26" s="2"/>
      <c r="Z26" s="7">
        <f t="shared" si="1"/>
        <v>0</v>
      </c>
      <c r="AA26" s="7">
        <v>100</v>
      </c>
      <c r="AB26" s="7">
        <v>0</v>
      </c>
      <c r="AC26" s="8">
        <f t="shared" si="2"/>
        <v>0</v>
      </c>
      <c r="AD26" s="8">
        <v>0</v>
      </c>
      <c r="AE26" s="8">
        <f t="shared" si="3"/>
        <v>0</v>
      </c>
      <c r="AF26" s="8">
        <f t="shared" si="4"/>
        <v>0</v>
      </c>
      <c r="AG26" s="8">
        <v>0</v>
      </c>
      <c r="AH26" s="8">
        <v>0</v>
      </c>
      <c r="AI26" s="8" t="s">
        <v>119</v>
      </c>
      <c r="AJ26" s="8" t="s">
        <v>121</v>
      </c>
      <c r="AQ26" s="1">
        <v>0</v>
      </c>
    </row>
    <row r="27" spans="2:43" x14ac:dyDescent="0.25">
      <c r="B27" s="2" t="s">
        <v>87</v>
      </c>
      <c r="C27" s="2" t="s">
        <v>88</v>
      </c>
      <c r="D27" s="2" t="s">
        <v>25</v>
      </c>
      <c r="E27" s="2" t="s">
        <v>17</v>
      </c>
      <c r="F27" s="2">
        <v>2.8000000000000001E-2</v>
      </c>
      <c r="G27" s="3">
        <v>7.8E-2</v>
      </c>
      <c r="H27" s="2">
        <v>307</v>
      </c>
      <c r="I27" s="2">
        <v>0</v>
      </c>
      <c r="J27" s="2">
        <v>0</v>
      </c>
      <c r="K27" s="2"/>
      <c r="L27" s="2"/>
      <c r="M27" s="2"/>
      <c r="N27" s="8">
        <f t="shared" si="0"/>
        <v>-583</v>
      </c>
      <c r="O27" s="2">
        <v>270</v>
      </c>
      <c r="P27" s="2"/>
      <c r="Q27" s="2"/>
      <c r="R27" s="19"/>
      <c r="S27" s="2"/>
      <c r="T27" s="2">
        <v>620</v>
      </c>
      <c r="U27" s="19"/>
      <c r="V27" s="2"/>
      <c r="W27" s="2"/>
      <c r="X27" s="2"/>
      <c r="Y27" s="2"/>
      <c r="Z27" s="7">
        <f t="shared" si="1"/>
        <v>23.946000000000002</v>
      </c>
      <c r="AA27" s="7">
        <v>100</v>
      </c>
      <c r="AB27" s="7">
        <v>0</v>
      </c>
      <c r="AC27" s="8">
        <f t="shared" si="2"/>
        <v>0</v>
      </c>
      <c r="AD27" s="8">
        <v>0</v>
      </c>
      <c r="AE27" s="8">
        <f t="shared" si="3"/>
        <v>0</v>
      </c>
      <c r="AF27" s="8">
        <f t="shared" si="4"/>
        <v>0</v>
      </c>
      <c r="AG27" s="8">
        <v>0</v>
      </c>
      <c r="AH27" s="8">
        <v>0</v>
      </c>
      <c r="AI27" s="8" t="s">
        <v>119</v>
      </c>
      <c r="AJ27" s="8" t="s">
        <v>121</v>
      </c>
      <c r="AQ27" s="1">
        <v>307</v>
      </c>
    </row>
    <row r="28" spans="2:43" x14ac:dyDescent="0.25">
      <c r="B28" s="2" t="s">
        <v>87</v>
      </c>
      <c r="C28" s="2" t="s">
        <v>88</v>
      </c>
      <c r="D28" s="2" t="s">
        <v>26</v>
      </c>
      <c r="E28" s="2" t="s">
        <v>17</v>
      </c>
      <c r="F28" s="2">
        <v>2.8000000000000001E-2</v>
      </c>
      <c r="G28" s="3">
        <v>0.10100000000000001</v>
      </c>
      <c r="H28" s="2">
        <v>-77</v>
      </c>
      <c r="I28" s="2">
        <v>0</v>
      </c>
      <c r="J28" s="2">
        <v>900</v>
      </c>
      <c r="K28" s="2"/>
      <c r="L28" s="2"/>
      <c r="M28" s="2"/>
      <c r="N28" s="8">
        <f t="shared" si="0"/>
        <v>-257</v>
      </c>
      <c r="O28" s="2"/>
      <c r="P28" s="2"/>
      <c r="Q28" s="2"/>
      <c r="R28" s="19"/>
      <c r="S28" s="2"/>
      <c r="T28" s="2">
        <v>1080</v>
      </c>
      <c r="U28" s="19"/>
      <c r="V28" s="2"/>
      <c r="W28" s="2"/>
      <c r="X28" s="2"/>
      <c r="Y28" s="2"/>
      <c r="Z28" s="7">
        <f t="shared" si="1"/>
        <v>83.123000000000005</v>
      </c>
      <c r="AA28" s="7">
        <v>100</v>
      </c>
      <c r="AB28" s="7">
        <v>0</v>
      </c>
      <c r="AC28" s="8">
        <f t="shared" si="2"/>
        <v>0</v>
      </c>
      <c r="AD28" s="8">
        <v>0</v>
      </c>
      <c r="AE28" s="8">
        <f t="shared" si="3"/>
        <v>0</v>
      </c>
      <c r="AF28" s="8">
        <f t="shared" si="4"/>
        <v>0</v>
      </c>
      <c r="AG28" s="8">
        <v>0</v>
      </c>
      <c r="AH28" s="8">
        <v>0</v>
      </c>
      <c r="AI28" s="8" t="s">
        <v>119</v>
      </c>
      <c r="AJ28" s="8" t="s">
        <v>121</v>
      </c>
      <c r="AQ28" s="1">
        <v>-77</v>
      </c>
    </row>
    <row r="29" spans="2:43" x14ac:dyDescent="0.25">
      <c r="B29" s="2" t="s">
        <v>87</v>
      </c>
      <c r="C29" s="2" t="s">
        <v>88</v>
      </c>
      <c r="D29" s="2" t="s">
        <v>27</v>
      </c>
      <c r="E29" s="2" t="s">
        <v>17</v>
      </c>
      <c r="F29" s="2">
        <v>2.8000000000000001E-2</v>
      </c>
      <c r="G29" s="3">
        <v>7.5999999999999998E-2</v>
      </c>
      <c r="H29" s="2">
        <v>300</v>
      </c>
      <c r="I29" s="2">
        <v>0</v>
      </c>
      <c r="J29" s="2">
        <v>0</v>
      </c>
      <c r="K29" s="2"/>
      <c r="L29" s="4"/>
      <c r="M29" s="2"/>
      <c r="N29" s="8">
        <f t="shared" si="0"/>
        <v>-40</v>
      </c>
      <c r="O29" s="2">
        <v>260</v>
      </c>
      <c r="P29" s="2"/>
      <c r="Q29" s="2">
        <v>80</v>
      </c>
      <c r="R29" s="19"/>
      <c r="S29" s="2"/>
      <c r="T29" s="2"/>
      <c r="U29" s="19"/>
      <c r="V29" s="2"/>
      <c r="W29" s="2"/>
      <c r="X29" s="2"/>
      <c r="Y29" s="2"/>
      <c r="Z29" s="7">
        <f t="shared" si="1"/>
        <v>22.8</v>
      </c>
      <c r="AA29" s="7">
        <v>100</v>
      </c>
      <c r="AB29" s="7">
        <v>0</v>
      </c>
      <c r="AC29" s="8">
        <f t="shared" si="2"/>
        <v>0</v>
      </c>
      <c r="AD29" s="8">
        <v>0</v>
      </c>
      <c r="AE29" s="8">
        <f t="shared" si="3"/>
        <v>0</v>
      </c>
      <c r="AF29" s="8">
        <f t="shared" si="4"/>
        <v>0</v>
      </c>
      <c r="AG29" s="8">
        <v>0</v>
      </c>
      <c r="AH29" s="8">
        <v>0</v>
      </c>
      <c r="AI29" s="8" t="s">
        <v>119</v>
      </c>
      <c r="AJ29" s="8" t="s">
        <v>121</v>
      </c>
      <c r="AQ29" s="1">
        <v>300</v>
      </c>
    </row>
    <row r="30" spans="2:43" x14ac:dyDescent="0.25">
      <c r="B30" s="2" t="s">
        <v>87</v>
      </c>
      <c r="C30" s="2" t="s">
        <v>88</v>
      </c>
      <c r="D30" s="2" t="s">
        <v>28</v>
      </c>
      <c r="E30" s="2" t="s">
        <v>17</v>
      </c>
      <c r="F30" s="2">
        <v>2.8000000000000001E-2</v>
      </c>
      <c r="G30" s="3">
        <v>4.2000000000000003E-2</v>
      </c>
      <c r="H30" s="2">
        <v>-445</v>
      </c>
      <c r="I30" s="2">
        <v>0</v>
      </c>
      <c r="J30" s="2">
        <v>0</v>
      </c>
      <c r="K30" s="2"/>
      <c r="L30" s="2"/>
      <c r="M30" s="2"/>
      <c r="N30" s="8">
        <f t="shared" si="0"/>
        <v>-445</v>
      </c>
      <c r="O30" s="2"/>
      <c r="P30" s="2"/>
      <c r="Q30" s="2"/>
      <c r="R30" s="19"/>
      <c r="S30" s="2"/>
      <c r="T30" s="2"/>
      <c r="U30" s="19"/>
      <c r="V30" s="2"/>
      <c r="W30" s="2"/>
      <c r="X30" s="2"/>
      <c r="Y30" s="2"/>
      <c r="Z30" s="7">
        <f t="shared" si="1"/>
        <v>-18.690000000000001</v>
      </c>
      <c r="AA30" s="7">
        <v>100</v>
      </c>
      <c r="AB30" s="7">
        <v>0</v>
      </c>
      <c r="AC30" s="8">
        <f t="shared" si="2"/>
        <v>0</v>
      </c>
      <c r="AD30" s="8">
        <v>0</v>
      </c>
      <c r="AE30" s="8">
        <f t="shared" si="3"/>
        <v>0</v>
      </c>
      <c r="AF30" s="8">
        <f t="shared" si="4"/>
        <v>0</v>
      </c>
      <c r="AG30" s="8">
        <v>0</v>
      </c>
      <c r="AH30" s="8">
        <v>0</v>
      </c>
      <c r="AI30" s="8" t="s">
        <v>119</v>
      </c>
      <c r="AJ30" s="8" t="s">
        <v>121</v>
      </c>
      <c r="AQ30" s="1">
        <v>-445</v>
      </c>
    </row>
    <row r="31" spans="2:43" x14ac:dyDescent="0.25">
      <c r="B31" s="2" t="s">
        <v>87</v>
      </c>
      <c r="C31" s="2" t="s">
        <v>88</v>
      </c>
      <c r="D31" s="2" t="s">
        <v>29</v>
      </c>
      <c r="E31" s="2" t="s">
        <v>17</v>
      </c>
      <c r="F31" s="2">
        <v>2.8000000000000001E-2</v>
      </c>
      <c r="G31" s="3">
        <v>0.105</v>
      </c>
      <c r="H31" s="2">
        <v>-83</v>
      </c>
      <c r="I31" s="2">
        <v>0</v>
      </c>
      <c r="J31" s="2">
        <v>0</v>
      </c>
      <c r="K31" s="2"/>
      <c r="L31" s="2"/>
      <c r="M31" s="2"/>
      <c r="N31" s="8">
        <f t="shared" si="0"/>
        <v>-393</v>
      </c>
      <c r="O31" s="2"/>
      <c r="P31" s="2">
        <v>310</v>
      </c>
      <c r="Q31" s="2"/>
      <c r="R31" s="19"/>
      <c r="S31" s="2"/>
      <c r="T31" s="2"/>
      <c r="U31" s="19"/>
      <c r="V31" s="2"/>
      <c r="W31" s="2"/>
      <c r="X31" s="2"/>
      <c r="Y31" s="2"/>
      <c r="Z31" s="7">
        <f t="shared" si="1"/>
        <v>-8.7149999999999999</v>
      </c>
      <c r="AA31" s="7">
        <v>100</v>
      </c>
      <c r="AB31" s="7">
        <v>0</v>
      </c>
      <c r="AC31" s="8">
        <f t="shared" si="2"/>
        <v>0</v>
      </c>
      <c r="AD31" s="8">
        <v>0</v>
      </c>
      <c r="AE31" s="8">
        <f t="shared" si="3"/>
        <v>0</v>
      </c>
      <c r="AF31" s="8">
        <f t="shared" si="4"/>
        <v>0</v>
      </c>
      <c r="AG31" s="8">
        <v>0</v>
      </c>
      <c r="AH31" s="8">
        <v>0</v>
      </c>
      <c r="AI31" s="8" t="s">
        <v>119</v>
      </c>
      <c r="AJ31" s="8" t="s">
        <v>121</v>
      </c>
      <c r="AQ31" s="1">
        <v>-83</v>
      </c>
    </row>
    <row r="32" spans="2:43" x14ac:dyDescent="0.25">
      <c r="B32" s="2" t="s">
        <v>87</v>
      </c>
      <c r="C32" s="2" t="s">
        <v>88</v>
      </c>
      <c r="D32" s="2" t="s">
        <v>30</v>
      </c>
      <c r="E32" s="2" t="s">
        <v>17</v>
      </c>
      <c r="F32" s="2">
        <v>2.8000000000000001E-2</v>
      </c>
      <c r="G32" s="3">
        <v>0.14299999999999999</v>
      </c>
      <c r="H32" s="2">
        <v>0</v>
      </c>
      <c r="I32" s="2">
        <v>0</v>
      </c>
      <c r="J32" s="2">
        <v>0</v>
      </c>
      <c r="K32" s="2"/>
      <c r="L32" s="2"/>
      <c r="M32" s="2"/>
      <c r="N32" s="8">
        <f t="shared" si="0"/>
        <v>0</v>
      </c>
      <c r="O32" s="2"/>
      <c r="P32" s="2"/>
      <c r="Q32" s="2"/>
      <c r="R32" s="19"/>
      <c r="S32" s="2"/>
      <c r="T32" s="2"/>
      <c r="U32" s="19"/>
      <c r="V32" s="2"/>
      <c r="W32" s="2"/>
      <c r="X32" s="2"/>
      <c r="Y32" s="2"/>
      <c r="Z32" s="7">
        <f t="shared" si="1"/>
        <v>0</v>
      </c>
      <c r="AA32" s="7">
        <v>100</v>
      </c>
      <c r="AB32" s="7">
        <v>0</v>
      </c>
      <c r="AC32" s="8">
        <f t="shared" si="2"/>
        <v>0</v>
      </c>
      <c r="AD32" s="8">
        <v>0</v>
      </c>
      <c r="AE32" s="8">
        <f t="shared" si="3"/>
        <v>0</v>
      </c>
      <c r="AF32" s="8">
        <f t="shared" si="4"/>
        <v>0</v>
      </c>
      <c r="AG32" s="8">
        <v>0</v>
      </c>
      <c r="AH32" s="8">
        <v>0</v>
      </c>
      <c r="AI32" s="8" t="s">
        <v>119</v>
      </c>
      <c r="AJ32" s="8" t="s">
        <v>121</v>
      </c>
      <c r="AQ32" s="1">
        <v>0</v>
      </c>
    </row>
    <row r="33" spans="2:43" x14ac:dyDescent="0.25">
      <c r="B33" s="2" t="s">
        <v>87</v>
      </c>
      <c r="C33" s="2" t="s">
        <v>88</v>
      </c>
      <c r="D33" s="2" t="s">
        <v>31</v>
      </c>
      <c r="E33" s="2" t="s">
        <v>17</v>
      </c>
      <c r="F33" s="2">
        <v>2.8000000000000001E-2</v>
      </c>
      <c r="G33" s="3">
        <v>4.5999999999999999E-2</v>
      </c>
      <c r="H33" s="2">
        <v>300</v>
      </c>
      <c r="I33" s="2">
        <v>0</v>
      </c>
      <c r="J33" s="2">
        <v>0</v>
      </c>
      <c r="K33" s="2"/>
      <c r="L33" s="2"/>
      <c r="M33" s="2"/>
      <c r="N33" s="8">
        <f t="shared" si="0"/>
        <v>-230</v>
      </c>
      <c r="O33" s="2">
        <v>300</v>
      </c>
      <c r="P33" s="2"/>
      <c r="Q33" s="2">
        <v>230</v>
      </c>
      <c r="R33" s="19"/>
      <c r="S33" s="2"/>
      <c r="T33" s="2"/>
      <c r="U33" s="19"/>
      <c r="V33" s="2"/>
      <c r="W33" s="2"/>
      <c r="X33" s="2"/>
      <c r="Y33" s="2"/>
      <c r="Z33" s="7">
        <f t="shared" si="1"/>
        <v>13.799999999999999</v>
      </c>
      <c r="AA33" s="7">
        <v>100</v>
      </c>
      <c r="AB33" s="7">
        <v>0</v>
      </c>
      <c r="AC33" s="8">
        <f t="shared" si="2"/>
        <v>0</v>
      </c>
      <c r="AD33" s="8">
        <v>0</v>
      </c>
      <c r="AE33" s="8">
        <f t="shared" si="3"/>
        <v>0</v>
      </c>
      <c r="AF33" s="8">
        <f t="shared" si="4"/>
        <v>0</v>
      </c>
      <c r="AG33" s="8">
        <v>0</v>
      </c>
      <c r="AH33" s="8">
        <v>0</v>
      </c>
      <c r="AI33" s="8" t="s">
        <v>119</v>
      </c>
      <c r="AJ33" s="8" t="s">
        <v>121</v>
      </c>
      <c r="AQ33" s="1">
        <v>300</v>
      </c>
    </row>
    <row r="34" spans="2:43" x14ac:dyDescent="0.25">
      <c r="B34" s="2" t="s">
        <v>87</v>
      </c>
      <c r="C34" s="2" t="s">
        <v>88</v>
      </c>
      <c r="D34" s="2" t="s">
        <v>32</v>
      </c>
      <c r="E34" s="2" t="s">
        <v>17</v>
      </c>
      <c r="F34" s="2">
        <v>2.8000000000000001E-2</v>
      </c>
      <c r="G34" s="3">
        <v>0.129</v>
      </c>
      <c r="H34" s="2">
        <v>500</v>
      </c>
      <c r="I34" s="2">
        <v>0</v>
      </c>
      <c r="J34" s="2">
        <v>0</v>
      </c>
      <c r="K34" s="2"/>
      <c r="L34" s="2"/>
      <c r="M34" s="2"/>
      <c r="N34" s="8">
        <f t="shared" si="0"/>
        <v>79</v>
      </c>
      <c r="O34" s="2"/>
      <c r="P34" s="2"/>
      <c r="Q34" s="2"/>
      <c r="R34" s="19">
        <v>421</v>
      </c>
      <c r="S34" s="2"/>
      <c r="T34" s="2"/>
      <c r="U34" s="19"/>
      <c r="V34" s="2"/>
      <c r="W34" s="2"/>
      <c r="X34" s="2"/>
      <c r="Y34" s="2"/>
      <c r="Z34" s="7">
        <f t="shared" si="1"/>
        <v>64.5</v>
      </c>
      <c r="AA34" s="7">
        <v>100</v>
      </c>
      <c r="AB34" s="7">
        <v>0</v>
      </c>
      <c r="AC34" s="8">
        <f t="shared" si="2"/>
        <v>0</v>
      </c>
      <c r="AD34" s="8">
        <v>0</v>
      </c>
      <c r="AE34" s="8">
        <f t="shared" si="3"/>
        <v>0</v>
      </c>
      <c r="AF34" s="8">
        <f t="shared" si="4"/>
        <v>0</v>
      </c>
      <c r="AG34" s="8">
        <v>0</v>
      </c>
      <c r="AH34" s="8">
        <v>0</v>
      </c>
      <c r="AI34" s="8" t="s">
        <v>119</v>
      </c>
      <c r="AJ34" s="8" t="s">
        <v>121</v>
      </c>
      <c r="AQ34" s="1">
        <v>500</v>
      </c>
    </row>
    <row r="35" spans="2:43" x14ac:dyDescent="0.25">
      <c r="B35" s="2" t="s">
        <v>87</v>
      </c>
      <c r="C35" s="2" t="s">
        <v>88</v>
      </c>
      <c r="D35" s="2" t="s">
        <v>33</v>
      </c>
      <c r="E35" s="2" t="s">
        <v>17</v>
      </c>
      <c r="F35" s="2">
        <v>2.8000000000000001E-2</v>
      </c>
      <c r="G35" s="3">
        <v>0.13400000000000001</v>
      </c>
      <c r="H35" s="2">
        <v>300</v>
      </c>
      <c r="I35" s="2">
        <v>0</v>
      </c>
      <c r="J35" s="2">
        <v>0</v>
      </c>
      <c r="K35" s="2"/>
      <c r="L35" s="2"/>
      <c r="M35" s="2"/>
      <c r="N35" s="8">
        <f t="shared" si="0"/>
        <v>-10</v>
      </c>
      <c r="O35" s="2"/>
      <c r="P35" s="2"/>
      <c r="Q35" s="2"/>
      <c r="R35" s="19"/>
      <c r="S35" s="2">
        <v>310</v>
      </c>
      <c r="T35" s="2"/>
      <c r="U35" s="19"/>
      <c r="V35" s="2"/>
      <c r="W35" s="2"/>
      <c r="X35" s="2"/>
      <c r="Y35" s="2"/>
      <c r="Z35" s="7">
        <f t="shared" si="1"/>
        <v>40.200000000000003</v>
      </c>
      <c r="AA35" s="7">
        <v>100</v>
      </c>
      <c r="AB35" s="7">
        <v>0</v>
      </c>
      <c r="AC35" s="8">
        <f t="shared" si="2"/>
        <v>0</v>
      </c>
      <c r="AD35" s="8">
        <v>0</v>
      </c>
      <c r="AE35" s="8">
        <f t="shared" si="3"/>
        <v>0</v>
      </c>
      <c r="AF35" s="8">
        <f t="shared" si="4"/>
        <v>0</v>
      </c>
      <c r="AG35" s="8">
        <v>0</v>
      </c>
      <c r="AH35" s="8">
        <v>0</v>
      </c>
      <c r="AI35" s="8" t="s">
        <v>119</v>
      </c>
      <c r="AJ35" s="8" t="s">
        <v>121</v>
      </c>
      <c r="AQ35" s="1">
        <v>300</v>
      </c>
    </row>
    <row r="36" spans="2:43" x14ac:dyDescent="0.25">
      <c r="B36" s="2" t="s">
        <v>87</v>
      </c>
      <c r="C36" s="2" t="s">
        <v>88</v>
      </c>
      <c r="D36" s="2" t="s">
        <v>34</v>
      </c>
      <c r="E36" s="2" t="s">
        <v>17</v>
      </c>
      <c r="F36" s="2">
        <v>2.8000000000000001E-2</v>
      </c>
      <c r="G36" s="3">
        <v>0.105</v>
      </c>
      <c r="H36" s="2">
        <v>0</v>
      </c>
      <c r="I36" s="2">
        <v>0</v>
      </c>
      <c r="J36" s="2">
        <v>0</v>
      </c>
      <c r="K36" s="2"/>
      <c r="L36" s="2"/>
      <c r="M36" s="2"/>
      <c r="N36" s="8">
        <f t="shared" si="0"/>
        <v>0</v>
      </c>
      <c r="O36" s="2"/>
      <c r="P36" s="2"/>
      <c r="Q36" s="2"/>
      <c r="R36" s="19"/>
      <c r="S36" s="2"/>
      <c r="T36" s="2"/>
      <c r="U36" s="19"/>
      <c r="V36" s="2"/>
      <c r="W36" s="2"/>
      <c r="X36" s="2"/>
      <c r="Y36" s="2"/>
      <c r="Z36" s="7">
        <f t="shared" si="1"/>
        <v>0</v>
      </c>
      <c r="AA36" s="7">
        <v>100</v>
      </c>
      <c r="AB36" s="7">
        <v>0</v>
      </c>
      <c r="AC36" s="8">
        <f t="shared" si="2"/>
        <v>0</v>
      </c>
      <c r="AD36" s="8">
        <v>0</v>
      </c>
      <c r="AE36" s="8">
        <f t="shared" si="3"/>
        <v>0</v>
      </c>
      <c r="AF36" s="8">
        <f t="shared" si="4"/>
        <v>0</v>
      </c>
      <c r="AG36" s="8">
        <v>0</v>
      </c>
      <c r="AH36" s="8">
        <v>0</v>
      </c>
      <c r="AI36" s="8" t="s">
        <v>119</v>
      </c>
      <c r="AJ36" s="8" t="s">
        <v>121</v>
      </c>
      <c r="AQ36" s="1">
        <v>0</v>
      </c>
    </row>
    <row r="37" spans="2:43" x14ac:dyDescent="0.25">
      <c r="B37" s="2" t="s">
        <v>87</v>
      </c>
      <c r="C37" s="2" t="s">
        <v>88</v>
      </c>
      <c r="D37" s="2" t="s">
        <v>35</v>
      </c>
      <c r="E37" s="2" t="s">
        <v>17</v>
      </c>
      <c r="F37" s="2">
        <v>2.8000000000000001E-2</v>
      </c>
      <c r="G37" s="3">
        <v>9.9000000000000005E-2</v>
      </c>
      <c r="H37" s="2">
        <v>300</v>
      </c>
      <c r="I37" s="2">
        <v>0</v>
      </c>
      <c r="J37" s="2">
        <v>0</v>
      </c>
      <c r="K37" s="2"/>
      <c r="L37" s="2"/>
      <c r="M37" s="2"/>
      <c r="N37" s="8">
        <f t="shared" si="0"/>
        <v>-55</v>
      </c>
      <c r="O37" s="2"/>
      <c r="P37" s="2"/>
      <c r="Q37" s="2">
        <v>355</v>
      </c>
      <c r="R37" s="19"/>
      <c r="S37" s="2"/>
      <c r="T37" s="2"/>
      <c r="U37" s="19"/>
      <c r="V37" s="2"/>
      <c r="W37" s="2"/>
      <c r="X37" s="2"/>
      <c r="Y37" s="2"/>
      <c r="Z37" s="7">
        <f t="shared" si="1"/>
        <v>29.700000000000003</v>
      </c>
      <c r="AA37" s="7">
        <v>100</v>
      </c>
      <c r="AB37" s="7">
        <v>0</v>
      </c>
      <c r="AC37" s="8">
        <f t="shared" si="2"/>
        <v>0</v>
      </c>
      <c r="AD37" s="8">
        <v>0</v>
      </c>
      <c r="AE37" s="8">
        <f t="shared" si="3"/>
        <v>0</v>
      </c>
      <c r="AF37" s="8">
        <f t="shared" si="4"/>
        <v>0</v>
      </c>
      <c r="AG37" s="8">
        <v>0</v>
      </c>
      <c r="AH37" s="8">
        <v>0</v>
      </c>
      <c r="AI37" s="8" t="s">
        <v>119</v>
      </c>
      <c r="AJ37" s="8" t="s">
        <v>121</v>
      </c>
      <c r="AQ37" s="1">
        <v>300</v>
      </c>
    </row>
    <row r="38" spans="2:43" x14ac:dyDescent="0.25">
      <c r="B38" s="2" t="s">
        <v>87</v>
      </c>
      <c r="C38" s="2" t="s">
        <v>88</v>
      </c>
      <c r="D38" s="2" t="s">
        <v>36</v>
      </c>
      <c r="E38" s="2" t="s">
        <v>17</v>
      </c>
      <c r="F38" s="2">
        <v>2.8000000000000001E-2</v>
      </c>
      <c r="G38" s="3">
        <v>0.13100000000000001</v>
      </c>
      <c r="H38" s="2">
        <v>0</v>
      </c>
      <c r="I38" s="2">
        <v>0</v>
      </c>
      <c r="J38" s="2">
        <v>0</v>
      </c>
      <c r="K38" s="2"/>
      <c r="L38" s="2"/>
      <c r="M38" s="2"/>
      <c r="N38" s="8">
        <f t="shared" ref="N38:N69" si="5">+H38+I38+J38+K38+L38+M38-SUM(O38:Y38)</f>
        <v>0</v>
      </c>
      <c r="O38" s="2"/>
      <c r="P38" s="2"/>
      <c r="Q38" s="2"/>
      <c r="R38" s="19"/>
      <c r="S38" s="2"/>
      <c r="T38" s="2"/>
      <c r="U38" s="19"/>
      <c r="V38" s="2"/>
      <c r="W38" s="2"/>
      <c r="X38" s="2"/>
      <c r="Y38" s="2"/>
      <c r="Z38" s="7">
        <f t="shared" ref="Z38:Z69" si="6">+G38*SUM(H38:M38)</f>
        <v>0</v>
      </c>
      <c r="AA38" s="7">
        <v>100</v>
      </c>
      <c r="AB38" s="7">
        <v>0</v>
      </c>
      <c r="AC38" s="8">
        <f t="shared" ref="AC38:AC69" si="7">+H38*AB38</f>
        <v>0</v>
      </c>
      <c r="AD38" s="8">
        <v>0</v>
      </c>
      <c r="AE38" s="8">
        <f t="shared" ref="AE38:AE69" si="8">+H38*AD38</f>
        <v>0</v>
      </c>
      <c r="AF38" s="8">
        <f t="shared" si="4"/>
        <v>0</v>
      </c>
      <c r="AG38" s="8">
        <v>0</v>
      </c>
      <c r="AH38" s="8">
        <v>0</v>
      </c>
      <c r="AI38" s="8" t="s">
        <v>119</v>
      </c>
      <c r="AJ38" s="8" t="s">
        <v>121</v>
      </c>
      <c r="AQ38" s="1">
        <v>0</v>
      </c>
    </row>
    <row r="39" spans="2:43" x14ac:dyDescent="0.25">
      <c r="B39" s="2" t="s">
        <v>87</v>
      </c>
      <c r="C39" s="2" t="s">
        <v>88</v>
      </c>
      <c r="D39" s="2" t="s">
        <v>37</v>
      </c>
      <c r="E39" s="2" t="s">
        <v>17</v>
      </c>
      <c r="F39" s="2">
        <v>2.8000000000000001E-2</v>
      </c>
      <c r="G39" s="3">
        <v>9.4E-2</v>
      </c>
      <c r="H39" s="2">
        <v>0</v>
      </c>
      <c r="I39" s="2">
        <v>0</v>
      </c>
      <c r="J39" s="2">
        <v>0</v>
      </c>
      <c r="K39" s="2"/>
      <c r="L39" s="2"/>
      <c r="M39" s="2"/>
      <c r="N39" s="8">
        <f t="shared" si="5"/>
        <v>0</v>
      </c>
      <c r="O39" s="2"/>
      <c r="P39" s="2"/>
      <c r="Q39" s="2"/>
      <c r="R39" s="19"/>
      <c r="S39" s="2"/>
      <c r="T39" s="2"/>
      <c r="U39" s="19"/>
      <c r="V39" s="2"/>
      <c r="W39" s="2"/>
      <c r="X39" s="2"/>
      <c r="Y39" s="2"/>
      <c r="Z39" s="7">
        <f t="shared" si="6"/>
        <v>0</v>
      </c>
      <c r="AA39" s="7">
        <v>100</v>
      </c>
      <c r="AB39" s="7">
        <v>0</v>
      </c>
      <c r="AC39" s="8">
        <f t="shared" si="7"/>
        <v>0</v>
      </c>
      <c r="AD39" s="8">
        <v>0</v>
      </c>
      <c r="AE39" s="8">
        <f t="shared" si="8"/>
        <v>0</v>
      </c>
      <c r="AF39" s="8">
        <f t="shared" si="4"/>
        <v>0</v>
      </c>
      <c r="AG39" s="8">
        <v>0</v>
      </c>
      <c r="AH39" s="8">
        <v>0</v>
      </c>
      <c r="AI39" s="8" t="s">
        <v>119</v>
      </c>
      <c r="AJ39" s="8" t="s">
        <v>121</v>
      </c>
      <c r="AQ39" s="1">
        <v>0</v>
      </c>
    </row>
    <row r="40" spans="2:43" x14ac:dyDescent="0.25">
      <c r="B40" s="2" t="s">
        <v>87</v>
      </c>
      <c r="C40" s="2" t="s">
        <v>88</v>
      </c>
      <c r="D40" s="2" t="s">
        <v>38</v>
      </c>
      <c r="E40" s="2" t="s">
        <v>17</v>
      </c>
      <c r="F40" s="2">
        <v>2.8000000000000001E-2</v>
      </c>
      <c r="G40" s="3">
        <v>0.122</v>
      </c>
      <c r="H40" s="2">
        <v>0</v>
      </c>
      <c r="I40" s="2">
        <v>0</v>
      </c>
      <c r="J40" s="2">
        <v>0</v>
      </c>
      <c r="K40" s="2"/>
      <c r="L40" s="2"/>
      <c r="M40" s="2"/>
      <c r="N40" s="8">
        <f t="shared" si="5"/>
        <v>0</v>
      </c>
      <c r="O40" s="2"/>
      <c r="P40" s="2"/>
      <c r="Q40" s="2"/>
      <c r="R40" s="19"/>
      <c r="S40" s="2"/>
      <c r="T40" s="2"/>
      <c r="U40" s="19"/>
      <c r="V40" s="2"/>
      <c r="W40" s="2"/>
      <c r="X40" s="2"/>
      <c r="Y40" s="2"/>
      <c r="Z40" s="7">
        <f t="shared" si="6"/>
        <v>0</v>
      </c>
      <c r="AA40" s="7">
        <v>100</v>
      </c>
      <c r="AB40" s="7">
        <v>0</v>
      </c>
      <c r="AC40" s="8">
        <f t="shared" si="7"/>
        <v>0</v>
      </c>
      <c r="AD40" s="8">
        <v>0</v>
      </c>
      <c r="AE40" s="8">
        <f t="shared" si="8"/>
        <v>0</v>
      </c>
      <c r="AF40" s="8">
        <f t="shared" si="4"/>
        <v>0</v>
      </c>
      <c r="AG40" s="8">
        <v>0</v>
      </c>
      <c r="AH40" s="8">
        <v>0</v>
      </c>
      <c r="AI40" s="8" t="s">
        <v>119</v>
      </c>
      <c r="AJ40" s="8" t="s">
        <v>121</v>
      </c>
      <c r="AQ40" s="1">
        <v>0</v>
      </c>
    </row>
    <row r="41" spans="2:43" x14ac:dyDescent="0.25">
      <c r="B41" s="2" t="s">
        <v>87</v>
      </c>
      <c r="C41" s="2" t="s">
        <v>88</v>
      </c>
      <c r="D41" s="2" t="s">
        <v>39</v>
      </c>
      <c r="E41" s="2" t="s">
        <v>17</v>
      </c>
      <c r="F41" s="2">
        <v>2.8000000000000001E-2</v>
      </c>
      <c r="G41" s="3">
        <v>0.10100000000000001</v>
      </c>
      <c r="H41" s="2">
        <v>0</v>
      </c>
      <c r="I41" s="2">
        <v>0</v>
      </c>
      <c r="J41" s="2">
        <v>0</v>
      </c>
      <c r="K41" s="2"/>
      <c r="L41" s="2"/>
      <c r="M41" s="2"/>
      <c r="N41" s="8">
        <f t="shared" si="5"/>
        <v>0</v>
      </c>
      <c r="O41" s="2"/>
      <c r="P41" s="2"/>
      <c r="Q41" s="2"/>
      <c r="R41" s="19"/>
      <c r="S41" s="2"/>
      <c r="T41" s="2"/>
      <c r="U41" s="19"/>
      <c r="V41" s="2"/>
      <c r="W41" s="2"/>
      <c r="X41" s="2"/>
      <c r="Y41" s="2"/>
      <c r="Z41" s="7">
        <f t="shared" si="6"/>
        <v>0</v>
      </c>
      <c r="AA41" s="7">
        <v>100</v>
      </c>
      <c r="AB41" s="7">
        <v>0</v>
      </c>
      <c r="AC41" s="8">
        <f t="shared" si="7"/>
        <v>0</v>
      </c>
      <c r="AD41" s="8">
        <v>0</v>
      </c>
      <c r="AE41" s="8">
        <f t="shared" si="8"/>
        <v>0</v>
      </c>
      <c r="AF41" s="8">
        <f t="shared" si="4"/>
        <v>0</v>
      </c>
      <c r="AG41" s="8">
        <v>0</v>
      </c>
      <c r="AH41" s="8">
        <v>0</v>
      </c>
      <c r="AI41" s="8" t="s">
        <v>119</v>
      </c>
      <c r="AJ41" s="8" t="s">
        <v>121</v>
      </c>
      <c r="AQ41" s="1">
        <v>0</v>
      </c>
    </row>
    <row r="42" spans="2:43" x14ac:dyDescent="0.25">
      <c r="B42" s="2" t="s">
        <v>87</v>
      </c>
      <c r="C42" s="2" t="s">
        <v>88</v>
      </c>
      <c r="D42" s="2" t="s">
        <v>40</v>
      </c>
      <c r="E42" s="2" t="s">
        <v>17</v>
      </c>
      <c r="F42" s="2">
        <v>2.8000000000000001E-2</v>
      </c>
      <c r="G42" s="3">
        <v>0.11899999999999999</v>
      </c>
      <c r="H42" s="2">
        <v>0</v>
      </c>
      <c r="I42" s="2">
        <v>0</v>
      </c>
      <c r="J42" s="2">
        <v>0</v>
      </c>
      <c r="K42" s="2"/>
      <c r="L42" s="2"/>
      <c r="M42" s="2"/>
      <c r="N42" s="8">
        <f t="shared" si="5"/>
        <v>0</v>
      </c>
      <c r="O42" s="2"/>
      <c r="P42" s="2"/>
      <c r="Q42" s="2"/>
      <c r="R42" s="19"/>
      <c r="S42" s="2"/>
      <c r="T42" s="2"/>
      <c r="U42" s="19"/>
      <c r="V42" s="2"/>
      <c r="W42" s="2"/>
      <c r="X42" s="2"/>
      <c r="Y42" s="2"/>
      <c r="Z42" s="7">
        <f t="shared" si="6"/>
        <v>0</v>
      </c>
      <c r="AA42" s="7">
        <v>100</v>
      </c>
      <c r="AB42" s="7">
        <v>0</v>
      </c>
      <c r="AC42" s="8">
        <f t="shared" si="7"/>
        <v>0</v>
      </c>
      <c r="AD42" s="8">
        <v>0</v>
      </c>
      <c r="AE42" s="8">
        <f t="shared" si="8"/>
        <v>0</v>
      </c>
      <c r="AF42" s="8">
        <f t="shared" si="4"/>
        <v>0</v>
      </c>
      <c r="AG42" s="8">
        <v>0</v>
      </c>
      <c r="AH42" s="8">
        <v>0</v>
      </c>
      <c r="AI42" s="8" t="s">
        <v>119</v>
      </c>
      <c r="AJ42" s="8" t="s">
        <v>121</v>
      </c>
      <c r="AQ42" s="1">
        <v>0</v>
      </c>
    </row>
    <row r="43" spans="2:43" x14ac:dyDescent="0.25">
      <c r="B43" s="2" t="s">
        <v>87</v>
      </c>
      <c r="C43" s="2" t="s">
        <v>88</v>
      </c>
      <c r="D43" s="2" t="s">
        <v>41</v>
      </c>
      <c r="E43" s="2" t="s">
        <v>17</v>
      </c>
      <c r="F43" s="2">
        <v>2.8000000000000001E-2</v>
      </c>
      <c r="G43" s="3">
        <v>0.121</v>
      </c>
      <c r="H43" s="2">
        <v>0</v>
      </c>
      <c r="I43" s="2">
        <v>0</v>
      </c>
      <c r="J43" s="2">
        <v>300</v>
      </c>
      <c r="K43" s="2"/>
      <c r="L43" s="2"/>
      <c r="M43" s="2"/>
      <c r="N43" s="8">
        <f t="shared" si="5"/>
        <v>0</v>
      </c>
      <c r="O43" s="2"/>
      <c r="P43" s="2"/>
      <c r="Q43" s="2"/>
      <c r="R43" s="19"/>
      <c r="S43" s="2"/>
      <c r="T43" s="2"/>
      <c r="U43" s="19">
        <v>300</v>
      </c>
      <c r="V43" s="2"/>
      <c r="W43" s="2"/>
      <c r="X43" s="2"/>
      <c r="Y43" s="2"/>
      <c r="Z43" s="7">
        <f t="shared" si="6"/>
        <v>36.299999999999997</v>
      </c>
      <c r="AA43" s="7">
        <v>100</v>
      </c>
      <c r="AB43" s="7">
        <v>0</v>
      </c>
      <c r="AC43" s="8">
        <f t="shared" si="7"/>
        <v>0</v>
      </c>
      <c r="AD43" s="8">
        <v>0</v>
      </c>
      <c r="AE43" s="8">
        <f t="shared" si="8"/>
        <v>0</v>
      </c>
      <c r="AF43" s="8">
        <f t="shared" si="4"/>
        <v>0</v>
      </c>
      <c r="AG43" s="8">
        <v>0</v>
      </c>
      <c r="AH43" s="8">
        <v>0</v>
      </c>
      <c r="AI43" s="8" t="s">
        <v>119</v>
      </c>
      <c r="AJ43" s="8" t="s">
        <v>121</v>
      </c>
      <c r="AQ43" s="1">
        <v>0</v>
      </c>
    </row>
    <row r="44" spans="2:43" x14ac:dyDescent="0.25">
      <c r="B44" s="2" t="s">
        <v>87</v>
      </c>
      <c r="C44" s="2" t="s">
        <v>88</v>
      </c>
      <c r="D44" s="2" t="s">
        <v>42</v>
      </c>
      <c r="E44" s="2" t="s">
        <v>17</v>
      </c>
      <c r="F44" s="2">
        <v>2.8000000000000001E-2</v>
      </c>
      <c r="G44" s="3">
        <v>0.127</v>
      </c>
      <c r="H44" s="2">
        <v>0</v>
      </c>
      <c r="I44" s="2">
        <v>0</v>
      </c>
      <c r="J44" s="2">
        <v>0</v>
      </c>
      <c r="K44" s="2"/>
      <c r="L44" s="2"/>
      <c r="M44" s="2"/>
      <c r="N44" s="8">
        <f t="shared" si="5"/>
        <v>0</v>
      </c>
      <c r="O44" s="2"/>
      <c r="P44" s="2"/>
      <c r="Q44" s="2"/>
      <c r="R44" s="19"/>
      <c r="S44" s="2"/>
      <c r="T44" s="2"/>
      <c r="U44" s="19"/>
      <c r="V44" s="2"/>
      <c r="W44" s="2"/>
      <c r="X44" s="2"/>
      <c r="Y44" s="2"/>
      <c r="Z44" s="7">
        <f t="shared" si="6"/>
        <v>0</v>
      </c>
      <c r="AA44" s="7">
        <v>100</v>
      </c>
      <c r="AB44" s="7">
        <v>0</v>
      </c>
      <c r="AC44" s="8">
        <f t="shared" si="7"/>
        <v>0</v>
      </c>
      <c r="AD44" s="8">
        <v>0</v>
      </c>
      <c r="AE44" s="8">
        <f t="shared" si="8"/>
        <v>0</v>
      </c>
      <c r="AF44" s="8">
        <f t="shared" si="4"/>
        <v>0</v>
      </c>
      <c r="AG44" s="8">
        <v>0</v>
      </c>
      <c r="AH44" s="8">
        <v>0</v>
      </c>
      <c r="AI44" s="8" t="s">
        <v>119</v>
      </c>
      <c r="AJ44" s="8" t="s">
        <v>121</v>
      </c>
      <c r="AQ44" s="1">
        <v>0</v>
      </c>
    </row>
    <row r="45" spans="2:43" x14ac:dyDescent="0.25">
      <c r="B45" s="2" t="s">
        <v>87</v>
      </c>
      <c r="C45" s="2" t="s">
        <v>88</v>
      </c>
      <c r="D45" s="2" t="s">
        <v>43</v>
      </c>
      <c r="E45" s="2" t="s">
        <v>17</v>
      </c>
      <c r="F45" s="2">
        <v>2.8000000000000001E-2</v>
      </c>
      <c r="G45" s="3">
        <v>0.10299999999999999</v>
      </c>
      <c r="H45" s="2">
        <v>328</v>
      </c>
      <c r="I45" s="2">
        <v>0</v>
      </c>
      <c r="J45" s="2">
        <v>200</v>
      </c>
      <c r="K45" s="2"/>
      <c r="L45" s="2"/>
      <c r="M45" s="2"/>
      <c r="N45" s="8">
        <f t="shared" si="5"/>
        <v>134</v>
      </c>
      <c r="O45" s="2"/>
      <c r="P45" s="2"/>
      <c r="Q45" s="2">
        <v>394</v>
      </c>
      <c r="R45" s="19"/>
      <c r="S45" s="2"/>
      <c r="T45" s="2"/>
      <c r="U45" s="19"/>
      <c r="V45" s="2"/>
      <c r="W45" s="2"/>
      <c r="X45" s="2"/>
      <c r="Y45" s="2"/>
      <c r="Z45" s="7">
        <f t="shared" si="6"/>
        <v>54.384</v>
      </c>
      <c r="AA45" s="7">
        <v>100</v>
      </c>
      <c r="AB45" s="7">
        <v>0</v>
      </c>
      <c r="AC45" s="8">
        <f t="shared" si="7"/>
        <v>0</v>
      </c>
      <c r="AD45" s="8">
        <v>0</v>
      </c>
      <c r="AE45" s="8">
        <f t="shared" si="8"/>
        <v>0</v>
      </c>
      <c r="AF45" s="8">
        <f t="shared" si="4"/>
        <v>0</v>
      </c>
      <c r="AG45" s="8">
        <v>0</v>
      </c>
      <c r="AH45" s="8">
        <v>0</v>
      </c>
      <c r="AI45" s="8" t="s">
        <v>119</v>
      </c>
      <c r="AJ45" s="8" t="s">
        <v>121</v>
      </c>
      <c r="AQ45" s="1">
        <v>328</v>
      </c>
    </row>
    <row r="46" spans="2:43" x14ac:dyDescent="0.25">
      <c r="B46" s="2" t="s">
        <v>87</v>
      </c>
      <c r="C46" s="2" t="s">
        <v>88</v>
      </c>
      <c r="D46" s="2" t="s">
        <v>44</v>
      </c>
      <c r="E46" s="2" t="s">
        <v>17</v>
      </c>
      <c r="F46" s="2">
        <v>2.8000000000000001E-2</v>
      </c>
      <c r="G46" s="3">
        <v>0.23799999999999999</v>
      </c>
      <c r="H46" s="2">
        <v>400</v>
      </c>
      <c r="I46" s="2">
        <v>0</v>
      </c>
      <c r="J46" s="2">
        <v>0</v>
      </c>
      <c r="K46" s="2"/>
      <c r="L46" s="2"/>
      <c r="M46" s="2"/>
      <c r="N46" s="8">
        <f t="shared" si="5"/>
        <v>0</v>
      </c>
      <c r="O46" s="2"/>
      <c r="P46" s="2"/>
      <c r="Q46" s="2"/>
      <c r="R46" s="19"/>
      <c r="S46" s="2">
        <v>250</v>
      </c>
      <c r="T46" s="2"/>
      <c r="U46" s="19">
        <v>150</v>
      </c>
      <c r="V46" s="2"/>
      <c r="W46" s="2"/>
      <c r="X46" s="2"/>
      <c r="Y46" s="2"/>
      <c r="Z46" s="7">
        <f t="shared" si="6"/>
        <v>95.199999999999989</v>
      </c>
      <c r="AA46" s="7">
        <v>100</v>
      </c>
      <c r="AB46" s="7">
        <v>0</v>
      </c>
      <c r="AC46" s="8">
        <f t="shared" si="7"/>
        <v>0</v>
      </c>
      <c r="AD46" s="8">
        <v>0</v>
      </c>
      <c r="AE46" s="8">
        <f t="shared" si="8"/>
        <v>0</v>
      </c>
      <c r="AF46" s="8">
        <f t="shared" si="4"/>
        <v>0</v>
      </c>
      <c r="AG46" s="8">
        <v>0</v>
      </c>
      <c r="AH46" s="8">
        <v>0</v>
      </c>
      <c r="AI46" s="8" t="s">
        <v>119</v>
      </c>
      <c r="AJ46" s="8" t="s">
        <v>121</v>
      </c>
      <c r="AQ46" s="1">
        <v>400</v>
      </c>
    </row>
    <row r="47" spans="2:43" x14ac:dyDescent="0.25">
      <c r="B47" s="2" t="s">
        <v>87</v>
      </c>
      <c r="C47" s="2" t="s">
        <v>88</v>
      </c>
      <c r="D47" s="2" t="s">
        <v>45</v>
      </c>
      <c r="E47" s="2" t="s">
        <v>17</v>
      </c>
      <c r="F47" s="2">
        <v>2.8000000000000001E-2</v>
      </c>
      <c r="G47" s="3">
        <v>0.10100000000000001</v>
      </c>
      <c r="H47" s="2">
        <v>-1493</v>
      </c>
      <c r="I47" s="2">
        <v>0</v>
      </c>
      <c r="J47" s="2">
        <v>0</v>
      </c>
      <c r="K47" s="2"/>
      <c r="L47" s="2"/>
      <c r="M47" s="2"/>
      <c r="N47" s="8">
        <f t="shared" si="5"/>
        <v>-1493</v>
      </c>
      <c r="O47" s="2"/>
      <c r="P47" s="2"/>
      <c r="Q47" s="2"/>
      <c r="R47" s="19"/>
      <c r="S47" s="2"/>
      <c r="T47" s="2"/>
      <c r="U47" s="19"/>
      <c r="V47" s="2"/>
      <c r="W47" s="2"/>
      <c r="X47" s="2"/>
      <c r="Y47" s="2"/>
      <c r="Z47" s="7">
        <f t="shared" si="6"/>
        <v>-150.79300000000001</v>
      </c>
      <c r="AA47" s="7">
        <v>100</v>
      </c>
      <c r="AB47" s="7">
        <v>0</v>
      </c>
      <c r="AC47" s="8">
        <f t="shared" si="7"/>
        <v>0</v>
      </c>
      <c r="AD47" s="8">
        <v>0</v>
      </c>
      <c r="AE47" s="8">
        <f t="shared" si="8"/>
        <v>0</v>
      </c>
      <c r="AF47" s="8">
        <f t="shared" si="4"/>
        <v>0</v>
      </c>
      <c r="AG47" s="8">
        <v>0</v>
      </c>
      <c r="AH47" s="8">
        <v>0</v>
      </c>
      <c r="AI47" s="8" t="s">
        <v>119</v>
      </c>
      <c r="AJ47" s="8" t="s">
        <v>121</v>
      </c>
      <c r="AQ47" s="1">
        <v>-1493</v>
      </c>
    </row>
    <row r="48" spans="2:43" x14ac:dyDescent="0.25">
      <c r="B48" s="2" t="s">
        <v>87</v>
      </c>
      <c r="C48" s="2" t="s">
        <v>88</v>
      </c>
      <c r="D48" s="2" t="s">
        <v>46</v>
      </c>
      <c r="E48" s="2" t="s">
        <v>17</v>
      </c>
      <c r="F48" s="2">
        <v>2.8000000000000001E-2</v>
      </c>
      <c r="G48" s="3">
        <v>3.9E-2</v>
      </c>
      <c r="H48" s="2">
        <v>-66</v>
      </c>
      <c r="I48" s="2">
        <v>0</v>
      </c>
      <c r="J48" s="2">
        <v>0</v>
      </c>
      <c r="K48" s="2"/>
      <c r="L48" s="2"/>
      <c r="M48" s="2"/>
      <c r="N48" s="8">
        <f t="shared" si="5"/>
        <v>-66</v>
      </c>
      <c r="O48" s="2"/>
      <c r="P48" s="2"/>
      <c r="Q48" s="2"/>
      <c r="R48" s="19"/>
      <c r="S48" s="2"/>
      <c r="T48" s="2"/>
      <c r="U48" s="19"/>
      <c r="V48" s="2"/>
      <c r="W48" s="2"/>
      <c r="X48" s="2"/>
      <c r="Y48" s="2"/>
      <c r="Z48" s="7">
        <f t="shared" si="6"/>
        <v>-2.5739999999999998</v>
      </c>
      <c r="AA48" s="7">
        <v>100</v>
      </c>
      <c r="AB48" s="7">
        <v>0</v>
      </c>
      <c r="AC48" s="8">
        <f t="shared" si="7"/>
        <v>0</v>
      </c>
      <c r="AD48" s="8">
        <v>0</v>
      </c>
      <c r="AE48" s="8">
        <f t="shared" si="8"/>
        <v>0</v>
      </c>
      <c r="AF48" s="8">
        <f t="shared" si="4"/>
        <v>0</v>
      </c>
      <c r="AG48" s="8">
        <v>0</v>
      </c>
      <c r="AH48" s="8">
        <v>0</v>
      </c>
      <c r="AI48" s="8" t="s">
        <v>119</v>
      </c>
      <c r="AJ48" s="8" t="s">
        <v>121</v>
      </c>
      <c r="AQ48" s="1">
        <v>-66</v>
      </c>
    </row>
    <row r="49" spans="2:43" x14ac:dyDescent="0.25">
      <c r="B49" s="2" t="s">
        <v>87</v>
      </c>
      <c r="C49" s="2" t="s">
        <v>88</v>
      </c>
      <c r="D49" s="2" t="s">
        <v>47</v>
      </c>
      <c r="E49" s="2" t="s">
        <v>48</v>
      </c>
      <c r="F49" s="2">
        <v>3.5000000000000003E-2</v>
      </c>
      <c r="G49" s="3">
        <v>0.14799999999999999</v>
      </c>
      <c r="H49" s="2">
        <v>0</v>
      </c>
      <c r="I49" s="2">
        <v>0</v>
      </c>
      <c r="J49" s="2">
        <v>0</v>
      </c>
      <c r="K49" s="2"/>
      <c r="L49" s="2"/>
      <c r="M49" s="2"/>
      <c r="N49" s="8">
        <f t="shared" si="5"/>
        <v>0</v>
      </c>
      <c r="O49" s="2"/>
      <c r="P49" s="2"/>
      <c r="Q49" s="2"/>
      <c r="R49" s="19"/>
      <c r="S49" s="2"/>
      <c r="T49" s="2"/>
      <c r="U49" s="19"/>
      <c r="V49" s="2"/>
      <c r="W49" s="2"/>
      <c r="X49" s="2"/>
      <c r="Y49" s="2"/>
      <c r="Z49" s="7">
        <f t="shared" si="6"/>
        <v>0</v>
      </c>
      <c r="AA49" s="7">
        <v>500</v>
      </c>
      <c r="AB49" s="7">
        <v>0</v>
      </c>
      <c r="AC49" s="8">
        <f t="shared" si="7"/>
        <v>0</v>
      </c>
      <c r="AD49" s="8">
        <v>0</v>
      </c>
      <c r="AE49" s="8">
        <f t="shared" si="8"/>
        <v>0</v>
      </c>
      <c r="AF49" s="8">
        <f t="shared" si="4"/>
        <v>0</v>
      </c>
      <c r="AG49" s="8">
        <v>0</v>
      </c>
      <c r="AH49" s="8">
        <v>0</v>
      </c>
      <c r="AI49" s="8" t="s">
        <v>119</v>
      </c>
      <c r="AJ49" s="8" t="s">
        <v>121</v>
      </c>
      <c r="AQ49" s="1">
        <v>0</v>
      </c>
    </row>
    <row r="50" spans="2:43" x14ac:dyDescent="0.25">
      <c r="B50" s="2" t="s">
        <v>87</v>
      </c>
      <c r="C50" s="2" t="s">
        <v>88</v>
      </c>
      <c r="D50" s="2" t="s">
        <v>49</v>
      </c>
      <c r="E50" s="2" t="s">
        <v>48</v>
      </c>
      <c r="F50" s="2">
        <v>3.5000000000000003E-2</v>
      </c>
      <c r="G50" s="3">
        <v>0.14399999999999999</v>
      </c>
      <c r="H50" s="2">
        <v>0</v>
      </c>
      <c r="I50" s="2">
        <v>0</v>
      </c>
      <c r="J50" s="2">
        <v>0</v>
      </c>
      <c r="K50" s="2"/>
      <c r="L50" s="2"/>
      <c r="M50" s="2"/>
      <c r="N50" s="8">
        <f t="shared" si="5"/>
        <v>0</v>
      </c>
      <c r="O50" s="2"/>
      <c r="P50" s="2"/>
      <c r="Q50" s="2"/>
      <c r="R50" s="19"/>
      <c r="S50" s="2"/>
      <c r="T50" s="2"/>
      <c r="U50" s="19"/>
      <c r="V50" s="2"/>
      <c r="W50" s="2"/>
      <c r="X50" s="2"/>
      <c r="Y50" s="2"/>
      <c r="Z50" s="7">
        <f t="shared" si="6"/>
        <v>0</v>
      </c>
      <c r="AA50" s="7">
        <v>500</v>
      </c>
      <c r="AB50" s="7">
        <v>0</v>
      </c>
      <c r="AC50" s="8">
        <f t="shared" si="7"/>
        <v>0</v>
      </c>
      <c r="AD50" s="8">
        <v>0</v>
      </c>
      <c r="AE50" s="8">
        <f t="shared" si="8"/>
        <v>0</v>
      </c>
      <c r="AF50" s="8">
        <f t="shared" si="4"/>
        <v>0</v>
      </c>
      <c r="AG50" s="8">
        <v>0</v>
      </c>
      <c r="AH50" s="8">
        <v>0</v>
      </c>
      <c r="AI50" s="8" t="s">
        <v>119</v>
      </c>
      <c r="AJ50" s="8" t="s">
        <v>121</v>
      </c>
      <c r="AQ50" s="1">
        <v>0</v>
      </c>
    </row>
    <row r="51" spans="2:43" x14ac:dyDescent="0.25">
      <c r="B51" s="2" t="s">
        <v>87</v>
      </c>
      <c r="C51" s="2" t="s">
        <v>88</v>
      </c>
      <c r="D51" s="2" t="s">
        <v>50</v>
      </c>
      <c r="E51" s="2" t="s">
        <v>48</v>
      </c>
      <c r="F51" s="2">
        <v>3.5000000000000003E-2</v>
      </c>
      <c r="G51" s="3">
        <v>5.2999999999999999E-2</v>
      </c>
      <c r="H51" s="2">
        <v>1200</v>
      </c>
      <c r="I51" s="2">
        <v>0</v>
      </c>
      <c r="J51" s="2">
        <v>0</v>
      </c>
      <c r="K51" s="2"/>
      <c r="L51" s="2"/>
      <c r="M51" s="2"/>
      <c r="N51" s="8">
        <f t="shared" si="5"/>
        <v>400</v>
      </c>
      <c r="O51" s="2"/>
      <c r="P51" s="2"/>
      <c r="Q51" s="2"/>
      <c r="R51" s="19"/>
      <c r="S51" s="2"/>
      <c r="T51" s="2"/>
      <c r="U51" s="19"/>
      <c r="V51" s="2"/>
      <c r="W51" s="2">
        <v>800</v>
      </c>
      <c r="X51" s="2"/>
      <c r="Y51" s="2"/>
      <c r="Z51" s="7">
        <f t="shared" si="6"/>
        <v>63.6</v>
      </c>
      <c r="AA51" s="7">
        <v>1000</v>
      </c>
      <c r="AB51" s="7">
        <v>0</v>
      </c>
      <c r="AC51" s="8">
        <f t="shared" si="7"/>
        <v>0</v>
      </c>
      <c r="AD51" s="8">
        <v>0</v>
      </c>
      <c r="AE51" s="8">
        <f t="shared" si="8"/>
        <v>0</v>
      </c>
      <c r="AF51" s="8">
        <f t="shared" si="4"/>
        <v>0</v>
      </c>
      <c r="AG51" s="8">
        <v>0</v>
      </c>
      <c r="AH51" s="8">
        <v>0</v>
      </c>
      <c r="AI51" s="8" t="s">
        <v>119</v>
      </c>
      <c r="AJ51" s="8" t="s">
        <v>121</v>
      </c>
      <c r="AQ51" s="1">
        <v>1200</v>
      </c>
    </row>
    <row r="52" spans="2:43" x14ac:dyDescent="0.25">
      <c r="B52" s="2" t="s">
        <v>87</v>
      </c>
      <c r="C52" s="2" t="s">
        <v>88</v>
      </c>
      <c r="D52" s="2" t="s">
        <v>51</v>
      </c>
      <c r="E52" s="2" t="s">
        <v>48</v>
      </c>
      <c r="F52" s="2">
        <v>3.5000000000000003E-2</v>
      </c>
      <c r="G52" s="3">
        <v>0.13800000000000001</v>
      </c>
      <c r="H52" s="2">
        <v>0</v>
      </c>
      <c r="I52" s="2">
        <v>0</v>
      </c>
      <c r="J52" s="2">
        <v>0</v>
      </c>
      <c r="K52" s="2"/>
      <c r="L52" s="2"/>
      <c r="M52" s="2"/>
      <c r="N52" s="8">
        <f t="shared" si="5"/>
        <v>0</v>
      </c>
      <c r="O52" s="2"/>
      <c r="P52" s="2"/>
      <c r="Q52" s="2"/>
      <c r="R52" s="19"/>
      <c r="S52" s="2"/>
      <c r="T52" s="2"/>
      <c r="U52" s="19"/>
      <c r="V52" s="2"/>
      <c r="W52" s="2"/>
      <c r="X52" s="2"/>
      <c r="Y52" s="2"/>
      <c r="Z52" s="7">
        <f t="shared" si="6"/>
        <v>0</v>
      </c>
      <c r="AA52" s="7">
        <v>500</v>
      </c>
      <c r="AB52" s="7">
        <v>0</v>
      </c>
      <c r="AC52" s="8">
        <f t="shared" si="7"/>
        <v>0</v>
      </c>
      <c r="AD52" s="8">
        <v>0</v>
      </c>
      <c r="AE52" s="8">
        <f t="shared" si="8"/>
        <v>0</v>
      </c>
      <c r="AF52" s="8">
        <f t="shared" si="4"/>
        <v>0</v>
      </c>
      <c r="AG52" s="8">
        <v>0</v>
      </c>
      <c r="AH52" s="8">
        <v>0</v>
      </c>
      <c r="AI52" s="8" t="s">
        <v>119</v>
      </c>
      <c r="AJ52" s="8" t="s">
        <v>121</v>
      </c>
      <c r="AQ52" s="1">
        <v>0</v>
      </c>
    </row>
    <row r="53" spans="2:43" x14ac:dyDescent="0.25">
      <c r="B53" s="2" t="s">
        <v>87</v>
      </c>
      <c r="C53" s="2" t="s">
        <v>88</v>
      </c>
      <c r="D53" s="2" t="s">
        <v>52</v>
      </c>
      <c r="E53" s="2" t="s">
        <v>48</v>
      </c>
      <c r="F53" s="2">
        <v>3.5000000000000003E-2</v>
      </c>
      <c r="G53" s="3">
        <v>0.11</v>
      </c>
      <c r="H53" s="2">
        <v>1000</v>
      </c>
      <c r="I53" s="2">
        <v>0</v>
      </c>
      <c r="J53" s="2">
        <v>700</v>
      </c>
      <c r="K53" s="2"/>
      <c r="L53" s="2"/>
      <c r="M53" s="2"/>
      <c r="N53" s="8">
        <f t="shared" si="5"/>
        <v>541</v>
      </c>
      <c r="O53" s="2"/>
      <c r="P53" s="2">
        <v>420</v>
      </c>
      <c r="Q53" s="2">
        <v>739</v>
      </c>
      <c r="R53" s="19"/>
      <c r="S53" s="2"/>
      <c r="T53" s="2"/>
      <c r="U53" s="19"/>
      <c r="V53" s="2"/>
      <c r="W53" s="2"/>
      <c r="X53" s="2"/>
      <c r="Y53" s="2"/>
      <c r="Z53" s="7">
        <f t="shared" si="6"/>
        <v>187</v>
      </c>
      <c r="AA53" s="7">
        <v>500</v>
      </c>
      <c r="AB53" s="7">
        <v>0</v>
      </c>
      <c r="AC53" s="8">
        <f t="shared" si="7"/>
        <v>0</v>
      </c>
      <c r="AD53" s="8">
        <v>0</v>
      </c>
      <c r="AE53" s="8">
        <f t="shared" si="8"/>
        <v>0</v>
      </c>
      <c r="AF53" s="8">
        <f t="shared" si="4"/>
        <v>0</v>
      </c>
      <c r="AG53" s="8">
        <v>0</v>
      </c>
      <c r="AH53" s="8">
        <v>0</v>
      </c>
      <c r="AI53" s="8" t="s">
        <v>119</v>
      </c>
      <c r="AJ53" s="8" t="s">
        <v>121</v>
      </c>
      <c r="AQ53" s="1">
        <v>1000</v>
      </c>
    </row>
    <row r="54" spans="2:43" x14ac:dyDescent="0.25">
      <c r="B54" s="2" t="s">
        <v>87</v>
      </c>
      <c r="C54" s="2" t="s">
        <v>88</v>
      </c>
      <c r="D54" s="2" t="s">
        <v>53</v>
      </c>
      <c r="E54" s="2" t="s">
        <v>54</v>
      </c>
      <c r="F54" s="2">
        <v>4.1000000000000002E-2</v>
      </c>
      <c r="G54" s="3">
        <v>7.3999999999999996E-2</v>
      </c>
      <c r="H54" s="2">
        <v>2800</v>
      </c>
      <c r="I54" s="2">
        <v>0</v>
      </c>
      <c r="J54" s="2">
        <v>0</v>
      </c>
      <c r="K54" s="2"/>
      <c r="L54" s="2"/>
      <c r="M54" s="2"/>
      <c r="N54" s="8">
        <f t="shared" si="5"/>
        <v>-305</v>
      </c>
      <c r="O54" s="2"/>
      <c r="P54" s="2"/>
      <c r="Q54" s="2"/>
      <c r="R54" s="19"/>
      <c r="S54" s="2">
        <v>1000</v>
      </c>
      <c r="T54" s="2">
        <v>974</v>
      </c>
      <c r="U54" s="19">
        <v>700</v>
      </c>
      <c r="V54" s="2"/>
      <c r="W54" s="2">
        <v>431</v>
      </c>
      <c r="X54" s="2"/>
      <c r="Y54" s="2"/>
      <c r="Z54" s="7">
        <f t="shared" si="6"/>
        <v>207.2</v>
      </c>
      <c r="AA54" s="7">
        <v>1000</v>
      </c>
      <c r="AB54" s="7">
        <v>0</v>
      </c>
      <c r="AC54" s="8">
        <f t="shared" si="7"/>
        <v>0</v>
      </c>
      <c r="AD54" s="8">
        <v>0</v>
      </c>
      <c r="AE54" s="8">
        <f t="shared" si="8"/>
        <v>0</v>
      </c>
      <c r="AF54" s="8">
        <f t="shared" si="4"/>
        <v>0</v>
      </c>
      <c r="AG54" s="8">
        <v>0</v>
      </c>
      <c r="AH54" s="8">
        <v>0</v>
      </c>
      <c r="AI54" s="8" t="s">
        <v>119</v>
      </c>
      <c r="AJ54" s="8" t="s">
        <v>121</v>
      </c>
      <c r="AQ54" s="1">
        <v>2800</v>
      </c>
    </row>
    <row r="55" spans="2:43" x14ac:dyDescent="0.25">
      <c r="B55" s="2" t="s">
        <v>87</v>
      </c>
      <c r="C55" s="2" t="s">
        <v>88</v>
      </c>
      <c r="D55" s="2" t="s">
        <v>55</v>
      </c>
      <c r="E55" s="2" t="s">
        <v>54</v>
      </c>
      <c r="F55" s="2">
        <v>4.4999999999999998E-2</v>
      </c>
      <c r="G55" s="3">
        <v>0.46</v>
      </c>
      <c r="H55" s="2">
        <v>1000</v>
      </c>
      <c r="I55" s="2">
        <v>0</v>
      </c>
      <c r="J55" s="2">
        <v>0</v>
      </c>
      <c r="K55" s="2"/>
      <c r="L55" s="2"/>
      <c r="M55" s="2"/>
      <c r="N55" s="8">
        <f t="shared" si="5"/>
        <v>146</v>
      </c>
      <c r="O55" s="2"/>
      <c r="P55" s="2"/>
      <c r="Q55" s="2"/>
      <c r="R55" s="19"/>
      <c r="S55" s="2"/>
      <c r="T55" s="2"/>
      <c r="U55" s="19"/>
      <c r="V55" s="2">
        <v>281</v>
      </c>
      <c r="W55" s="2">
        <v>573</v>
      </c>
      <c r="X55" s="2"/>
      <c r="Y55" s="2"/>
      <c r="Z55" s="7">
        <f t="shared" si="6"/>
        <v>460</v>
      </c>
      <c r="AA55" s="7">
        <v>200</v>
      </c>
      <c r="AB55" s="7">
        <v>0</v>
      </c>
      <c r="AC55" s="8">
        <f t="shared" si="7"/>
        <v>0</v>
      </c>
      <c r="AD55" s="8">
        <v>0</v>
      </c>
      <c r="AE55" s="8">
        <f t="shared" si="8"/>
        <v>0</v>
      </c>
      <c r="AF55" s="8">
        <f t="shared" si="4"/>
        <v>0</v>
      </c>
      <c r="AG55" s="8">
        <v>0</v>
      </c>
      <c r="AH55" s="8">
        <v>0</v>
      </c>
      <c r="AI55" s="8" t="s">
        <v>119</v>
      </c>
      <c r="AJ55" s="8" t="s">
        <v>121</v>
      </c>
      <c r="AQ55" s="1">
        <v>1000</v>
      </c>
    </row>
    <row r="56" spans="2:43" x14ac:dyDescent="0.25">
      <c r="B56" s="2" t="s">
        <v>87</v>
      </c>
      <c r="C56" s="2" t="s">
        <v>88</v>
      </c>
      <c r="D56" s="2" t="s">
        <v>56</v>
      </c>
      <c r="E56" s="2" t="s">
        <v>54</v>
      </c>
      <c r="F56" s="2">
        <v>4.4999999999999998E-2</v>
      </c>
      <c r="G56" s="3">
        <v>0.23300000000000001</v>
      </c>
      <c r="H56" s="2">
        <v>416</v>
      </c>
      <c r="I56" s="2">
        <v>0</v>
      </c>
      <c r="J56" s="2">
        <v>1600</v>
      </c>
      <c r="K56" s="2"/>
      <c r="L56" s="2"/>
      <c r="M56" s="2"/>
      <c r="N56" s="8">
        <f t="shared" si="5"/>
        <v>1649</v>
      </c>
      <c r="O56" s="2"/>
      <c r="P56" s="2"/>
      <c r="Q56" s="2"/>
      <c r="R56" s="19"/>
      <c r="S56" s="2">
        <v>367</v>
      </c>
      <c r="T56" s="2"/>
      <c r="U56" s="19"/>
      <c r="V56" s="2"/>
      <c r="W56" s="2"/>
      <c r="X56" s="2"/>
      <c r="Y56" s="2"/>
      <c r="Z56" s="7">
        <f t="shared" si="6"/>
        <v>469.72800000000001</v>
      </c>
      <c r="AA56" s="7">
        <v>500</v>
      </c>
      <c r="AB56" s="7">
        <v>0</v>
      </c>
      <c r="AC56" s="8">
        <f t="shared" si="7"/>
        <v>0</v>
      </c>
      <c r="AD56" s="8">
        <v>0</v>
      </c>
      <c r="AE56" s="8">
        <f t="shared" si="8"/>
        <v>0</v>
      </c>
      <c r="AF56" s="8">
        <f t="shared" si="4"/>
        <v>0</v>
      </c>
      <c r="AG56" s="8">
        <v>0</v>
      </c>
      <c r="AH56" s="8">
        <v>0</v>
      </c>
      <c r="AI56" s="8" t="s">
        <v>119</v>
      </c>
      <c r="AJ56" s="8" t="s">
        <v>121</v>
      </c>
      <c r="AQ56" s="1">
        <v>416</v>
      </c>
    </row>
    <row r="57" spans="2:43" x14ac:dyDescent="0.25">
      <c r="B57" s="2" t="s">
        <v>87</v>
      </c>
      <c r="C57" s="2" t="s">
        <v>88</v>
      </c>
      <c r="D57" s="2" t="s">
        <v>57</v>
      </c>
      <c r="E57" s="2" t="s">
        <v>54</v>
      </c>
      <c r="F57" s="2">
        <v>4.1000000000000002E-2</v>
      </c>
      <c r="G57" s="3">
        <v>0.19700000000000001</v>
      </c>
      <c r="H57" s="2">
        <v>2200</v>
      </c>
      <c r="I57" s="2">
        <v>0</v>
      </c>
      <c r="J57" s="2">
        <v>600</v>
      </c>
      <c r="K57" s="2"/>
      <c r="L57" s="2"/>
      <c r="M57" s="2"/>
      <c r="N57" s="8">
        <f t="shared" si="5"/>
        <v>2595</v>
      </c>
      <c r="O57" s="2"/>
      <c r="P57" s="2"/>
      <c r="Q57" s="2">
        <v>205</v>
      </c>
      <c r="R57" s="19"/>
      <c r="S57" s="2"/>
      <c r="T57" s="2"/>
      <c r="U57" s="19"/>
      <c r="V57" s="2"/>
      <c r="W57" s="2"/>
      <c r="X57" s="2"/>
      <c r="Y57" s="2"/>
      <c r="Z57" s="7">
        <f t="shared" si="6"/>
        <v>551.6</v>
      </c>
      <c r="AA57" s="7">
        <v>500</v>
      </c>
      <c r="AB57" s="7">
        <v>0</v>
      </c>
      <c r="AC57" s="8">
        <f t="shared" si="7"/>
        <v>0</v>
      </c>
      <c r="AD57" s="8">
        <v>0</v>
      </c>
      <c r="AE57" s="8">
        <f t="shared" si="8"/>
        <v>0</v>
      </c>
      <c r="AF57" s="8">
        <f t="shared" si="4"/>
        <v>0</v>
      </c>
      <c r="AG57" s="8">
        <v>0</v>
      </c>
      <c r="AH57" s="8">
        <v>0</v>
      </c>
      <c r="AI57" s="8" t="s">
        <v>119</v>
      </c>
      <c r="AJ57" s="8" t="s">
        <v>121</v>
      </c>
      <c r="AQ57" s="1">
        <v>2200</v>
      </c>
    </row>
    <row r="58" spans="2:43" x14ac:dyDescent="0.25">
      <c r="B58" s="2" t="s">
        <v>87</v>
      </c>
      <c r="C58" s="2" t="s">
        <v>88</v>
      </c>
      <c r="D58" s="2" t="s">
        <v>58</v>
      </c>
      <c r="E58" s="2" t="s">
        <v>54</v>
      </c>
      <c r="F58" s="2">
        <v>4.4999999999999998E-2</v>
      </c>
      <c r="G58" s="3">
        <v>0.17299999999999999</v>
      </c>
      <c r="H58" s="2">
        <v>1720</v>
      </c>
      <c r="I58" s="2">
        <v>0</v>
      </c>
      <c r="J58" s="2">
        <v>0</v>
      </c>
      <c r="K58" s="2"/>
      <c r="L58" s="2"/>
      <c r="M58" s="2"/>
      <c r="N58" s="8">
        <f t="shared" si="5"/>
        <v>470</v>
      </c>
      <c r="O58" s="2"/>
      <c r="P58" s="2"/>
      <c r="Q58" s="2">
        <v>850</v>
      </c>
      <c r="R58" s="19">
        <v>400</v>
      </c>
      <c r="S58" s="2"/>
      <c r="T58" s="2"/>
      <c r="U58" s="19"/>
      <c r="V58" s="2"/>
      <c r="W58" s="2"/>
      <c r="X58" s="2"/>
      <c r="Y58" s="2"/>
      <c r="Z58" s="7">
        <f t="shared" si="6"/>
        <v>297.56</v>
      </c>
      <c r="AA58" s="7">
        <v>500</v>
      </c>
      <c r="AB58" s="7">
        <v>0</v>
      </c>
      <c r="AC58" s="8">
        <f t="shared" si="7"/>
        <v>0</v>
      </c>
      <c r="AD58" s="8">
        <v>0</v>
      </c>
      <c r="AE58" s="8">
        <f t="shared" si="8"/>
        <v>0</v>
      </c>
      <c r="AF58" s="8">
        <f t="shared" si="4"/>
        <v>0</v>
      </c>
      <c r="AG58" s="8">
        <v>0</v>
      </c>
      <c r="AH58" s="8">
        <v>0</v>
      </c>
      <c r="AI58" s="8" t="s">
        <v>119</v>
      </c>
      <c r="AJ58" s="8" t="s">
        <v>121</v>
      </c>
      <c r="AQ58" s="1">
        <v>1720</v>
      </c>
    </row>
    <row r="59" spans="2:43" ht="14.25" customHeight="1" x14ac:dyDescent="0.25">
      <c r="B59" s="2" t="s">
        <v>87</v>
      </c>
      <c r="C59" s="2" t="s">
        <v>88</v>
      </c>
      <c r="D59" s="2" t="s">
        <v>59</v>
      </c>
      <c r="E59" s="2" t="s">
        <v>60</v>
      </c>
      <c r="F59" s="2">
        <v>3.5000000000000003E-2</v>
      </c>
      <c r="G59" s="3">
        <v>0.29799999999999999</v>
      </c>
      <c r="H59" s="2">
        <v>0</v>
      </c>
      <c r="I59" s="2">
        <v>288</v>
      </c>
      <c r="J59" s="2">
        <v>0</v>
      </c>
      <c r="K59" s="2"/>
      <c r="L59" s="2"/>
      <c r="M59" s="2"/>
      <c r="N59" s="8">
        <f t="shared" si="5"/>
        <v>0</v>
      </c>
      <c r="O59" s="2"/>
      <c r="P59" s="2">
        <v>144</v>
      </c>
      <c r="Q59" s="2"/>
      <c r="R59" s="19">
        <v>144</v>
      </c>
      <c r="S59" s="2"/>
      <c r="T59" s="2"/>
      <c r="U59" s="19"/>
      <c r="V59" s="2"/>
      <c r="W59" s="2"/>
      <c r="X59" s="2"/>
      <c r="Y59" s="2"/>
      <c r="Z59" s="7">
        <f t="shared" si="6"/>
        <v>85.823999999999998</v>
      </c>
      <c r="AA59" s="7">
        <v>144</v>
      </c>
      <c r="AB59" s="7">
        <v>0</v>
      </c>
      <c r="AC59" s="8">
        <f t="shared" si="7"/>
        <v>0</v>
      </c>
      <c r="AD59" s="8">
        <v>0</v>
      </c>
      <c r="AE59" s="8">
        <f t="shared" si="8"/>
        <v>0</v>
      </c>
      <c r="AF59" s="8">
        <f t="shared" si="4"/>
        <v>0</v>
      </c>
      <c r="AG59" s="8" t="s">
        <v>110</v>
      </c>
      <c r="AH59" s="8">
        <f t="shared" ref="AH59:AH78" si="9">+SUM(H59:M59)</f>
        <v>288</v>
      </c>
      <c r="AI59" s="8" t="s">
        <v>119</v>
      </c>
      <c r="AJ59" s="8" t="s">
        <v>121</v>
      </c>
      <c r="AQ59" s="1">
        <v>0</v>
      </c>
    </row>
    <row r="60" spans="2:43" x14ac:dyDescent="0.25">
      <c r="B60" s="2" t="s">
        <v>87</v>
      </c>
      <c r="C60" s="2" t="s">
        <v>88</v>
      </c>
      <c r="D60" s="2" t="s">
        <v>61</v>
      </c>
      <c r="E60" s="2" t="s">
        <v>60</v>
      </c>
      <c r="F60" s="2">
        <v>3.5000000000000003E-2</v>
      </c>
      <c r="G60" s="3">
        <v>0.249</v>
      </c>
      <c r="H60" s="2">
        <v>-576</v>
      </c>
      <c r="I60" s="2">
        <v>0</v>
      </c>
      <c r="J60" s="2">
        <v>0</v>
      </c>
      <c r="K60" s="2"/>
      <c r="L60" s="2"/>
      <c r="M60" s="2"/>
      <c r="N60" s="8">
        <f t="shared" si="5"/>
        <v>-680</v>
      </c>
      <c r="O60" s="2"/>
      <c r="P60" s="2"/>
      <c r="Q60" s="2"/>
      <c r="R60" s="19"/>
      <c r="S60" s="2"/>
      <c r="T60" s="2"/>
      <c r="U60" s="19"/>
      <c r="V60" s="2">
        <v>25</v>
      </c>
      <c r="W60" s="2">
        <v>79</v>
      </c>
      <c r="X60" s="2"/>
      <c r="Y60" s="2"/>
      <c r="Z60" s="7">
        <f t="shared" si="6"/>
        <v>-143.42400000000001</v>
      </c>
      <c r="AA60" s="7">
        <v>144</v>
      </c>
      <c r="AB60" s="7">
        <v>1</v>
      </c>
      <c r="AC60" s="8">
        <f t="shared" si="7"/>
        <v>-576</v>
      </c>
      <c r="AD60" s="8">
        <v>0</v>
      </c>
      <c r="AE60" s="8">
        <f t="shared" si="8"/>
        <v>0</v>
      </c>
      <c r="AF60" s="8">
        <f t="shared" si="4"/>
        <v>0</v>
      </c>
      <c r="AG60" s="8" t="s">
        <v>111</v>
      </c>
      <c r="AH60" s="8">
        <f t="shared" si="9"/>
        <v>-576</v>
      </c>
      <c r="AI60" s="8" t="s">
        <v>119</v>
      </c>
      <c r="AJ60" s="8" t="s">
        <v>121</v>
      </c>
      <c r="AQ60" s="1">
        <v>-576</v>
      </c>
    </row>
    <row r="61" spans="2:43" x14ac:dyDescent="0.25">
      <c r="B61" s="2" t="s">
        <v>87</v>
      </c>
      <c r="C61" s="2" t="s">
        <v>88</v>
      </c>
      <c r="D61" s="2" t="s">
        <v>62</v>
      </c>
      <c r="E61" s="2" t="s">
        <v>60</v>
      </c>
      <c r="F61" s="2">
        <v>3.5000000000000003E-2</v>
      </c>
      <c r="G61" s="3">
        <v>0.253</v>
      </c>
      <c r="H61" s="2">
        <v>0</v>
      </c>
      <c r="I61" s="2">
        <v>0</v>
      </c>
      <c r="J61" s="2">
        <v>0</v>
      </c>
      <c r="K61" s="2"/>
      <c r="L61" s="2"/>
      <c r="M61" s="2"/>
      <c r="N61" s="8">
        <f t="shared" si="5"/>
        <v>-510</v>
      </c>
      <c r="O61" s="2"/>
      <c r="P61" s="2"/>
      <c r="Q61" s="2"/>
      <c r="R61" s="19"/>
      <c r="S61" s="2"/>
      <c r="T61" s="2"/>
      <c r="U61" s="19"/>
      <c r="V61" s="2">
        <v>288</v>
      </c>
      <c r="W61" s="2">
        <v>222</v>
      </c>
      <c r="X61" s="2"/>
      <c r="Y61" s="2"/>
      <c r="Z61" s="7">
        <f t="shared" si="6"/>
        <v>0</v>
      </c>
      <c r="AA61" s="7">
        <v>144</v>
      </c>
      <c r="AB61" s="7">
        <v>1</v>
      </c>
      <c r="AC61" s="8">
        <f t="shared" si="7"/>
        <v>0</v>
      </c>
      <c r="AD61" s="8">
        <v>0</v>
      </c>
      <c r="AE61" s="8">
        <f t="shared" si="8"/>
        <v>0</v>
      </c>
      <c r="AF61" s="8">
        <f t="shared" si="4"/>
        <v>0</v>
      </c>
      <c r="AG61" s="8" t="s">
        <v>111</v>
      </c>
      <c r="AH61" s="8">
        <f t="shared" si="9"/>
        <v>0</v>
      </c>
      <c r="AI61" s="8" t="s">
        <v>119</v>
      </c>
      <c r="AJ61" s="8" t="s">
        <v>121</v>
      </c>
      <c r="AQ61" s="1">
        <v>0</v>
      </c>
    </row>
    <row r="62" spans="2:43" x14ac:dyDescent="0.25">
      <c r="B62" s="2" t="s">
        <v>87</v>
      </c>
      <c r="C62" s="2" t="s">
        <v>88</v>
      </c>
      <c r="D62" s="2" t="s">
        <v>63</v>
      </c>
      <c r="E62" s="2" t="s">
        <v>60</v>
      </c>
      <c r="F62" s="2">
        <v>3.5000000000000003E-2</v>
      </c>
      <c r="G62" s="3">
        <v>0.215</v>
      </c>
      <c r="H62" s="2">
        <v>144</v>
      </c>
      <c r="I62" s="2">
        <v>0</v>
      </c>
      <c r="J62" s="2">
        <v>864</v>
      </c>
      <c r="K62" s="2"/>
      <c r="L62" s="2"/>
      <c r="M62" s="2"/>
      <c r="N62" s="8">
        <f t="shared" si="5"/>
        <v>92</v>
      </c>
      <c r="O62" s="2"/>
      <c r="P62" s="2"/>
      <c r="Q62" s="2"/>
      <c r="R62" s="19"/>
      <c r="S62" s="2"/>
      <c r="T62" s="2">
        <v>432</v>
      </c>
      <c r="U62" s="19">
        <v>288</v>
      </c>
      <c r="V62" s="2">
        <v>52</v>
      </c>
      <c r="W62" s="2">
        <v>144</v>
      </c>
      <c r="X62" s="2"/>
      <c r="Y62" s="2"/>
      <c r="Z62" s="7">
        <f t="shared" si="6"/>
        <v>216.72</v>
      </c>
      <c r="AA62" s="7">
        <v>144</v>
      </c>
      <c r="AB62" s="7">
        <v>1</v>
      </c>
      <c r="AC62" s="8">
        <f t="shared" si="7"/>
        <v>144</v>
      </c>
      <c r="AD62" s="8">
        <v>0</v>
      </c>
      <c r="AE62" s="8">
        <f t="shared" si="8"/>
        <v>0</v>
      </c>
      <c r="AF62" s="8">
        <f t="shared" si="4"/>
        <v>0</v>
      </c>
      <c r="AG62" s="8" t="s">
        <v>111</v>
      </c>
      <c r="AH62" s="8">
        <f t="shared" si="9"/>
        <v>1008</v>
      </c>
      <c r="AI62" s="8" t="s">
        <v>119</v>
      </c>
      <c r="AJ62" s="8" t="s">
        <v>121</v>
      </c>
      <c r="AQ62" s="1">
        <v>144</v>
      </c>
    </row>
    <row r="63" spans="2:43" x14ac:dyDescent="0.25">
      <c r="B63" s="2" t="s">
        <v>87</v>
      </c>
      <c r="C63" s="2" t="s">
        <v>88</v>
      </c>
      <c r="D63" s="2" t="s">
        <v>64</v>
      </c>
      <c r="E63" s="2" t="s">
        <v>60</v>
      </c>
      <c r="F63" s="2">
        <v>3.5000000000000003E-2</v>
      </c>
      <c r="G63" s="3">
        <v>0.253</v>
      </c>
      <c r="H63" s="2">
        <v>0</v>
      </c>
      <c r="I63" s="2">
        <v>0</v>
      </c>
      <c r="J63" s="2">
        <v>432</v>
      </c>
      <c r="K63" s="2"/>
      <c r="L63" s="2"/>
      <c r="M63" s="2"/>
      <c r="N63" s="8">
        <f t="shared" si="5"/>
        <v>288</v>
      </c>
      <c r="O63" s="2"/>
      <c r="P63" s="2"/>
      <c r="Q63" s="2"/>
      <c r="R63" s="19"/>
      <c r="S63" s="2">
        <v>144</v>
      </c>
      <c r="T63" s="2"/>
      <c r="U63" s="19"/>
      <c r="V63" s="2"/>
      <c r="W63" s="2"/>
      <c r="X63" s="2"/>
      <c r="Y63" s="2"/>
      <c r="Z63" s="7">
        <f t="shared" si="6"/>
        <v>109.29600000000001</v>
      </c>
      <c r="AA63" s="7">
        <v>144</v>
      </c>
      <c r="AB63" s="7">
        <v>1</v>
      </c>
      <c r="AC63" s="8">
        <f t="shared" si="7"/>
        <v>0</v>
      </c>
      <c r="AD63" s="8">
        <v>0</v>
      </c>
      <c r="AE63" s="8">
        <f t="shared" si="8"/>
        <v>0</v>
      </c>
      <c r="AF63" s="8">
        <f t="shared" si="4"/>
        <v>0</v>
      </c>
      <c r="AG63" s="8" t="s">
        <v>111</v>
      </c>
      <c r="AH63" s="8">
        <f t="shared" si="9"/>
        <v>432</v>
      </c>
      <c r="AI63" s="8" t="s">
        <v>119</v>
      </c>
      <c r="AJ63" s="8" t="s">
        <v>121</v>
      </c>
      <c r="AQ63" s="1">
        <v>0</v>
      </c>
    </row>
    <row r="64" spans="2:43" x14ac:dyDescent="0.25">
      <c r="B64" s="2" t="s">
        <v>87</v>
      </c>
      <c r="C64" s="2" t="s">
        <v>88</v>
      </c>
      <c r="D64" s="2" t="s">
        <v>65</v>
      </c>
      <c r="E64" s="2" t="s">
        <v>60</v>
      </c>
      <c r="F64" s="2">
        <v>3.5000000000000003E-2</v>
      </c>
      <c r="G64" s="3">
        <v>0.249</v>
      </c>
      <c r="H64" s="2">
        <v>576</v>
      </c>
      <c r="I64" s="2">
        <v>0</v>
      </c>
      <c r="J64" s="2">
        <v>144</v>
      </c>
      <c r="K64" s="2"/>
      <c r="L64" s="2"/>
      <c r="M64" s="2"/>
      <c r="N64" s="8">
        <f t="shared" si="5"/>
        <v>-205</v>
      </c>
      <c r="O64" s="2">
        <v>720</v>
      </c>
      <c r="P64" s="2"/>
      <c r="Q64" s="2"/>
      <c r="R64" s="19">
        <v>144</v>
      </c>
      <c r="S64" s="2"/>
      <c r="T64" s="2"/>
      <c r="U64" s="19"/>
      <c r="V64" s="2">
        <v>61</v>
      </c>
      <c r="W64" s="2"/>
      <c r="X64" s="2"/>
      <c r="Y64" s="2"/>
      <c r="Z64" s="7">
        <f t="shared" si="6"/>
        <v>179.28</v>
      </c>
      <c r="AA64" s="7">
        <v>144</v>
      </c>
      <c r="AB64" s="7">
        <v>1</v>
      </c>
      <c r="AC64" s="8">
        <f t="shared" si="7"/>
        <v>576</v>
      </c>
      <c r="AD64" s="8">
        <v>0</v>
      </c>
      <c r="AE64" s="8">
        <f t="shared" si="8"/>
        <v>0</v>
      </c>
      <c r="AF64" s="8">
        <f t="shared" si="4"/>
        <v>0</v>
      </c>
      <c r="AG64" s="8" t="s">
        <v>111</v>
      </c>
      <c r="AH64" s="8">
        <f t="shared" si="9"/>
        <v>720</v>
      </c>
      <c r="AI64" s="8" t="s">
        <v>119</v>
      </c>
      <c r="AJ64" s="8" t="s">
        <v>121</v>
      </c>
      <c r="AQ64" s="1">
        <v>576</v>
      </c>
    </row>
    <row r="65" spans="2:43" x14ac:dyDescent="0.25">
      <c r="B65" s="2" t="s">
        <v>87</v>
      </c>
      <c r="C65" s="2" t="s">
        <v>88</v>
      </c>
      <c r="D65" s="2" t="s">
        <v>66</v>
      </c>
      <c r="E65" s="2" t="s">
        <v>60</v>
      </c>
      <c r="F65" s="2">
        <v>3.5000000000000003E-2</v>
      </c>
      <c r="G65" s="3">
        <v>0.30299999999999999</v>
      </c>
      <c r="H65" s="2">
        <v>0</v>
      </c>
      <c r="I65" s="2">
        <v>0</v>
      </c>
      <c r="J65" s="2">
        <v>0</v>
      </c>
      <c r="K65" s="2"/>
      <c r="L65" s="2"/>
      <c r="M65" s="2"/>
      <c r="N65" s="8">
        <f t="shared" si="5"/>
        <v>0</v>
      </c>
      <c r="O65" s="2"/>
      <c r="P65" s="2"/>
      <c r="Q65" s="2"/>
      <c r="R65" s="19"/>
      <c r="S65" s="2"/>
      <c r="T65" s="2"/>
      <c r="U65" s="19"/>
      <c r="V65" s="2"/>
      <c r="W65" s="2"/>
      <c r="X65" s="2"/>
      <c r="Y65" s="2"/>
      <c r="Z65" s="7">
        <f t="shared" si="6"/>
        <v>0</v>
      </c>
      <c r="AA65" s="7">
        <v>144</v>
      </c>
      <c r="AB65" s="7">
        <v>0</v>
      </c>
      <c r="AC65" s="8">
        <f t="shared" si="7"/>
        <v>0</v>
      </c>
      <c r="AD65" s="8">
        <v>0</v>
      </c>
      <c r="AE65" s="8">
        <f t="shared" si="8"/>
        <v>0</v>
      </c>
      <c r="AF65" s="8">
        <f t="shared" si="4"/>
        <v>0</v>
      </c>
      <c r="AG65" s="8" t="s">
        <v>110</v>
      </c>
      <c r="AH65" s="8">
        <f t="shared" si="9"/>
        <v>0</v>
      </c>
      <c r="AI65" s="8" t="s">
        <v>119</v>
      </c>
      <c r="AJ65" s="8" t="s">
        <v>121</v>
      </c>
      <c r="AQ65" s="1">
        <v>0</v>
      </c>
    </row>
    <row r="66" spans="2:43" x14ac:dyDescent="0.25">
      <c r="B66" s="2" t="s">
        <v>87</v>
      </c>
      <c r="C66" s="2" t="s">
        <v>88</v>
      </c>
      <c r="D66" s="2" t="s">
        <v>67</v>
      </c>
      <c r="E66" s="2" t="s">
        <v>60</v>
      </c>
      <c r="F66" s="2">
        <v>3.5000000000000003E-2</v>
      </c>
      <c r="G66" s="3">
        <v>0.216</v>
      </c>
      <c r="H66" s="2">
        <v>0</v>
      </c>
      <c r="I66" s="2">
        <v>288</v>
      </c>
      <c r="J66" s="2">
        <v>0</v>
      </c>
      <c r="K66" s="2"/>
      <c r="L66" s="2"/>
      <c r="M66" s="2"/>
      <c r="N66" s="8">
        <f t="shared" si="5"/>
        <v>-87</v>
      </c>
      <c r="O66" s="2"/>
      <c r="P66" s="2"/>
      <c r="Q66" s="2">
        <v>288</v>
      </c>
      <c r="R66" s="19"/>
      <c r="S66" s="2"/>
      <c r="T66" s="2"/>
      <c r="U66" s="19"/>
      <c r="V66" s="2">
        <v>87</v>
      </c>
      <c r="W66" s="2"/>
      <c r="X66" s="2"/>
      <c r="Y66" s="2"/>
      <c r="Z66" s="7">
        <f t="shared" si="6"/>
        <v>62.207999999999998</v>
      </c>
      <c r="AA66" s="7">
        <v>144</v>
      </c>
      <c r="AB66" s="7">
        <v>1</v>
      </c>
      <c r="AC66" s="8">
        <f t="shared" si="7"/>
        <v>0</v>
      </c>
      <c r="AD66" s="8">
        <v>0</v>
      </c>
      <c r="AE66" s="8">
        <f t="shared" si="8"/>
        <v>0</v>
      </c>
      <c r="AF66" s="8">
        <f t="shared" si="4"/>
        <v>0</v>
      </c>
      <c r="AG66" s="8" t="s">
        <v>111</v>
      </c>
      <c r="AH66" s="8">
        <f t="shared" si="9"/>
        <v>288</v>
      </c>
      <c r="AI66" s="8" t="s">
        <v>119</v>
      </c>
      <c r="AJ66" s="8" t="s">
        <v>121</v>
      </c>
      <c r="AQ66" s="1">
        <v>0</v>
      </c>
    </row>
    <row r="67" spans="2:43" x14ac:dyDescent="0.25">
      <c r="B67" s="2" t="s">
        <v>87</v>
      </c>
      <c r="C67" s="2" t="s">
        <v>88</v>
      </c>
      <c r="D67" s="2" t="s">
        <v>68</v>
      </c>
      <c r="E67" s="2" t="s">
        <v>60</v>
      </c>
      <c r="F67" s="2">
        <v>3.5000000000000003E-2</v>
      </c>
      <c r="G67" s="3">
        <v>0.28399999999999997</v>
      </c>
      <c r="H67" s="2">
        <v>0</v>
      </c>
      <c r="I67" s="2">
        <v>0</v>
      </c>
      <c r="J67" s="2">
        <v>288</v>
      </c>
      <c r="K67" s="2"/>
      <c r="L67" s="2"/>
      <c r="M67" s="2"/>
      <c r="N67" s="8">
        <f t="shared" si="5"/>
        <v>-26</v>
      </c>
      <c r="O67" s="2"/>
      <c r="P67" s="2"/>
      <c r="Q67" s="2"/>
      <c r="R67" s="19"/>
      <c r="S67" s="2"/>
      <c r="T67" s="2"/>
      <c r="U67" s="19">
        <v>288</v>
      </c>
      <c r="V67" s="2"/>
      <c r="W67" s="2">
        <v>26</v>
      </c>
      <c r="X67" s="2"/>
      <c r="Y67" s="2"/>
      <c r="Z67" s="7">
        <f t="shared" si="6"/>
        <v>81.791999999999987</v>
      </c>
      <c r="AA67" s="7">
        <v>144</v>
      </c>
      <c r="AB67" s="7">
        <v>0</v>
      </c>
      <c r="AC67" s="8">
        <f t="shared" si="7"/>
        <v>0</v>
      </c>
      <c r="AD67" s="8">
        <v>0</v>
      </c>
      <c r="AE67" s="8">
        <f t="shared" si="8"/>
        <v>0</v>
      </c>
      <c r="AF67" s="8">
        <f t="shared" si="4"/>
        <v>0</v>
      </c>
      <c r="AG67" s="8" t="s">
        <v>110</v>
      </c>
      <c r="AH67" s="8">
        <f t="shared" si="9"/>
        <v>288</v>
      </c>
      <c r="AI67" s="8" t="s">
        <v>119</v>
      </c>
      <c r="AJ67" s="8" t="s">
        <v>121</v>
      </c>
      <c r="AQ67" s="1">
        <v>0</v>
      </c>
    </row>
    <row r="68" spans="2:43" x14ac:dyDescent="0.25">
      <c r="B68" s="2" t="s">
        <v>87</v>
      </c>
      <c r="C68" s="2" t="s">
        <v>88</v>
      </c>
      <c r="D68" s="2" t="s">
        <v>69</v>
      </c>
      <c r="E68" s="2" t="s">
        <v>60</v>
      </c>
      <c r="F68" s="2">
        <v>3.5000000000000003E-2</v>
      </c>
      <c r="G68" s="3">
        <v>0.252</v>
      </c>
      <c r="H68" s="2">
        <v>-144</v>
      </c>
      <c r="I68" s="2">
        <v>0</v>
      </c>
      <c r="J68" s="2">
        <v>0</v>
      </c>
      <c r="K68" s="2"/>
      <c r="L68" s="2"/>
      <c r="M68" s="2"/>
      <c r="N68" s="8">
        <f t="shared" si="5"/>
        <v>-257</v>
      </c>
      <c r="O68" s="2"/>
      <c r="P68" s="2"/>
      <c r="Q68" s="2"/>
      <c r="R68" s="19"/>
      <c r="S68" s="2"/>
      <c r="T68" s="2"/>
      <c r="U68" s="19"/>
      <c r="V68" s="2">
        <v>113</v>
      </c>
      <c r="W68" s="2"/>
      <c r="X68" s="2"/>
      <c r="Y68" s="2"/>
      <c r="Z68" s="7">
        <f t="shared" si="6"/>
        <v>-36.287999999999997</v>
      </c>
      <c r="AA68" s="7">
        <v>144</v>
      </c>
      <c r="AB68" s="7">
        <v>1</v>
      </c>
      <c r="AC68" s="8">
        <f t="shared" si="7"/>
        <v>-144</v>
      </c>
      <c r="AD68" s="8">
        <v>0</v>
      </c>
      <c r="AE68" s="8">
        <f t="shared" si="8"/>
        <v>0</v>
      </c>
      <c r="AF68" s="8">
        <f t="shared" si="4"/>
        <v>0</v>
      </c>
      <c r="AG68" s="8" t="s">
        <v>111</v>
      </c>
      <c r="AH68" s="8">
        <f t="shared" si="9"/>
        <v>-144</v>
      </c>
      <c r="AI68" s="8" t="s">
        <v>119</v>
      </c>
      <c r="AJ68" s="8" t="s">
        <v>121</v>
      </c>
      <c r="AQ68" s="1">
        <v>-144</v>
      </c>
    </row>
    <row r="69" spans="2:43" x14ac:dyDescent="0.25">
      <c r="B69" s="2" t="s">
        <v>87</v>
      </c>
      <c r="C69" s="2" t="s">
        <v>88</v>
      </c>
      <c r="D69" s="2" t="s">
        <v>70</v>
      </c>
      <c r="E69" s="2" t="s">
        <v>71</v>
      </c>
      <c r="F69" s="2">
        <v>4.4999999999999998E-2</v>
      </c>
      <c r="G69" s="3">
        <v>0.373</v>
      </c>
      <c r="H69" s="2">
        <v>512</v>
      </c>
      <c r="I69" s="2">
        <v>0</v>
      </c>
      <c r="J69" s="2">
        <v>640</v>
      </c>
      <c r="K69" s="2"/>
      <c r="L69" s="2"/>
      <c r="M69" s="2"/>
      <c r="N69" s="8">
        <f t="shared" si="5"/>
        <v>-128</v>
      </c>
      <c r="O69" s="2">
        <v>128</v>
      </c>
      <c r="P69" s="2">
        <v>256</v>
      </c>
      <c r="Q69" s="2">
        <v>128</v>
      </c>
      <c r="R69" s="19"/>
      <c r="S69" s="2"/>
      <c r="T69" s="2"/>
      <c r="U69" s="19">
        <v>256</v>
      </c>
      <c r="V69" s="2"/>
      <c r="W69" s="2">
        <v>384</v>
      </c>
      <c r="X69" s="2">
        <v>128</v>
      </c>
      <c r="Y69" s="2"/>
      <c r="Z69" s="7">
        <f t="shared" si="6"/>
        <v>429.69600000000003</v>
      </c>
      <c r="AA69" s="7">
        <v>288</v>
      </c>
      <c r="AB69" s="7">
        <v>1</v>
      </c>
      <c r="AC69" s="8">
        <f t="shared" si="7"/>
        <v>512</v>
      </c>
      <c r="AD69" s="8">
        <v>0</v>
      </c>
      <c r="AE69" s="8">
        <f t="shared" si="8"/>
        <v>0</v>
      </c>
      <c r="AF69" s="8">
        <f t="shared" si="4"/>
        <v>0</v>
      </c>
      <c r="AG69" s="8" t="s">
        <v>112</v>
      </c>
      <c r="AH69" s="8">
        <f t="shared" si="9"/>
        <v>1152</v>
      </c>
      <c r="AI69" s="8" t="s">
        <v>119</v>
      </c>
      <c r="AJ69" s="8" t="s">
        <v>121</v>
      </c>
      <c r="AQ69" s="1">
        <v>512</v>
      </c>
    </row>
    <row r="70" spans="2:43" x14ac:dyDescent="0.25">
      <c r="B70" s="2" t="s">
        <v>87</v>
      </c>
      <c r="C70" s="2" t="s">
        <v>88</v>
      </c>
      <c r="D70" s="2" t="s">
        <v>72</v>
      </c>
      <c r="E70" s="2" t="s">
        <v>71</v>
      </c>
      <c r="F70" s="2">
        <v>4.1000000000000002E-2</v>
      </c>
      <c r="G70" s="3">
        <v>0.375</v>
      </c>
      <c r="H70" s="2">
        <v>0</v>
      </c>
      <c r="I70" s="2">
        <v>128</v>
      </c>
      <c r="J70" s="2">
        <v>0</v>
      </c>
      <c r="K70" s="2"/>
      <c r="L70" s="2"/>
      <c r="M70" s="2"/>
      <c r="N70" s="8">
        <f t="shared" ref="N70:N78" si="10">+H70+I70+J70+K70+L70+M70-SUM(O70:Y70)</f>
        <v>0</v>
      </c>
      <c r="O70" s="2"/>
      <c r="P70" s="2"/>
      <c r="Q70" s="2">
        <v>128</v>
      </c>
      <c r="R70" s="19"/>
      <c r="S70" s="2"/>
      <c r="T70" s="2"/>
      <c r="U70" s="19"/>
      <c r="V70" s="2"/>
      <c r="W70" s="2"/>
      <c r="X70" s="2"/>
      <c r="Y70" s="2"/>
      <c r="Z70" s="7">
        <f t="shared" ref="Z70:Z78" si="11">+G70*SUM(H70:M70)</f>
        <v>48</v>
      </c>
      <c r="AA70" s="7">
        <v>288</v>
      </c>
      <c r="AB70" s="7">
        <v>0</v>
      </c>
      <c r="AC70" s="8">
        <f t="shared" ref="AC70:AC78" si="12">+H70*AB70</f>
        <v>0</v>
      </c>
      <c r="AD70" s="8">
        <v>1</v>
      </c>
      <c r="AE70" s="8">
        <f t="shared" ref="AE70:AE78" si="13">+H70*AD70</f>
        <v>0</v>
      </c>
      <c r="AF70" s="8">
        <f t="shared" si="4"/>
        <v>0</v>
      </c>
      <c r="AG70" s="8" t="s">
        <v>113</v>
      </c>
      <c r="AH70" s="8">
        <f t="shared" si="9"/>
        <v>128</v>
      </c>
      <c r="AI70" s="8" t="s">
        <v>119</v>
      </c>
      <c r="AJ70" s="8" t="s">
        <v>121</v>
      </c>
      <c r="AQ70" s="1">
        <v>0</v>
      </c>
    </row>
    <row r="71" spans="2:43" x14ac:dyDescent="0.25">
      <c r="B71" s="2" t="s">
        <v>87</v>
      </c>
      <c r="C71" s="2" t="s">
        <v>88</v>
      </c>
      <c r="D71" s="2" t="s">
        <v>73</v>
      </c>
      <c r="E71" s="2" t="s">
        <v>71</v>
      </c>
      <c r="F71" s="2">
        <v>4.4999999999999998E-2</v>
      </c>
      <c r="G71" s="3">
        <v>0.35599999999999998</v>
      </c>
      <c r="H71" s="2">
        <v>0</v>
      </c>
      <c r="I71" s="2">
        <v>128</v>
      </c>
      <c r="J71" s="2">
        <v>0</v>
      </c>
      <c r="K71" s="2"/>
      <c r="L71" s="2"/>
      <c r="M71" s="2"/>
      <c r="N71" s="8">
        <f t="shared" si="10"/>
        <v>0</v>
      </c>
      <c r="O71" s="2"/>
      <c r="P71" s="2"/>
      <c r="Q71" s="2">
        <v>128</v>
      </c>
      <c r="R71" s="19"/>
      <c r="S71" s="2"/>
      <c r="T71" s="2"/>
      <c r="U71" s="19"/>
      <c r="V71" s="2"/>
      <c r="W71" s="2"/>
      <c r="X71" s="2"/>
      <c r="Y71" s="2"/>
      <c r="Z71" s="7">
        <f t="shared" si="11"/>
        <v>45.567999999999998</v>
      </c>
      <c r="AA71" s="7">
        <v>288</v>
      </c>
      <c r="AB71" s="7">
        <v>1</v>
      </c>
      <c r="AC71" s="8">
        <f t="shared" si="12"/>
        <v>0</v>
      </c>
      <c r="AD71" s="8">
        <v>0</v>
      </c>
      <c r="AE71" s="8">
        <f t="shared" si="13"/>
        <v>0</v>
      </c>
      <c r="AF71" s="8">
        <f t="shared" ref="AF71:AF78" si="14">+AE71*2</f>
        <v>0</v>
      </c>
      <c r="AG71" s="8" t="s">
        <v>112</v>
      </c>
      <c r="AH71" s="8">
        <f t="shared" si="9"/>
        <v>128</v>
      </c>
      <c r="AI71" s="8" t="s">
        <v>119</v>
      </c>
      <c r="AJ71" s="8" t="s">
        <v>121</v>
      </c>
      <c r="AQ71" s="1">
        <v>0</v>
      </c>
    </row>
    <row r="72" spans="2:43" x14ac:dyDescent="0.25">
      <c r="B72" s="2" t="s">
        <v>87</v>
      </c>
      <c r="C72" s="2" t="s">
        <v>88</v>
      </c>
      <c r="D72" s="2" t="s">
        <v>74</v>
      </c>
      <c r="E72" s="2" t="s">
        <v>71</v>
      </c>
      <c r="F72" s="2">
        <v>4.4999999999999998E-2</v>
      </c>
      <c r="G72" s="3">
        <v>0.35199999999999998</v>
      </c>
      <c r="H72" s="2">
        <v>0</v>
      </c>
      <c r="I72" s="2">
        <v>0</v>
      </c>
      <c r="J72" s="2">
        <v>0</v>
      </c>
      <c r="K72" s="2"/>
      <c r="L72" s="2"/>
      <c r="M72" s="2"/>
      <c r="N72" s="8">
        <f t="shared" si="10"/>
        <v>-128</v>
      </c>
      <c r="O72" s="2"/>
      <c r="P72" s="2"/>
      <c r="Q72" s="2"/>
      <c r="R72" s="19"/>
      <c r="S72" s="2"/>
      <c r="T72" s="2">
        <v>128</v>
      </c>
      <c r="U72" s="19"/>
      <c r="V72" s="2"/>
      <c r="W72" s="2"/>
      <c r="X72" s="2"/>
      <c r="Y72" s="2"/>
      <c r="Z72" s="7">
        <f t="shared" si="11"/>
        <v>0</v>
      </c>
      <c r="AA72" s="7">
        <v>288</v>
      </c>
      <c r="AB72" s="7">
        <v>1</v>
      </c>
      <c r="AC72" s="8">
        <f t="shared" si="12"/>
        <v>0</v>
      </c>
      <c r="AD72" s="8">
        <v>0</v>
      </c>
      <c r="AE72" s="8">
        <f t="shared" si="13"/>
        <v>0</v>
      </c>
      <c r="AF72" s="8">
        <f t="shared" si="14"/>
        <v>0</v>
      </c>
      <c r="AG72" s="8" t="s">
        <v>114</v>
      </c>
      <c r="AH72" s="8">
        <f t="shared" si="9"/>
        <v>0</v>
      </c>
      <c r="AI72" s="8" t="s">
        <v>119</v>
      </c>
      <c r="AJ72" s="8" t="s">
        <v>121</v>
      </c>
      <c r="AQ72" s="1">
        <v>0</v>
      </c>
    </row>
    <row r="73" spans="2:43" x14ac:dyDescent="0.25">
      <c r="B73" s="2" t="s">
        <v>87</v>
      </c>
      <c r="C73" s="2" t="s">
        <v>88</v>
      </c>
      <c r="D73" s="2" t="s">
        <v>75</v>
      </c>
      <c r="E73" s="2" t="s">
        <v>71</v>
      </c>
      <c r="F73" s="2">
        <v>4.4999999999999998E-2</v>
      </c>
      <c r="G73" s="3">
        <v>0.35299999999999998</v>
      </c>
      <c r="H73" s="2">
        <v>0</v>
      </c>
      <c r="I73" s="2">
        <v>128</v>
      </c>
      <c r="J73" s="2">
        <v>0</v>
      </c>
      <c r="K73" s="2"/>
      <c r="L73" s="2"/>
      <c r="M73" s="2"/>
      <c r="N73" s="8">
        <f t="shared" si="10"/>
        <v>-128</v>
      </c>
      <c r="O73" s="2"/>
      <c r="P73" s="2">
        <v>128</v>
      </c>
      <c r="Q73" s="2">
        <v>128</v>
      </c>
      <c r="R73" s="19"/>
      <c r="S73" s="2"/>
      <c r="T73" s="2"/>
      <c r="U73" s="19"/>
      <c r="V73" s="2"/>
      <c r="W73" s="2"/>
      <c r="X73" s="2"/>
      <c r="Y73" s="2"/>
      <c r="Z73" s="7">
        <f t="shared" si="11"/>
        <v>45.183999999999997</v>
      </c>
      <c r="AA73" s="7">
        <v>288</v>
      </c>
      <c r="AB73" s="7">
        <v>1</v>
      </c>
      <c r="AC73" s="8">
        <f t="shared" si="12"/>
        <v>0</v>
      </c>
      <c r="AD73" s="8">
        <v>0</v>
      </c>
      <c r="AE73" s="8">
        <f t="shared" si="13"/>
        <v>0</v>
      </c>
      <c r="AF73" s="8">
        <f t="shared" si="14"/>
        <v>0</v>
      </c>
      <c r="AG73" s="8" t="s">
        <v>115</v>
      </c>
      <c r="AH73" s="8">
        <f t="shared" si="9"/>
        <v>128</v>
      </c>
      <c r="AI73" s="8" t="s">
        <v>119</v>
      </c>
      <c r="AJ73" s="8" t="s">
        <v>121</v>
      </c>
      <c r="AQ73" s="1">
        <v>0</v>
      </c>
    </row>
    <row r="74" spans="2:43" x14ac:dyDescent="0.25">
      <c r="B74" s="2" t="s">
        <v>87</v>
      </c>
      <c r="C74" s="2" t="s">
        <v>88</v>
      </c>
      <c r="D74" s="2" t="s">
        <v>76</v>
      </c>
      <c r="E74" s="2" t="s">
        <v>71</v>
      </c>
      <c r="F74" s="2">
        <v>4.4999999999999998E-2</v>
      </c>
      <c r="G74" s="3">
        <v>0.35599999999999998</v>
      </c>
      <c r="H74" s="2">
        <v>0</v>
      </c>
      <c r="I74" s="2">
        <v>0</v>
      </c>
      <c r="J74" s="2">
        <v>0</v>
      </c>
      <c r="K74" s="2"/>
      <c r="L74" s="2"/>
      <c r="M74" s="2"/>
      <c r="N74" s="8">
        <f t="shared" si="10"/>
        <v>0</v>
      </c>
      <c r="O74" s="2"/>
      <c r="P74" s="2"/>
      <c r="Q74" s="2"/>
      <c r="R74" s="19"/>
      <c r="S74" s="2"/>
      <c r="T74" s="2"/>
      <c r="U74" s="19"/>
      <c r="V74" s="2"/>
      <c r="W74" s="2"/>
      <c r="X74" s="2"/>
      <c r="Y74" s="2"/>
      <c r="Z74" s="7">
        <f t="shared" si="11"/>
        <v>0</v>
      </c>
      <c r="AA74" s="7">
        <v>288</v>
      </c>
      <c r="AB74" s="7">
        <v>1</v>
      </c>
      <c r="AC74" s="8">
        <f t="shared" si="12"/>
        <v>0</v>
      </c>
      <c r="AD74" s="8">
        <v>0</v>
      </c>
      <c r="AE74" s="8">
        <f t="shared" si="13"/>
        <v>0</v>
      </c>
      <c r="AF74" s="8">
        <f t="shared" si="14"/>
        <v>0</v>
      </c>
      <c r="AG74" s="8" t="s">
        <v>115</v>
      </c>
      <c r="AH74" s="8">
        <f t="shared" si="9"/>
        <v>0</v>
      </c>
      <c r="AI74" s="8" t="s">
        <v>119</v>
      </c>
      <c r="AJ74" s="8" t="s">
        <v>121</v>
      </c>
      <c r="AQ74" s="1">
        <v>0</v>
      </c>
    </row>
    <row r="75" spans="2:43" x14ac:dyDescent="0.25">
      <c r="B75" s="2" t="s">
        <v>87</v>
      </c>
      <c r="C75" s="2" t="s">
        <v>88</v>
      </c>
      <c r="D75" s="2" t="s">
        <v>77</v>
      </c>
      <c r="E75" s="2" t="s">
        <v>71</v>
      </c>
      <c r="F75" s="2">
        <v>4.1000000000000002E-2</v>
      </c>
      <c r="G75" s="3">
        <v>0.441</v>
      </c>
      <c r="H75" s="2">
        <v>0</v>
      </c>
      <c r="I75" s="2">
        <v>0</v>
      </c>
      <c r="J75" s="2">
        <v>0</v>
      </c>
      <c r="K75" s="2"/>
      <c r="L75" s="2"/>
      <c r="M75" s="2"/>
      <c r="N75" s="8">
        <f t="shared" si="10"/>
        <v>0</v>
      </c>
      <c r="O75" s="2"/>
      <c r="P75" s="2"/>
      <c r="Q75" s="2"/>
      <c r="R75" s="19"/>
      <c r="S75" s="2"/>
      <c r="T75" s="2"/>
      <c r="U75" s="19"/>
      <c r="V75" s="2"/>
      <c r="W75" s="2"/>
      <c r="X75" s="2"/>
      <c r="Y75" s="2"/>
      <c r="Z75" s="7">
        <f t="shared" si="11"/>
        <v>0</v>
      </c>
      <c r="AA75" s="7">
        <v>288</v>
      </c>
      <c r="AB75" s="7">
        <v>0</v>
      </c>
      <c r="AC75" s="8">
        <f t="shared" si="12"/>
        <v>0</v>
      </c>
      <c r="AD75" s="8">
        <v>0</v>
      </c>
      <c r="AE75" s="8">
        <f t="shared" si="13"/>
        <v>0</v>
      </c>
      <c r="AF75" s="8">
        <f t="shared" si="14"/>
        <v>0</v>
      </c>
      <c r="AG75" s="8" t="s">
        <v>116</v>
      </c>
      <c r="AH75" s="8">
        <f t="shared" si="9"/>
        <v>0</v>
      </c>
      <c r="AI75" s="8" t="s">
        <v>119</v>
      </c>
      <c r="AJ75" s="8" t="s">
        <v>121</v>
      </c>
      <c r="AQ75" s="1">
        <v>0</v>
      </c>
    </row>
    <row r="76" spans="2:43" x14ac:dyDescent="0.25">
      <c r="B76" s="2" t="s">
        <v>87</v>
      </c>
      <c r="C76" s="2" t="s">
        <v>88</v>
      </c>
      <c r="D76" s="2" t="s">
        <v>78</v>
      </c>
      <c r="E76" s="2" t="s">
        <v>71</v>
      </c>
      <c r="F76" s="2">
        <v>4.4999999999999998E-2</v>
      </c>
      <c r="G76" s="3">
        <v>0.374</v>
      </c>
      <c r="H76" s="2">
        <v>128</v>
      </c>
      <c r="I76" s="2">
        <v>427</v>
      </c>
      <c r="J76" s="2">
        <v>0</v>
      </c>
      <c r="K76" s="2"/>
      <c r="L76" s="2"/>
      <c r="M76" s="2"/>
      <c r="N76" s="8">
        <f t="shared" si="10"/>
        <v>-85</v>
      </c>
      <c r="O76" s="2">
        <v>128</v>
      </c>
      <c r="P76" s="2"/>
      <c r="Q76" s="2"/>
      <c r="R76" s="19"/>
      <c r="S76" s="2">
        <v>512</v>
      </c>
      <c r="T76" s="2"/>
      <c r="U76" s="19"/>
      <c r="V76" s="2"/>
      <c r="W76" s="2"/>
      <c r="X76" s="2"/>
      <c r="Y76" s="2"/>
      <c r="Z76" s="7">
        <f t="shared" si="11"/>
        <v>207.57</v>
      </c>
      <c r="AA76" s="7">
        <v>288</v>
      </c>
      <c r="AB76" s="7">
        <v>1</v>
      </c>
      <c r="AC76" s="8">
        <f t="shared" si="12"/>
        <v>128</v>
      </c>
      <c r="AD76" s="8">
        <v>0</v>
      </c>
      <c r="AE76" s="8">
        <f t="shared" si="13"/>
        <v>0</v>
      </c>
      <c r="AF76" s="8">
        <f t="shared" si="14"/>
        <v>0</v>
      </c>
      <c r="AG76" s="8" t="s">
        <v>112</v>
      </c>
      <c r="AH76" s="8">
        <f t="shared" si="9"/>
        <v>555</v>
      </c>
      <c r="AI76" s="8" t="s">
        <v>119</v>
      </c>
      <c r="AJ76" s="8" t="s">
        <v>121</v>
      </c>
      <c r="AQ76" s="1">
        <v>128</v>
      </c>
    </row>
    <row r="77" spans="2:43" x14ac:dyDescent="0.25">
      <c r="B77" s="2" t="s">
        <v>87</v>
      </c>
      <c r="C77" s="2" t="s">
        <v>88</v>
      </c>
      <c r="D77" s="2" t="s">
        <v>79</v>
      </c>
      <c r="E77" s="2" t="s">
        <v>71</v>
      </c>
      <c r="F77" s="2">
        <v>4.1000000000000002E-2</v>
      </c>
      <c r="G77" s="3">
        <v>0.41599999999999998</v>
      </c>
      <c r="H77" s="2">
        <v>0</v>
      </c>
      <c r="I77" s="2">
        <v>0</v>
      </c>
      <c r="J77" s="2">
        <v>0</v>
      </c>
      <c r="K77" s="2"/>
      <c r="L77" s="2"/>
      <c r="M77" s="2"/>
      <c r="N77" s="8">
        <f t="shared" si="10"/>
        <v>0</v>
      </c>
      <c r="O77" s="2"/>
      <c r="P77" s="2"/>
      <c r="Q77" s="2"/>
      <c r="R77" s="19"/>
      <c r="S77" s="2"/>
      <c r="T77" s="2"/>
      <c r="U77" s="19"/>
      <c r="V77" s="2"/>
      <c r="W77" s="2"/>
      <c r="X77" s="2"/>
      <c r="Y77" s="2"/>
      <c r="Z77" s="7">
        <f t="shared" si="11"/>
        <v>0</v>
      </c>
      <c r="AA77" s="7">
        <v>288</v>
      </c>
      <c r="AB77" s="7">
        <v>0</v>
      </c>
      <c r="AC77" s="8">
        <f t="shared" si="12"/>
        <v>0</v>
      </c>
      <c r="AD77" s="8">
        <v>1</v>
      </c>
      <c r="AE77" s="8">
        <f t="shared" si="13"/>
        <v>0</v>
      </c>
      <c r="AF77" s="8">
        <f t="shared" si="14"/>
        <v>0</v>
      </c>
      <c r="AG77" s="8" t="s">
        <v>117</v>
      </c>
      <c r="AH77" s="8">
        <f t="shared" si="9"/>
        <v>0</v>
      </c>
      <c r="AI77" s="8" t="s">
        <v>119</v>
      </c>
      <c r="AJ77" s="8" t="s">
        <v>121</v>
      </c>
      <c r="AQ77" s="1">
        <v>0</v>
      </c>
    </row>
    <row r="78" spans="2:43" x14ac:dyDescent="0.25">
      <c r="B78" s="2" t="s">
        <v>87</v>
      </c>
      <c r="C78" s="2" t="s">
        <v>88</v>
      </c>
      <c r="D78" s="2" t="s">
        <v>80</v>
      </c>
      <c r="E78" s="2" t="s">
        <v>71</v>
      </c>
      <c r="F78" s="2">
        <v>4.4999999999999998E-2</v>
      </c>
      <c r="G78" s="3">
        <v>0.39500000000000002</v>
      </c>
      <c r="H78" s="2">
        <v>0</v>
      </c>
      <c r="I78" s="2">
        <v>128</v>
      </c>
      <c r="J78" s="2">
        <v>0</v>
      </c>
      <c r="K78" s="2"/>
      <c r="L78" s="2"/>
      <c r="M78" s="2"/>
      <c r="N78" s="8">
        <f t="shared" si="10"/>
        <v>0</v>
      </c>
      <c r="O78" s="2"/>
      <c r="P78" s="2"/>
      <c r="Q78" s="2">
        <v>128</v>
      </c>
      <c r="R78" s="19"/>
      <c r="S78" s="2"/>
      <c r="T78" s="2"/>
      <c r="U78" s="19"/>
      <c r="V78" s="2"/>
      <c r="W78" s="2"/>
      <c r="X78" s="2"/>
      <c r="Y78" s="2"/>
      <c r="Z78" s="7">
        <f t="shared" si="11"/>
        <v>50.56</v>
      </c>
      <c r="AA78" s="7">
        <v>288</v>
      </c>
      <c r="AB78" s="7">
        <v>1</v>
      </c>
      <c r="AC78" s="8">
        <f t="shared" si="12"/>
        <v>0</v>
      </c>
      <c r="AD78" s="8">
        <v>0</v>
      </c>
      <c r="AE78" s="8">
        <f t="shared" si="13"/>
        <v>0</v>
      </c>
      <c r="AF78" s="8">
        <f t="shared" si="14"/>
        <v>0</v>
      </c>
      <c r="AG78" s="8" t="s">
        <v>112</v>
      </c>
      <c r="AH78" s="8">
        <f t="shared" si="9"/>
        <v>128</v>
      </c>
      <c r="AI78" s="8" t="s">
        <v>119</v>
      </c>
      <c r="AJ78" s="8" t="s">
        <v>121</v>
      </c>
      <c r="AQ78" s="1">
        <v>0</v>
      </c>
    </row>
    <row r="79" spans="2:43" x14ac:dyDescent="0.25">
      <c r="G79" s="4" t="s">
        <v>102</v>
      </c>
      <c r="H79" s="9">
        <f>SUM(H6:H78)</f>
        <v>24591</v>
      </c>
      <c r="I79" s="9">
        <f t="shared" ref="I79:M79" si="15">SUM(I6:I78)</f>
        <v>1515</v>
      </c>
      <c r="J79" s="9">
        <f t="shared" si="15"/>
        <v>8168</v>
      </c>
      <c r="K79" s="9">
        <f t="shared" si="15"/>
        <v>0</v>
      </c>
      <c r="L79" s="9">
        <f t="shared" si="15"/>
        <v>0</v>
      </c>
      <c r="M79" s="9">
        <f t="shared" si="15"/>
        <v>0</v>
      </c>
      <c r="N79" s="13">
        <f>SUM(N6:N78)</f>
        <v>-6057</v>
      </c>
      <c r="O79" s="9">
        <f t="shared" ref="O79:AF79" si="16">SUM(O6:O78)</f>
        <v>3706</v>
      </c>
      <c r="P79" s="9">
        <f t="shared" si="16"/>
        <v>4258</v>
      </c>
      <c r="Q79" s="9">
        <f t="shared" si="16"/>
        <v>6671</v>
      </c>
      <c r="R79" s="20">
        <f t="shared" si="16"/>
        <v>4959</v>
      </c>
      <c r="S79" s="9">
        <f t="shared" si="16"/>
        <v>4407</v>
      </c>
      <c r="T79" s="9">
        <f t="shared" si="16"/>
        <v>4834</v>
      </c>
      <c r="U79" s="20">
        <f t="shared" si="16"/>
        <v>1982</v>
      </c>
      <c r="V79" s="9">
        <f t="shared" si="16"/>
        <v>3107</v>
      </c>
      <c r="W79" s="9">
        <f t="shared" si="16"/>
        <v>2659</v>
      </c>
      <c r="X79" s="9">
        <f t="shared" si="16"/>
        <v>3748</v>
      </c>
      <c r="Y79" s="9">
        <f t="shared" si="16"/>
        <v>0</v>
      </c>
      <c r="Z79" s="9">
        <f t="shared" si="16"/>
        <v>4027.0580000000004</v>
      </c>
      <c r="AA79" s="9"/>
      <c r="AB79" s="10">
        <f t="shared" si="16"/>
        <v>14</v>
      </c>
      <c r="AC79" s="11">
        <f t="shared" si="16"/>
        <v>640</v>
      </c>
      <c r="AD79" s="11">
        <f t="shared" si="16"/>
        <v>2</v>
      </c>
      <c r="AE79" s="11">
        <f t="shared" si="16"/>
        <v>0</v>
      </c>
      <c r="AF79" s="11">
        <f t="shared" si="16"/>
        <v>0</v>
      </c>
      <c r="AH79" s="11">
        <f>SUM(AH6:AH78)</f>
        <v>4523</v>
      </c>
    </row>
    <row r="80" spans="2:43" x14ac:dyDescent="0.25">
      <c r="G80" s="4" t="s">
        <v>108</v>
      </c>
      <c r="H80" s="91">
        <f>+H79+I79+J79+K79+L79+M79</f>
        <v>34274</v>
      </c>
      <c r="I80" s="91"/>
      <c r="J80" s="91"/>
      <c r="K80" s="91"/>
      <c r="L80" s="91"/>
      <c r="M80" s="91"/>
      <c r="O80" s="108">
        <f>+O79+P79</f>
        <v>7964</v>
      </c>
      <c r="P80" s="86"/>
      <c r="Q80" s="108">
        <f>+Q79+R79</f>
        <v>11630</v>
      </c>
      <c r="R80" s="86"/>
      <c r="S80" s="108">
        <f>+S79+T79</f>
        <v>9241</v>
      </c>
      <c r="T80" s="86"/>
      <c r="U80" s="108">
        <f t="shared" ref="U80" si="17">+U79+V79</f>
        <v>5089</v>
      </c>
      <c r="V80" s="86"/>
      <c r="W80" s="108">
        <f>+W79+X79</f>
        <v>6407</v>
      </c>
      <c r="X80" s="86"/>
      <c r="Y80" s="12">
        <f>+Y79</f>
        <v>0</v>
      </c>
    </row>
    <row r="81" spans="2:23" x14ac:dyDescent="0.25">
      <c r="H81" s="1">
        <v>29724</v>
      </c>
      <c r="I81" s="1">
        <f>SUM(I13:I78)</f>
        <v>1515</v>
      </c>
      <c r="J81" s="1">
        <f>SUM(J13:J78)</f>
        <v>7168</v>
      </c>
      <c r="K81" s="1">
        <f t="shared" ref="K81:M81" si="18">SUM(K13:K78)</f>
        <v>0</v>
      </c>
      <c r="L81" s="1">
        <f t="shared" si="18"/>
        <v>0</v>
      </c>
      <c r="M81" s="1">
        <f t="shared" si="18"/>
        <v>0</v>
      </c>
    </row>
    <row r="83" spans="2:23" x14ac:dyDescent="0.25">
      <c r="B83" s="1">
        <v>8120</v>
      </c>
      <c r="E83" s="2" t="s">
        <v>138</v>
      </c>
      <c r="H83" s="2">
        <v>38407</v>
      </c>
      <c r="I83" s="2">
        <f>+H83/5</f>
        <v>7681.4</v>
      </c>
      <c r="J83" s="2">
        <f>+I83/2</f>
        <v>3840.7</v>
      </c>
    </row>
    <row r="84" spans="2:23" x14ac:dyDescent="0.25">
      <c r="B84" s="24" t="e">
        <f>+B83/B82</f>
        <v>#DIV/0!</v>
      </c>
      <c r="E84" s="2" t="s">
        <v>142</v>
      </c>
      <c r="H84" s="8">
        <v>6394</v>
      </c>
      <c r="W84" s="1">
        <f>1804+1550+855</f>
        <v>4209</v>
      </c>
    </row>
    <row r="85" spans="2:23" x14ac:dyDescent="0.25">
      <c r="E85" s="2" t="s">
        <v>139</v>
      </c>
      <c r="H85" s="2">
        <f>+H83-H84</f>
        <v>32013</v>
      </c>
    </row>
    <row r="86" spans="2:23" x14ac:dyDescent="0.25">
      <c r="E86" s="2" t="s">
        <v>136</v>
      </c>
      <c r="H86" s="25">
        <f>+H85/H83</f>
        <v>0.83351993126253032</v>
      </c>
    </row>
    <row r="87" spans="2:23" x14ac:dyDescent="0.25">
      <c r="E87" s="2" t="s">
        <v>137</v>
      </c>
      <c r="H87" s="25">
        <f>+H84/H83</f>
        <v>0.16648006873746973</v>
      </c>
    </row>
    <row r="88" spans="2:23" x14ac:dyDescent="0.25">
      <c r="H88" s="24"/>
    </row>
  </sheetData>
  <autoFilter ref="B5:AJ80" xr:uid="{00000000-0009-0000-0000-000002000000}"/>
  <mergeCells count="13">
    <mergeCell ref="C2:D2"/>
    <mergeCell ref="B3:B4"/>
    <mergeCell ref="O4:P4"/>
    <mergeCell ref="Q4:R4"/>
    <mergeCell ref="S4:T4"/>
    <mergeCell ref="U4:V4"/>
    <mergeCell ref="W4:X4"/>
    <mergeCell ref="W80:X80"/>
    <mergeCell ref="H80:M80"/>
    <mergeCell ref="O80:P80"/>
    <mergeCell ref="Q80:R80"/>
    <mergeCell ref="S80:T80"/>
    <mergeCell ref="U80:V80"/>
  </mergeCells>
  <pageMargins left="0.70866141732283472" right="0.70866141732283472" top="0.74803149606299213" bottom="0.74803149606299213" header="0.31496062992125984" footer="0.31496062992125984"/>
  <pageSetup paperSize="9" scale="28" orientation="landscape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00B050"/>
    <pageSetUpPr fitToPage="1"/>
  </sheetPr>
  <dimension ref="A1:AQ95"/>
  <sheetViews>
    <sheetView topLeftCell="A52" zoomScale="90" zoomScaleNormal="90" zoomScaleSheetLayoutView="115" workbookViewId="0">
      <pane xSplit="14" topLeftCell="O1" activePane="topRight" state="frozen"/>
      <selection activeCell="B2" sqref="B2"/>
      <selection pane="topRight" activeCell="O81" sqref="O81:P81"/>
    </sheetView>
  </sheetViews>
  <sheetFormatPr baseColWidth="10" defaultColWidth="8.7109375" defaultRowHeight="15" x14ac:dyDescent="0.25"/>
  <cols>
    <col min="1" max="1" width="8.7109375" style="17"/>
    <col min="2" max="2" width="17.7109375" style="17" bestFit="1" customWidth="1"/>
    <col min="3" max="3" width="14.42578125" style="17" bestFit="1" customWidth="1"/>
    <col min="4" max="4" width="19.140625" style="17" customWidth="1"/>
    <col min="5" max="5" width="14.5703125" style="17" bestFit="1" customWidth="1"/>
    <col min="6" max="6" width="17.7109375" style="17" bestFit="1" customWidth="1"/>
    <col min="7" max="7" width="14.85546875" style="17" hidden="1" customWidth="1"/>
    <col min="8" max="8" width="10.7109375" style="17" customWidth="1"/>
    <col min="9" max="9" width="10.140625" style="17" customWidth="1"/>
    <col min="10" max="10" width="12.28515625" style="17" customWidth="1"/>
    <col min="11" max="11" width="10" style="17" hidden="1" customWidth="1"/>
    <col min="12" max="12" width="9" style="17" hidden="1" customWidth="1"/>
    <col min="13" max="13" width="5.5703125" style="17" hidden="1" customWidth="1"/>
    <col min="14" max="14" width="10.140625" style="17" bestFit="1" customWidth="1"/>
    <col min="15" max="16" width="9.140625" style="17" bestFit="1" customWidth="1"/>
    <col min="17" max="27" width="8.7109375" style="17"/>
    <col min="28" max="28" width="8.7109375" style="17" customWidth="1"/>
    <col min="29" max="29" width="8.7109375" style="17"/>
    <col min="30" max="30" width="0" style="17" hidden="1" customWidth="1"/>
    <col min="31" max="32" width="8.7109375" style="17"/>
    <col min="33" max="33" width="10" style="17" bestFit="1" customWidth="1"/>
    <col min="34" max="34" width="10" style="17" customWidth="1"/>
    <col min="35" max="35" width="13" style="17" bestFit="1" customWidth="1"/>
    <col min="36" max="36" width="11.5703125" style="17" bestFit="1" customWidth="1"/>
    <col min="37" max="37" width="8.7109375" style="17"/>
    <col min="38" max="38" width="12.85546875" style="17" customWidth="1"/>
    <col min="39" max="39" width="16.5703125" style="17" customWidth="1"/>
    <col min="40" max="16384" width="8.7109375" style="17"/>
  </cols>
  <sheetData>
    <row r="1" spans="2:43" x14ac:dyDescent="0.25">
      <c r="G1" s="1"/>
      <c r="K1" s="1"/>
      <c r="L1" s="1"/>
      <c r="M1" s="1"/>
      <c r="AD1" s="1"/>
    </row>
    <row r="2" spans="2:43" x14ac:dyDescent="0.25">
      <c r="B2" s="4" t="s">
        <v>99</v>
      </c>
      <c r="C2" s="88" t="s">
        <v>100</v>
      </c>
      <c r="D2" s="88"/>
      <c r="G2" s="1"/>
      <c r="K2" s="1"/>
      <c r="L2" s="1"/>
      <c r="M2" s="1"/>
      <c r="AD2" s="1"/>
    </row>
    <row r="3" spans="2:43" x14ac:dyDescent="0.25">
      <c r="B3" s="89">
        <f ca="1">TODAY()</f>
        <v>46309</v>
      </c>
      <c r="C3" s="4" t="s">
        <v>97</v>
      </c>
      <c r="D3" s="2" t="s">
        <v>127</v>
      </c>
      <c r="G3" s="1"/>
      <c r="H3" s="4" t="s">
        <v>84</v>
      </c>
      <c r="K3" s="1"/>
      <c r="L3" s="1"/>
      <c r="M3" s="1"/>
      <c r="AD3" s="1"/>
    </row>
    <row r="4" spans="2:43" x14ac:dyDescent="0.25">
      <c r="B4" s="89"/>
      <c r="C4" s="4" t="s">
        <v>98</v>
      </c>
      <c r="D4" s="2"/>
      <c r="G4" s="1"/>
      <c r="H4" s="4" t="s">
        <v>85</v>
      </c>
      <c r="I4" s="90" t="s">
        <v>146</v>
      </c>
      <c r="J4" s="90"/>
      <c r="K4" s="90"/>
      <c r="L4" s="90"/>
      <c r="M4" s="90"/>
      <c r="O4" s="87">
        <v>46230</v>
      </c>
      <c r="P4" s="87"/>
      <c r="Q4" s="109">
        <v>46231</v>
      </c>
      <c r="R4" s="109"/>
      <c r="S4" s="109">
        <v>46232</v>
      </c>
      <c r="T4" s="109"/>
      <c r="U4" s="87">
        <v>46233</v>
      </c>
      <c r="V4" s="87"/>
      <c r="W4" s="87">
        <v>46234</v>
      </c>
      <c r="X4" s="87"/>
      <c r="Y4" s="6" t="s">
        <v>92</v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2:43" x14ac:dyDescent="0.25">
      <c r="B5" s="4" t="s">
        <v>0</v>
      </c>
      <c r="C5" s="4" t="s">
        <v>86</v>
      </c>
      <c r="D5" s="4" t="s">
        <v>89</v>
      </c>
      <c r="E5" s="4" t="s">
        <v>81</v>
      </c>
      <c r="F5" s="4" t="s">
        <v>82</v>
      </c>
      <c r="G5" s="4" t="s">
        <v>83</v>
      </c>
      <c r="H5" s="5">
        <v>31</v>
      </c>
      <c r="I5" s="4" t="s">
        <v>140</v>
      </c>
      <c r="J5" s="4" t="s">
        <v>141</v>
      </c>
      <c r="K5" s="4" t="s">
        <v>93</v>
      </c>
      <c r="L5" s="4" t="s">
        <v>94</v>
      </c>
      <c r="M5" s="4" t="s">
        <v>95</v>
      </c>
      <c r="N5" s="4" t="s">
        <v>96</v>
      </c>
      <c r="O5" s="4" t="s">
        <v>97</v>
      </c>
      <c r="P5" s="18" t="s">
        <v>98</v>
      </c>
      <c r="Q5" s="18" t="s">
        <v>97</v>
      </c>
      <c r="R5" s="18" t="s">
        <v>98</v>
      </c>
      <c r="S5" s="18" t="s">
        <v>97</v>
      </c>
      <c r="T5" s="4" t="s">
        <v>98</v>
      </c>
      <c r="U5" s="18" t="s">
        <v>97</v>
      </c>
      <c r="V5" s="18" t="s">
        <v>98</v>
      </c>
      <c r="W5" s="18" t="s">
        <v>97</v>
      </c>
      <c r="X5" s="18" t="s">
        <v>98</v>
      </c>
      <c r="Y5" s="4" t="s">
        <v>161</v>
      </c>
      <c r="Z5" s="4" t="s">
        <v>90</v>
      </c>
      <c r="AA5" s="4" t="s">
        <v>126</v>
      </c>
      <c r="AB5" s="4" t="s">
        <v>105</v>
      </c>
      <c r="AC5" s="4" t="s">
        <v>105</v>
      </c>
      <c r="AD5" s="4" t="s">
        <v>106</v>
      </c>
      <c r="AE5" s="4" t="s">
        <v>106</v>
      </c>
      <c r="AF5" s="4" t="s">
        <v>107</v>
      </c>
      <c r="AG5" s="4" t="s">
        <v>109</v>
      </c>
      <c r="AH5" s="4" t="s">
        <v>122</v>
      </c>
      <c r="AI5" s="4" t="s">
        <v>118</v>
      </c>
      <c r="AJ5" s="4" t="s">
        <v>120</v>
      </c>
      <c r="AK5" s="1"/>
      <c r="AL5" s="15" t="s">
        <v>123</v>
      </c>
      <c r="AM5" s="15" t="s">
        <v>125</v>
      </c>
      <c r="AN5"/>
      <c r="AO5" s="1"/>
      <c r="AP5" s="1"/>
      <c r="AQ5" s="1"/>
    </row>
    <row r="6" spans="2:43" x14ac:dyDescent="0.25">
      <c r="B6" s="26" t="s">
        <v>87</v>
      </c>
      <c r="C6" s="26" t="s">
        <v>88</v>
      </c>
      <c r="D6" s="26" t="s">
        <v>1</v>
      </c>
      <c r="E6" s="26" t="s">
        <v>2</v>
      </c>
      <c r="F6" s="2">
        <v>0.42</v>
      </c>
      <c r="G6" s="3">
        <v>0.02</v>
      </c>
      <c r="H6" s="26">
        <v>0</v>
      </c>
      <c r="I6" s="26">
        <v>3700</v>
      </c>
      <c r="J6" s="26">
        <v>2350</v>
      </c>
      <c r="K6" s="2"/>
      <c r="L6" s="2"/>
      <c r="M6" s="2"/>
      <c r="N6" s="8">
        <f>+H6+I6+J6+K6+L6+M6-SUM(O6:Y6)</f>
        <v>3515</v>
      </c>
      <c r="O6" s="2"/>
      <c r="P6" s="19"/>
      <c r="Q6" s="19"/>
      <c r="R6" s="19">
        <v>2535</v>
      </c>
      <c r="S6" s="19"/>
      <c r="T6" s="2"/>
      <c r="U6" s="19"/>
      <c r="V6" s="19"/>
      <c r="W6" s="19"/>
      <c r="X6" s="19"/>
      <c r="Y6" s="2"/>
      <c r="Z6" s="7">
        <f t="shared" ref="Z6:Z37" si="0">+G6*SUM(H6:M6)</f>
        <v>121</v>
      </c>
      <c r="AA6" s="7">
        <v>1000</v>
      </c>
      <c r="AB6" s="7">
        <v>0</v>
      </c>
      <c r="AC6" s="8">
        <f t="shared" ref="AC6:AC37" si="1">+H6*AB6</f>
        <v>0</v>
      </c>
      <c r="AD6" s="8">
        <v>0</v>
      </c>
      <c r="AE6" s="8">
        <f t="shared" ref="AE6:AE37" si="2">+H6*AD6</f>
        <v>0</v>
      </c>
      <c r="AF6" s="8">
        <f>+AE6*2</f>
        <v>0</v>
      </c>
      <c r="AG6" s="8">
        <v>0</v>
      </c>
      <c r="AH6" s="8">
        <v>0</v>
      </c>
      <c r="AI6" s="8" t="s">
        <v>119</v>
      </c>
      <c r="AJ6" s="8" t="s">
        <v>121</v>
      </c>
      <c r="AK6" s="1"/>
      <c r="AL6" s="14">
        <v>0</v>
      </c>
      <c r="AM6" s="15">
        <v>0</v>
      </c>
      <c r="AN6"/>
      <c r="AO6" s="1"/>
      <c r="AP6" s="1"/>
      <c r="AQ6" s="1">
        <v>5600</v>
      </c>
    </row>
    <row r="7" spans="2:43" x14ac:dyDescent="0.25">
      <c r="B7" s="26" t="s">
        <v>87</v>
      </c>
      <c r="C7" s="26" t="s">
        <v>88</v>
      </c>
      <c r="D7" s="26" t="s">
        <v>3</v>
      </c>
      <c r="E7" s="26" t="s">
        <v>2</v>
      </c>
      <c r="F7" s="2">
        <v>0.42</v>
      </c>
      <c r="G7" s="3">
        <v>3.1E-2</v>
      </c>
      <c r="H7" s="26">
        <v>0</v>
      </c>
      <c r="I7" s="26">
        <v>8900</v>
      </c>
      <c r="J7" s="26">
        <v>1668</v>
      </c>
      <c r="K7" s="2"/>
      <c r="L7" s="2"/>
      <c r="M7" s="2"/>
      <c r="N7" s="8">
        <f t="shared" ref="N7:N37" si="3">+H7+I7+J7+K7+L7+M7-SUM(O7:Y7)</f>
        <v>6076</v>
      </c>
      <c r="O7" s="2"/>
      <c r="P7" s="19">
        <v>1700</v>
      </c>
      <c r="Q7" s="19"/>
      <c r="R7" s="19">
        <v>1300</v>
      </c>
      <c r="S7" s="19"/>
      <c r="T7" s="2">
        <v>492</v>
      </c>
      <c r="U7" s="19"/>
      <c r="V7" s="19">
        <v>1000</v>
      </c>
      <c r="W7" s="19"/>
      <c r="X7" s="19"/>
      <c r="Y7" s="2"/>
      <c r="Z7" s="7">
        <f t="shared" si="0"/>
        <v>327.608</v>
      </c>
      <c r="AA7" s="7">
        <v>1000</v>
      </c>
      <c r="AB7" s="7">
        <v>0</v>
      </c>
      <c r="AC7" s="8">
        <f t="shared" si="1"/>
        <v>0</v>
      </c>
      <c r="AD7" s="8">
        <v>0</v>
      </c>
      <c r="AE7" s="8">
        <f t="shared" si="2"/>
        <v>0</v>
      </c>
      <c r="AF7" s="8">
        <f t="shared" ref="AF7:AF70" si="4">+AE7*2</f>
        <v>0</v>
      </c>
      <c r="AG7" s="8">
        <v>0</v>
      </c>
      <c r="AH7" s="8">
        <v>0</v>
      </c>
      <c r="AI7" s="8" t="s">
        <v>119</v>
      </c>
      <c r="AJ7" s="8" t="s">
        <v>121</v>
      </c>
      <c r="AK7" s="1"/>
      <c r="AL7" s="14" t="s">
        <v>117</v>
      </c>
      <c r="AM7" s="15">
        <v>128</v>
      </c>
      <c r="AN7"/>
      <c r="AO7" s="1"/>
      <c r="AP7" s="1"/>
      <c r="AQ7" s="1">
        <v>4338</v>
      </c>
    </row>
    <row r="8" spans="2:43" x14ac:dyDescent="0.25">
      <c r="B8" s="26" t="s">
        <v>87</v>
      </c>
      <c r="C8" s="26" t="s">
        <v>88</v>
      </c>
      <c r="D8" s="26" t="s">
        <v>4</v>
      </c>
      <c r="E8" s="26" t="s">
        <v>2</v>
      </c>
      <c r="F8" s="2">
        <v>0.42</v>
      </c>
      <c r="G8" s="3">
        <v>3.3000000000000002E-2</v>
      </c>
      <c r="H8" s="26">
        <v>0</v>
      </c>
      <c r="I8" s="26">
        <v>700</v>
      </c>
      <c r="J8" s="26">
        <v>100</v>
      </c>
      <c r="K8" s="2"/>
      <c r="L8" s="2"/>
      <c r="M8" s="2"/>
      <c r="N8" s="8">
        <f t="shared" si="3"/>
        <v>672</v>
      </c>
      <c r="O8" s="2"/>
      <c r="P8" s="19">
        <v>128</v>
      </c>
      <c r="Q8" s="19"/>
      <c r="R8" s="19"/>
      <c r="S8" s="19"/>
      <c r="T8" s="2"/>
      <c r="U8" s="19"/>
      <c r="V8" s="19"/>
      <c r="W8" s="19"/>
      <c r="X8" s="19"/>
      <c r="Y8" s="2"/>
      <c r="Z8" s="7">
        <f t="shared" si="0"/>
        <v>26.400000000000002</v>
      </c>
      <c r="AA8" s="7">
        <v>1000</v>
      </c>
      <c r="AB8" s="7">
        <v>0</v>
      </c>
      <c r="AC8" s="8">
        <f t="shared" si="1"/>
        <v>0</v>
      </c>
      <c r="AD8" s="8">
        <v>0</v>
      </c>
      <c r="AE8" s="8">
        <f t="shared" si="2"/>
        <v>0</v>
      </c>
      <c r="AF8" s="8">
        <f t="shared" si="4"/>
        <v>0</v>
      </c>
      <c r="AG8" s="8">
        <v>0</v>
      </c>
      <c r="AH8" s="8">
        <v>0</v>
      </c>
      <c r="AI8" s="8" t="s">
        <v>119</v>
      </c>
      <c r="AJ8" s="8" t="s">
        <v>121</v>
      </c>
      <c r="AK8" s="1"/>
      <c r="AL8" s="14" t="s">
        <v>113</v>
      </c>
      <c r="AM8" s="15">
        <v>0</v>
      </c>
      <c r="AN8"/>
      <c r="AO8" s="1"/>
      <c r="AP8" s="1"/>
      <c r="AQ8" s="1">
        <v>1300</v>
      </c>
    </row>
    <row r="9" spans="2:43" x14ac:dyDescent="0.25">
      <c r="B9" s="26" t="s">
        <v>87</v>
      </c>
      <c r="C9" s="26" t="s">
        <v>88</v>
      </c>
      <c r="D9" s="26" t="s">
        <v>5</v>
      </c>
      <c r="E9" s="26" t="s">
        <v>2</v>
      </c>
      <c r="F9" s="2">
        <v>0.42</v>
      </c>
      <c r="G9" s="3">
        <v>1.9E-2</v>
      </c>
      <c r="H9" s="26">
        <v>0</v>
      </c>
      <c r="I9" s="26">
        <v>700</v>
      </c>
      <c r="J9" s="26">
        <v>0</v>
      </c>
      <c r="K9" s="2"/>
      <c r="L9" s="2"/>
      <c r="M9" s="2"/>
      <c r="N9" s="8">
        <f t="shared" si="3"/>
        <v>-187</v>
      </c>
      <c r="O9" s="2"/>
      <c r="P9" s="19"/>
      <c r="Q9" s="19"/>
      <c r="R9" s="19"/>
      <c r="S9" s="19"/>
      <c r="T9" s="2">
        <v>887</v>
      </c>
      <c r="U9" s="19"/>
      <c r="V9" s="19"/>
      <c r="W9" s="19"/>
      <c r="X9" s="19"/>
      <c r="Y9" s="2"/>
      <c r="Z9" s="7">
        <f t="shared" si="0"/>
        <v>13.299999999999999</v>
      </c>
      <c r="AA9" s="7">
        <v>1000</v>
      </c>
      <c r="AB9" s="7">
        <v>0</v>
      </c>
      <c r="AC9" s="8">
        <f t="shared" si="1"/>
        <v>0</v>
      </c>
      <c r="AD9" s="8">
        <v>0</v>
      </c>
      <c r="AE9" s="8">
        <f t="shared" si="2"/>
        <v>0</v>
      </c>
      <c r="AF9" s="8">
        <f t="shared" si="4"/>
        <v>0</v>
      </c>
      <c r="AG9" s="8">
        <v>0</v>
      </c>
      <c r="AH9" s="8">
        <v>0</v>
      </c>
      <c r="AI9" s="8" t="s">
        <v>119</v>
      </c>
      <c r="AJ9" s="8" t="s">
        <v>121</v>
      </c>
      <c r="AK9" s="1"/>
      <c r="AL9" s="14" t="s">
        <v>110</v>
      </c>
      <c r="AM9" s="15">
        <v>864</v>
      </c>
      <c r="AN9"/>
      <c r="AO9" s="1"/>
      <c r="AP9" s="1"/>
      <c r="AQ9" s="1">
        <v>0</v>
      </c>
    </row>
    <row r="10" spans="2:43" x14ac:dyDescent="0.25">
      <c r="B10" s="26" t="s">
        <v>87</v>
      </c>
      <c r="C10" s="26" t="s">
        <v>88</v>
      </c>
      <c r="D10" s="26" t="s">
        <v>6</v>
      </c>
      <c r="E10" s="26" t="s">
        <v>2</v>
      </c>
      <c r="F10" s="2">
        <v>0.42</v>
      </c>
      <c r="G10" s="3">
        <v>0.03</v>
      </c>
      <c r="H10" s="26">
        <v>0</v>
      </c>
      <c r="I10" s="26">
        <v>0</v>
      </c>
      <c r="J10" s="26">
        <v>1000</v>
      </c>
      <c r="K10" s="2"/>
      <c r="L10" s="2"/>
      <c r="M10" s="2"/>
      <c r="N10" s="8">
        <f t="shared" si="3"/>
        <v>200</v>
      </c>
      <c r="O10" s="2"/>
      <c r="P10" s="19"/>
      <c r="Q10" s="19"/>
      <c r="R10" s="19"/>
      <c r="S10" s="19"/>
      <c r="T10" s="2">
        <v>800</v>
      </c>
      <c r="U10" s="19"/>
      <c r="V10" s="19"/>
      <c r="W10" s="19"/>
      <c r="X10" s="19"/>
      <c r="Y10" s="2"/>
      <c r="Z10" s="7">
        <f t="shared" si="0"/>
        <v>30</v>
      </c>
      <c r="AA10" s="7">
        <v>1000</v>
      </c>
      <c r="AB10" s="7">
        <v>0</v>
      </c>
      <c r="AC10" s="8">
        <f t="shared" si="1"/>
        <v>0</v>
      </c>
      <c r="AD10" s="8">
        <v>0</v>
      </c>
      <c r="AE10" s="8">
        <f t="shared" si="2"/>
        <v>0</v>
      </c>
      <c r="AF10" s="8">
        <f t="shared" si="4"/>
        <v>0</v>
      </c>
      <c r="AG10" s="8">
        <v>0</v>
      </c>
      <c r="AH10" s="8">
        <v>0</v>
      </c>
      <c r="AI10" s="8" t="s">
        <v>119</v>
      </c>
      <c r="AJ10" s="8" t="s">
        <v>121</v>
      </c>
      <c r="AK10" s="1"/>
      <c r="AL10" s="14" t="s">
        <v>116</v>
      </c>
      <c r="AM10" s="15">
        <v>0</v>
      </c>
      <c r="AN10"/>
      <c r="AO10" s="1"/>
      <c r="AP10" s="1"/>
      <c r="AQ10" s="1">
        <v>1000</v>
      </c>
    </row>
    <row r="11" spans="2:43" x14ac:dyDescent="0.25">
      <c r="B11" s="26" t="s">
        <v>87</v>
      </c>
      <c r="C11" s="26" t="s">
        <v>88</v>
      </c>
      <c r="D11" s="26" t="s">
        <v>7</v>
      </c>
      <c r="E11" s="26" t="s">
        <v>2</v>
      </c>
      <c r="F11" s="2">
        <v>0.42</v>
      </c>
      <c r="G11" s="3">
        <v>2.1999999999999999E-2</v>
      </c>
      <c r="H11" s="26">
        <v>0</v>
      </c>
      <c r="I11" s="26">
        <v>800</v>
      </c>
      <c r="J11" s="26">
        <v>1707</v>
      </c>
      <c r="K11" s="2"/>
      <c r="L11" s="2"/>
      <c r="M11" s="2"/>
      <c r="N11" s="8">
        <f t="shared" si="3"/>
        <v>1507</v>
      </c>
      <c r="O11" s="2"/>
      <c r="P11" s="19"/>
      <c r="Q11" s="19"/>
      <c r="R11" s="19"/>
      <c r="S11" s="19"/>
      <c r="T11" s="2"/>
      <c r="U11" s="19"/>
      <c r="V11" s="19">
        <v>1000</v>
      </c>
      <c r="W11" s="19"/>
      <c r="X11" s="19"/>
      <c r="Y11" s="2"/>
      <c r="Z11" s="7">
        <f t="shared" si="0"/>
        <v>55.153999999999996</v>
      </c>
      <c r="AA11" s="7">
        <v>1000</v>
      </c>
      <c r="AB11" s="7">
        <v>0</v>
      </c>
      <c r="AC11" s="8">
        <f t="shared" si="1"/>
        <v>0</v>
      </c>
      <c r="AD11" s="8">
        <v>0</v>
      </c>
      <c r="AE11" s="8">
        <f t="shared" si="2"/>
        <v>0</v>
      </c>
      <c r="AF11" s="8">
        <f t="shared" si="4"/>
        <v>0</v>
      </c>
      <c r="AG11" s="8">
        <v>0</v>
      </c>
      <c r="AH11" s="8">
        <v>0</v>
      </c>
      <c r="AI11" s="8" t="s">
        <v>119</v>
      </c>
      <c r="AJ11" s="8" t="s">
        <v>121</v>
      </c>
      <c r="AK11" s="1"/>
      <c r="AL11" s="14" t="s">
        <v>111</v>
      </c>
      <c r="AM11" s="15">
        <v>7704</v>
      </c>
      <c r="AN11"/>
      <c r="AO11" s="1"/>
      <c r="AP11" s="1"/>
      <c r="AQ11" s="1">
        <v>1707</v>
      </c>
    </row>
    <row r="12" spans="2:43" x14ac:dyDescent="0.25">
      <c r="B12" s="2" t="s">
        <v>87</v>
      </c>
      <c r="C12" s="2" t="s">
        <v>88</v>
      </c>
      <c r="D12" s="2" t="s">
        <v>8</v>
      </c>
      <c r="E12" s="2" t="s">
        <v>2</v>
      </c>
      <c r="F12" s="2">
        <v>0.42</v>
      </c>
      <c r="G12" s="3">
        <v>2.3E-2</v>
      </c>
      <c r="H12" s="2">
        <v>0</v>
      </c>
      <c r="I12" s="2">
        <v>0</v>
      </c>
      <c r="J12" s="2">
        <v>0</v>
      </c>
      <c r="K12" s="2"/>
      <c r="L12" s="2"/>
      <c r="M12" s="2"/>
      <c r="N12" s="8">
        <f t="shared" si="3"/>
        <v>0</v>
      </c>
      <c r="O12" s="2"/>
      <c r="P12" s="19"/>
      <c r="Q12" s="2"/>
      <c r="R12" s="19"/>
      <c r="S12" s="19"/>
      <c r="T12" s="2"/>
      <c r="U12" s="19"/>
      <c r="V12" s="19"/>
      <c r="W12" s="19"/>
      <c r="X12" s="19"/>
      <c r="Y12" s="2"/>
      <c r="Z12" s="7">
        <f t="shared" si="0"/>
        <v>0</v>
      </c>
      <c r="AA12" s="7">
        <v>1000</v>
      </c>
      <c r="AB12" s="7">
        <v>0</v>
      </c>
      <c r="AC12" s="8">
        <f t="shared" si="1"/>
        <v>0</v>
      </c>
      <c r="AD12" s="8">
        <v>0</v>
      </c>
      <c r="AE12" s="8">
        <f t="shared" si="2"/>
        <v>0</v>
      </c>
      <c r="AF12" s="8">
        <f t="shared" si="4"/>
        <v>0</v>
      </c>
      <c r="AG12" s="8">
        <v>0</v>
      </c>
      <c r="AH12" s="8">
        <v>0</v>
      </c>
      <c r="AI12" s="8" t="s">
        <v>119</v>
      </c>
      <c r="AJ12" s="8" t="s">
        <v>121</v>
      </c>
      <c r="AK12" s="1"/>
      <c r="AL12" s="14" t="s">
        <v>112</v>
      </c>
      <c r="AM12" s="15">
        <v>3840</v>
      </c>
      <c r="AN12"/>
      <c r="AO12" s="1"/>
      <c r="AP12" s="1"/>
      <c r="AQ12" s="1">
        <v>0</v>
      </c>
    </row>
    <row r="13" spans="2:43" x14ac:dyDescent="0.25">
      <c r="B13" s="2" t="s">
        <v>87</v>
      </c>
      <c r="C13" s="2" t="s">
        <v>88</v>
      </c>
      <c r="D13" s="38" t="s">
        <v>9</v>
      </c>
      <c r="E13" s="2" t="s">
        <v>10</v>
      </c>
      <c r="F13" s="2">
        <v>2.8000000000000001E-2</v>
      </c>
      <c r="G13" s="3">
        <v>5.7000000000000002E-2</v>
      </c>
      <c r="H13" s="2">
        <v>0</v>
      </c>
      <c r="I13" s="2">
        <v>0</v>
      </c>
      <c r="J13" s="2">
        <v>0</v>
      </c>
      <c r="K13" s="2"/>
      <c r="L13" s="2"/>
      <c r="M13" s="2"/>
      <c r="N13" s="8">
        <f t="shared" si="3"/>
        <v>-3900</v>
      </c>
      <c r="O13" s="2"/>
      <c r="P13" s="19"/>
      <c r="Q13" s="2"/>
      <c r="R13" s="19"/>
      <c r="S13" s="19"/>
      <c r="T13" s="2"/>
      <c r="U13" s="19"/>
      <c r="V13" s="19"/>
      <c r="W13" s="19"/>
      <c r="X13" s="19"/>
      <c r="Y13" s="2">
        <v>3900</v>
      </c>
      <c r="Z13" s="7">
        <f t="shared" si="0"/>
        <v>0</v>
      </c>
      <c r="AA13" s="7">
        <v>1000</v>
      </c>
      <c r="AB13" s="7">
        <v>0</v>
      </c>
      <c r="AC13" s="8">
        <f t="shared" si="1"/>
        <v>0</v>
      </c>
      <c r="AD13" s="8">
        <v>0</v>
      </c>
      <c r="AE13" s="8">
        <f t="shared" si="2"/>
        <v>0</v>
      </c>
      <c r="AF13" s="8">
        <f t="shared" si="4"/>
        <v>0</v>
      </c>
      <c r="AG13" s="8">
        <v>0</v>
      </c>
      <c r="AH13" s="8">
        <v>0</v>
      </c>
      <c r="AI13" s="8" t="s">
        <v>119</v>
      </c>
      <c r="AJ13" s="8" t="s">
        <v>121</v>
      </c>
      <c r="AK13" s="1"/>
      <c r="AL13" s="14" t="s">
        <v>114</v>
      </c>
      <c r="AM13" s="15">
        <v>1280</v>
      </c>
      <c r="AN13"/>
      <c r="AO13" s="1"/>
      <c r="AP13" s="1"/>
      <c r="AQ13" s="1">
        <v>-3900</v>
      </c>
    </row>
    <row r="14" spans="2:43" x14ac:dyDescent="0.25">
      <c r="B14" s="2" t="s">
        <v>87</v>
      </c>
      <c r="C14" s="2" t="s">
        <v>88</v>
      </c>
      <c r="D14" s="38" t="s">
        <v>11</v>
      </c>
      <c r="E14" s="2" t="s">
        <v>10</v>
      </c>
      <c r="F14" s="2">
        <v>2.8000000000000001E-2</v>
      </c>
      <c r="G14" s="3">
        <v>4.3999999999999997E-2</v>
      </c>
      <c r="H14" s="2">
        <v>2600</v>
      </c>
      <c r="I14" s="2">
        <v>0</v>
      </c>
      <c r="J14" s="2">
        <v>0</v>
      </c>
      <c r="K14" s="2"/>
      <c r="L14" s="2"/>
      <c r="M14" s="2"/>
      <c r="N14" s="8">
        <f t="shared" si="3"/>
        <v>-1766</v>
      </c>
      <c r="O14" s="2"/>
      <c r="P14" s="19"/>
      <c r="Q14" s="19"/>
      <c r="R14" s="19"/>
      <c r="S14" s="19"/>
      <c r="T14" s="2"/>
      <c r="U14" s="19"/>
      <c r="V14" s="19"/>
      <c r="W14" s="19"/>
      <c r="X14" s="19"/>
      <c r="Y14" s="2">
        <v>4366</v>
      </c>
      <c r="Z14" s="7">
        <f t="shared" si="0"/>
        <v>114.39999999999999</v>
      </c>
      <c r="AA14" s="7">
        <v>1000</v>
      </c>
      <c r="AB14" s="7">
        <v>0</v>
      </c>
      <c r="AC14" s="8">
        <f t="shared" si="1"/>
        <v>0</v>
      </c>
      <c r="AD14" s="8">
        <v>0</v>
      </c>
      <c r="AE14" s="8">
        <f t="shared" si="2"/>
        <v>0</v>
      </c>
      <c r="AF14" s="8">
        <f t="shared" si="4"/>
        <v>0</v>
      </c>
      <c r="AG14" s="8">
        <v>0</v>
      </c>
      <c r="AH14" s="8">
        <v>0</v>
      </c>
      <c r="AI14" s="8" t="s">
        <v>119</v>
      </c>
      <c r="AJ14" s="8" t="s">
        <v>121</v>
      </c>
      <c r="AK14" s="1"/>
      <c r="AL14" s="14" t="s">
        <v>115</v>
      </c>
      <c r="AM14" s="15">
        <v>384</v>
      </c>
      <c r="AN14"/>
      <c r="AO14" s="1"/>
      <c r="AP14" s="1"/>
      <c r="AQ14" s="1">
        <v>-2966</v>
      </c>
    </row>
    <row r="15" spans="2:43" x14ac:dyDescent="0.25">
      <c r="B15" s="2" t="s">
        <v>87</v>
      </c>
      <c r="C15" s="2" t="s">
        <v>88</v>
      </c>
      <c r="D15" s="38" t="s">
        <v>12</v>
      </c>
      <c r="E15" s="2" t="s">
        <v>10</v>
      </c>
      <c r="F15" s="2">
        <v>2.8000000000000001E-2</v>
      </c>
      <c r="G15" s="3">
        <v>1.4999999999999999E-2</v>
      </c>
      <c r="H15" s="2">
        <v>2100</v>
      </c>
      <c r="I15" s="2">
        <v>0</v>
      </c>
      <c r="J15" s="2">
        <v>0</v>
      </c>
      <c r="K15" s="2"/>
      <c r="L15" s="2"/>
      <c r="M15" s="2"/>
      <c r="N15" s="8">
        <f t="shared" si="3"/>
        <v>-2700</v>
      </c>
      <c r="O15" s="2"/>
      <c r="P15" s="19">
        <v>400</v>
      </c>
      <c r="Q15" s="19">
        <v>800</v>
      </c>
      <c r="R15" s="19"/>
      <c r="S15" s="19"/>
      <c r="T15" s="2"/>
      <c r="U15" s="19"/>
      <c r="V15" s="19"/>
      <c r="W15" s="19">
        <v>1900</v>
      </c>
      <c r="X15" s="19">
        <v>500</v>
      </c>
      <c r="Y15" s="2">
        <v>1200</v>
      </c>
      <c r="Z15" s="7">
        <f t="shared" si="0"/>
        <v>31.5</v>
      </c>
      <c r="AA15" s="7">
        <v>1000</v>
      </c>
      <c r="AB15" s="7">
        <v>0</v>
      </c>
      <c r="AC15" s="8">
        <f t="shared" si="1"/>
        <v>0</v>
      </c>
      <c r="AD15" s="8">
        <v>0</v>
      </c>
      <c r="AE15" s="8">
        <f t="shared" si="2"/>
        <v>0</v>
      </c>
      <c r="AF15" s="8">
        <f t="shared" si="4"/>
        <v>0</v>
      </c>
      <c r="AG15" s="8">
        <v>0</v>
      </c>
      <c r="AH15" s="8">
        <v>0</v>
      </c>
      <c r="AI15" s="8" t="s">
        <v>119</v>
      </c>
      <c r="AJ15" s="8" t="s">
        <v>121</v>
      </c>
      <c r="AK15" s="1"/>
      <c r="AL15" s="14" t="s">
        <v>124</v>
      </c>
      <c r="AM15" s="15">
        <v>14200</v>
      </c>
      <c r="AN15"/>
      <c r="AO15" s="1"/>
      <c r="AP15" s="1"/>
      <c r="AQ15" s="1">
        <v>2400</v>
      </c>
    </row>
    <row r="16" spans="2:43" x14ac:dyDescent="0.25">
      <c r="B16" s="2" t="s">
        <v>87</v>
      </c>
      <c r="C16" s="2" t="s">
        <v>88</v>
      </c>
      <c r="D16" s="2" t="s">
        <v>13</v>
      </c>
      <c r="E16" s="2" t="s">
        <v>10</v>
      </c>
      <c r="F16" s="2">
        <v>2.8000000000000001E-2</v>
      </c>
      <c r="G16" s="3">
        <v>1.9E-2</v>
      </c>
      <c r="H16" s="2">
        <v>0</v>
      </c>
      <c r="I16" s="2">
        <v>0</v>
      </c>
      <c r="J16" s="2">
        <v>0</v>
      </c>
      <c r="K16" s="2"/>
      <c r="L16" s="2"/>
      <c r="M16" s="2"/>
      <c r="N16" s="8">
        <f t="shared" si="3"/>
        <v>0</v>
      </c>
      <c r="O16" s="2"/>
      <c r="P16" s="19"/>
      <c r="Q16" s="2"/>
      <c r="R16" s="19"/>
      <c r="S16" s="19"/>
      <c r="T16" s="2"/>
      <c r="U16" s="19"/>
      <c r="V16" s="19"/>
      <c r="W16" s="19"/>
      <c r="X16" s="19"/>
      <c r="Y16" s="2"/>
      <c r="Z16" s="7">
        <f t="shared" si="0"/>
        <v>0</v>
      </c>
      <c r="AA16" s="7">
        <v>1000</v>
      </c>
      <c r="AB16" s="7">
        <v>0</v>
      </c>
      <c r="AC16" s="8">
        <f t="shared" si="1"/>
        <v>0</v>
      </c>
      <c r="AD16" s="8">
        <v>0</v>
      </c>
      <c r="AE16" s="8">
        <f t="shared" si="2"/>
        <v>0</v>
      </c>
      <c r="AF16" s="8">
        <f t="shared" si="4"/>
        <v>0</v>
      </c>
      <c r="AG16" s="8">
        <v>0</v>
      </c>
      <c r="AH16" s="8">
        <v>0</v>
      </c>
      <c r="AI16" s="8" t="s">
        <v>119</v>
      </c>
      <c r="AJ16" s="8" t="s">
        <v>121</v>
      </c>
      <c r="AL16" s="28"/>
      <c r="AM16" s="28"/>
      <c r="AN16" s="28"/>
      <c r="AQ16" s="1">
        <v>400</v>
      </c>
    </row>
    <row r="17" spans="2:43" x14ac:dyDescent="0.25">
      <c r="B17" s="2" t="s">
        <v>87</v>
      </c>
      <c r="C17" s="2" t="s">
        <v>88</v>
      </c>
      <c r="D17" s="38" t="s">
        <v>14</v>
      </c>
      <c r="E17" s="2" t="s">
        <v>10</v>
      </c>
      <c r="F17" s="2">
        <v>2.8000000000000001E-2</v>
      </c>
      <c r="G17" s="3">
        <v>2.4E-2</v>
      </c>
      <c r="H17" s="2">
        <v>2900</v>
      </c>
      <c r="I17" s="2">
        <v>0</v>
      </c>
      <c r="J17" s="2">
        <v>0</v>
      </c>
      <c r="K17" s="2"/>
      <c r="L17" s="2"/>
      <c r="M17" s="2"/>
      <c r="N17" s="8">
        <f t="shared" si="3"/>
        <v>-4200</v>
      </c>
      <c r="O17" s="2">
        <v>1000</v>
      </c>
      <c r="P17" s="19">
        <v>800</v>
      </c>
      <c r="Q17" s="19">
        <v>700</v>
      </c>
      <c r="R17" s="19">
        <v>900</v>
      </c>
      <c r="S17" s="19"/>
      <c r="T17" s="2">
        <v>800</v>
      </c>
      <c r="U17" s="19">
        <v>1700</v>
      </c>
      <c r="V17" s="19">
        <v>900</v>
      </c>
      <c r="W17" s="19"/>
      <c r="X17" s="19"/>
      <c r="Y17" s="2">
        <v>300</v>
      </c>
      <c r="Z17" s="7">
        <f t="shared" si="0"/>
        <v>69.600000000000009</v>
      </c>
      <c r="AA17" s="7">
        <v>1000</v>
      </c>
      <c r="AB17" s="7">
        <v>0</v>
      </c>
      <c r="AC17" s="8">
        <f t="shared" si="1"/>
        <v>0</v>
      </c>
      <c r="AD17" s="8">
        <v>0</v>
      </c>
      <c r="AE17" s="8">
        <f t="shared" si="2"/>
        <v>0</v>
      </c>
      <c r="AF17" s="8">
        <f t="shared" si="4"/>
        <v>0</v>
      </c>
      <c r="AG17" s="8">
        <v>0</v>
      </c>
      <c r="AH17" s="8">
        <v>0</v>
      </c>
      <c r="AI17" s="8" t="s">
        <v>119</v>
      </c>
      <c r="AJ17" s="8" t="s">
        <v>121</v>
      </c>
      <c r="AL17" s="28"/>
      <c r="AM17" s="28"/>
      <c r="AN17" s="28"/>
      <c r="AQ17" s="1">
        <v>3600</v>
      </c>
    </row>
    <row r="18" spans="2:43" x14ac:dyDescent="0.25">
      <c r="B18" s="2" t="s">
        <v>87</v>
      </c>
      <c r="C18" s="2" t="s">
        <v>88</v>
      </c>
      <c r="D18" s="2" t="s">
        <v>15</v>
      </c>
      <c r="E18" s="2" t="s">
        <v>10</v>
      </c>
      <c r="F18" s="2">
        <v>2.8000000000000001E-2</v>
      </c>
      <c r="G18" s="3">
        <v>1.9E-2</v>
      </c>
      <c r="H18" s="2">
        <v>300</v>
      </c>
      <c r="I18" s="2">
        <v>0</v>
      </c>
      <c r="J18" s="2">
        <v>0</v>
      </c>
      <c r="K18" s="2"/>
      <c r="L18" s="2"/>
      <c r="M18" s="2"/>
      <c r="N18" s="8">
        <f t="shared" si="3"/>
        <v>0</v>
      </c>
      <c r="O18" s="2">
        <v>300</v>
      </c>
      <c r="P18" s="19"/>
      <c r="Q18" s="2"/>
      <c r="R18" s="19"/>
      <c r="S18" s="19"/>
      <c r="T18" s="2"/>
      <c r="U18" s="19"/>
      <c r="V18" s="19"/>
      <c r="W18" s="19"/>
      <c r="X18" s="19"/>
      <c r="Y18" s="2"/>
      <c r="Z18" s="7">
        <f t="shared" si="0"/>
        <v>5.7</v>
      </c>
      <c r="AA18" s="7">
        <v>1000</v>
      </c>
      <c r="AB18" s="7">
        <v>0</v>
      </c>
      <c r="AC18" s="8">
        <f t="shared" si="1"/>
        <v>0</v>
      </c>
      <c r="AD18" s="8">
        <v>0</v>
      </c>
      <c r="AE18" s="8">
        <f t="shared" si="2"/>
        <v>0</v>
      </c>
      <c r="AF18" s="8">
        <f t="shared" si="4"/>
        <v>0</v>
      </c>
      <c r="AG18" s="8">
        <v>0</v>
      </c>
      <c r="AH18" s="8">
        <v>0</v>
      </c>
      <c r="AI18" s="8" t="s">
        <v>119</v>
      </c>
      <c r="AJ18" s="8" t="s">
        <v>121</v>
      </c>
      <c r="AL18" s="28"/>
      <c r="AM18" s="28"/>
      <c r="AN18" s="28"/>
      <c r="AQ18" s="1">
        <v>0</v>
      </c>
    </row>
    <row r="19" spans="2:43" x14ac:dyDescent="0.25">
      <c r="B19" s="2" t="s">
        <v>87</v>
      </c>
      <c r="C19" s="2" t="s">
        <v>88</v>
      </c>
      <c r="D19" s="38" t="s">
        <v>16</v>
      </c>
      <c r="E19" s="2" t="s">
        <v>17</v>
      </c>
      <c r="F19" s="2">
        <v>2.8000000000000001E-2</v>
      </c>
      <c r="G19" s="3">
        <v>8.5999999999999993E-2</v>
      </c>
      <c r="H19" s="2">
        <v>300</v>
      </c>
      <c r="I19" s="2">
        <v>0</v>
      </c>
      <c r="J19" s="2">
        <v>0</v>
      </c>
      <c r="K19" s="2"/>
      <c r="L19" s="2"/>
      <c r="M19" s="2"/>
      <c r="N19" s="8">
        <f t="shared" si="3"/>
        <v>-18</v>
      </c>
      <c r="O19" s="2">
        <v>318</v>
      </c>
      <c r="P19" s="19"/>
      <c r="Q19" s="2"/>
      <c r="R19" s="19"/>
      <c r="S19" s="19"/>
      <c r="T19" s="2"/>
      <c r="U19" s="19"/>
      <c r="V19" s="19"/>
      <c r="W19" s="19"/>
      <c r="X19" s="19"/>
      <c r="Y19" s="2"/>
      <c r="Z19" s="7">
        <f t="shared" si="0"/>
        <v>25.799999999999997</v>
      </c>
      <c r="AA19" s="7">
        <v>100</v>
      </c>
      <c r="AB19" s="7">
        <v>0</v>
      </c>
      <c r="AC19" s="8">
        <f t="shared" si="1"/>
        <v>0</v>
      </c>
      <c r="AD19" s="8">
        <v>0</v>
      </c>
      <c r="AE19" s="8">
        <f t="shared" si="2"/>
        <v>0</v>
      </c>
      <c r="AF19" s="8">
        <f t="shared" si="4"/>
        <v>0</v>
      </c>
      <c r="AG19" s="8">
        <v>0</v>
      </c>
      <c r="AH19" s="8">
        <v>0</v>
      </c>
      <c r="AI19" s="8" t="s">
        <v>119</v>
      </c>
      <c r="AJ19" s="8" t="s">
        <v>121</v>
      </c>
      <c r="AL19" s="28"/>
      <c r="AM19" s="28"/>
      <c r="AN19" s="28"/>
      <c r="AQ19" s="1">
        <v>-55</v>
      </c>
    </row>
    <row r="20" spans="2:43" x14ac:dyDescent="0.25">
      <c r="B20" s="2" t="s">
        <v>87</v>
      </c>
      <c r="C20" s="2" t="s">
        <v>88</v>
      </c>
      <c r="D20" s="38" t="s">
        <v>18</v>
      </c>
      <c r="E20" s="2" t="s">
        <v>17</v>
      </c>
      <c r="F20" s="2">
        <v>2.8000000000000001E-2</v>
      </c>
      <c r="G20" s="3">
        <v>0.11700000000000001</v>
      </c>
      <c r="H20" s="2">
        <v>400</v>
      </c>
      <c r="I20" s="2">
        <v>0</v>
      </c>
      <c r="J20" s="2">
        <v>0</v>
      </c>
      <c r="K20" s="2"/>
      <c r="L20" s="2"/>
      <c r="M20" s="2"/>
      <c r="N20" s="8">
        <f t="shared" si="3"/>
        <v>-14</v>
      </c>
      <c r="O20" s="2">
        <v>414</v>
      </c>
      <c r="P20" s="19"/>
      <c r="Q20" s="2"/>
      <c r="R20" s="19"/>
      <c r="S20" s="19"/>
      <c r="T20" s="2"/>
      <c r="U20" s="19"/>
      <c r="V20" s="19"/>
      <c r="W20" s="19"/>
      <c r="X20" s="19"/>
      <c r="Y20" s="2"/>
      <c r="Z20" s="7">
        <f t="shared" si="0"/>
        <v>46.800000000000004</v>
      </c>
      <c r="AA20" s="7">
        <v>100</v>
      </c>
      <c r="AB20" s="7">
        <v>0</v>
      </c>
      <c r="AC20" s="8">
        <f t="shared" si="1"/>
        <v>0</v>
      </c>
      <c r="AD20" s="8">
        <v>0</v>
      </c>
      <c r="AE20" s="8">
        <f t="shared" si="2"/>
        <v>0</v>
      </c>
      <c r="AF20" s="8">
        <f t="shared" si="4"/>
        <v>0</v>
      </c>
      <c r="AG20" s="8">
        <v>0</v>
      </c>
      <c r="AH20" s="8">
        <v>0</v>
      </c>
      <c r="AI20" s="8" t="s">
        <v>119</v>
      </c>
      <c r="AJ20" s="8" t="s">
        <v>121</v>
      </c>
      <c r="AL20" s="28"/>
      <c r="AM20" s="28"/>
      <c r="AN20" s="28"/>
      <c r="AQ20" s="1">
        <v>0</v>
      </c>
    </row>
    <row r="21" spans="2:43" x14ac:dyDescent="0.25">
      <c r="B21" s="2" t="s">
        <v>87</v>
      </c>
      <c r="C21" s="2" t="s">
        <v>88</v>
      </c>
      <c r="D21" s="38" t="s">
        <v>19</v>
      </c>
      <c r="E21" s="2" t="s">
        <v>17</v>
      </c>
      <c r="F21" s="2">
        <v>2.8000000000000001E-2</v>
      </c>
      <c r="G21" s="3">
        <v>0.129</v>
      </c>
      <c r="H21" s="2">
        <v>0</v>
      </c>
      <c r="I21" s="2">
        <v>0</v>
      </c>
      <c r="J21" s="2">
        <v>0</v>
      </c>
      <c r="K21" s="2"/>
      <c r="L21" s="2"/>
      <c r="M21" s="2"/>
      <c r="N21" s="8">
        <f t="shared" si="3"/>
        <v>-370</v>
      </c>
      <c r="O21" s="2"/>
      <c r="P21" s="19"/>
      <c r="Q21" s="2"/>
      <c r="R21" s="19"/>
      <c r="S21" s="19"/>
      <c r="T21" s="2"/>
      <c r="U21" s="19"/>
      <c r="V21" s="19"/>
      <c r="W21" s="19"/>
      <c r="X21" s="19"/>
      <c r="Y21" s="2">
        <v>370</v>
      </c>
      <c r="Z21" s="7">
        <f t="shared" si="0"/>
        <v>0</v>
      </c>
      <c r="AA21" s="7">
        <v>100</v>
      </c>
      <c r="AB21" s="7">
        <v>0</v>
      </c>
      <c r="AC21" s="8">
        <f t="shared" si="1"/>
        <v>0</v>
      </c>
      <c r="AD21" s="8">
        <v>0</v>
      </c>
      <c r="AE21" s="8">
        <f t="shared" si="2"/>
        <v>0</v>
      </c>
      <c r="AF21" s="8">
        <f t="shared" si="4"/>
        <v>0</v>
      </c>
      <c r="AG21" s="8">
        <v>0</v>
      </c>
      <c r="AH21" s="8">
        <v>0</v>
      </c>
      <c r="AI21" s="8" t="s">
        <v>119</v>
      </c>
      <c r="AJ21" s="8" t="s">
        <v>121</v>
      </c>
      <c r="AL21" s="28"/>
      <c r="AM21" s="28"/>
      <c r="AN21" s="28"/>
      <c r="AQ21" s="1">
        <v>-25</v>
      </c>
    </row>
    <row r="22" spans="2:43" x14ac:dyDescent="0.25">
      <c r="B22" s="2" t="s">
        <v>87</v>
      </c>
      <c r="C22" s="2" t="s">
        <v>88</v>
      </c>
      <c r="D22" s="38" t="s">
        <v>20</v>
      </c>
      <c r="E22" s="2" t="s">
        <v>17</v>
      </c>
      <c r="F22" s="2">
        <v>2.8000000000000001E-2</v>
      </c>
      <c r="G22" s="3">
        <v>0.11899999999999999</v>
      </c>
      <c r="H22" s="2">
        <v>0</v>
      </c>
      <c r="I22" s="2">
        <v>0</v>
      </c>
      <c r="J22" s="2">
        <v>0</v>
      </c>
      <c r="K22" s="2"/>
      <c r="L22" s="2"/>
      <c r="M22" s="2"/>
      <c r="N22" s="8">
        <f t="shared" si="3"/>
        <v>-755</v>
      </c>
      <c r="O22" s="2"/>
      <c r="P22" s="19"/>
      <c r="Q22" s="2"/>
      <c r="R22" s="19"/>
      <c r="S22" s="19"/>
      <c r="T22" s="2"/>
      <c r="U22" s="19"/>
      <c r="V22" s="19"/>
      <c r="W22" s="19"/>
      <c r="X22" s="19">
        <v>505</v>
      </c>
      <c r="Y22" s="2">
        <v>250</v>
      </c>
      <c r="Z22" s="7">
        <f t="shared" si="0"/>
        <v>0</v>
      </c>
      <c r="AA22" s="7">
        <v>100</v>
      </c>
      <c r="AB22" s="7">
        <v>0</v>
      </c>
      <c r="AC22" s="8">
        <f t="shared" si="1"/>
        <v>0</v>
      </c>
      <c r="AD22" s="8">
        <v>0</v>
      </c>
      <c r="AE22" s="8">
        <f t="shared" si="2"/>
        <v>0</v>
      </c>
      <c r="AF22" s="8">
        <f t="shared" si="4"/>
        <v>0</v>
      </c>
      <c r="AG22" s="8">
        <v>0</v>
      </c>
      <c r="AH22" s="8">
        <v>0</v>
      </c>
      <c r="AI22" s="8" t="s">
        <v>119</v>
      </c>
      <c r="AJ22" s="8" t="s">
        <v>121</v>
      </c>
      <c r="AL22" s="28"/>
      <c r="AM22" s="28"/>
      <c r="AN22" s="28"/>
      <c r="AQ22" s="1">
        <v>-250</v>
      </c>
    </row>
    <row r="23" spans="2:43" x14ac:dyDescent="0.25">
      <c r="B23" s="2" t="s">
        <v>87</v>
      </c>
      <c r="C23" s="2" t="s">
        <v>88</v>
      </c>
      <c r="D23" s="38" t="s">
        <v>21</v>
      </c>
      <c r="E23" s="2" t="s">
        <v>17</v>
      </c>
      <c r="F23" s="2">
        <v>2.8000000000000001E-2</v>
      </c>
      <c r="G23" s="3">
        <v>0.127</v>
      </c>
      <c r="H23" s="2">
        <v>0</v>
      </c>
      <c r="I23" s="2">
        <v>0</v>
      </c>
      <c r="J23" s="2">
        <v>0</v>
      </c>
      <c r="K23" s="2"/>
      <c r="L23" s="2"/>
      <c r="M23" s="2"/>
      <c r="N23" s="8">
        <f t="shared" si="3"/>
        <v>-945</v>
      </c>
      <c r="O23" s="2"/>
      <c r="P23" s="19"/>
      <c r="Q23" s="2"/>
      <c r="R23" s="19"/>
      <c r="S23" s="19"/>
      <c r="T23" s="2"/>
      <c r="U23" s="19"/>
      <c r="V23" s="19"/>
      <c r="W23" s="19"/>
      <c r="X23" s="19"/>
      <c r="Y23" s="2">
        <v>945</v>
      </c>
      <c r="Z23" s="7">
        <f t="shared" si="0"/>
        <v>0</v>
      </c>
      <c r="AA23" s="7">
        <v>100</v>
      </c>
      <c r="AB23" s="7">
        <v>0</v>
      </c>
      <c r="AC23" s="8">
        <f t="shared" si="1"/>
        <v>0</v>
      </c>
      <c r="AD23" s="8">
        <v>0</v>
      </c>
      <c r="AE23" s="8">
        <f t="shared" si="2"/>
        <v>0</v>
      </c>
      <c r="AF23" s="8">
        <f t="shared" si="4"/>
        <v>0</v>
      </c>
      <c r="AG23" s="8">
        <v>0</v>
      </c>
      <c r="AH23" s="8">
        <v>0</v>
      </c>
      <c r="AI23" s="8" t="s">
        <v>119</v>
      </c>
      <c r="AJ23" s="8" t="s">
        <v>121</v>
      </c>
      <c r="AQ23" s="1">
        <v>0</v>
      </c>
    </row>
    <row r="24" spans="2:43" x14ac:dyDescent="0.25">
      <c r="B24" s="2" t="s">
        <v>87</v>
      </c>
      <c r="C24" s="2" t="s">
        <v>88</v>
      </c>
      <c r="D24" s="2" t="s">
        <v>22</v>
      </c>
      <c r="E24" s="2" t="s">
        <v>17</v>
      </c>
      <c r="F24" s="2">
        <v>2.8000000000000001E-2</v>
      </c>
      <c r="G24" s="3">
        <v>0.114</v>
      </c>
      <c r="H24" s="2">
        <v>1200</v>
      </c>
      <c r="I24" s="2">
        <v>0</v>
      </c>
      <c r="J24" s="2">
        <v>0</v>
      </c>
      <c r="K24" s="2"/>
      <c r="L24" s="2"/>
      <c r="M24" s="2"/>
      <c r="N24" s="8">
        <f t="shared" si="3"/>
        <v>0</v>
      </c>
      <c r="O24" s="2"/>
      <c r="P24" s="19"/>
      <c r="Q24" s="19"/>
      <c r="R24" s="19"/>
      <c r="S24" s="19"/>
      <c r="T24" s="2"/>
      <c r="U24" s="19"/>
      <c r="V24" s="19"/>
      <c r="W24" s="19"/>
      <c r="X24" s="19"/>
      <c r="Y24" s="2">
        <v>1200</v>
      </c>
      <c r="Z24" s="7">
        <f t="shared" si="0"/>
        <v>136.80000000000001</v>
      </c>
      <c r="AA24" s="7">
        <v>100</v>
      </c>
      <c r="AB24" s="7">
        <v>0</v>
      </c>
      <c r="AC24" s="8">
        <f t="shared" si="1"/>
        <v>0</v>
      </c>
      <c r="AD24" s="8">
        <v>0</v>
      </c>
      <c r="AE24" s="8">
        <f t="shared" si="2"/>
        <v>0</v>
      </c>
      <c r="AF24" s="8">
        <f t="shared" si="4"/>
        <v>0</v>
      </c>
      <c r="AG24" s="8">
        <v>0</v>
      </c>
      <c r="AH24" s="8">
        <v>0</v>
      </c>
      <c r="AI24" s="8" t="s">
        <v>119</v>
      </c>
      <c r="AJ24" s="8" t="s">
        <v>121</v>
      </c>
      <c r="AQ24" s="1">
        <v>-55</v>
      </c>
    </row>
    <row r="25" spans="2:43" x14ac:dyDescent="0.25">
      <c r="B25" s="2" t="s">
        <v>87</v>
      </c>
      <c r="C25" s="2" t="s">
        <v>88</v>
      </c>
      <c r="D25" s="38" t="s">
        <v>23</v>
      </c>
      <c r="E25" s="2" t="s">
        <v>17</v>
      </c>
      <c r="F25" s="2">
        <v>2.8000000000000001E-2</v>
      </c>
      <c r="G25" s="3">
        <v>6.9000000000000006E-2</v>
      </c>
      <c r="H25" s="2">
        <v>0</v>
      </c>
      <c r="I25" s="2">
        <v>0</v>
      </c>
      <c r="J25" s="2">
        <v>0</v>
      </c>
      <c r="K25" s="2"/>
      <c r="L25" s="2"/>
      <c r="M25" s="2"/>
      <c r="N25" s="8">
        <f t="shared" si="3"/>
        <v>-1488</v>
      </c>
      <c r="O25" s="2"/>
      <c r="P25" s="19"/>
      <c r="Q25" s="2"/>
      <c r="R25" s="19"/>
      <c r="S25" s="19"/>
      <c r="T25" s="2"/>
      <c r="U25" s="19"/>
      <c r="V25" s="19"/>
      <c r="W25" s="19"/>
      <c r="X25" s="19">
        <v>914</v>
      </c>
      <c r="Y25" s="2">
        <v>574</v>
      </c>
      <c r="Z25" s="7">
        <f t="shared" si="0"/>
        <v>0</v>
      </c>
      <c r="AA25" s="7">
        <v>100</v>
      </c>
      <c r="AB25" s="7">
        <v>0</v>
      </c>
      <c r="AC25" s="8">
        <f t="shared" si="1"/>
        <v>0</v>
      </c>
      <c r="AD25" s="8">
        <v>0</v>
      </c>
      <c r="AE25" s="8">
        <f t="shared" si="2"/>
        <v>0</v>
      </c>
      <c r="AF25" s="8">
        <f t="shared" si="4"/>
        <v>0</v>
      </c>
      <c r="AG25" s="8">
        <v>0</v>
      </c>
      <c r="AH25" s="8">
        <v>0</v>
      </c>
      <c r="AI25" s="8" t="s">
        <v>119</v>
      </c>
      <c r="AJ25" s="8" t="s">
        <v>121</v>
      </c>
      <c r="AQ25" s="1">
        <v>-50</v>
      </c>
    </row>
    <row r="26" spans="2:43" x14ac:dyDescent="0.25">
      <c r="B26" s="2" t="s">
        <v>87</v>
      </c>
      <c r="C26" s="2" t="s">
        <v>88</v>
      </c>
      <c r="D26" s="2" t="s">
        <v>24</v>
      </c>
      <c r="E26" s="2" t="s">
        <v>17</v>
      </c>
      <c r="F26" s="2">
        <v>2.8000000000000001E-2</v>
      </c>
      <c r="G26" s="3">
        <v>0.129</v>
      </c>
      <c r="H26" s="2">
        <v>0</v>
      </c>
      <c r="I26" s="2">
        <v>0</v>
      </c>
      <c r="J26" s="2">
        <v>0</v>
      </c>
      <c r="K26" s="2"/>
      <c r="L26" s="2"/>
      <c r="M26" s="2"/>
      <c r="N26" s="8">
        <f t="shared" si="3"/>
        <v>0</v>
      </c>
      <c r="O26" s="2"/>
      <c r="P26" s="19"/>
      <c r="Q26" s="2"/>
      <c r="R26" s="19"/>
      <c r="S26" s="19"/>
      <c r="T26" s="2"/>
      <c r="U26" s="19"/>
      <c r="V26" s="19"/>
      <c r="W26" s="19"/>
      <c r="X26" s="19"/>
      <c r="Y26" s="2"/>
      <c r="Z26" s="7">
        <f t="shared" si="0"/>
        <v>0</v>
      </c>
      <c r="AA26" s="7">
        <v>100</v>
      </c>
      <c r="AB26" s="7">
        <v>0</v>
      </c>
      <c r="AC26" s="8">
        <f t="shared" si="1"/>
        <v>0</v>
      </c>
      <c r="AD26" s="8">
        <v>0</v>
      </c>
      <c r="AE26" s="8">
        <f t="shared" si="2"/>
        <v>0</v>
      </c>
      <c r="AF26" s="8">
        <f t="shared" si="4"/>
        <v>0</v>
      </c>
      <c r="AG26" s="8">
        <v>0</v>
      </c>
      <c r="AH26" s="8">
        <v>0</v>
      </c>
      <c r="AI26" s="8" t="s">
        <v>119</v>
      </c>
      <c r="AJ26" s="8" t="s">
        <v>121</v>
      </c>
      <c r="AQ26" s="1">
        <v>0</v>
      </c>
    </row>
    <row r="27" spans="2:43" x14ac:dyDescent="0.25">
      <c r="B27" s="2" t="s">
        <v>87</v>
      </c>
      <c r="C27" s="2" t="s">
        <v>88</v>
      </c>
      <c r="D27" s="38" t="s">
        <v>25</v>
      </c>
      <c r="E27" s="2" t="s">
        <v>17</v>
      </c>
      <c r="F27" s="2">
        <v>2.8000000000000001E-2</v>
      </c>
      <c r="G27" s="3">
        <v>7.8E-2</v>
      </c>
      <c r="H27" s="2">
        <v>700</v>
      </c>
      <c r="I27" s="2">
        <v>0</v>
      </c>
      <c r="J27" s="2">
        <v>0</v>
      </c>
      <c r="K27" s="2"/>
      <c r="L27" s="2"/>
      <c r="M27" s="2"/>
      <c r="N27" s="8">
        <f t="shared" si="3"/>
        <v>-1890</v>
      </c>
      <c r="O27" s="2">
        <v>587</v>
      </c>
      <c r="P27" s="19"/>
      <c r="Q27" s="19"/>
      <c r="R27" s="19"/>
      <c r="S27" s="19"/>
      <c r="T27" s="2"/>
      <c r="U27" s="19">
        <v>700</v>
      </c>
      <c r="V27" s="19">
        <v>720</v>
      </c>
      <c r="W27" s="19"/>
      <c r="X27" s="19"/>
      <c r="Y27" s="2">
        <v>583</v>
      </c>
      <c r="Z27" s="7">
        <f t="shared" si="0"/>
        <v>54.6</v>
      </c>
      <c r="AA27" s="7">
        <v>100</v>
      </c>
      <c r="AB27" s="7">
        <v>0</v>
      </c>
      <c r="AC27" s="8">
        <f t="shared" si="1"/>
        <v>0</v>
      </c>
      <c r="AD27" s="8">
        <v>0</v>
      </c>
      <c r="AE27" s="8">
        <f t="shared" si="2"/>
        <v>0</v>
      </c>
      <c r="AF27" s="8">
        <f t="shared" si="4"/>
        <v>0</v>
      </c>
      <c r="AG27" s="8">
        <v>0</v>
      </c>
      <c r="AH27" s="8">
        <v>0</v>
      </c>
      <c r="AI27" s="8" t="s">
        <v>119</v>
      </c>
      <c r="AJ27" s="8" t="s">
        <v>121</v>
      </c>
      <c r="AQ27" s="1">
        <v>307</v>
      </c>
    </row>
    <row r="28" spans="2:43" x14ac:dyDescent="0.25">
      <c r="B28" s="2" t="s">
        <v>87</v>
      </c>
      <c r="C28" s="2" t="s">
        <v>88</v>
      </c>
      <c r="D28" s="38" t="s">
        <v>26</v>
      </c>
      <c r="E28" s="2" t="s">
        <v>17</v>
      </c>
      <c r="F28" s="2">
        <v>2.8000000000000001E-2</v>
      </c>
      <c r="G28" s="3">
        <v>0.10100000000000001</v>
      </c>
      <c r="H28" s="2">
        <v>0</v>
      </c>
      <c r="I28" s="2">
        <v>0</v>
      </c>
      <c r="J28" s="2">
        <v>0</v>
      </c>
      <c r="K28" s="2"/>
      <c r="L28" s="2"/>
      <c r="M28" s="2"/>
      <c r="N28" s="8">
        <f t="shared" si="3"/>
        <v>-257</v>
      </c>
      <c r="O28" s="2"/>
      <c r="P28" s="19"/>
      <c r="Q28" s="2"/>
      <c r="R28" s="19"/>
      <c r="S28" s="19"/>
      <c r="T28" s="2"/>
      <c r="U28" s="19"/>
      <c r="V28" s="19"/>
      <c r="W28" s="19"/>
      <c r="X28" s="19"/>
      <c r="Y28" s="2">
        <v>257</v>
      </c>
      <c r="Z28" s="7">
        <f t="shared" si="0"/>
        <v>0</v>
      </c>
      <c r="AA28" s="7">
        <v>100</v>
      </c>
      <c r="AB28" s="7">
        <v>0</v>
      </c>
      <c r="AC28" s="8">
        <f t="shared" si="1"/>
        <v>0</v>
      </c>
      <c r="AD28" s="8">
        <v>0</v>
      </c>
      <c r="AE28" s="8">
        <f t="shared" si="2"/>
        <v>0</v>
      </c>
      <c r="AF28" s="8">
        <f t="shared" si="4"/>
        <v>0</v>
      </c>
      <c r="AG28" s="8">
        <v>0</v>
      </c>
      <c r="AH28" s="8">
        <v>0</v>
      </c>
      <c r="AI28" s="8" t="s">
        <v>119</v>
      </c>
      <c r="AJ28" s="8" t="s">
        <v>121</v>
      </c>
      <c r="AQ28" s="1">
        <v>-77</v>
      </c>
    </row>
    <row r="29" spans="2:43" x14ac:dyDescent="0.25">
      <c r="B29" s="2" t="s">
        <v>87</v>
      </c>
      <c r="C29" s="2" t="s">
        <v>88</v>
      </c>
      <c r="D29" s="38" t="s">
        <v>27</v>
      </c>
      <c r="E29" s="2" t="s">
        <v>17</v>
      </c>
      <c r="F29" s="2">
        <v>2.8000000000000001E-2</v>
      </c>
      <c r="G29" s="3">
        <v>7.5999999999999998E-2</v>
      </c>
      <c r="H29" s="2">
        <v>100</v>
      </c>
      <c r="I29" s="2">
        <v>0</v>
      </c>
      <c r="J29" s="2">
        <v>0</v>
      </c>
      <c r="K29" s="2"/>
      <c r="L29" s="2"/>
      <c r="M29" s="2"/>
      <c r="N29" s="8">
        <f t="shared" si="3"/>
        <v>-9</v>
      </c>
      <c r="O29" s="2"/>
      <c r="P29" s="19"/>
      <c r="Q29" s="19"/>
      <c r="R29" s="19"/>
      <c r="S29" s="19">
        <v>109</v>
      </c>
      <c r="T29" s="2"/>
      <c r="U29" s="19"/>
      <c r="V29" s="19"/>
      <c r="W29" s="19"/>
      <c r="X29" s="19"/>
      <c r="Y29" s="2"/>
      <c r="Z29" s="7">
        <f t="shared" si="0"/>
        <v>7.6</v>
      </c>
      <c r="AA29" s="7">
        <v>100</v>
      </c>
      <c r="AB29" s="7">
        <v>0</v>
      </c>
      <c r="AC29" s="8">
        <f t="shared" si="1"/>
        <v>0</v>
      </c>
      <c r="AD29" s="8">
        <v>0</v>
      </c>
      <c r="AE29" s="8">
        <f t="shared" si="2"/>
        <v>0</v>
      </c>
      <c r="AF29" s="8">
        <f t="shared" si="4"/>
        <v>0</v>
      </c>
      <c r="AG29" s="8">
        <v>0</v>
      </c>
      <c r="AH29" s="8">
        <v>0</v>
      </c>
      <c r="AI29" s="8" t="s">
        <v>119</v>
      </c>
      <c r="AJ29" s="8" t="s">
        <v>121</v>
      </c>
      <c r="AQ29" s="1">
        <v>300</v>
      </c>
    </row>
    <row r="30" spans="2:43" x14ac:dyDescent="0.25">
      <c r="B30" s="2" t="s">
        <v>87</v>
      </c>
      <c r="C30" s="2" t="s">
        <v>88</v>
      </c>
      <c r="D30" s="38" t="s">
        <v>28</v>
      </c>
      <c r="E30" s="2" t="s">
        <v>17</v>
      </c>
      <c r="F30" s="2">
        <v>2.8000000000000001E-2</v>
      </c>
      <c r="G30" s="3">
        <v>4.2000000000000003E-2</v>
      </c>
      <c r="H30" s="2">
        <v>0</v>
      </c>
      <c r="I30" s="2">
        <v>0</v>
      </c>
      <c r="J30" s="2">
        <v>0</v>
      </c>
      <c r="K30" s="2"/>
      <c r="L30" s="2"/>
      <c r="M30" s="2"/>
      <c r="N30" s="8">
        <f t="shared" si="3"/>
        <v>-2105</v>
      </c>
      <c r="O30" s="2"/>
      <c r="P30" s="19"/>
      <c r="Q30" s="2"/>
      <c r="R30" s="19"/>
      <c r="S30" s="19"/>
      <c r="T30" s="2"/>
      <c r="U30" s="19"/>
      <c r="V30" s="19">
        <v>760</v>
      </c>
      <c r="W30" s="19">
        <v>900</v>
      </c>
      <c r="X30" s="19"/>
      <c r="Y30" s="2">
        <v>445</v>
      </c>
      <c r="Z30" s="7">
        <f t="shared" si="0"/>
        <v>0</v>
      </c>
      <c r="AA30" s="7">
        <v>100</v>
      </c>
      <c r="AB30" s="7">
        <v>0</v>
      </c>
      <c r="AC30" s="8">
        <f t="shared" si="1"/>
        <v>0</v>
      </c>
      <c r="AD30" s="8">
        <v>0</v>
      </c>
      <c r="AE30" s="8">
        <f t="shared" si="2"/>
        <v>0</v>
      </c>
      <c r="AF30" s="8">
        <f t="shared" si="4"/>
        <v>0</v>
      </c>
      <c r="AG30" s="8">
        <v>0</v>
      </c>
      <c r="AH30" s="8">
        <v>0</v>
      </c>
      <c r="AI30" s="8" t="s">
        <v>119</v>
      </c>
      <c r="AJ30" s="8" t="s">
        <v>121</v>
      </c>
      <c r="AQ30" s="1">
        <v>-445</v>
      </c>
    </row>
    <row r="31" spans="2:43" x14ac:dyDescent="0.25">
      <c r="B31" s="2" t="s">
        <v>87</v>
      </c>
      <c r="C31" s="2" t="s">
        <v>88</v>
      </c>
      <c r="D31" s="38" t="s">
        <v>29</v>
      </c>
      <c r="E31" s="2" t="s">
        <v>17</v>
      </c>
      <c r="F31" s="2">
        <v>2.8000000000000001E-2</v>
      </c>
      <c r="G31" s="3">
        <v>0.105</v>
      </c>
      <c r="H31" s="2">
        <v>1000</v>
      </c>
      <c r="I31" s="2">
        <v>0</v>
      </c>
      <c r="J31" s="2">
        <v>0</v>
      </c>
      <c r="K31" s="2"/>
      <c r="L31" s="2"/>
      <c r="M31" s="2"/>
      <c r="N31" s="8">
        <f t="shared" si="3"/>
        <v>-1078</v>
      </c>
      <c r="O31" s="2"/>
      <c r="P31" s="19">
        <v>1000</v>
      </c>
      <c r="Q31" s="2"/>
      <c r="R31" s="19"/>
      <c r="S31" s="19"/>
      <c r="T31" s="2"/>
      <c r="U31" s="19"/>
      <c r="V31" s="19"/>
      <c r="W31" s="19"/>
      <c r="X31" s="19">
        <v>685</v>
      </c>
      <c r="Y31" s="2">
        <v>393</v>
      </c>
      <c r="Z31" s="7">
        <f t="shared" si="0"/>
        <v>105</v>
      </c>
      <c r="AA31" s="7">
        <v>100</v>
      </c>
      <c r="AB31" s="7">
        <v>0</v>
      </c>
      <c r="AC31" s="8">
        <f t="shared" si="1"/>
        <v>0</v>
      </c>
      <c r="AD31" s="8">
        <v>0</v>
      </c>
      <c r="AE31" s="8">
        <f t="shared" si="2"/>
        <v>0</v>
      </c>
      <c r="AF31" s="8">
        <f t="shared" si="4"/>
        <v>0</v>
      </c>
      <c r="AG31" s="8">
        <v>0</v>
      </c>
      <c r="AH31" s="8">
        <v>0</v>
      </c>
      <c r="AI31" s="8" t="s">
        <v>119</v>
      </c>
      <c r="AJ31" s="8" t="s">
        <v>121</v>
      </c>
      <c r="AQ31" s="1">
        <v>-83</v>
      </c>
    </row>
    <row r="32" spans="2:43" x14ac:dyDescent="0.25">
      <c r="B32" s="2" t="s">
        <v>87</v>
      </c>
      <c r="C32" s="2" t="s">
        <v>88</v>
      </c>
      <c r="D32" s="2" t="s">
        <v>30</v>
      </c>
      <c r="E32" s="2" t="s">
        <v>17</v>
      </c>
      <c r="F32" s="2">
        <v>2.8000000000000001E-2</v>
      </c>
      <c r="G32" s="3">
        <v>0.14299999999999999</v>
      </c>
      <c r="H32" s="2">
        <v>0</v>
      </c>
      <c r="I32" s="2">
        <v>0</v>
      </c>
      <c r="J32" s="2">
        <v>0</v>
      </c>
      <c r="K32" s="2"/>
      <c r="L32" s="2"/>
      <c r="M32" s="2"/>
      <c r="N32" s="8">
        <f t="shared" si="3"/>
        <v>0</v>
      </c>
      <c r="O32" s="2"/>
      <c r="P32" s="19"/>
      <c r="Q32" s="2"/>
      <c r="R32" s="19"/>
      <c r="S32" s="19"/>
      <c r="T32" s="2"/>
      <c r="U32" s="19"/>
      <c r="V32" s="19"/>
      <c r="W32" s="19"/>
      <c r="X32" s="19"/>
      <c r="Y32" s="2"/>
      <c r="Z32" s="7">
        <f t="shared" si="0"/>
        <v>0</v>
      </c>
      <c r="AA32" s="7">
        <v>100</v>
      </c>
      <c r="AB32" s="7">
        <v>0</v>
      </c>
      <c r="AC32" s="8">
        <f t="shared" si="1"/>
        <v>0</v>
      </c>
      <c r="AD32" s="8">
        <v>0</v>
      </c>
      <c r="AE32" s="8">
        <f t="shared" si="2"/>
        <v>0</v>
      </c>
      <c r="AF32" s="8">
        <f t="shared" si="4"/>
        <v>0</v>
      </c>
      <c r="AG32" s="8">
        <v>0</v>
      </c>
      <c r="AH32" s="8">
        <v>0</v>
      </c>
      <c r="AI32" s="8" t="s">
        <v>119</v>
      </c>
      <c r="AJ32" s="8" t="s">
        <v>121</v>
      </c>
      <c r="AQ32" s="1">
        <v>0</v>
      </c>
    </row>
    <row r="33" spans="2:43" x14ac:dyDescent="0.25">
      <c r="B33" s="2" t="s">
        <v>87</v>
      </c>
      <c r="C33" s="2" t="s">
        <v>88</v>
      </c>
      <c r="D33" s="38" t="s">
        <v>31</v>
      </c>
      <c r="E33" s="2" t="s">
        <v>17</v>
      </c>
      <c r="F33" s="2">
        <v>2.8000000000000001E-2</v>
      </c>
      <c r="G33" s="3">
        <v>4.5999999999999999E-2</v>
      </c>
      <c r="H33" s="2">
        <v>0</v>
      </c>
      <c r="I33" s="2">
        <v>0</v>
      </c>
      <c r="J33" s="2">
        <v>0</v>
      </c>
      <c r="K33" s="2"/>
      <c r="L33" s="2"/>
      <c r="M33" s="2"/>
      <c r="N33" s="8">
        <f t="shared" si="3"/>
        <v>-230</v>
      </c>
      <c r="O33" s="2"/>
      <c r="P33" s="19"/>
      <c r="Q33" s="2"/>
      <c r="R33" s="19"/>
      <c r="S33" s="19"/>
      <c r="T33" s="2"/>
      <c r="U33" s="19"/>
      <c r="V33" s="19"/>
      <c r="W33" s="19"/>
      <c r="X33" s="19"/>
      <c r="Y33" s="2">
        <v>230</v>
      </c>
      <c r="Z33" s="7">
        <f t="shared" si="0"/>
        <v>0</v>
      </c>
      <c r="AA33" s="7">
        <v>100</v>
      </c>
      <c r="AB33" s="7">
        <v>0</v>
      </c>
      <c r="AC33" s="8">
        <f t="shared" si="1"/>
        <v>0</v>
      </c>
      <c r="AD33" s="8">
        <v>0</v>
      </c>
      <c r="AE33" s="8">
        <f t="shared" si="2"/>
        <v>0</v>
      </c>
      <c r="AF33" s="8">
        <f t="shared" si="4"/>
        <v>0</v>
      </c>
      <c r="AG33" s="8">
        <v>0</v>
      </c>
      <c r="AH33" s="8">
        <v>0</v>
      </c>
      <c r="AI33" s="8" t="s">
        <v>119</v>
      </c>
      <c r="AJ33" s="8" t="s">
        <v>121</v>
      </c>
      <c r="AQ33" s="1">
        <v>300</v>
      </c>
    </row>
    <row r="34" spans="2:43" x14ac:dyDescent="0.25">
      <c r="B34" s="2" t="s">
        <v>87</v>
      </c>
      <c r="C34" s="2" t="s">
        <v>88</v>
      </c>
      <c r="D34" s="38" t="s">
        <v>32</v>
      </c>
      <c r="E34" s="2" t="s">
        <v>17</v>
      </c>
      <c r="F34" s="2">
        <v>2.8000000000000001E-2</v>
      </c>
      <c r="G34" s="3">
        <v>0.129</v>
      </c>
      <c r="H34" s="2">
        <v>300</v>
      </c>
      <c r="I34" s="2">
        <v>0</v>
      </c>
      <c r="J34" s="2">
        <v>79</v>
      </c>
      <c r="K34" s="2"/>
      <c r="L34" s="2"/>
      <c r="M34" s="2"/>
      <c r="N34" s="8">
        <f t="shared" si="3"/>
        <v>-38</v>
      </c>
      <c r="O34" s="2">
        <v>417</v>
      </c>
      <c r="P34" s="19"/>
      <c r="Q34" s="2"/>
      <c r="R34" s="19"/>
      <c r="S34" s="19"/>
      <c r="T34" s="2"/>
      <c r="U34" s="19"/>
      <c r="V34" s="19"/>
      <c r="W34" s="19"/>
      <c r="X34" s="19"/>
      <c r="Y34" s="2"/>
      <c r="Z34" s="7">
        <f t="shared" si="0"/>
        <v>48.890999999999998</v>
      </c>
      <c r="AA34" s="7">
        <v>100</v>
      </c>
      <c r="AB34" s="7">
        <v>0</v>
      </c>
      <c r="AC34" s="8">
        <f t="shared" si="1"/>
        <v>0</v>
      </c>
      <c r="AD34" s="8">
        <v>0</v>
      </c>
      <c r="AE34" s="8">
        <f t="shared" si="2"/>
        <v>0</v>
      </c>
      <c r="AF34" s="8">
        <f t="shared" si="4"/>
        <v>0</v>
      </c>
      <c r="AG34" s="8">
        <v>0</v>
      </c>
      <c r="AH34" s="8">
        <v>0</v>
      </c>
      <c r="AI34" s="8" t="s">
        <v>119</v>
      </c>
      <c r="AJ34" s="8" t="s">
        <v>121</v>
      </c>
      <c r="AQ34" s="1">
        <v>500</v>
      </c>
    </row>
    <row r="35" spans="2:43" x14ac:dyDescent="0.25">
      <c r="B35" s="2" t="s">
        <v>87</v>
      </c>
      <c r="C35" s="2" t="s">
        <v>88</v>
      </c>
      <c r="D35" s="38" t="s">
        <v>33</v>
      </c>
      <c r="E35" s="2" t="s">
        <v>17</v>
      </c>
      <c r="F35" s="2">
        <v>2.8000000000000001E-2</v>
      </c>
      <c r="G35" s="3">
        <v>0.13400000000000001</v>
      </c>
      <c r="H35" s="2">
        <v>400</v>
      </c>
      <c r="I35" s="2">
        <v>0</v>
      </c>
      <c r="J35" s="2">
        <v>0</v>
      </c>
      <c r="K35" s="2"/>
      <c r="L35" s="2"/>
      <c r="M35" s="2"/>
      <c r="N35" s="8">
        <f t="shared" si="3"/>
        <v>-3</v>
      </c>
      <c r="O35" s="2"/>
      <c r="P35" s="19"/>
      <c r="Q35" s="19"/>
      <c r="R35" s="19"/>
      <c r="S35" s="19">
        <v>403</v>
      </c>
      <c r="T35" s="2"/>
      <c r="U35" s="19"/>
      <c r="V35" s="19"/>
      <c r="W35" s="19"/>
      <c r="X35" s="19"/>
      <c r="Y35" s="2"/>
      <c r="Z35" s="7">
        <f t="shared" si="0"/>
        <v>53.6</v>
      </c>
      <c r="AA35" s="7">
        <v>100</v>
      </c>
      <c r="AB35" s="7">
        <v>0</v>
      </c>
      <c r="AC35" s="8">
        <f t="shared" si="1"/>
        <v>0</v>
      </c>
      <c r="AD35" s="8">
        <v>0</v>
      </c>
      <c r="AE35" s="8">
        <f t="shared" si="2"/>
        <v>0</v>
      </c>
      <c r="AF35" s="8">
        <f t="shared" si="4"/>
        <v>0</v>
      </c>
      <c r="AG35" s="8">
        <v>0</v>
      </c>
      <c r="AH35" s="8">
        <v>0</v>
      </c>
      <c r="AI35" s="8" t="s">
        <v>119</v>
      </c>
      <c r="AJ35" s="8" t="s">
        <v>121</v>
      </c>
      <c r="AQ35" s="1">
        <v>300</v>
      </c>
    </row>
    <row r="36" spans="2:43" x14ac:dyDescent="0.25">
      <c r="B36" s="2" t="s">
        <v>87</v>
      </c>
      <c r="C36" s="2" t="s">
        <v>88</v>
      </c>
      <c r="D36" s="2" t="s">
        <v>34</v>
      </c>
      <c r="E36" s="2" t="s">
        <v>17</v>
      </c>
      <c r="F36" s="2">
        <v>2.8000000000000001E-2</v>
      </c>
      <c r="G36" s="3">
        <v>0.105</v>
      </c>
      <c r="H36" s="2">
        <v>0</v>
      </c>
      <c r="I36" s="2">
        <v>0</v>
      </c>
      <c r="J36" s="2">
        <v>0</v>
      </c>
      <c r="K36" s="2"/>
      <c r="L36" s="2"/>
      <c r="M36" s="2"/>
      <c r="N36" s="8">
        <f t="shared" si="3"/>
        <v>0</v>
      </c>
      <c r="O36" s="2"/>
      <c r="P36" s="19"/>
      <c r="Q36" s="2"/>
      <c r="R36" s="19"/>
      <c r="S36" s="19"/>
      <c r="T36" s="2"/>
      <c r="U36" s="19"/>
      <c r="V36" s="19"/>
      <c r="W36" s="19"/>
      <c r="X36" s="19"/>
      <c r="Y36" s="2"/>
      <c r="Z36" s="7">
        <f t="shared" si="0"/>
        <v>0</v>
      </c>
      <c r="AA36" s="7">
        <v>100</v>
      </c>
      <c r="AB36" s="7">
        <v>0</v>
      </c>
      <c r="AC36" s="8">
        <f t="shared" si="1"/>
        <v>0</v>
      </c>
      <c r="AD36" s="8">
        <v>0</v>
      </c>
      <c r="AE36" s="8">
        <f t="shared" si="2"/>
        <v>0</v>
      </c>
      <c r="AF36" s="8">
        <f t="shared" si="4"/>
        <v>0</v>
      </c>
      <c r="AG36" s="8">
        <v>0</v>
      </c>
      <c r="AH36" s="8">
        <v>0</v>
      </c>
      <c r="AI36" s="8" t="s">
        <v>119</v>
      </c>
      <c r="AJ36" s="8" t="s">
        <v>121</v>
      </c>
      <c r="AQ36" s="1">
        <v>0</v>
      </c>
    </row>
    <row r="37" spans="2:43" x14ac:dyDescent="0.25">
      <c r="B37" s="2" t="s">
        <v>87</v>
      </c>
      <c r="C37" s="2" t="s">
        <v>88</v>
      </c>
      <c r="D37" s="2" t="s">
        <v>35</v>
      </c>
      <c r="E37" s="2" t="s">
        <v>17</v>
      </c>
      <c r="F37" s="2">
        <v>2.8000000000000001E-2</v>
      </c>
      <c r="G37" s="3">
        <v>9.9000000000000005E-2</v>
      </c>
      <c r="H37" s="2">
        <v>100</v>
      </c>
      <c r="I37" s="2">
        <v>0</v>
      </c>
      <c r="J37" s="2">
        <v>0</v>
      </c>
      <c r="K37" s="2"/>
      <c r="L37" s="2"/>
      <c r="M37" s="2"/>
      <c r="N37" s="8">
        <f t="shared" si="3"/>
        <v>0</v>
      </c>
      <c r="O37" s="2"/>
      <c r="P37" s="19"/>
      <c r="Q37" s="19">
        <v>100</v>
      </c>
      <c r="R37" s="19"/>
      <c r="S37" s="19"/>
      <c r="T37" s="2"/>
      <c r="U37" s="19"/>
      <c r="V37" s="19"/>
      <c r="W37" s="19"/>
      <c r="X37" s="19"/>
      <c r="Y37" s="2"/>
      <c r="Z37" s="7">
        <f t="shared" si="0"/>
        <v>9.9</v>
      </c>
      <c r="AA37" s="7">
        <v>100</v>
      </c>
      <c r="AB37" s="7">
        <v>0</v>
      </c>
      <c r="AC37" s="8">
        <f t="shared" si="1"/>
        <v>0</v>
      </c>
      <c r="AD37" s="8">
        <v>0</v>
      </c>
      <c r="AE37" s="8">
        <f t="shared" si="2"/>
        <v>0</v>
      </c>
      <c r="AF37" s="8">
        <f t="shared" si="4"/>
        <v>0</v>
      </c>
      <c r="AG37" s="8">
        <v>0</v>
      </c>
      <c r="AH37" s="8">
        <v>0</v>
      </c>
      <c r="AI37" s="8" t="s">
        <v>119</v>
      </c>
      <c r="AJ37" s="8" t="s">
        <v>121</v>
      </c>
      <c r="AQ37" s="1">
        <v>300</v>
      </c>
    </row>
    <row r="38" spans="2:43" x14ac:dyDescent="0.25">
      <c r="B38" s="2" t="s">
        <v>87</v>
      </c>
      <c r="C38" s="2" t="s">
        <v>88</v>
      </c>
      <c r="D38" s="2" t="s">
        <v>36</v>
      </c>
      <c r="E38" s="2" t="s">
        <v>17</v>
      </c>
      <c r="F38" s="2">
        <v>2.8000000000000001E-2</v>
      </c>
      <c r="G38" s="3">
        <v>0.13100000000000001</v>
      </c>
      <c r="H38" s="2">
        <v>0</v>
      </c>
      <c r="I38" s="2">
        <v>0</v>
      </c>
      <c r="J38" s="2">
        <v>0</v>
      </c>
      <c r="K38" s="2"/>
      <c r="L38" s="2"/>
      <c r="M38" s="2"/>
      <c r="N38" s="8">
        <f t="shared" ref="N38:N69" si="5">+H38+I38+J38+K38+L38+M38-SUM(O38:Y38)</f>
        <v>0</v>
      </c>
      <c r="O38" s="2"/>
      <c r="P38" s="19"/>
      <c r="Q38" s="2"/>
      <c r="R38" s="19"/>
      <c r="S38" s="19"/>
      <c r="T38" s="2"/>
      <c r="U38" s="19"/>
      <c r="V38" s="19"/>
      <c r="W38" s="19"/>
      <c r="X38" s="19"/>
      <c r="Y38" s="2"/>
      <c r="Z38" s="7">
        <f t="shared" ref="Z38:Z69" si="6">+G38*SUM(H38:M38)</f>
        <v>0</v>
      </c>
      <c r="AA38" s="7">
        <v>100</v>
      </c>
      <c r="AB38" s="7">
        <v>0</v>
      </c>
      <c r="AC38" s="8">
        <f t="shared" ref="AC38:AC69" si="7">+H38*AB38</f>
        <v>0</v>
      </c>
      <c r="AD38" s="8">
        <v>0</v>
      </c>
      <c r="AE38" s="8">
        <f t="shared" ref="AE38:AE69" si="8">+H38*AD38</f>
        <v>0</v>
      </c>
      <c r="AF38" s="8">
        <f t="shared" si="4"/>
        <v>0</v>
      </c>
      <c r="AG38" s="8">
        <v>0</v>
      </c>
      <c r="AH38" s="8">
        <v>0</v>
      </c>
      <c r="AI38" s="8" t="s">
        <v>119</v>
      </c>
      <c r="AJ38" s="8" t="s">
        <v>121</v>
      </c>
      <c r="AQ38" s="1">
        <v>0</v>
      </c>
    </row>
    <row r="39" spans="2:43" x14ac:dyDescent="0.25">
      <c r="B39" s="2" t="s">
        <v>87</v>
      </c>
      <c r="C39" s="2" t="s">
        <v>88</v>
      </c>
      <c r="D39" s="2" t="s">
        <v>37</v>
      </c>
      <c r="E39" s="2" t="s">
        <v>17</v>
      </c>
      <c r="F39" s="2">
        <v>2.8000000000000001E-2</v>
      </c>
      <c r="G39" s="3">
        <v>9.4E-2</v>
      </c>
      <c r="H39" s="2">
        <v>0</v>
      </c>
      <c r="I39" s="2">
        <v>0</v>
      </c>
      <c r="J39" s="2">
        <v>0</v>
      </c>
      <c r="K39" s="2"/>
      <c r="L39" s="2"/>
      <c r="M39" s="2"/>
      <c r="N39" s="8">
        <f t="shared" si="5"/>
        <v>0</v>
      </c>
      <c r="O39" s="2"/>
      <c r="P39" s="19"/>
      <c r="Q39" s="2"/>
      <c r="R39" s="19"/>
      <c r="S39" s="19"/>
      <c r="T39" s="2"/>
      <c r="U39" s="19"/>
      <c r="V39" s="19"/>
      <c r="W39" s="19"/>
      <c r="X39" s="19"/>
      <c r="Y39" s="2"/>
      <c r="Z39" s="7">
        <f t="shared" si="6"/>
        <v>0</v>
      </c>
      <c r="AA39" s="7">
        <v>100</v>
      </c>
      <c r="AB39" s="7">
        <v>0</v>
      </c>
      <c r="AC39" s="8">
        <f t="shared" si="7"/>
        <v>0</v>
      </c>
      <c r="AD39" s="8">
        <v>0</v>
      </c>
      <c r="AE39" s="8">
        <f t="shared" si="8"/>
        <v>0</v>
      </c>
      <c r="AF39" s="8">
        <f t="shared" si="4"/>
        <v>0</v>
      </c>
      <c r="AG39" s="8">
        <v>0</v>
      </c>
      <c r="AH39" s="8">
        <v>0</v>
      </c>
      <c r="AI39" s="8" t="s">
        <v>119</v>
      </c>
      <c r="AJ39" s="8" t="s">
        <v>121</v>
      </c>
      <c r="AQ39" s="1">
        <v>0</v>
      </c>
    </row>
    <row r="40" spans="2:43" x14ac:dyDescent="0.25">
      <c r="B40" s="2" t="s">
        <v>87</v>
      </c>
      <c r="C40" s="2" t="s">
        <v>88</v>
      </c>
      <c r="D40" s="2" t="s">
        <v>38</v>
      </c>
      <c r="E40" s="2" t="s">
        <v>17</v>
      </c>
      <c r="F40" s="2">
        <v>2.8000000000000001E-2</v>
      </c>
      <c r="G40" s="3">
        <v>0.122</v>
      </c>
      <c r="H40" s="2">
        <v>0</v>
      </c>
      <c r="I40" s="2">
        <v>0</v>
      </c>
      <c r="J40" s="2">
        <v>0</v>
      </c>
      <c r="K40" s="2"/>
      <c r="L40" s="2"/>
      <c r="M40" s="2"/>
      <c r="N40" s="8">
        <f t="shared" si="5"/>
        <v>0</v>
      </c>
      <c r="O40" s="2"/>
      <c r="P40" s="19"/>
      <c r="Q40" s="2"/>
      <c r="R40" s="19"/>
      <c r="S40" s="19"/>
      <c r="T40" s="2"/>
      <c r="U40" s="19"/>
      <c r="V40" s="19"/>
      <c r="W40" s="19"/>
      <c r="X40" s="19"/>
      <c r="Y40" s="2"/>
      <c r="Z40" s="7">
        <f t="shared" si="6"/>
        <v>0</v>
      </c>
      <c r="AA40" s="7">
        <v>100</v>
      </c>
      <c r="AB40" s="7">
        <v>0</v>
      </c>
      <c r="AC40" s="8">
        <f t="shared" si="7"/>
        <v>0</v>
      </c>
      <c r="AD40" s="8">
        <v>0</v>
      </c>
      <c r="AE40" s="8">
        <f t="shared" si="8"/>
        <v>0</v>
      </c>
      <c r="AF40" s="8">
        <f t="shared" si="4"/>
        <v>0</v>
      </c>
      <c r="AG40" s="8">
        <v>0</v>
      </c>
      <c r="AH40" s="8">
        <v>0</v>
      </c>
      <c r="AI40" s="8" t="s">
        <v>119</v>
      </c>
      <c r="AJ40" s="8" t="s">
        <v>121</v>
      </c>
      <c r="AQ40" s="1">
        <v>0</v>
      </c>
    </row>
    <row r="41" spans="2:43" x14ac:dyDescent="0.25">
      <c r="B41" s="2" t="s">
        <v>87</v>
      </c>
      <c r="C41" s="2" t="s">
        <v>88</v>
      </c>
      <c r="D41" s="38" t="s">
        <v>39</v>
      </c>
      <c r="E41" s="2" t="s">
        <v>17</v>
      </c>
      <c r="F41" s="2">
        <v>2.8000000000000001E-2</v>
      </c>
      <c r="G41" s="3">
        <v>0.10100000000000001</v>
      </c>
      <c r="H41" s="2">
        <v>200</v>
      </c>
      <c r="I41" s="2">
        <v>0</v>
      </c>
      <c r="J41" s="2">
        <v>0</v>
      </c>
      <c r="K41" s="2"/>
      <c r="L41" s="2"/>
      <c r="M41" s="2"/>
      <c r="N41" s="8">
        <f t="shared" si="5"/>
        <v>-3</v>
      </c>
      <c r="O41" s="2"/>
      <c r="P41" s="19"/>
      <c r="Q41" s="19"/>
      <c r="R41" s="19"/>
      <c r="S41" s="19">
        <v>203</v>
      </c>
      <c r="T41" s="2"/>
      <c r="U41" s="19"/>
      <c r="V41" s="19"/>
      <c r="W41" s="19"/>
      <c r="X41" s="19"/>
      <c r="Y41" s="2"/>
      <c r="Z41" s="7">
        <f t="shared" si="6"/>
        <v>20.200000000000003</v>
      </c>
      <c r="AA41" s="7">
        <v>100</v>
      </c>
      <c r="AB41" s="7">
        <v>0</v>
      </c>
      <c r="AC41" s="8">
        <f t="shared" si="7"/>
        <v>0</v>
      </c>
      <c r="AD41" s="8">
        <v>0</v>
      </c>
      <c r="AE41" s="8">
        <f t="shared" si="8"/>
        <v>0</v>
      </c>
      <c r="AF41" s="8">
        <f t="shared" si="4"/>
        <v>0</v>
      </c>
      <c r="AG41" s="8">
        <v>0</v>
      </c>
      <c r="AH41" s="8">
        <v>0</v>
      </c>
      <c r="AI41" s="8" t="s">
        <v>119</v>
      </c>
      <c r="AJ41" s="8" t="s">
        <v>121</v>
      </c>
      <c r="AQ41" s="1">
        <v>0</v>
      </c>
    </row>
    <row r="42" spans="2:43" x14ac:dyDescent="0.25">
      <c r="B42" s="2" t="s">
        <v>87</v>
      </c>
      <c r="C42" s="2" t="s">
        <v>88</v>
      </c>
      <c r="D42" s="38" t="s">
        <v>40</v>
      </c>
      <c r="E42" s="2" t="s">
        <v>17</v>
      </c>
      <c r="F42" s="2">
        <v>2.8000000000000001E-2</v>
      </c>
      <c r="G42" s="3">
        <v>0.11899999999999999</v>
      </c>
      <c r="H42" s="2">
        <v>100</v>
      </c>
      <c r="I42" s="2">
        <v>0</v>
      </c>
      <c r="J42" s="2">
        <v>0</v>
      </c>
      <c r="K42" s="2"/>
      <c r="L42" s="2"/>
      <c r="M42" s="2"/>
      <c r="N42" s="8">
        <f t="shared" si="5"/>
        <v>-24</v>
      </c>
      <c r="O42" s="2"/>
      <c r="P42" s="19"/>
      <c r="Q42" s="19"/>
      <c r="R42" s="19"/>
      <c r="S42" s="19">
        <v>124</v>
      </c>
      <c r="T42" s="2"/>
      <c r="U42" s="19"/>
      <c r="V42" s="19"/>
      <c r="W42" s="19"/>
      <c r="X42" s="19"/>
      <c r="Y42" s="2"/>
      <c r="Z42" s="7">
        <f t="shared" si="6"/>
        <v>11.899999999999999</v>
      </c>
      <c r="AA42" s="7">
        <v>100</v>
      </c>
      <c r="AB42" s="7">
        <v>0</v>
      </c>
      <c r="AC42" s="8">
        <f t="shared" si="7"/>
        <v>0</v>
      </c>
      <c r="AD42" s="8">
        <v>0</v>
      </c>
      <c r="AE42" s="8">
        <f t="shared" si="8"/>
        <v>0</v>
      </c>
      <c r="AF42" s="8">
        <f t="shared" si="4"/>
        <v>0</v>
      </c>
      <c r="AG42" s="8">
        <v>0</v>
      </c>
      <c r="AH42" s="8">
        <v>0</v>
      </c>
      <c r="AI42" s="8" t="s">
        <v>119</v>
      </c>
      <c r="AJ42" s="8" t="s">
        <v>121</v>
      </c>
      <c r="AQ42" s="1">
        <v>0</v>
      </c>
    </row>
    <row r="43" spans="2:43" x14ac:dyDescent="0.25">
      <c r="B43" s="2" t="s">
        <v>87</v>
      </c>
      <c r="C43" s="2" t="s">
        <v>88</v>
      </c>
      <c r="D43" s="2" t="s">
        <v>41</v>
      </c>
      <c r="E43" s="2" t="s">
        <v>17</v>
      </c>
      <c r="F43" s="2">
        <v>2.8000000000000001E-2</v>
      </c>
      <c r="G43" s="3">
        <v>0.121</v>
      </c>
      <c r="H43" s="2">
        <v>0</v>
      </c>
      <c r="I43" s="2">
        <v>0</v>
      </c>
      <c r="J43" s="2">
        <v>0</v>
      </c>
      <c r="K43" s="2"/>
      <c r="L43" s="2"/>
      <c r="M43" s="2"/>
      <c r="N43" s="8">
        <f t="shared" si="5"/>
        <v>0</v>
      </c>
      <c r="O43" s="2"/>
      <c r="P43" s="19"/>
      <c r="Q43" s="2"/>
      <c r="R43" s="19"/>
      <c r="S43" s="19"/>
      <c r="T43" s="2"/>
      <c r="U43" s="19"/>
      <c r="V43" s="19"/>
      <c r="W43" s="19"/>
      <c r="X43" s="19"/>
      <c r="Y43" s="2"/>
      <c r="Z43" s="7">
        <f t="shared" si="6"/>
        <v>0</v>
      </c>
      <c r="AA43" s="7">
        <v>100</v>
      </c>
      <c r="AB43" s="7">
        <v>0</v>
      </c>
      <c r="AC43" s="8">
        <f t="shared" si="7"/>
        <v>0</v>
      </c>
      <c r="AD43" s="8">
        <v>0</v>
      </c>
      <c r="AE43" s="8">
        <f t="shared" si="8"/>
        <v>0</v>
      </c>
      <c r="AF43" s="8">
        <f t="shared" si="4"/>
        <v>0</v>
      </c>
      <c r="AG43" s="8">
        <v>0</v>
      </c>
      <c r="AH43" s="8">
        <v>0</v>
      </c>
      <c r="AI43" s="8" t="s">
        <v>119</v>
      </c>
      <c r="AJ43" s="8" t="s">
        <v>121</v>
      </c>
      <c r="AQ43" s="1">
        <v>0</v>
      </c>
    </row>
    <row r="44" spans="2:43" x14ac:dyDescent="0.25">
      <c r="B44" s="2" t="s">
        <v>87</v>
      </c>
      <c r="C44" s="2" t="s">
        <v>88</v>
      </c>
      <c r="D44" s="38" t="s">
        <v>42</v>
      </c>
      <c r="E44" s="2" t="s">
        <v>17</v>
      </c>
      <c r="F44" s="2">
        <v>2.8000000000000001E-2</v>
      </c>
      <c r="G44" s="3">
        <v>0.127</v>
      </c>
      <c r="H44" s="2">
        <v>100</v>
      </c>
      <c r="I44" s="2">
        <v>0</v>
      </c>
      <c r="J44" s="2">
        <v>0</v>
      </c>
      <c r="K44" s="2"/>
      <c r="L44" s="2"/>
      <c r="M44" s="2"/>
      <c r="N44" s="8">
        <f t="shared" si="5"/>
        <v>-22</v>
      </c>
      <c r="O44" s="2"/>
      <c r="P44" s="19"/>
      <c r="Q44" s="19"/>
      <c r="R44" s="19"/>
      <c r="S44" s="19">
        <v>122</v>
      </c>
      <c r="T44" s="2"/>
      <c r="U44" s="19"/>
      <c r="V44" s="19"/>
      <c r="W44" s="19"/>
      <c r="X44" s="19"/>
      <c r="Y44" s="2"/>
      <c r="Z44" s="7">
        <f t="shared" si="6"/>
        <v>12.7</v>
      </c>
      <c r="AA44" s="7">
        <v>100</v>
      </c>
      <c r="AB44" s="7">
        <v>0</v>
      </c>
      <c r="AC44" s="8">
        <f t="shared" si="7"/>
        <v>0</v>
      </c>
      <c r="AD44" s="8">
        <v>0</v>
      </c>
      <c r="AE44" s="8">
        <f t="shared" si="8"/>
        <v>0</v>
      </c>
      <c r="AF44" s="8">
        <f t="shared" si="4"/>
        <v>0</v>
      </c>
      <c r="AG44" s="8">
        <v>0</v>
      </c>
      <c r="AH44" s="8">
        <v>0</v>
      </c>
      <c r="AI44" s="8" t="s">
        <v>119</v>
      </c>
      <c r="AJ44" s="8" t="s">
        <v>121</v>
      </c>
      <c r="AQ44" s="1">
        <v>0</v>
      </c>
    </row>
    <row r="45" spans="2:43" x14ac:dyDescent="0.25">
      <c r="B45" s="2" t="s">
        <v>87</v>
      </c>
      <c r="C45" s="2" t="s">
        <v>88</v>
      </c>
      <c r="D45" s="38" t="s">
        <v>43</v>
      </c>
      <c r="E45" s="2" t="s">
        <v>17</v>
      </c>
      <c r="F45" s="2">
        <v>2.8000000000000001E-2</v>
      </c>
      <c r="G45" s="3">
        <v>0.10299999999999999</v>
      </c>
      <c r="H45" s="2">
        <v>400</v>
      </c>
      <c r="I45" s="2">
        <v>0</v>
      </c>
      <c r="J45" s="2">
        <v>134</v>
      </c>
      <c r="K45" s="2"/>
      <c r="L45" s="2"/>
      <c r="M45" s="2"/>
      <c r="N45" s="8">
        <f t="shared" si="5"/>
        <v>-86</v>
      </c>
      <c r="O45" s="2"/>
      <c r="P45" s="19"/>
      <c r="Q45" s="19"/>
      <c r="R45" s="19">
        <v>620</v>
      </c>
      <c r="S45" s="19"/>
      <c r="T45" s="2"/>
      <c r="U45" s="19"/>
      <c r="V45" s="19"/>
      <c r="W45" s="19"/>
      <c r="X45" s="19"/>
      <c r="Y45" s="2"/>
      <c r="Z45" s="7">
        <f t="shared" si="6"/>
        <v>55.001999999999995</v>
      </c>
      <c r="AA45" s="7">
        <v>100</v>
      </c>
      <c r="AB45" s="7">
        <v>0</v>
      </c>
      <c r="AC45" s="8">
        <f t="shared" si="7"/>
        <v>0</v>
      </c>
      <c r="AD45" s="8">
        <v>0</v>
      </c>
      <c r="AE45" s="8">
        <f t="shared" si="8"/>
        <v>0</v>
      </c>
      <c r="AF45" s="8">
        <f t="shared" si="4"/>
        <v>0</v>
      </c>
      <c r="AG45" s="8">
        <v>0</v>
      </c>
      <c r="AH45" s="8">
        <v>0</v>
      </c>
      <c r="AI45" s="8" t="s">
        <v>119</v>
      </c>
      <c r="AJ45" s="8" t="s">
        <v>121</v>
      </c>
      <c r="AQ45" s="1">
        <v>328</v>
      </c>
    </row>
    <row r="46" spans="2:43" x14ac:dyDescent="0.25">
      <c r="B46" s="2" t="s">
        <v>87</v>
      </c>
      <c r="C46" s="2" t="s">
        <v>88</v>
      </c>
      <c r="D46" s="2" t="s">
        <v>44</v>
      </c>
      <c r="E46" s="2" t="s">
        <v>17</v>
      </c>
      <c r="F46" s="2">
        <v>2.8000000000000001E-2</v>
      </c>
      <c r="G46" s="3">
        <v>0.23799999999999999</v>
      </c>
      <c r="H46" s="2">
        <v>0</v>
      </c>
      <c r="I46" s="2">
        <v>0</v>
      </c>
      <c r="J46" s="2">
        <v>0</v>
      </c>
      <c r="K46" s="2"/>
      <c r="L46" s="2"/>
      <c r="M46" s="2"/>
      <c r="N46" s="8">
        <f t="shared" si="5"/>
        <v>0</v>
      </c>
      <c r="O46" s="2"/>
      <c r="P46" s="19"/>
      <c r="Q46" s="2"/>
      <c r="R46" s="19"/>
      <c r="S46" s="19"/>
      <c r="T46" s="2"/>
      <c r="U46" s="19"/>
      <c r="V46" s="19"/>
      <c r="W46" s="19"/>
      <c r="X46" s="19"/>
      <c r="Y46" s="2"/>
      <c r="Z46" s="7">
        <f t="shared" si="6"/>
        <v>0</v>
      </c>
      <c r="AA46" s="7">
        <v>100</v>
      </c>
      <c r="AB46" s="7">
        <v>0</v>
      </c>
      <c r="AC46" s="8">
        <f t="shared" si="7"/>
        <v>0</v>
      </c>
      <c r="AD46" s="8">
        <v>0</v>
      </c>
      <c r="AE46" s="8">
        <f t="shared" si="8"/>
        <v>0</v>
      </c>
      <c r="AF46" s="8">
        <f t="shared" si="4"/>
        <v>0</v>
      </c>
      <c r="AG46" s="8">
        <v>0</v>
      </c>
      <c r="AH46" s="8">
        <v>0</v>
      </c>
      <c r="AI46" s="8" t="s">
        <v>119</v>
      </c>
      <c r="AJ46" s="8" t="s">
        <v>121</v>
      </c>
      <c r="AQ46" s="1">
        <v>400</v>
      </c>
    </row>
    <row r="47" spans="2:43" x14ac:dyDescent="0.25">
      <c r="B47" s="2" t="s">
        <v>87</v>
      </c>
      <c r="C47" s="2" t="s">
        <v>88</v>
      </c>
      <c r="D47" s="38" t="s">
        <v>45</v>
      </c>
      <c r="E47" s="2" t="s">
        <v>17</v>
      </c>
      <c r="F47" s="2">
        <v>2.8000000000000001E-2</v>
      </c>
      <c r="G47" s="3">
        <v>0.10100000000000001</v>
      </c>
      <c r="H47" s="2">
        <v>0</v>
      </c>
      <c r="I47" s="2">
        <v>0</v>
      </c>
      <c r="J47" s="2">
        <v>0</v>
      </c>
      <c r="K47" s="2"/>
      <c r="L47" s="2"/>
      <c r="M47" s="2"/>
      <c r="N47" s="8">
        <f t="shared" si="5"/>
        <v>-1493</v>
      </c>
      <c r="O47" s="2"/>
      <c r="P47" s="19"/>
      <c r="Q47" s="2"/>
      <c r="R47" s="19"/>
      <c r="S47" s="19"/>
      <c r="T47" s="2"/>
      <c r="U47" s="19"/>
      <c r="V47" s="19"/>
      <c r="W47" s="19"/>
      <c r="X47" s="19"/>
      <c r="Y47" s="2">
        <v>1493</v>
      </c>
      <c r="Z47" s="7">
        <f t="shared" si="6"/>
        <v>0</v>
      </c>
      <c r="AA47" s="7">
        <v>100</v>
      </c>
      <c r="AB47" s="7">
        <v>0</v>
      </c>
      <c r="AC47" s="8">
        <f t="shared" si="7"/>
        <v>0</v>
      </c>
      <c r="AD47" s="8">
        <v>0</v>
      </c>
      <c r="AE47" s="8">
        <f t="shared" si="8"/>
        <v>0</v>
      </c>
      <c r="AF47" s="8">
        <f t="shared" si="4"/>
        <v>0</v>
      </c>
      <c r="AG47" s="8">
        <v>0</v>
      </c>
      <c r="AH47" s="8">
        <v>0</v>
      </c>
      <c r="AI47" s="8" t="s">
        <v>119</v>
      </c>
      <c r="AJ47" s="8" t="s">
        <v>121</v>
      </c>
      <c r="AQ47" s="1">
        <v>-1493</v>
      </c>
    </row>
    <row r="48" spans="2:43" x14ac:dyDescent="0.25">
      <c r="B48" s="2" t="s">
        <v>87</v>
      </c>
      <c r="C48" s="2" t="s">
        <v>88</v>
      </c>
      <c r="D48" s="2" t="s">
        <v>46</v>
      </c>
      <c r="E48" s="2" t="s">
        <v>17</v>
      </c>
      <c r="F48" s="2">
        <v>2.8000000000000001E-2</v>
      </c>
      <c r="G48" s="3">
        <v>3.9E-2</v>
      </c>
      <c r="H48" s="2">
        <v>2200</v>
      </c>
      <c r="I48" s="2">
        <v>0</v>
      </c>
      <c r="J48" s="2">
        <v>0</v>
      </c>
      <c r="K48" s="2"/>
      <c r="L48" s="2"/>
      <c r="M48" s="2"/>
      <c r="N48" s="8">
        <f t="shared" si="5"/>
        <v>0</v>
      </c>
      <c r="O48" s="2"/>
      <c r="P48" s="19"/>
      <c r="Q48" s="19">
        <v>1000</v>
      </c>
      <c r="R48" s="19">
        <v>1200</v>
      </c>
      <c r="S48" s="19"/>
      <c r="T48" s="2"/>
      <c r="U48" s="19"/>
      <c r="V48" s="19"/>
      <c r="W48" s="19"/>
      <c r="X48" s="19"/>
      <c r="Y48" s="2"/>
      <c r="Z48" s="7">
        <f t="shared" si="6"/>
        <v>85.8</v>
      </c>
      <c r="AA48" s="7">
        <v>100</v>
      </c>
      <c r="AB48" s="7">
        <v>0</v>
      </c>
      <c r="AC48" s="8">
        <f t="shared" si="7"/>
        <v>0</v>
      </c>
      <c r="AD48" s="8">
        <v>0</v>
      </c>
      <c r="AE48" s="8">
        <f t="shared" si="8"/>
        <v>0</v>
      </c>
      <c r="AF48" s="8">
        <f t="shared" si="4"/>
        <v>0</v>
      </c>
      <c r="AG48" s="8">
        <v>0</v>
      </c>
      <c r="AH48" s="8">
        <v>0</v>
      </c>
      <c r="AI48" s="8" t="s">
        <v>119</v>
      </c>
      <c r="AJ48" s="8" t="s">
        <v>121</v>
      </c>
      <c r="AQ48" s="1">
        <v>-66</v>
      </c>
    </row>
    <row r="49" spans="2:43" x14ac:dyDescent="0.25">
      <c r="B49" s="2" t="s">
        <v>87</v>
      </c>
      <c r="C49" s="2" t="s">
        <v>88</v>
      </c>
      <c r="D49" s="38" t="s">
        <v>47</v>
      </c>
      <c r="E49" s="2" t="s">
        <v>48</v>
      </c>
      <c r="F49" s="2">
        <v>3.5000000000000003E-2</v>
      </c>
      <c r="G49" s="3">
        <v>0.14799999999999999</v>
      </c>
      <c r="H49" s="2">
        <v>500</v>
      </c>
      <c r="I49" s="2">
        <v>0</v>
      </c>
      <c r="J49" s="2">
        <v>0</v>
      </c>
      <c r="K49" s="2"/>
      <c r="L49" s="2"/>
      <c r="M49" s="2"/>
      <c r="N49" s="8">
        <f t="shared" si="5"/>
        <v>-33</v>
      </c>
      <c r="O49" s="2"/>
      <c r="P49" s="19"/>
      <c r="Q49" s="19"/>
      <c r="R49" s="19"/>
      <c r="S49" s="19"/>
      <c r="T49" s="2"/>
      <c r="U49" s="19"/>
      <c r="V49" s="19"/>
      <c r="W49" s="19"/>
      <c r="X49" s="19">
        <v>533</v>
      </c>
      <c r="Y49" s="2"/>
      <c r="Z49" s="7">
        <f t="shared" si="6"/>
        <v>74</v>
      </c>
      <c r="AA49" s="7">
        <v>500</v>
      </c>
      <c r="AB49" s="7">
        <v>0</v>
      </c>
      <c r="AC49" s="8">
        <f t="shared" si="7"/>
        <v>0</v>
      </c>
      <c r="AD49" s="8">
        <v>0</v>
      </c>
      <c r="AE49" s="8">
        <f t="shared" si="8"/>
        <v>0</v>
      </c>
      <c r="AF49" s="8">
        <f t="shared" si="4"/>
        <v>0</v>
      </c>
      <c r="AG49" s="8">
        <v>0</v>
      </c>
      <c r="AH49" s="8">
        <v>0</v>
      </c>
      <c r="AI49" s="8" t="s">
        <v>119</v>
      </c>
      <c r="AJ49" s="8" t="s">
        <v>121</v>
      </c>
      <c r="AQ49" s="1">
        <v>0</v>
      </c>
    </row>
    <row r="50" spans="2:43" x14ac:dyDescent="0.25">
      <c r="B50" s="2" t="s">
        <v>87</v>
      </c>
      <c r="C50" s="2" t="s">
        <v>88</v>
      </c>
      <c r="D50" s="2" t="s">
        <v>49</v>
      </c>
      <c r="E50" s="2" t="s">
        <v>48</v>
      </c>
      <c r="F50" s="2">
        <v>3.5000000000000003E-2</v>
      </c>
      <c r="G50" s="3">
        <v>0.14399999999999999</v>
      </c>
      <c r="H50" s="2">
        <v>0</v>
      </c>
      <c r="I50" s="2">
        <v>0</v>
      </c>
      <c r="J50" s="2">
        <v>0</v>
      </c>
      <c r="K50" s="2"/>
      <c r="L50" s="2"/>
      <c r="M50" s="2"/>
      <c r="N50" s="8">
        <f t="shared" si="5"/>
        <v>0</v>
      </c>
      <c r="O50" s="2"/>
      <c r="P50" s="19"/>
      <c r="Q50" s="2"/>
      <c r="R50" s="19"/>
      <c r="S50" s="19"/>
      <c r="T50" s="2"/>
      <c r="U50" s="19"/>
      <c r="V50" s="19"/>
      <c r="W50" s="19"/>
      <c r="X50" s="19"/>
      <c r="Y50" s="2"/>
      <c r="Z50" s="7">
        <f t="shared" si="6"/>
        <v>0</v>
      </c>
      <c r="AA50" s="7">
        <v>500</v>
      </c>
      <c r="AB50" s="7">
        <v>0</v>
      </c>
      <c r="AC50" s="8">
        <f t="shared" si="7"/>
        <v>0</v>
      </c>
      <c r="AD50" s="8">
        <v>0</v>
      </c>
      <c r="AE50" s="8">
        <f t="shared" si="8"/>
        <v>0</v>
      </c>
      <c r="AF50" s="8">
        <f t="shared" si="4"/>
        <v>0</v>
      </c>
      <c r="AG50" s="8">
        <v>0</v>
      </c>
      <c r="AH50" s="8">
        <v>0</v>
      </c>
      <c r="AI50" s="8" t="s">
        <v>119</v>
      </c>
      <c r="AJ50" s="8" t="s">
        <v>121</v>
      </c>
      <c r="AQ50" s="1">
        <v>0</v>
      </c>
    </row>
    <row r="51" spans="2:43" x14ac:dyDescent="0.25">
      <c r="B51" s="2" t="s">
        <v>87</v>
      </c>
      <c r="C51" s="2" t="s">
        <v>88</v>
      </c>
      <c r="D51" s="38" t="s">
        <v>50</v>
      </c>
      <c r="E51" s="2" t="s">
        <v>48</v>
      </c>
      <c r="F51" s="2">
        <v>3.5000000000000003E-2</v>
      </c>
      <c r="G51" s="3">
        <v>5.2999999999999999E-2</v>
      </c>
      <c r="H51" s="2">
        <v>1200</v>
      </c>
      <c r="I51" s="2">
        <v>0</v>
      </c>
      <c r="J51" s="2">
        <v>400</v>
      </c>
      <c r="K51" s="2"/>
      <c r="L51" s="2"/>
      <c r="M51" s="2"/>
      <c r="N51" s="8">
        <f t="shared" si="5"/>
        <v>-599</v>
      </c>
      <c r="O51" s="2">
        <v>567</v>
      </c>
      <c r="P51" s="19"/>
      <c r="Q51" s="19"/>
      <c r="R51" s="19"/>
      <c r="S51" s="19"/>
      <c r="T51" s="19"/>
      <c r="U51" s="19">
        <v>1632</v>
      </c>
      <c r="V51" s="19"/>
      <c r="W51" s="19"/>
      <c r="X51" s="19"/>
      <c r="Y51" s="2"/>
      <c r="Z51" s="7">
        <f t="shared" si="6"/>
        <v>84.8</v>
      </c>
      <c r="AA51" s="7">
        <v>1000</v>
      </c>
      <c r="AB51" s="7">
        <v>0</v>
      </c>
      <c r="AC51" s="8">
        <f t="shared" si="7"/>
        <v>0</v>
      </c>
      <c r="AD51" s="8">
        <v>0</v>
      </c>
      <c r="AE51" s="8">
        <f t="shared" si="8"/>
        <v>0</v>
      </c>
      <c r="AF51" s="8">
        <f t="shared" si="4"/>
        <v>0</v>
      </c>
      <c r="AG51" s="8">
        <v>0</v>
      </c>
      <c r="AH51" s="8">
        <v>0</v>
      </c>
      <c r="AI51" s="8" t="s">
        <v>119</v>
      </c>
      <c r="AJ51" s="8" t="s">
        <v>121</v>
      </c>
      <c r="AQ51" s="1">
        <v>1200</v>
      </c>
    </row>
    <row r="52" spans="2:43" x14ac:dyDescent="0.25">
      <c r="B52" s="2" t="s">
        <v>87</v>
      </c>
      <c r="C52" s="2" t="s">
        <v>88</v>
      </c>
      <c r="D52" s="2" t="s">
        <v>51</v>
      </c>
      <c r="E52" s="2" t="s">
        <v>48</v>
      </c>
      <c r="F52" s="2">
        <v>3.5000000000000003E-2</v>
      </c>
      <c r="G52" s="3">
        <v>0.13800000000000001</v>
      </c>
      <c r="H52" s="2">
        <v>0</v>
      </c>
      <c r="I52" s="2">
        <v>0</v>
      </c>
      <c r="J52" s="2">
        <v>0</v>
      </c>
      <c r="K52" s="2"/>
      <c r="L52" s="2"/>
      <c r="M52" s="2"/>
      <c r="N52" s="8">
        <f t="shared" si="5"/>
        <v>0</v>
      </c>
      <c r="O52" s="2"/>
      <c r="P52" s="19"/>
      <c r="Q52" s="2"/>
      <c r="R52" s="19"/>
      <c r="S52" s="19"/>
      <c r="T52" s="19"/>
      <c r="U52" s="19"/>
      <c r="V52" s="19"/>
      <c r="W52" s="19"/>
      <c r="X52" s="19"/>
      <c r="Y52" s="2"/>
      <c r="Z52" s="7">
        <f t="shared" si="6"/>
        <v>0</v>
      </c>
      <c r="AA52" s="7">
        <v>500</v>
      </c>
      <c r="AB52" s="7">
        <v>0</v>
      </c>
      <c r="AC52" s="8">
        <f t="shared" si="7"/>
        <v>0</v>
      </c>
      <c r="AD52" s="8">
        <v>0</v>
      </c>
      <c r="AE52" s="8">
        <f t="shared" si="8"/>
        <v>0</v>
      </c>
      <c r="AF52" s="8">
        <f t="shared" si="4"/>
        <v>0</v>
      </c>
      <c r="AG52" s="8">
        <v>0</v>
      </c>
      <c r="AH52" s="8">
        <v>0</v>
      </c>
      <c r="AI52" s="8" t="s">
        <v>119</v>
      </c>
      <c r="AJ52" s="8" t="s">
        <v>121</v>
      </c>
      <c r="AQ52" s="1">
        <v>0</v>
      </c>
    </row>
    <row r="53" spans="2:43" x14ac:dyDescent="0.25">
      <c r="B53" s="2" t="s">
        <v>87</v>
      </c>
      <c r="C53" s="2" t="s">
        <v>88</v>
      </c>
      <c r="D53" s="38" t="s">
        <v>52</v>
      </c>
      <c r="E53" s="2" t="s">
        <v>48</v>
      </c>
      <c r="F53" s="2">
        <v>3.5000000000000003E-2</v>
      </c>
      <c r="G53" s="3">
        <v>0.11</v>
      </c>
      <c r="H53" s="2">
        <v>2400</v>
      </c>
      <c r="I53" s="2">
        <v>0</v>
      </c>
      <c r="J53" s="2">
        <v>541</v>
      </c>
      <c r="K53" s="2"/>
      <c r="L53" s="2"/>
      <c r="M53" s="2"/>
      <c r="N53" s="8">
        <f t="shared" si="5"/>
        <v>-1553</v>
      </c>
      <c r="O53" s="2">
        <v>896</v>
      </c>
      <c r="P53" s="19"/>
      <c r="Q53" s="19"/>
      <c r="R53" s="19"/>
      <c r="S53" s="19"/>
      <c r="T53" s="19"/>
      <c r="U53" s="19"/>
      <c r="V53" s="19">
        <v>600</v>
      </c>
      <c r="W53" s="19">
        <v>1500</v>
      </c>
      <c r="X53" s="19">
        <v>1498</v>
      </c>
      <c r="Y53" s="2"/>
      <c r="Z53" s="7">
        <f t="shared" si="6"/>
        <v>323.51</v>
      </c>
      <c r="AA53" s="7">
        <v>500</v>
      </c>
      <c r="AB53" s="7">
        <v>0</v>
      </c>
      <c r="AC53" s="8">
        <f t="shared" si="7"/>
        <v>0</v>
      </c>
      <c r="AD53" s="8">
        <v>0</v>
      </c>
      <c r="AE53" s="8">
        <f t="shared" si="8"/>
        <v>0</v>
      </c>
      <c r="AF53" s="8">
        <f t="shared" si="4"/>
        <v>0</v>
      </c>
      <c r="AG53" s="8">
        <v>0</v>
      </c>
      <c r="AH53" s="8">
        <v>0</v>
      </c>
      <c r="AI53" s="8" t="s">
        <v>119</v>
      </c>
      <c r="AJ53" s="8" t="s">
        <v>121</v>
      </c>
      <c r="AQ53" s="1">
        <v>1000</v>
      </c>
    </row>
    <row r="54" spans="2:43" x14ac:dyDescent="0.25">
      <c r="B54" s="2" t="s">
        <v>87</v>
      </c>
      <c r="C54" s="2" t="s">
        <v>88</v>
      </c>
      <c r="D54" s="38" t="s">
        <v>53</v>
      </c>
      <c r="E54" s="2" t="s">
        <v>54</v>
      </c>
      <c r="F54" s="2">
        <v>4.1000000000000002E-2</v>
      </c>
      <c r="G54" s="3">
        <v>7.3999999999999996E-2</v>
      </c>
      <c r="H54" s="2">
        <v>1400</v>
      </c>
      <c r="I54" s="2">
        <v>0</v>
      </c>
      <c r="J54" s="2">
        <v>0</v>
      </c>
      <c r="K54" s="2"/>
      <c r="L54" s="2"/>
      <c r="M54" s="2"/>
      <c r="N54" s="8">
        <f t="shared" si="5"/>
        <v>-2200</v>
      </c>
      <c r="O54" s="2"/>
      <c r="P54" s="19"/>
      <c r="Q54" s="19"/>
      <c r="R54" s="19"/>
      <c r="S54" s="19">
        <v>1100</v>
      </c>
      <c r="T54" s="19">
        <v>400</v>
      </c>
      <c r="U54" s="19">
        <v>622</v>
      </c>
      <c r="V54" s="19"/>
      <c r="W54" s="19"/>
      <c r="X54" s="19">
        <v>1478</v>
      </c>
      <c r="Y54" s="2"/>
      <c r="Z54" s="7">
        <f t="shared" si="6"/>
        <v>103.6</v>
      </c>
      <c r="AA54" s="7">
        <v>1000</v>
      </c>
      <c r="AB54" s="7">
        <v>0</v>
      </c>
      <c r="AC54" s="8">
        <f t="shared" si="7"/>
        <v>0</v>
      </c>
      <c r="AD54" s="8">
        <v>0</v>
      </c>
      <c r="AE54" s="8">
        <f t="shared" si="8"/>
        <v>0</v>
      </c>
      <c r="AF54" s="8">
        <f t="shared" si="4"/>
        <v>0</v>
      </c>
      <c r="AG54" s="8">
        <v>0</v>
      </c>
      <c r="AH54" s="8">
        <v>0</v>
      </c>
      <c r="AI54" s="8" t="s">
        <v>119</v>
      </c>
      <c r="AJ54" s="8" t="s">
        <v>121</v>
      </c>
      <c r="AQ54" s="1">
        <v>2800</v>
      </c>
    </row>
    <row r="55" spans="2:43" x14ac:dyDescent="0.25">
      <c r="B55" s="2" t="s">
        <v>87</v>
      </c>
      <c r="C55" s="2" t="s">
        <v>88</v>
      </c>
      <c r="D55" s="2" t="s">
        <v>55</v>
      </c>
      <c r="E55" s="2" t="s">
        <v>54</v>
      </c>
      <c r="F55" s="2">
        <v>4.4999999999999998E-2</v>
      </c>
      <c r="G55" s="3">
        <v>0.46</v>
      </c>
      <c r="H55" s="2">
        <v>500</v>
      </c>
      <c r="I55" s="2">
        <v>0</v>
      </c>
      <c r="J55" s="2">
        <v>146</v>
      </c>
      <c r="K55" s="2"/>
      <c r="L55" s="2"/>
      <c r="M55" s="2"/>
      <c r="N55" s="8">
        <f t="shared" si="5"/>
        <v>646</v>
      </c>
      <c r="O55" s="2"/>
      <c r="P55" s="19"/>
      <c r="Q55" s="19"/>
      <c r="R55" s="19"/>
      <c r="S55" s="19"/>
      <c r="T55" s="19"/>
      <c r="U55" s="19"/>
      <c r="V55" s="19"/>
      <c r="W55" s="19"/>
      <c r="X55" s="19"/>
      <c r="Y55" s="2"/>
      <c r="Z55" s="7">
        <f t="shared" si="6"/>
        <v>297.16000000000003</v>
      </c>
      <c r="AA55" s="7">
        <v>200</v>
      </c>
      <c r="AB55" s="7">
        <v>0</v>
      </c>
      <c r="AC55" s="8">
        <f t="shared" si="7"/>
        <v>0</v>
      </c>
      <c r="AD55" s="8">
        <v>0</v>
      </c>
      <c r="AE55" s="8">
        <f t="shared" si="8"/>
        <v>0</v>
      </c>
      <c r="AF55" s="8">
        <f t="shared" si="4"/>
        <v>0</v>
      </c>
      <c r="AG55" s="8">
        <v>0</v>
      </c>
      <c r="AH55" s="8">
        <v>0</v>
      </c>
      <c r="AI55" s="8" t="s">
        <v>119</v>
      </c>
      <c r="AJ55" s="8" t="s">
        <v>121</v>
      </c>
      <c r="AQ55" s="1">
        <v>1000</v>
      </c>
    </row>
    <row r="56" spans="2:43" x14ac:dyDescent="0.25">
      <c r="B56" s="2" t="s">
        <v>87</v>
      </c>
      <c r="C56" s="2" t="s">
        <v>88</v>
      </c>
      <c r="D56" s="38" t="s">
        <v>56</v>
      </c>
      <c r="E56" s="2" t="s">
        <v>54</v>
      </c>
      <c r="F56" s="2">
        <v>4.4999999999999998E-2</v>
      </c>
      <c r="G56" s="3">
        <v>0.23300000000000001</v>
      </c>
      <c r="H56" s="2">
        <v>500</v>
      </c>
      <c r="I56" s="2">
        <v>0</v>
      </c>
      <c r="J56" s="2">
        <v>1649</v>
      </c>
      <c r="K56" s="2"/>
      <c r="L56" s="2"/>
      <c r="M56" s="2"/>
      <c r="N56" s="8">
        <f t="shared" si="5"/>
        <v>-138</v>
      </c>
      <c r="O56" s="2"/>
      <c r="P56" s="19">
        <v>500</v>
      </c>
      <c r="Q56" s="19">
        <v>1100</v>
      </c>
      <c r="R56" s="19"/>
      <c r="S56" s="19"/>
      <c r="T56" s="19"/>
      <c r="U56" s="19">
        <v>593</v>
      </c>
      <c r="V56" s="19"/>
      <c r="W56" s="19"/>
      <c r="X56" s="19">
        <v>94</v>
      </c>
      <c r="Y56" s="2"/>
      <c r="Z56" s="7">
        <f t="shared" si="6"/>
        <v>500.71700000000004</v>
      </c>
      <c r="AA56" s="7">
        <v>500</v>
      </c>
      <c r="AB56" s="7">
        <v>0</v>
      </c>
      <c r="AC56" s="8">
        <f t="shared" si="7"/>
        <v>0</v>
      </c>
      <c r="AD56" s="8">
        <v>0</v>
      </c>
      <c r="AE56" s="8">
        <f t="shared" si="8"/>
        <v>0</v>
      </c>
      <c r="AF56" s="8">
        <f t="shared" si="4"/>
        <v>0</v>
      </c>
      <c r="AG56" s="8">
        <v>0</v>
      </c>
      <c r="AH56" s="8">
        <v>0</v>
      </c>
      <c r="AI56" s="8" t="s">
        <v>119</v>
      </c>
      <c r="AJ56" s="8" t="s">
        <v>121</v>
      </c>
      <c r="AQ56" s="1">
        <v>416</v>
      </c>
    </row>
    <row r="57" spans="2:43" x14ac:dyDescent="0.25">
      <c r="B57" s="2" t="s">
        <v>87</v>
      </c>
      <c r="C57" s="2" t="s">
        <v>88</v>
      </c>
      <c r="D57" s="2" t="s">
        <v>57</v>
      </c>
      <c r="E57" s="2" t="s">
        <v>54</v>
      </c>
      <c r="F57" s="2">
        <v>4.1000000000000002E-2</v>
      </c>
      <c r="G57" s="3">
        <v>0.19700000000000001</v>
      </c>
      <c r="H57" s="2">
        <v>900</v>
      </c>
      <c r="I57" s="2">
        <v>0</v>
      </c>
      <c r="J57" s="2">
        <v>2595</v>
      </c>
      <c r="K57" s="2"/>
      <c r="L57" s="2"/>
      <c r="M57" s="2"/>
      <c r="N57" s="8">
        <f t="shared" si="5"/>
        <v>129</v>
      </c>
      <c r="O57" s="2"/>
      <c r="P57" s="19"/>
      <c r="Q57" s="19">
        <v>756</v>
      </c>
      <c r="R57" s="19">
        <v>972</v>
      </c>
      <c r="S57" s="19">
        <v>100</v>
      </c>
      <c r="T57" s="19">
        <v>1000</v>
      </c>
      <c r="U57" s="19">
        <v>538</v>
      </c>
      <c r="V57" s="19"/>
      <c r="W57" s="19"/>
      <c r="X57" s="19"/>
      <c r="Y57" s="2"/>
      <c r="Z57" s="7">
        <f t="shared" si="6"/>
        <v>688.51499999999999</v>
      </c>
      <c r="AA57" s="7">
        <v>500</v>
      </c>
      <c r="AB57" s="7">
        <v>0</v>
      </c>
      <c r="AC57" s="8">
        <f t="shared" si="7"/>
        <v>0</v>
      </c>
      <c r="AD57" s="8">
        <v>0</v>
      </c>
      <c r="AE57" s="8">
        <f t="shared" si="8"/>
        <v>0</v>
      </c>
      <c r="AF57" s="8">
        <f t="shared" si="4"/>
        <v>0</v>
      </c>
      <c r="AG57" s="8">
        <v>0</v>
      </c>
      <c r="AH57" s="8">
        <v>0</v>
      </c>
      <c r="AI57" s="8" t="s">
        <v>119</v>
      </c>
      <c r="AJ57" s="8" t="s">
        <v>121</v>
      </c>
      <c r="AQ57" s="1">
        <v>2200</v>
      </c>
    </row>
    <row r="58" spans="2:43" x14ac:dyDescent="0.25">
      <c r="B58" s="2" t="s">
        <v>87</v>
      </c>
      <c r="C58" s="2" t="s">
        <v>88</v>
      </c>
      <c r="D58" s="2" t="s">
        <v>58</v>
      </c>
      <c r="E58" s="2" t="s">
        <v>54</v>
      </c>
      <c r="F58" s="2">
        <v>4.4999999999999998E-2</v>
      </c>
      <c r="G58" s="3">
        <v>0.17299999999999999</v>
      </c>
      <c r="H58" s="2">
        <v>1000</v>
      </c>
      <c r="I58" s="2">
        <v>0</v>
      </c>
      <c r="J58" s="2">
        <v>470</v>
      </c>
      <c r="K58" s="2"/>
      <c r="L58" s="2"/>
      <c r="M58" s="2"/>
      <c r="N58" s="8">
        <f t="shared" si="5"/>
        <v>69</v>
      </c>
      <c r="O58" s="2"/>
      <c r="P58" s="19"/>
      <c r="Q58" s="19"/>
      <c r="R58" s="19"/>
      <c r="S58" s="19">
        <v>1401</v>
      </c>
      <c r="T58" s="19"/>
      <c r="U58" s="19"/>
      <c r="V58" s="19"/>
      <c r="W58" s="19"/>
      <c r="X58" s="19"/>
      <c r="Y58" s="2"/>
      <c r="Z58" s="7">
        <f t="shared" si="6"/>
        <v>254.30999999999997</v>
      </c>
      <c r="AA58" s="7">
        <v>500</v>
      </c>
      <c r="AB58" s="7">
        <v>0</v>
      </c>
      <c r="AC58" s="8">
        <f t="shared" si="7"/>
        <v>0</v>
      </c>
      <c r="AD58" s="8">
        <v>0</v>
      </c>
      <c r="AE58" s="8">
        <f t="shared" si="8"/>
        <v>0</v>
      </c>
      <c r="AF58" s="8">
        <f t="shared" si="4"/>
        <v>0</v>
      </c>
      <c r="AG58" s="8">
        <v>0</v>
      </c>
      <c r="AH58" s="8">
        <v>0</v>
      </c>
      <c r="AI58" s="8" t="s">
        <v>119</v>
      </c>
      <c r="AJ58" s="8" t="s">
        <v>121</v>
      </c>
      <c r="AQ58" s="1">
        <v>1720</v>
      </c>
    </row>
    <row r="59" spans="2:43" ht="14.25" customHeight="1" x14ac:dyDescent="0.25">
      <c r="B59" s="2" t="s">
        <v>87</v>
      </c>
      <c r="C59" s="2" t="s">
        <v>88</v>
      </c>
      <c r="D59" s="38" t="s">
        <v>59</v>
      </c>
      <c r="E59" s="2" t="s">
        <v>60</v>
      </c>
      <c r="F59" s="2">
        <v>3.5000000000000003E-2</v>
      </c>
      <c r="G59" s="3">
        <v>0.29799999999999999</v>
      </c>
      <c r="H59" s="2">
        <v>500</v>
      </c>
      <c r="I59" s="2">
        <v>0</v>
      </c>
      <c r="J59" s="2">
        <v>0</v>
      </c>
      <c r="K59" s="2"/>
      <c r="L59" s="2"/>
      <c r="M59" s="2"/>
      <c r="N59" s="8">
        <f t="shared" si="5"/>
        <v>-76</v>
      </c>
      <c r="O59" s="2"/>
      <c r="P59" s="19"/>
      <c r="Q59" s="19"/>
      <c r="R59" s="19"/>
      <c r="S59" s="19">
        <v>144</v>
      </c>
      <c r="T59" s="19">
        <v>432</v>
      </c>
      <c r="U59" s="19"/>
      <c r="V59" s="19"/>
      <c r="W59" s="19"/>
      <c r="X59" s="19"/>
      <c r="Y59" s="2"/>
      <c r="Z59" s="7">
        <f t="shared" si="6"/>
        <v>149</v>
      </c>
      <c r="AA59" s="7">
        <v>144</v>
      </c>
      <c r="AB59" s="7">
        <v>0</v>
      </c>
      <c r="AC59" s="8">
        <f t="shared" si="7"/>
        <v>0</v>
      </c>
      <c r="AD59" s="8">
        <v>0</v>
      </c>
      <c r="AE59" s="8">
        <f t="shared" si="8"/>
        <v>0</v>
      </c>
      <c r="AF59" s="8">
        <f t="shared" si="4"/>
        <v>0</v>
      </c>
      <c r="AG59" s="8" t="s">
        <v>110</v>
      </c>
      <c r="AH59" s="8">
        <f t="shared" ref="AH59:AH78" si="9">+SUM(H59:M59)</f>
        <v>500</v>
      </c>
      <c r="AI59" s="8" t="s">
        <v>119</v>
      </c>
      <c r="AJ59" s="8" t="s">
        <v>121</v>
      </c>
      <c r="AQ59" s="1">
        <v>0</v>
      </c>
    </row>
    <row r="60" spans="2:43" x14ac:dyDescent="0.25">
      <c r="B60" s="2" t="s">
        <v>87</v>
      </c>
      <c r="C60" s="2" t="s">
        <v>88</v>
      </c>
      <c r="D60" s="38" t="s">
        <v>61</v>
      </c>
      <c r="E60" s="2" t="s">
        <v>60</v>
      </c>
      <c r="F60" s="2">
        <v>3.5000000000000003E-2</v>
      </c>
      <c r="G60" s="3">
        <v>0.249</v>
      </c>
      <c r="H60" s="2">
        <v>0</v>
      </c>
      <c r="I60" s="2">
        <v>0</v>
      </c>
      <c r="J60" s="2">
        <v>0</v>
      </c>
      <c r="K60" s="2"/>
      <c r="L60" s="2"/>
      <c r="M60" s="2"/>
      <c r="N60" s="8">
        <f t="shared" si="5"/>
        <v>-680</v>
      </c>
      <c r="O60" s="2"/>
      <c r="P60" s="19"/>
      <c r="Q60" s="2"/>
      <c r="R60" s="19"/>
      <c r="S60" s="19"/>
      <c r="T60" s="19"/>
      <c r="U60" s="19"/>
      <c r="V60" s="19"/>
      <c r="W60" s="19"/>
      <c r="X60" s="19"/>
      <c r="Y60" s="2">
        <v>680</v>
      </c>
      <c r="Z60" s="7">
        <f t="shared" si="6"/>
        <v>0</v>
      </c>
      <c r="AA60" s="7">
        <v>144</v>
      </c>
      <c r="AB60" s="7">
        <v>1</v>
      </c>
      <c r="AC60" s="8">
        <f t="shared" si="7"/>
        <v>0</v>
      </c>
      <c r="AD60" s="8">
        <v>0</v>
      </c>
      <c r="AE60" s="8">
        <f t="shared" si="8"/>
        <v>0</v>
      </c>
      <c r="AF60" s="8">
        <f t="shared" si="4"/>
        <v>0</v>
      </c>
      <c r="AG60" s="8" t="s">
        <v>111</v>
      </c>
      <c r="AH60" s="8">
        <f t="shared" si="9"/>
        <v>0</v>
      </c>
      <c r="AI60" s="8" t="s">
        <v>119</v>
      </c>
      <c r="AJ60" s="8" t="s">
        <v>121</v>
      </c>
      <c r="AQ60" s="1">
        <v>-576</v>
      </c>
    </row>
    <row r="61" spans="2:43" x14ac:dyDescent="0.25">
      <c r="B61" s="2" t="s">
        <v>87</v>
      </c>
      <c r="C61" s="2" t="s">
        <v>88</v>
      </c>
      <c r="D61" s="38" t="s">
        <v>62</v>
      </c>
      <c r="E61" s="2" t="s">
        <v>60</v>
      </c>
      <c r="F61" s="2">
        <v>3.5000000000000003E-2</v>
      </c>
      <c r="G61" s="3">
        <v>0.253</v>
      </c>
      <c r="H61" s="2">
        <v>0</v>
      </c>
      <c r="I61" s="2">
        <v>0</v>
      </c>
      <c r="J61" s="2">
        <v>0</v>
      </c>
      <c r="K61" s="2"/>
      <c r="L61" s="2"/>
      <c r="M61" s="2"/>
      <c r="N61" s="8">
        <f t="shared" si="5"/>
        <v>-510</v>
      </c>
      <c r="O61" s="2"/>
      <c r="P61" s="19"/>
      <c r="Q61" s="2"/>
      <c r="R61" s="19"/>
      <c r="S61" s="19"/>
      <c r="T61" s="19"/>
      <c r="U61" s="19"/>
      <c r="V61" s="19"/>
      <c r="W61" s="19"/>
      <c r="X61" s="19"/>
      <c r="Y61" s="2">
        <v>510</v>
      </c>
      <c r="Z61" s="7">
        <f t="shared" si="6"/>
        <v>0</v>
      </c>
      <c r="AA61" s="7">
        <v>144</v>
      </c>
      <c r="AB61" s="7">
        <v>1</v>
      </c>
      <c r="AC61" s="8">
        <f t="shared" si="7"/>
        <v>0</v>
      </c>
      <c r="AD61" s="8">
        <v>0</v>
      </c>
      <c r="AE61" s="8">
        <f t="shared" si="8"/>
        <v>0</v>
      </c>
      <c r="AF61" s="8">
        <f t="shared" si="4"/>
        <v>0</v>
      </c>
      <c r="AG61" s="8" t="s">
        <v>111</v>
      </c>
      <c r="AH61" s="8">
        <f t="shared" si="9"/>
        <v>0</v>
      </c>
      <c r="AI61" s="8" t="s">
        <v>119</v>
      </c>
      <c r="AJ61" s="8" t="s">
        <v>121</v>
      </c>
      <c r="AQ61" s="1">
        <v>0</v>
      </c>
    </row>
    <row r="62" spans="2:43" x14ac:dyDescent="0.25">
      <c r="B62" s="2" t="s">
        <v>87</v>
      </c>
      <c r="C62" s="2" t="s">
        <v>88</v>
      </c>
      <c r="D62" s="39" t="s">
        <v>63</v>
      </c>
      <c r="E62" s="2" t="s">
        <v>60</v>
      </c>
      <c r="F62" s="2">
        <v>3.5000000000000003E-2</v>
      </c>
      <c r="G62" s="3">
        <v>0.215</v>
      </c>
      <c r="H62" s="2">
        <v>1300</v>
      </c>
      <c r="I62" s="2">
        <v>0</v>
      </c>
      <c r="J62" s="2">
        <v>92</v>
      </c>
      <c r="K62" s="2"/>
      <c r="L62" s="2"/>
      <c r="M62" s="2"/>
      <c r="N62" s="8">
        <f t="shared" si="5"/>
        <v>-48</v>
      </c>
      <c r="O62" s="2"/>
      <c r="P62" s="19"/>
      <c r="Q62" s="19"/>
      <c r="R62" s="19">
        <v>144</v>
      </c>
      <c r="S62" s="19">
        <v>864</v>
      </c>
      <c r="T62" s="2"/>
      <c r="U62" s="19">
        <v>432</v>
      </c>
      <c r="V62" s="19"/>
      <c r="W62" s="19"/>
      <c r="X62" s="19"/>
      <c r="Y62" s="2"/>
      <c r="Z62" s="7">
        <f t="shared" si="6"/>
        <v>299.27999999999997</v>
      </c>
      <c r="AA62" s="7">
        <v>144</v>
      </c>
      <c r="AB62" s="7">
        <v>1</v>
      </c>
      <c r="AC62" s="8">
        <f t="shared" si="7"/>
        <v>1300</v>
      </c>
      <c r="AD62" s="8">
        <v>0</v>
      </c>
      <c r="AE62" s="8">
        <f t="shared" si="8"/>
        <v>0</v>
      </c>
      <c r="AF62" s="8">
        <f t="shared" si="4"/>
        <v>0</v>
      </c>
      <c r="AG62" s="8" t="s">
        <v>111</v>
      </c>
      <c r="AH62" s="8">
        <f t="shared" si="9"/>
        <v>1392</v>
      </c>
      <c r="AI62" s="8" t="s">
        <v>119</v>
      </c>
      <c r="AJ62" s="8" t="s">
        <v>121</v>
      </c>
      <c r="AQ62" s="1">
        <v>144</v>
      </c>
    </row>
    <row r="63" spans="2:43" x14ac:dyDescent="0.25">
      <c r="B63" s="2" t="s">
        <v>87</v>
      </c>
      <c r="C63" s="2" t="s">
        <v>88</v>
      </c>
      <c r="D63" s="2" t="s">
        <v>64</v>
      </c>
      <c r="E63" s="2" t="s">
        <v>60</v>
      </c>
      <c r="F63" s="2">
        <v>3.5000000000000003E-2</v>
      </c>
      <c r="G63" s="3">
        <v>0.253</v>
      </c>
      <c r="H63" s="2">
        <v>1000</v>
      </c>
      <c r="I63" s="2">
        <v>0</v>
      </c>
      <c r="J63" s="2">
        <v>288</v>
      </c>
      <c r="K63" s="2"/>
      <c r="L63" s="2"/>
      <c r="M63" s="2"/>
      <c r="N63" s="8">
        <f t="shared" si="5"/>
        <v>500</v>
      </c>
      <c r="O63" s="2">
        <v>288</v>
      </c>
      <c r="P63" s="19"/>
      <c r="Q63" s="19"/>
      <c r="R63" s="19"/>
      <c r="S63" s="19"/>
      <c r="T63" s="2"/>
      <c r="U63" s="19"/>
      <c r="V63" s="19"/>
      <c r="W63" s="19">
        <v>288</v>
      </c>
      <c r="X63" s="19">
        <v>212</v>
      </c>
      <c r="Y63" s="2"/>
      <c r="Z63" s="7">
        <f t="shared" si="6"/>
        <v>325.86399999999998</v>
      </c>
      <c r="AA63" s="7">
        <v>144</v>
      </c>
      <c r="AB63" s="7">
        <v>1</v>
      </c>
      <c r="AC63" s="8">
        <f t="shared" si="7"/>
        <v>1000</v>
      </c>
      <c r="AD63" s="8">
        <v>0</v>
      </c>
      <c r="AE63" s="8">
        <f t="shared" si="8"/>
        <v>0</v>
      </c>
      <c r="AF63" s="8">
        <f t="shared" si="4"/>
        <v>0</v>
      </c>
      <c r="AG63" s="8" t="s">
        <v>111</v>
      </c>
      <c r="AH63" s="8">
        <f t="shared" si="9"/>
        <v>1288</v>
      </c>
      <c r="AI63" s="8" t="s">
        <v>119</v>
      </c>
      <c r="AJ63" s="8" t="s">
        <v>121</v>
      </c>
      <c r="AQ63" s="1">
        <v>0</v>
      </c>
    </row>
    <row r="64" spans="2:43" x14ac:dyDescent="0.25">
      <c r="B64" s="2" t="s">
        <v>87</v>
      </c>
      <c r="C64" s="2" t="s">
        <v>88</v>
      </c>
      <c r="D64" s="39" t="s">
        <v>65</v>
      </c>
      <c r="E64" s="2" t="s">
        <v>60</v>
      </c>
      <c r="F64" s="2">
        <v>3.5000000000000003E-2</v>
      </c>
      <c r="G64" s="3">
        <v>0.249</v>
      </c>
      <c r="H64" s="2">
        <v>1500</v>
      </c>
      <c r="I64" s="2">
        <v>0</v>
      </c>
      <c r="J64" s="2">
        <v>0</v>
      </c>
      <c r="K64" s="2"/>
      <c r="L64" s="2"/>
      <c r="M64" s="2"/>
      <c r="N64" s="8">
        <f t="shared" si="5"/>
        <v>-433</v>
      </c>
      <c r="O64" s="2"/>
      <c r="P64" s="19">
        <v>432</v>
      </c>
      <c r="Q64" s="19"/>
      <c r="R64" s="19">
        <v>144</v>
      </c>
      <c r="S64" s="19">
        <v>144</v>
      </c>
      <c r="T64" s="2"/>
      <c r="U64" s="19"/>
      <c r="V64" s="19">
        <v>144</v>
      </c>
      <c r="W64" s="19">
        <v>432</v>
      </c>
      <c r="X64" s="19">
        <v>432</v>
      </c>
      <c r="Y64" s="2">
        <v>205</v>
      </c>
      <c r="Z64" s="7">
        <f t="shared" si="6"/>
        <v>373.5</v>
      </c>
      <c r="AA64" s="7">
        <v>144</v>
      </c>
      <c r="AB64" s="7">
        <v>1</v>
      </c>
      <c r="AC64" s="8">
        <f t="shared" si="7"/>
        <v>1500</v>
      </c>
      <c r="AD64" s="8">
        <v>0</v>
      </c>
      <c r="AE64" s="8">
        <f t="shared" si="8"/>
        <v>0</v>
      </c>
      <c r="AF64" s="8">
        <f t="shared" si="4"/>
        <v>0</v>
      </c>
      <c r="AG64" s="8" t="s">
        <v>111</v>
      </c>
      <c r="AH64" s="8">
        <f t="shared" si="9"/>
        <v>1500</v>
      </c>
      <c r="AI64" s="8" t="s">
        <v>119</v>
      </c>
      <c r="AJ64" s="8" t="s">
        <v>121</v>
      </c>
      <c r="AQ64" s="1">
        <v>576</v>
      </c>
    </row>
    <row r="65" spans="2:43" x14ac:dyDescent="0.25">
      <c r="B65" s="2" t="s">
        <v>87</v>
      </c>
      <c r="C65" s="2" t="s">
        <v>88</v>
      </c>
      <c r="D65" s="2" t="s">
        <v>66</v>
      </c>
      <c r="E65" s="2" t="s">
        <v>60</v>
      </c>
      <c r="F65" s="2">
        <v>3.5000000000000003E-2</v>
      </c>
      <c r="G65" s="3">
        <v>0.30299999999999999</v>
      </c>
      <c r="H65" s="2">
        <v>300</v>
      </c>
      <c r="I65" s="2">
        <v>0</v>
      </c>
      <c r="J65" s="2">
        <v>0</v>
      </c>
      <c r="K65" s="2"/>
      <c r="L65" s="2"/>
      <c r="M65" s="2"/>
      <c r="N65" s="8">
        <f t="shared" si="5"/>
        <v>300</v>
      </c>
      <c r="O65" s="2"/>
      <c r="P65" s="19"/>
      <c r="Q65" s="19"/>
      <c r="R65" s="19"/>
      <c r="S65" s="19"/>
      <c r="T65" s="2"/>
      <c r="U65" s="19"/>
      <c r="V65" s="19"/>
      <c r="W65" s="19"/>
      <c r="X65" s="19"/>
      <c r="Y65" s="2"/>
      <c r="Z65" s="7">
        <f t="shared" si="6"/>
        <v>90.899999999999991</v>
      </c>
      <c r="AA65" s="7">
        <v>144</v>
      </c>
      <c r="AB65" s="7">
        <v>0</v>
      </c>
      <c r="AC65" s="8">
        <f t="shared" si="7"/>
        <v>0</v>
      </c>
      <c r="AD65" s="8">
        <v>0</v>
      </c>
      <c r="AE65" s="8">
        <f t="shared" si="8"/>
        <v>0</v>
      </c>
      <c r="AF65" s="8">
        <f t="shared" si="4"/>
        <v>0</v>
      </c>
      <c r="AG65" s="8" t="s">
        <v>110</v>
      </c>
      <c r="AH65" s="8">
        <f t="shared" si="9"/>
        <v>300</v>
      </c>
      <c r="AI65" s="8" t="s">
        <v>119</v>
      </c>
      <c r="AJ65" s="8" t="s">
        <v>121</v>
      </c>
      <c r="AQ65" s="1">
        <v>0</v>
      </c>
    </row>
    <row r="66" spans="2:43" x14ac:dyDescent="0.25">
      <c r="B66" s="2" t="s">
        <v>87</v>
      </c>
      <c r="C66" s="2" t="s">
        <v>88</v>
      </c>
      <c r="D66" s="2" t="s">
        <v>67</v>
      </c>
      <c r="E66" s="2" t="s">
        <v>60</v>
      </c>
      <c r="F66" s="2">
        <v>3.5000000000000003E-2</v>
      </c>
      <c r="G66" s="3">
        <v>0.216</v>
      </c>
      <c r="H66" s="2">
        <v>300</v>
      </c>
      <c r="I66" s="2">
        <v>0</v>
      </c>
      <c r="J66" s="2">
        <v>0</v>
      </c>
      <c r="K66" s="2"/>
      <c r="L66" s="2"/>
      <c r="M66" s="2"/>
      <c r="N66" s="8">
        <f t="shared" si="5"/>
        <v>300</v>
      </c>
      <c r="O66" s="2"/>
      <c r="P66" s="19"/>
      <c r="Q66" s="19"/>
      <c r="R66" s="19"/>
      <c r="S66" s="19"/>
      <c r="T66" s="2"/>
      <c r="U66" s="19"/>
      <c r="V66" s="19"/>
      <c r="W66" s="19"/>
      <c r="X66" s="19"/>
      <c r="Y66" s="2"/>
      <c r="Z66" s="7">
        <f t="shared" si="6"/>
        <v>64.8</v>
      </c>
      <c r="AA66" s="7">
        <v>144</v>
      </c>
      <c r="AB66" s="7">
        <v>1</v>
      </c>
      <c r="AC66" s="8">
        <f t="shared" si="7"/>
        <v>300</v>
      </c>
      <c r="AD66" s="8">
        <v>0</v>
      </c>
      <c r="AE66" s="8">
        <f t="shared" si="8"/>
        <v>0</v>
      </c>
      <c r="AF66" s="8">
        <f t="shared" si="4"/>
        <v>0</v>
      </c>
      <c r="AG66" s="8" t="s">
        <v>111</v>
      </c>
      <c r="AH66" s="8">
        <f t="shared" si="9"/>
        <v>300</v>
      </c>
      <c r="AI66" s="8" t="s">
        <v>119</v>
      </c>
      <c r="AJ66" s="8" t="s">
        <v>121</v>
      </c>
      <c r="AQ66" s="1">
        <v>0</v>
      </c>
    </row>
    <row r="67" spans="2:43" x14ac:dyDescent="0.25">
      <c r="B67" s="2" t="s">
        <v>87</v>
      </c>
      <c r="C67" s="2" t="s">
        <v>88</v>
      </c>
      <c r="D67" s="39" t="s">
        <v>68</v>
      </c>
      <c r="E67" s="2" t="s">
        <v>60</v>
      </c>
      <c r="F67" s="2">
        <v>3.5000000000000003E-2</v>
      </c>
      <c r="G67" s="3">
        <v>0.28399999999999997</v>
      </c>
      <c r="H67" s="2">
        <v>200</v>
      </c>
      <c r="I67" s="2">
        <v>0</v>
      </c>
      <c r="J67" s="2">
        <v>0</v>
      </c>
      <c r="K67" s="2"/>
      <c r="L67" s="2"/>
      <c r="M67" s="2"/>
      <c r="N67" s="8">
        <f t="shared" si="5"/>
        <v>-88</v>
      </c>
      <c r="O67" s="2"/>
      <c r="P67" s="19"/>
      <c r="Q67" s="19"/>
      <c r="R67" s="19"/>
      <c r="S67" s="19"/>
      <c r="T67" s="2"/>
      <c r="U67" s="19"/>
      <c r="V67" s="19"/>
      <c r="W67" s="19">
        <v>288</v>
      </c>
      <c r="X67" s="19"/>
      <c r="Y67" s="2"/>
      <c r="Z67" s="7">
        <f t="shared" si="6"/>
        <v>56.8</v>
      </c>
      <c r="AA67" s="7">
        <v>144</v>
      </c>
      <c r="AB67" s="7">
        <v>0</v>
      </c>
      <c r="AC67" s="8">
        <f t="shared" si="7"/>
        <v>0</v>
      </c>
      <c r="AD67" s="8">
        <v>0</v>
      </c>
      <c r="AE67" s="8">
        <f t="shared" si="8"/>
        <v>0</v>
      </c>
      <c r="AF67" s="8">
        <f t="shared" si="4"/>
        <v>0</v>
      </c>
      <c r="AG67" s="8" t="s">
        <v>110</v>
      </c>
      <c r="AH67" s="8">
        <f t="shared" si="9"/>
        <v>200</v>
      </c>
      <c r="AI67" s="8" t="s">
        <v>119</v>
      </c>
      <c r="AJ67" s="8" t="s">
        <v>121</v>
      </c>
      <c r="AQ67" s="1">
        <v>0</v>
      </c>
    </row>
    <row r="68" spans="2:43" x14ac:dyDescent="0.25">
      <c r="B68" s="2" t="s">
        <v>87</v>
      </c>
      <c r="C68" s="2" t="s">
        <v>88</v>
      </c>
      <c r="D68" s="39" t="s">
        <v>69</v>
      </c>
      <c r="E68" s="2" t="s">
        <v>60</v>
      </c>
      <c r="F68" s="2">
        <v>3.5000000000000003E-2</v>
      </c>
      <c r="G68" s="3">
        <v>0.252</v>
      </c>
      <c r="H68" s="2">
        <v>1100</v>
      </c>
      <c r="I68" s="2">
        <v>0</v>
      </c>
      <c r="J68" s="2">
        <v>0</v>
      </c>
      <c r="K68" s="2"/>
      <c r="L68" s="2"/>
      <c r="M68" s="2"/>
      <c r="N68" s="8">
        <f t="shared" si="5"/>
        <v>-215</v>
      </c>
      <c r="O68" s="2"/>
      <c r="P68" s="19"/>
      <c r="Q68" s="19"/>
      <c r="R68" s="19"/>
      <c r="S68" s="19"/>
      <c r="T68" s="2"/>
      <c r="U68" s="19">
        <v>864</v>
      </c>
      <c r="V68" s="19">
        <v>144</v>
      </c>
      <c r="W68" s="19"/>
      <c r="X68" s="19">
        <v>50</v>
      </c>
      <c r="Y68" s="2">
        <v>257</v>
      </c>
      <c r="Z68" s="7">
        <f t="shared" si="6"/>
        <v>277.2</v>
      </c>
      <c r="AA68" s="7">
        <v>144</v>
      </c>
      <c r="AB68" s="7">
        <v>1</v>
      </c>
      <c r="AC68" s="8">
        <f t="shared" si="7"/>
        <v>1100</v>
      </c>
      <c r="AD68" s="8">
        <v>0</v>
      </c>
      <c r="AE68" s="8">
        <f t="shared" si="8"/>
        <v>0</v>
      </c>
      <c r="AF68" s="8">
        <f t="shared" si="4"/>
        <v>0</v>
      </c>
      <c r="AG68" s="8" t="s">
        <v>111</v>
      </c>
      <c r="AH68" s="8">
        <f t="shared" si="9"/>
        <v>1100</v>
      </c>
      <c r="AI68" s="8" t="s">
        <v>119</v>
      </c>
      <c r="AJ68" s="8" t="s">
        <v>121</v>
      </c>
      <c r="AQ68" s="1">
        <v>-144</v>
      </c>
    </row>
    <row r="69" spans="2:43" x14ac:dyDescent="0.25">
      <c r="B69" s="2" t="s">
        <v>87</v>
      </c>
      <c r="C69" s="2" t="s">
        <v>88</v>
      </c>
      <c r="D69" s="39" t="s">
        <v>70</v>
      </c>
      <c r="E69" s="2" t="s">
        <v>71</v>
      </c>
      <c r="F69" s="2">
        <v>4.4999999999999998E-2</v>
      </c>
      <c r="G69" s="3">
        <v>0.373</v>
      </c>
      <c r="H69" s="2">
        <v>200</v>
      </c>
      <c r="I69" s="2">
        <v>0</v>
      </c>
      <c r="J69" s="2">
        <v>0</v>
      </c>
      <c r="K69" s="2"/>
      <c r="L69" s="2"/>
      <c r="M69" s="2"/>
      <c r="N69" s="8">
        <f t="shared" si="5"/>
        <v>-156</v>
      </c>
      <c r="O69" s="2"/>
      <c r="P69" s="19">
        <v>128</v>
      </c>
      <c r="Q69" s="19"/>
      <c r="R69" s="19"/>
      <c r="S69" s="19"/>
      <c r="T69" s="2"/>
      <c r="U69" s="19"/>
      <c r="V69" s="19"/>
      <c r="W69" s="19"/>
      <c r="X69" s="19">
        <v>100</v>
      </c>
      <c r="Y69" s="2">
        <v>128</v>
      </c>
      <c r="Z69" s="7">
        <f t="shared" si="6"/>
        <v>74.599999999999994</v>
      </c>
      <c r="AA69" s="7">
        <v>288</v>
      </c>
      <c r="AB69" s="7">
        <v>1</v>
      </c>
      <c r="AC69" s="8">
        <f t="shared" si="7"/>
        <v>200</v>
      </c>
      <c r="AD69" s="8">
        <v>0</v>
      </c>
      <c r="AE69" s="8">
        <f t="shared" si="8"/>
        <v>0</v>
      </c>
      <c r="AF69" s="8">
        <f t="shared" si="4"/>
        <v>0</v>
      </c>
      <c r="AG69" s="8" t="s">
        <v>112</v>
      </c>
      <c r="AH69" s="8">
        <f t="shared" si="9"/>
        <v>200</v>
      </c>
      <c r="AI69" s="8" t="s">
        <v>119</v>
      </c>
      <c r="AJ69" s="8" t="s">
        <v>121</v>
      </c>
      <c r="AQ69" s="1">
        <v>512</v>
      </c>
    </row>
    <row r="70" spans="2:43" x14ac:dyDescent="0.25">
      <c r="B70" s="2" t="s">
        <v>87</v>
      </c>
      <c r="C70" s="2" t="s">
        <v>88</v>
      </c>
      <c r="D70" s="2" t="s">
        <v>72</v>
      </c>
      <c r="E70" s="2" t="s">
        <v>71</v>
      </c>
      <c r="F70" s="2">
        <v>4.1000000000000002E-2</v>
      </c>
      <c r="G70" s="3">
        <v>0.375</v>
      </c>
      <c r="H70" s="2">
        <v>0</v>
      </c>
      <c r="I70" s="2">
        <v>0</v>
      </c>
      <c r="J70" s="2">
        <v>0</v>
      </c>
      <c r="K70" s="2"/>
      <c r="L70" s="2"/>
      <c r="M70" s="2"/>
      <c r="N70" s="8">
        <f t="shared" ref="N70:N78" si="10">+H70+I70+J70+K70+L70+M70-SUM(O70:Y70)</f>
        <v>0</v>
      </c>
      <c r="O70" s="2"/>
      <c r="P70" s="19"/>
      <c r="Q70" s="2"/>
      <c r="R70" s="19"/>
      <c r="S70" s="19"/>
      <c r="T70" s="2"/>
      <c r="U70" s="19"/>
      <c r="V70" s="19"/>
      <c r="W70" s="19"/>
      <c r="X70" s="19"/>
      <c r="Y70" s="2"/>
      <c r="Z70" s="7">
        <f t="shared" ref="Z70:Z78" si="11">+G70*SUM(H70:M70)</f>
        <v>0</v>
      </c>
      <c r="AA70" s="7">
        <v>288</v>
      </c>
      <c r="AB70" s="7">
        <v>0</v>
      </c>
      <c r="AC70" s="8">
        <f t="shared" ref="AC70:AC78" si="12">+H70*AB70</f>
        <v>0</v>
      </c>
      <c r="AD70" s="8">
        <v>1</v>
      </c>
      <c r="AE70" s="8">
        <f t="shared" ref="AE70:AE78" si="13">+H70*AD70</f>
        <v>0</v>
      </c>
      <c r="AF70" s="8">
        <f t="shared" si="4"/>
        <v>0</v>
      </c>
      <c r="AG70" s="8" t="s">
        <v>113</v>
      </c>
      <c r="AH70" s="8">
        <f t="shared" si="9"/>
        <v>0</v>
      </c>
      <c r="AI70" s="8" t="s">
        <v>119</v>
      </c>
      <c r="AJ70" s="8" t="s">
        <v>121</v>
      </c>
      <c r="AQ70" s="1">
        <v>0</v>
      </c>
    </row>
    <row r="71" spans="2:43" x14ac:dyDescent="0.25">
      <c r="B71" s="2" t="s">
        <v>87</v>
      </c>
      <c r="C71" s="2" t="s">
        <v>88</v>
      </c>
      <c r="D71" s="39" t="s">
        <v>73</v>
      </c>
      <c r="E71" s="2" t="s">
        <v>71</v>
      </c>
      <c r="F71" s="2">
        <v>4.4999999999999998E-2</v>
      </c>
      <c r="G71" s="3">
        <v>0.35599999999999998</v>
      </c>
      <c r="H71" s="2">
        <v>400</v>
      </c>
      <c r="I71" s="2">
        <v>0</v>
      </c>
      <c r="J71" s="2">
        <v>0</v>
      </c>
      <c r="K71" s="2"/>
      <c r="L71" s="2"/>
      <c r="M71" s="2"/>
      <c r="N71" s="8">
        <f t="shared" si="10"/>
        <v>-126</v>
      </c>
      <c r="O71" s="2"/>
      <c r="P71" s="19"/>
      <c r="Q71" s="19">
        <v>512</v>
      </c>
      <c r="R71" s="19"/>
      <c r="S71" s="19"/>
      <c r="T71" s="2"/>
      <c r="U71" s="19"/>
      <c r="V71" s="19"/>
      <c r="W71" s="19"/>
      <c r="X71" s="19">
        <v>14</v>
      </c>
      <c r="Y71" s="2"/>
      <c r="Z71" s="7">
        <f t="shared" si="11"/>
        <v>142.4</v>
      </c>
      <c r="AA71" s="7">
        <v>288</v>
      </c>
      <c r="AB71" s="7">
        <v>1</v>
      </c>
      <c r="AC71" s="8">
        <f t="shared" si="12"/>
        <v>400</v>
      </c>
      <c r="AD71" s="8">
        <v>0</v>
      </c>
      <c r="AE71" s="8">
        <f t="shared" si="13"/>
        <v>0</v>
      </c>
      <c r="AF71" s="8">
        <f t="shared" ref="AF71:AF78" si="14">+AE71*2</f>
        <v>0</v>
      </c>
      <c r="AG71" s="8" t="s">
        <v>112</v>
      </c>
      <c r="AH71" s="8">
        <f t="shared" si="9"/>
        <v>400</v>
      </c>
      <c r="AI71" s="8" t="s">
        <v>119</v>
      </c>
      <c r="AJ71" s="8" t="s">
        <v>121</v>
      </c>
      <c r="AQ71" s="1">
        <v>0</v>
      </c>
    </row>
    <row r="72" spans="2:43" x14ac:dyDescent="0.25">
      <c r="B72" s="2" t="s">
        <v>87</v>
      </c>
      <c r="C72" s="2" t="s">
        <v>88</v>
      </c>
      <c r="D72" s="39" t="s">
        <v>74</v>
      </c>
      <c r="E72" s="2" t="s">
        <v>71</v>
      </c>
      <c r="F72" s="2">
        <v>4.4999999999999998E-2</v>
      </c>
      <c r="G72" s="3">
        <v>0.35199999999999998</v>
      </c>
      <c r="H72" s="2">
        <v>600</v>
      </c>
      <c r="I72" s="2">
        <v>0</v>
      </c>
      <c r="J72" s="2">
        <v>0</v>
      </c>
      <c r="K72" s="2"/>
      <c r="L72" s="2"/>
      <c r="M72" s="2"/>
      <c r="N72" s="8">
        <f t="shared" si="10"/>
        <v>-169</v>
      </c>
      <c r="O72" s="2"/>
      <c r="P72" s="19"/>
      <c r="Q72" s="19">
        <v>128</v>
      </c>
      <c r="R72" s="19"/>
      <c r="S72" s="19">
        <v>256</v>
      </c>
      <c r="T72" s="2">
        <v>128</v>
      </c>
      <c r="U72" s="19"/>
      <c r="V72" s="19"/>
      <c r="W72" s="19">
        <v>129</v>
      </c>
      <c r="X72" s="19"/>
      <c r="Y72" s="2">
        <v>128</v>
      </c>
      <c r="Z72" s="7">
        <f t="shared" si="11"/>
        <v>211.2</v>
      </c>
      <c r="AA72" s="7">
        <v>288</v>
      </c>
      <c r="AB72" s="7">
        <v>1</v>
      </c>
      <c r="AC72" s="8">
        <f t="shared" si="12"/>
        <v>600</v>
      </c>
      <c r="AD72" s="8">
        <v>0</v>
      </c>
      <c r="AE72" s="8">
        <f t="shared" si="13"/>
        <v>0</v>
      </c>
      <c r="AF72" s="8">
        <f t="shared" si="14"/>
        <v>0</v>
      </c>
      <c r="AG72" s="8" t="s">
        <v>114</v>
      </c>
      <c r="AH72" s="8">
        <f t="shared" si="9"/>
        <v>600</v>
      </c>
      <c r="AI72" s="8" t="s">
        <v>119</v>
      </c>
      <c r="AJ72" s="8" t="s">
        <v>121</v>
      </c>
      <c r="AQ72" s="1">
        <v>0</v>
      </c>
    </row>
    <row r="73" spans="2:43" x14ac:dyDescent="0.25">
      <c r="B73" s="2" t="s">
        <v>87</v>
      </c>
      <c r="C73" s="2" t="s">
        <v>88</v>
      </c>
      <c r="D73" s="39" t="s">
        <v>75</v>
      </c>
      <c r="E73" s="2" t="s">
        <v>71</v>
      </c>
      <c r="F73" s="2">
        <v>4.4999999999999998E-2</v>
      </c>
      <c r="G73" s="3">
        <v>0.35299999999999998</v>
      </c>
      <c r="H73" s="2">
        <v>200</v>
      </c>
      <c r="I73" s="2">
        <v>0</v>
      </c>
      <c r="J73" s="2">
        <v>0</v>
      </c>
      <c r="K73" s="2"/>
      <c r="L73" s="2"/>
      <c r="M73" s="2"/>
      <c r="N73" s="8">
        <f t="shared" si="10"/>
        <v>-202</v>
      </c>
      <c r="O73" s="2">
        <v>128</v>
      </c>
      <c r="P73" s="19">
        <v>128</v>
      </c>
      <c r="Q73" s="2"/>
      <c r="R73" s="19"/>
      <c r="S73" s="19"/>
      <c r="T73" s="2"/>
      <c r="U73" s="19"/>
      <c r="V73" s="19"/>
      <c r="W73" s="19"/>
      <c r="X73" s="19">
        <v>18</v>
      </c>
      <c r="Y73" s="2">
        <v>128</v>
      </c>
      <c r="Z73" s="7">
        <f t="shared" si="11"/>
        <v>70.599999999999994</v>
      </c>
      <c r="AA73" s="7">
        <v>288</v>
      </c>
      <c r="AB73" s="7">
        <v>1</v>
      </c>
      <c r="AC73" s="8">
        <f t="shared" si="12"/>
        <v>200</v>
      </c>
      <c r="AD73" s="8">
        <v>0</v>
      </c>
      <c r="AE73" s="8">
        <f t="shared" si="13"/>
        <v>0</v>
      </c>
      <c r="AF73" s="8">
        <f t="shared" si="14"/>
        <v>0</v>
      </c>
      <c r="AG73" s="8" t="s">
        <v>115</v>
      </c>
      <c r="AH73" s="8">
        <f t="shared" si="9"/>
        <v>200</v>
      </c>
      <c r="AI73" s="8" t="s">
        <v>119</v>
      </c>
      <c r="AJ73" s="8" t="s">
        <v>121</v>
      </c>
      <c r="AQ73" s="1">
        <v>0</v>
      </c>
    </row>
    <row r="74" spans="2:43" x14ac:dyDescent="0.25">
      <c r="B74" s="2" t="s">
        <v>87</v>
      </c>
      <c r="C74" s="2" t="s">
        <v>88</v>
      </c>
      <c r="D74" s="2" t="s">
        <v>76</v>
      </c>
      <c r="E74" s="2" t="s">
        <v>71</v>
      </c>
      <c r="F74" s="2">
        <v>4.4999999999999998E-2</v>
      </c>
      <c r="G74" s="3">
        <v>0.35599999999999998</v>
      </c>
      <c r="H74" s="2">
        <v>200</v>
      </c>
      <c r="I74" s="2">
        <v>0</v>
      </c>
      <c r="J74" s="2">
        <v>0</v>
      </c>
      <c r="K74" s="2"/>
      <c r="L74" s="2"/>
      <c r="M74" s="2"/>
      <c r="N74" s="8">
        <f t="shared" si="10"/>
        <v>72</v>
      </c>
      <c r="O74" s="2"/>
      <c r="P74" s="19"/>
      <c r="Q74" s="19"/>
      <c r="R74" s="19"/>
      <c r="S74" s="19"/>
      <c r="T74" s="2"/>
      <c r="U74" s="19"/>
      <c r="V74" s="19"/>
      <c r="W74" s="19"/>
      <c r="X74" s="19">
        <v>128</v>
      </c>
      <c r="Y74" s="2"/>
      <c r="Z74" s="7">
        <f t="shared" si="11"/>
        <v>71.2</v>
      </c>
      <c r="AA74" s="7">
        <v>288</v>
      </c>
      <c r="AB74" s="7">
        <v>1</v>
      </c>
      <c r="AC74" s="8">
        <f t="shared" si="12"/>
        <v>200</v>
      </c>
      <c r="AD74" s="8">
        <v>0</v>
      </c>
      <c r="AE74" s="8">
        <f t="shared" si="13"/>
        <v>0</v>
      </c>
      <c r="AF74" s="8">
        <f t="shared" si="14"/>
        <v>0</v>
      </c>
      <c r="AG74" s="8" t="s">
        <v>115</v>
      </c>
      <c r="AH74" s="8">
        <f t="shared" si="9"/>
        <v>200</v>
      </c>
      <c r="AI74" s="8" t="s">
        <v>119</v>
      </c>
      <c r="AJ74" s="8" t="s">
        <v>121</v>
      </c>
      <c r="AQ74" s="1">
        <v>0</v>
      </c>
    </row>
    <row r="75" spans="2:43" x14ac:dyDescent="0.25">
      <c r="B75" s="2" t="s">
        <v>87</v>
      </c>
      <c r="C75" s="2" t="s">
        <v>88</v>
      </c>
      <c r="D75" s="2" t="s">
        <v>77</v>
      </c>
      <c r="E75" s="2" t="s">
        <v>71</v>
      </c>
      <c r="F75" s="2">
        <v>4.1000000000000002E-2</v>
      </c>
      <c r="G75" s="3">
        <v>0.441</v>
      </c>
      <c r="H75" s="2">
        <v>200</v>
      </c>
      <c r="I75" s="2">
        <v>0</v>
      </c>
      <c r="J75" s="2">
        <v>0</v>
      </c>
      <c r="K75" s="2"/>
      <c r="L75" s="2"/>
      <c r="M75" s="2"/>
      <c r="N75" s="8">
        <f t="shared" si="10"/>
        <v>200</v>
      </c>
      <c r="O75" s="2"/>
      <c r="P75" s="19"/>
      <c r="Q75" s="19"/>
      <c r="R75" s="19"/>
      <c r="S75" s="19"/>
      <c r="T75" s="2"/>
      <c r="U75" s="19"/>
      <c r="V75" s="19"/>
      <c r="W75" s="19"/>
      <c r="X75" s="19"/>
      <c r="Y75" s="2"/>
      <c r="Z75" s="7">
        <f t="shared" si="11"/>
        <v>88.2</v>
      </c>
      <c r="AA75" s="7">
        <v>288</v>
      </c>
      <c r="AB75" s="7">
        <v>0</v>
      </c>
      <c r="AC75" s="8">
        <f t="shared" si="12"/>
        <v>0</v>
      </c>
      <c r="AD75" s="8">
        <v>0</v>
      </c>
      <c r="AE75" s="8">
        <f t="shared" si="13"/>
        <v>0</v>
      </c>
      <c r="AF75" s="8">
        <f t="shared" si="14"/>
        <v>0</v>
      </c>
      <c r="AG75" s="8" t="s">
        <v>116</v>
      </c>
      <c r="AH75" s="8">
        <f t="shared" si="9"/>
        <v>200</v>
      </c>
      <c r="AI75" s="8" t="s">
        <v>119</v>
      </c>
      <c r="AJ75" s="8" t="s">
        <v>121</v>
      </c>
      <c r="AQ75" s="1">
        <v>0</v>
      </c>
    </row>
    <row r="76" spans="2:43" x14ac:dyDescent="0.25">
      <c r="B76" s="2" t="s">
        <v>87</v>
      </c>
      <c r="C76" s="2" t="s">
        <v>88</v>
      </c>
      <c r="D76" s="2" t="s">
        <v>78</v>
      </c>
      <c r="E76" s="2" t="s">
        <v>71</v>
      </c>
      <c r="F76" s="2">
        <v>4.4999999999999998E-2</v>
      </c>
      <c r="G76" s="3">
        <v>0.374</v>
      </c>
      <c r="H76" s="2">
        <v>200</v>
      </c>
      <c r="I76" s="2">
        <v>0</v>
      </c>
      <c r="J76" s="2">
        <v>0</v>
      </c>
      <c r="K76" s="2"/>
      <c r="L76" s="2"/>
      <c r="M76" s="2"/>
      <c r="N76" s="8">
        <f t="shared" si="10"/>
        <v>167</v>
      </c>
      <c r="O76" s="2"/>
      <c r="P76" s="19"/>
      <c r="Q76" s="19"/>
      <c r="R76" s="19"/>
      <c r="S76" s="19"/>
      <c r="T76" s="2"/>
      <c r="U76" s="19"/>
      <c r="V76" s="19"/>
      <c r="W76" s="19"/>
      <c r="X76" s="19">
        <v>33</v>
      </c>
      <c r="Y76" s="2"/>
      <c r="Z76" s="7">
        <f t="shared" si="11"/>
        <v>74.8</v>
      </c>
      <c r="AA76" s="7">
        <v>288</v>
      </c>
      <c r="AB76" s="7">
        <v>1</v>
      </c>
      <c r="AC76" s="8">
        <f t="shared" si="12"/>
        <v>200</v>
      </c>
      <c r="AD76" s="8">
        <v>0</v>
      </c>
      <c r="AE76" s="8">
        <f t="shared" si="13"/>
        <v>0</v>
      </c>
      <c r="AF76" s="8">
        <f t="shared" si="14"/>
        <v>0</v>
      </c>
      <c r="AG76" s="8" t="s">
        <v>112</v>
      </c>
      <c r="AH76" s="8">
        <f t="shared" si="9"/>
        <v>200</v>
      </c>
      <c r="AI76" s="8" t="s">
        <v>119</v>
      </c>
      <c r="AJ76" s="8" t="s">
        <v>121</v>
      </c>
      <c r="AQ76" s="1">
        <v>128</v>
      </c>
    </row>
    <row r="77" spans="2:43" x14ac:dyDescent="0.25">
      <c r="B77" s="2" t="s">
        <v>87</v>
      </c>
      <c r="C77" s="2" t="s">
        <v>88</v>
      </c>
      <c r="D77" s="2" t="s">
        <v>79</v>
      </c>
      <c r="E77" s="2" t="s">
        <v>71</v>
      </c>
      <c r="F77" s="2">
        <v>4.1000000000000002E-2</v>
      </c>
      <c r="G77" s="3">
        <v>0.41599999999999998</v>
      </c>
      <c r="H77" s="2">
        <v>300</v>
      </c>
      <c r="I77" s="2">
        <v>0</v>
      </c>
      <c r="J77" s="2">
        <v>0</v>
      </c>
      <c r="K77" s="2"/>
      <c r="L77" s="2"/>
      <c r="M77" s="2"/>
      <c r="N77" s="8">
        <f t="shared" si="10"/>
        <v>300</v>
      </c>
      <c r="O77" s="2"/>
      <c r="P77" s="19"/>
      <c r="Q77" s="19"/>
      <c r="R77" s="19"/>
      <c r="S77" s="19"/>
      <c r="T77" s="2"/>
      <c r="U77" s="19"/>
      <c r="V77" s="19"/>
      <c r="W77" s="19"/>
      <c r="X77" s="19"/>
      <c r="Y77" s="2"/>
      <c r="Z77" s="7">
        <f t="shared" si="11"/>
        <v>124.8</v>
      </c>
      <c r="AA77" s="7">
        <v>288</v>
      </c>
      <c r="AB77" s="7">
        <v>0</v>
      </c>
      <c r="AC77" s="8">
        <f t="shared" si="12"/>
        <v>0</v>
      </c>
      <c r="AD77" s="8">
        <v>1</v>
      </c>
      <c r="AE77" s="8">
        <f t="shared" si="13"/>
        <v>300</v>
      </c>
      <c r="AF77" s="8">
        <f t="shared" si="14"/>
        <v>600</v>
      </c>
      <c r="AG77" s="8" t="s">
        <v>117</v>
      </c>
      <c r="AH77" s="8">
        <f t="shared" si="9"/>
        <v>300</v>
      </c>
      <c r="AI77" s="8" t="s">
        <v>119</v>
      </c>
      <c r="AJ77" s="8" t="s">
        <v>121</v>
      </c>
      <c r="AQ77" s="1">
        <v>0</v>
      </c>
    </row>
    <row r="78" spans="2:43" x14ac:dyDescent="0.25">
      <c r="B78" s="2" t="s">
        <v>87</v>
      </c>
      <c r="C78" s="2" t="s">
        <v>88</v>
      </c>
      <c r="D78" s="39" t="s">
        <v>80</v>
      </c>
      <c r="E78" s="2" t="s">
        <v>71</v>
      </c>
      <c r="F78" s="2">
        <v>4.4999999999999998E-2</v>
      </c>
      <c r="G78" s="3">
        <v>0.39500000000000002</v>
      </c>
      <c r="H78" s="2">
        <v>400</v>
      </c>
      <c r="I78" s="2">
        <v>0</v>
      </c>
      <c r="J78" s="2">
        <v>0</v>
      </c>
      <c r="K78" s="2"/>
      <c r="L78" s="2"/>
      <c r="M78" s="2"/>
      <c r="N78" s="8">
        <f t="shared" si="10"/>
        <v>144</v>
      </c>
      <c r="O78" s="2"/>
      <c r="P78" s="19">
        <v>128</v>
      </c>
      <c r="Q78" s="19">
        <v>128</v>
      </c>
      <c r="R78" s="19"/>
      <c r="S78" s="19"/>
      <c r="T78" s="2"/>
      <c r="U78" s="19"/>
      <c r="V78" s="19"/>
      <c r="W78" s="19"/>
      <c r="X78" s="51"/>
      <c r="Y78" s="2"/>
      <c r="Z78" s="7">
        <f t="shared" si="11"/>
        <v>158</v>
      </c>
      <c r="AA78" s="7">
        <v>288</v>
      </c>
      <c r="AB78" s="7">
        <v>1</v>
      </c>
      <c r="AC78" s="8">
        <f t="shared" si="12"/>
        <v>400</v>
      </c>
      <c r="AD78" s="8">
        <v>0</v>
      </c>
      <c r="AE78" s="8">
        <f t="shared" si="13"/>
        <v>0</v>
      </c>
      <c r="AF78" s="8">
        <f t="shared" si="14"/>
        <v>0</v>
      </c>
      <c r="AG78" s="8" t="s">
        <v>112</v>
      </c>
      <c r="AH78" s="8">
        <f t="shared" si="9"/>
        <v>400</v>
      </c>
      <c r="AI78" s="8" t="s">
        <v>119</v>
      </c>
      <c r="AJ78" s="8" t="s">
        <v>121</v>
      </c>
      <c r="AQ78" s="1">
        <v>0</v>
      </c>
    </row>
    <row r="79" spans="2:43" x14ac:dyDescent="0.25">
      <c r="G79" s="4" t="s">
        <v>102</v>
      </c>
      <c r="H79" s="9">
        <f>SUM(H6:H78)</f>
        <v>32700</v>
      </c>
      <c r="I79" s="9">
        <f>SUM(I6:I78)</f>
        <v>14800</v>
      </c>
      <c r="J79" s="9">
        <f t="shared" ref="J79:M79" si="15">SUM(J6:J78)</f>
        <v>13219</v>
      </c>
      <c r="K79" s="9">
        <f t="shared" si="15"/>
        <v>0</v>
      </c>
      <c r="L79" s="9">
        <f t="shared" si="15"/>
        <v>0</v>
      </c>
      <c r="M79" s="9">
        <f t="shared" si="15"/>
        <v>0</v>
      </c>
      <c r="N79" s="13">
        <f>SUM(N6:N78)</f>
        <v>-16010</v>
      </c>
      <c r="O79" s="9">
        <f>SUM(O12:O78)</f>
        <v>4915</v>
      </c>
      <c r="P79" s="9">
        <f t="shared" ref="P79:W79" si="16">SUM(P12:P78)</f>
        <v>3516</v>
      </c>
      <c r="Q79" s="9">
        <f t="shared" si="16"/>
        <v>5224</v>
      </c>
      <c r="R79" s="9">
        <f t="shared" si="16"/>
        <v>3980</v>
      </c>
      <c r="S79" s="9">
        <f t="shared" si="16"/>
        <v>4970</v>
      </c>
      <c r="T79" s="9">
        <f t="shared" si="16"/>
        <v>2760</v>
      </c>
      <c r="U79" s="20">
        <f t="shared" si="16"/>
        <v>7081</v>
      </c>
      <c r="V79" s="20">
        <f t="shared" si="16"/>
        <v>3268</v>
      </c>
      <c r="W79" s="20">
        <f t="shared" si="16"/>
        <v>5437</v>
      </c>
      <c r="X79" s="20">
        <f>SUM(X12:X78)</f>
        <v>7194</v>
      </c>
      <c r="Y79" s="9">
        <f>SUM(Y12:Y78)</f>
        <v>18542</v>
      </c>
      <c r="Z79" s="9">
        <f t="shared" ref="Z79:AF79" si="17">SUM(Z6:Z78)</f>
        <v>6449.0109999999995</v>
      </c>
      <c r="AA79" s="9"/>
      <c r="AB79" s="10">
        <f t="shared" si="17"/>
        <v>14</v>
      </c>
      <c r="AC79" s="11">
        <f t="shared" si="17"/>
        <v>7400</v>
      </c>
      <c r="AD79" s="11">
        <f t="shared" si="17"/>
        <v>2</v>
      </c>
      <c r="AE79" s="11">
        <f t="shared" si="17"/>
        <v>300</v>
      </c>
      <c r="AF79" s="11">
        <f t="shared" si="17"/>
        <v>600</v>
      </c>
      <c r="AG79" s="1"/>
      <c r="AH79" s="11">
        <f>SUM(AH6:AH78)</f>
        <v>9280</v>
      </c>
      <c r="AI79" s="1"/>
      <c r="AJ79" s="1"/>
      <c r="AQ79" s="1"/>
    </row>
    <row r="80" spans="2:43" x14ac:dyDescent="0.25">
      <c r="G80" s="4" t="s">
        <v>108</v>
      </c>
      <c r="H80" s="91">
        <f>+H79+I79+J79+K79+L79+M79</f>
        <v>60719</v>
      </c>
      <c r="I80" s="91"/>
      <c r="J80" s="91"/>
      <c r="K80" s="91"/>
      <c r="L80" s="91"/>
      <c r="M80" s="91"/>
      <c r="N80" s="1"/>
      <c r="O80" s="108">
        <f>+O79+P79</f>
        <v>8431</v>
      </c>
      <c r="P80" s="86"/>
      <c r="Q80" s="108">
        <f>+Q79+R79</f>
        <v>9204</v>
      </c>
      <c r="R80" s="86"/>
      <c r="S80" s="108">
        <f>+S79+T79</f>
        <v>7730</v>
      </c>
      <c r="T80" s="86"/>
      <c r="U80" s="108">
        <f t="shared" ref="U80" si="18">+U79+V79</f>
        <v>10349</v>
      </c>
      <c r="V80" s="86"/>
      <c r="W80" s="108">
        <f>+W79+X79</f>
        <v>12631</v>
      </c>
      <c r="X80" s="86"/>
      <c r="Y80" s="12">
        <f>+Y79</f>
        <v>18542</v>
      </c>
    </row>
    <row r="81" spans="1:25" x14ac:dyDescent="0.25">
      <c r="G81" s="1"/>
      <c r="H81" s="1">
        <v>32700</v>
      </c>
      <c r="I81" s="1">
        <f>SUM(I13:I78)</f>
        <v>0</v>
      </c>
      <c r="J81" s="1">
        <f>SUM(J13:J78)</f>
        <v>6394</v>
      </c>
      <c r="K81" s="1">
        <f t="shared" ref="K81:M81" si="19">SUM(K13:K78)</f>
        <v>0</v>
      </c>
      <c r="L81" s="1">
        <f t="shared" si="19"/>
        <v>0</v>
      </c>
      <c r="M81" s="1">
        <f t="shared" si="19"/>
        <v>0</v>
      </c>
      <c r="N81" s="1"/>
      <c r="O81" s="90">
        <f>SUM(O6:P11)</f>
        <v>1828</v>
      </c>
      <c r="P81" s="90"/>
      <c r="Q81" s="90">
        <f>SUM(Q6:R11)</f>
        <v>3835</v>
      </c>
      <c r="R81" s="90"/>
      <c r="S81" s="90">
        <f t="shared" ref="S81" si="20">SUM(S6:T11)</f>
        <v>2179</v>
      </c>
      <c r="T81" s="90"/>
      <c r="U81" s="90">
        <f>SUM(U6:V11)</f>
        <v>2000</v>
      </c>
      <c r="V81" s="90"/>
      <c r="W81" s="90">
        <f t="shared" ref="W81" si="21">SUM(W6:X11)</f>
        <v>0</v>
      </c>
      <c r="X81" s="90"/>
      <c r="Y81" s="1"/>
    </row>
    <row r="83" spans="1:25" x14ac:dyDescent="0.25">
      <c r="B83" s="1"/>
      <c r="C83" s="2" t="s">
        <v>143</v>
      </c>
      <c r="D83" s="2" t="s">
        <v>144</v>
      </c>
      <c r="E83" s="2" t="s">
        <v>145</v>
      </c>
      <c r="F83" s="19"/>
      <c r="G83" s="19"/>
      <c r="H83" s="19"/>
      <c r="I83" s="19"/>
      <c r="J83" s="19"/>
      <c r="K83" s="19"/>
      <c r="L83" s="19"/>
      <c r="M83" s="19"/>
      <c r="N83" s="19"/>
      <c r="O83" s="19" t="s">
        <v>97</v>
      </c>
      <c r="P83" s="19" t="s">
        <v>98</v>
      </c>
      <c r="Q83" s="19" t="s">
        <v>97</v>
      </c>
      <c r="R83" s="19" t="s">
        <v>98</v>
      </c>
      <c r="S83" s="19" t="s">
        <v>97</v>
      </c>
      <c r="T83" s="19" t="s">
        <v>98</v>
      </c>
      <c r="U83" s="19" t="s">
        <v>97</v>
      </c>
      <c r="V83" s="19" t="s">
        <v>98</v>
      </c>
      <c r="W83" s="19" t="s">
        <v>97</v>
      </c>
      <c r="X83" s="19" t="s">
        <v>98</v>
      </c>
      <c r="Y83" s="19"/>
    </row>
    <row r="84" spans="1:25" x14ac:dyDescent="0.25">
      <c r="B84" s="2" t="s">
        <v>138</v>
      </c>
      <c r="C84" s="8">
        <f>H81+J81</f>
        <v>39094</v>
      </c>
      <c r="D84" s="2">
        <f>+C84/5</f>
        <v>7818.8</v>
      </c>
      <c r="E84" s="2">
        <f>+D84/2</f>
        <v>3909.4</v>
      </c>
      <c r="F84" s="19"/>
      <c r="G84" s="19"/>
      <c r="H84" s="19"/>
      <c r="I84" s="19"/>
      <c r="J84" s="19"/>
      <c r="K84" s="19"/>
      <c r="L84" s="19"/>
      <c r="M84" s="19"/>
      <c r="N84" s="19"/>
      <c r="O84" s="36">
        <f>+O79/$E$84</f>
        <v>1.2572261728142426</v>
      </c>
      <c r="P84" s="36">
        <f t="shared" ref="P84:X84" si="22">+P79/$E$84</f>
        <v>0.89937074742927303</v>
      </c>
      <c r="Q84" s="36">
        <f>+Q79/$E$84</f>
        <v>1.3362664347470199</v>
      </c>
      <c r="R84" s="36">
        <f t="shared" si="22"/>
        <v>1.0180590371924081</v>
      </c>
      <c r="S84" s="36">
        <f t="shared" si="22"/>
        <v>1.2712948278508212</v>
      </c>
      <c r="T84" s="36">
        <f t="shared" si="22"/>
        <v>0.70599068910830309</v>
      </c>
      <c r="U84" s="36">
        <f t="shared" si="22"/>
        <v>1.8112753875274978</v>
      </c>
      <c r="V84" s="36">
        <f t="shared" si="22"/>
        <v>0.83593390290070091</v>
      </c>
      <c r="W84" s="36">
        <f t="shared" si="22"/>
        <v>1.3907504987977695</v>
      </c>
      <c r="X84" s="36">
        <f t="shared" si="22"/>
        <v>1.8401800787844682</v>
      </c>
      <c r="Y84" s="19"/>
    </row>
    <row r="85" spans="1:25" x14ac:dyDescent="0.25">
      <c r="B85" s="2" t="s">
        <v>142</v>
      </c>
      <c r="C85" s="8">
        <v>2683</v>
      </c>
      <c r="D85" s="2">
        <f>+C85/5</f>
        <v>536.6</v>
      </c>
      <c r="E85" s="2">
        <f>+D85/2</f>
        <v>268.3</v>
      </c>
      <c r="F85" s="19"/>
      <c r="G85" s="19"/>
      <c r="H85" s="19"/>
      <c r="I85" s="19"/>
      <c r="J85" s="19"/>
      <c r="K85" s="19"/>
      <c r="L85" s="19"/>
      <c r="M85" s="19"/>
      <c r="N85" s="19"/>
      <c r="O85" s="81">
        <f>+O81/$F$86</f>
        <v>0.36559999999999998</v>
      </c>
      <c r="P85" s="82"/>
      <c r="Q85" s="81">
        <f>+Q81/$F$86</f>
        <v>0.76700000000000002</v>
      </c>
      <c r="R85" s="82"/>
      <c r="S85" s="81">
        <f>+S81/$F$86</f>
        <v>0.43580000000000002</v>
      </c>
      <c r="T85" s="82"/>
      <c r="U85" s="81">
        <f>+U81/$F$86</f>
        <v>0.4</v>
      </c>
      <c r="V85" s="82"/>
      <c r="W85" s="81">
        <f>+W81/$F$86</f>
        <v>0</v>
      </c>
      <c r="X85" s="82"/>
      <c r="Y85" s="19"/>
    </row>
    <row r="86" spans="1:25" x14ac:dyDescent="0.25">
      <c r="B86" s="2" t="s">
        <v>139</v>
      </c>
      <c r="C86" s="2">
        <f>+C84-C85</f>
        <v>36411</v>
      </c>
      <c r="F86" s="17">
        <v>5000</v>
      </c>
    </row>
    <row r="87" spans="1:25" x14ac:dyDescent="0.25">
      <c r="B87" s="33" t="s">
        <v>158</v>
      </c>
      <c r="C87" s="25">
        <f>+C86/C84</f>
        <v>0.93137054279429066</v>
      </c>
      <c r="S87" s="17" t="s">
        <v>167</v>
      </c>
      <c r="T87" s="17" t="s">
        <v>164</v>
      </c>
    </row>
    <row r="88" spans="1:25" x14ac:dyDescent="0.25">
      <c r="B88" s="33" t="s">
        <v>159</v>
      </c>
      <c r="C88" s="25">
        <f>+C85/C84</f>
        <v>6.8629457205709316E-2</v>
      </c>
      <c r="S88" s="17" t="s">
        <v>165</v>
      </c>
    </row>
    <row r="89" spans="1:25" x14ac:dyDescent="0.25">
      <c r="H89" s="37"/>
      <c r="S89" s="17">
        <v>100</v>
      </c>
      <c r="T89" s="17" t="s">
        <v>166</v>
      </c>
    </row>
    <row r="90" spans="1:25" x14ac:dyDescent="0.25">
      <c r="B90" s="111" t="s">
        <v>156</v>
      </c>
      <c r="C90" s="111"/>
      <c r="D90" s="111"/>
      <c r="E90" s="111"/>
      <c r="F90" s="111"/>
    </row>
    <row r="91" spans="1:25" x14ac:dyDescent="0.25">
      <c r="A91" s="112" t="s">
        <v>157</v>
      </c>
      <c r="B91" s="31">
        <v>46230</v>
      </c>
      <c r="C91" s="31">
        <v>46231</v>
      </c>
      <c r="D91" s="31">
        <v>46232</v>
      </c>
      <c r="E91" s="31">
        <v>46233</v>
      </c>
      <c r="F91" s="31">
        <v>46234</v>
      </c>
    </row>
    <row r="92" spans="1:25" x14ac:dyDescent="0.25">
      <c r="A92" s="112"/>
      <c r="B92" s="32" t="s">
        <v>148</v>
      </c>
      <c r="C92" s="32" t="s">
        <v>149</v>
      </c>
      <c r="D92" s="32" t="s">
        <v>150</v>
      </c>
      <c r="E92" s="32" t="s">
        <v>151</v>
      </c>
      <c r="F92" s="32" t="s">
        <v>152</v>
      </c>
    </row>
    <row r="93" spans="1:25" x14ac:dyDescent="0.25">
      <c r="A93" s="19" t="s">
        <v>153</v>
      </c>
      <c r="B93" s="25">
        <v>0.25</v>
      </c>
      <c r="C93" s="30">
        <v>0.45</v>
      </c>
      <c r="D93" s="30">
        <v>0.62</v>
      </c>
      <c r="E93" s="30">
        <v>0.77</v>
      </c>
      <c r="F93" s="30">
        <v>0.93</v>
      </c>
    </row>
    <row r="94" spans="1:25" x14ac:dyDescent="0.25">
      <c r="A94" s="29" t="s">
        <v>154</v>
      </c>
      <c r="B94" s="30">
        <v>0.75</v>
      </c>
      <c r="C94" s="30">
        <v>0.55000000000000004</v>
      </c>
      <c r="D94" s="30">
        <v>0.38</v>
      </c>
      <c r="E94" s="30">
        <v>0.23</v>
      </c>
      <c r="F94" s="30">
        <v>7.0000000000000007E-2</v>
      </c>
    </row>
    <row r="95" spans="1:25" x14ac:dyDescent="0.25">
      <c r="B95" s="110" t="s">
        <v>155</v>
      </c>
      <c r="C95" s="110"/>
      <c r="D95" s="110"/>
      <c r="E95" s="110"/>
      <c r="F95" s="110"/>
    </row>
  </sheetData>
  <autoFilter ref="B5:AJ80" xr:uid="{00000000-0009-0000-0000-000003000000}"/>
  <mergeCells count="27">
    <mergeCell ref="U81:V81"/>
    <mergeCell ref="W81:X81"/>
    <mergeCell ref="S85:T85"/>
    <mergeCell ref="U85:V85"/>
    <mergeCell ref="W85:X85"/>
    <mergeCell ref="O81:P81"/>
    <mergeCell ref="O85:P85"/>
    <mergeCell ref="Q85:R85"/>
    <mergeCell ref="Q81:R81"/>
    <mergeCell ref="S81:T81"/>
    <mergeCell ref="O4:P4"/>
    <mergeCell ref="Q4:R4"/>
    <mergeCell ref="S4:T4"/>
    <mergeCell ref="W4:X4"/>
    <mergeCell ref="H80:M80"/>
    <mergeCell ref="O80:P80"/>
    <mergeCell ref="Q80:R80"/>
    <mergeCell ref="S80:T80"/>
    <mergeCell ref="U80:V80"/>
    <mergeCell ref="W80:X80"/>
    <mergeCell ref="U4:V4"/>
    <mergeCell ref="I4:M4"/>
    <mergeCell ref="B95:F95"/>
    <mergeCell ref="B90:F90"/>
    <mergeCell ref="A91:A92"/>
    <mergeCell ref="C2:D2"/>
    <mergeCell ref="B3:B4"/>
  </mergeCells>
  <phoneticPr fontId="9" type="noConversion"/>
  <conditionalFormatting sqref="O84:X84">
    <cfRule type="cellIs" dxfId="38" priority="1" operator="between">
      <formula>1</formula>
      <formula>5</formula>
    </cfRule>
    <cfRule type="cellIs" dxfId="37" priority="2" operator="between">
      <formula>0.85</formula>
      <formula>0.99</formula>
    </cfRule>
    <cfRule type="cellIs" dxfId="36" priority="3" operator="between">
      <formula>0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scale="43" orientation="landscape"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pageSetUpPr fitToPage="1"/>
  </sheetPr>
  <dimension ref="A1:AR98"/>
  <sheetViews>
    <sheetView topLeftCell="A68" zoomScale="85" zoomScaleNormal="85" zoomScaleSheetLayoutView="100" workbookViewId="0">
      <pane xSplit="14" topLeftCell="O1" activePane="topRight" state="frozen"/>
      <selection activeCell="B2" sqref="B2"/>
      <selection pane="topRight" activeCell="I10" sqref="I10"/>
    </sheetView>
  </sheetViews>
  <sheetFormatPr baseColWidth="10" defaultColWidth="8.7109375" defaultRowHeight="15" x14ac:dyDescent="0.25"/>
  <cols>
    <col min="1" max="1" width="8.7109375" style="17"/>
    <col min="2" max="2" width="19" style="17" bestFit="1" customWidth="1"/>
    <col min="3" max="3" width="14.42578125" style="17" bestFit="1" customWidth="1"/>
    <col min="4" max="4" width="19.140625" style="17" customWidth="1"/>
    <col min="5" max="5" width="15.140625" style="17" bestFit="1" customWidth="1"/>
    <col min="6" max="6" width="17.7109375" style="1" hidden="1" customWidth="1"/>
    <col min="7" max="7" width="15.85546875" style="17" bestFit="1" customWidth="1"/>
    <col min="8" max="8" width="11.5703125" style="17" customWidth="1"/>
    <col min="9" max="10" width="9.5703125" style="17" bestFit="1" customWidth="1"/>
    <col min="11" max="12" width="8.85546875" style="17" bestFit="1" customWidth="1"/>
    <col min="13" max="13" width="5.140625" style="17" bestFit="1" customWidth="1"/>
    <col min="14" max="14" width="10.140625" style="17" bestFit="1" customWidth="1"/>
    <col min="15" max="16" width="9.140625" style="49" bestFit="1" customWidth="1"/>
    <col min="17" max="27" width="8.7109375" style="49"/>
    <col min="28" max="28" width="8.7109375" style="49" customWidth="1"/>
    <col min="29" max="29" width="8.7109375" style="49"/>
    <col min="30" max="30" width="0" style="1" hidden="1" customWidth="1"/>
    <col min="31" max="32" width="8.7109375" style="49"/>
    <col min="33" max="33" width="10" style="49" bestFit="1" customWidth="1"/>
    <col min="34" max="34" width="10" style="49" customWidth="1"/>
    <col min="35" max="35" width="13" style="49" bestFit="1" customWidth="1"/>
    <col min="36" max="36" width="11.5703125" style="49" bestFit="1" customWidth="1"/>
    <col min="37" max="37" width="8.7109375" style="49"/>
    <col min="38" max="38" width="12.85546875" style="49" customWidth="1"/>
    <col min="39" max="39" width="16.5703125" style="49" customWidth="1"/>
    <col min="40" max="16384" width="8.7109375" style="49"/>
  </cols>
  <sheetData>
    <row r="1" spans="1:44" s="17" customFormat="1" x14ac:dyDescent="0.25">
      <c r="A1" s="1"/>
      <c r="B1" s="1"/>
      <c r="C1" s="1"/>
      <c r="D1" s="1"/>
      <c r="E1" s="1"/>
      <c r="F1" s="1"/>
      <c r="G1" s="1"/>
      <c r="I1" s="1"/>
      <c r="J1" s="1"/>
      <c r="K1" s="1"/>
      <c r="L1" s="1"/>
      <c r="M1" s="1"/>
      <c r="N1" s="1"/>
      <c r="AD1" s="1"/>
    </row>
    <row r="2" spans="1:44" s="17" customFormat="1" x14ac:dyDescent="0.25">
      <c r="A2" s="1"/>
      <c r="B2" s="4" t="s">
        <v>99</v>
      </c>
      <c r="C2" s="88" t="s">
        <v>100</v>
      </c>
      <c r="D2" s="88"/>
      <c r="E2" s="1"/>
      <c r="F2" s="1"/>
      <c r="G2" s="1"/>
      <c r="I2" s="1"/>
      <c r="J2" s="1"/>
      <c r="K2" s="1"/>
      <c r="L2" s="1"/>
      <c r="M2" s="1"/>
      <c r="N2" s="1"/>
      <c r="AD2" s="1"/>
    </row>
    <row r="3" spans="1:44" s="17" customFormat="1" x14ac:dyDescent="0.25">
      <c r="A3" s="1"/>
      <c r="B3" s="89">
        <f ca="1">TODAY()</f>
        <v>46309</v>
      </c>
      <c r="C3" s="4" t="s">
        <v>97</v>
      </c>
      <c r="D3" s="2" t="s">
        <v>127</v>
      </c>
      <c r="E3" s="1"/>
      <c r="F3" s="1"/>
      <c r="G3" s="1"/>
      <c r="H3" s="18" t="s">
        <v>84</v>
      </c>
      <c r="I3" s="1"/>
      <c r="J3" s="1"/>
      <c r="K3" s="1"/>
      <c r="L3" s="1"/>
      <c r="M3" s="1"/>
      <c r="N3" s="1"/>
      <c r="AD3" s="1"/>
    </row>
    <row r="4" spans="1:44" s="1" customFormat="1" x14ac:dyDescent="0.25">
      <c r="B4" s="89"/>
      <c r="C4" s="4" t="s">
        <v>98</v>
      </c>
      <c r="D4" s="2"/>
      <c r="H4" s="18" t="s">
        <v>85</v>
      </c>
      <c r="I4" s="90" t="s">
        <v>146</v>
      </c>
      <c r="J4" s="90"/>
      <c r="K4" s="90"/>
      <c r="L4" s="90"/>
      <c r="M4" s="90"/>
      <c r="O4" s="87">
        <v>46237</v>
      </c>
      <c r="P4" s="87"/>
      <c r="Q4" s="87">
        <v>46238</v>
      </c>
      <c r="R4" s="87"/>
      <c r="S4" s="87">
        <v>46239</v>
      </c>
      <c r="T4" s="87"/>
      <c r="U4" s="109">
        <v>46240</v>
      </c>
      <c r="V4" s="109"/>
      <c r="W4" s="87">
        <v>46241</v>
      </c>
      <c r="X4" s="87"/>
      <c r="Y4" s="6" t="s">
        <v>92</v>
      </c>
      <c r="Z4" s="17"/>
      <c r="AA4" s="17"/>
      <c r="AB4" s="17"/>
      <c r="AC4" s="17"/>
      <c r="AE4" s="17"/>
      <c r="AF4" s="17"/>
      <c r="AG4" s="17"/>
      <c r="AH4" s="17"/>
      <c r="AI4" s="17"/>
      <c r="AJ4" s="17"/>
      <c r="AK4" s="17"/>
      <c r="AL4" s="17"/>
      <c r="AM4" s="17"/>
      <c r="AO4" s="17"/>
      <c r="AP4" s="17"/>
      <c r="AQ4" s="17"/>
      <c r="AR4" s="17"/>
    </row>
    <row r="5" spans="1:44" s="1" customFormat="1" x14ac:dyDescent="0.25">
      <c r="B5" s="4" t="s">
        <v>0</v>
      </c>
      <c r="C5" s="4" t="s">
        <v>86</v>
      </c>
      <c r="D5" s="4" t="s">
        <v>89</v>
      </c>
      <c r="E5" s="4" t="s">
        <v>81</v>
      </c>
      <c r="F5" s="4" t="s">
        <v>82</v>
      </c>
      <c r="G5" s="4" t="s">
        <v>83</v>
      </c>
      <c r="H5" s="11">
        <v>32</v>
      </c>
      <c r="I5" s="4" t="s">
        <v>157</v>
      </c>
      <c r="J5" s="4" t="s">
        <v>162</v>
      </c>
      <c r="K5" s="4" t="s">
        <v>93</v>
      </c>
      <c r="L5" s="4" t="s">
        <v>94</v>
      </c>
      <c r="M5" s="4"/>
      <c r="N5" s="4" t="s">
        <v>96</v>
      </c>
      <c r="O5" s="4" t="s">
        <v>97</v>
      </c>
      <c r="P5" s="18" t="s">
        <v>98</v>
      </c>
      <c r="Q5" s="18" t="s">
        <v>97</v>
      </c>
      <c r="R5" s="18" t="s">
        <v>98</v>
      </c>
      <c r="S5" s="18" t="s">
        <v>97</v>
      </c>
      <c r="T5" s="18" t="s">
        <v>98</v>
      </c>
      <c r="U5" s="18" t="s">
        <v>97</v>
      </c>
      <c r="V5" s="18" t="s">
        <v>98</v>
      </c>
      <c r="W5" s="4" t="s">
        <v>97</v>
      </c>
      <c r="X5" s="4" t="s">
        <v>98</v>
      </c>
      <c r="Y5" s="4" t="s">
        <v>104</v>
      </c>
      <c r="Z5" s="4" t="s">
        <v>90</v>
      </c>
      <c r="AA5" s="4" t="s">
        <v>126</v>
      </c>
      <c r="AB5" s="4" t="s">
        <v>105</v>
      </c>
      <c r="AC5" s="4" t="s">
        <v>105</v>
      </c>
      <c r="AD5" s="4" t="s">
        <v>106</v>
      </c>
      <c r="AE5" s="4" t="s">
        <v>106</v>
      </c>
      <c r="AF5" s="4" t="s">
        <v>107</v>
      </c>
      <c r="AG5" s="4" t="s">
        <v>109</v>
      </c>
      <c r="AH5" s="4" t="s">
        <v>122</v>
      </c>
      <c r="AI5" s="4" t="s">
        <v>118</v>
      </c>
      <c r="AJ5" s="4" t="s">
        <v>120</v>
      </c>
      <c r="AK5" s="17"/>
      <c r="AL5" s="15" t="s">
        <v>123</v>
      </c>
      <c r="AM5" s="15" t="s">
        <v>125</v>
      </c>
      <c r="AN5" s="28"/>
      <c r="AO5" s="17"/>
      <c r="AP5" s="17"/>
      <c r="AQ5" s="17"/>
      <c r="AR5" s="17"/>
    </row>
    <row r="6" spans="1:44" s="17" customFormat="1" x14ac:dyDescent="0.25">
      <c r="A6" s="1"/>
      <c r="B6" s="40" t="s">
        <v>87</v>
      </c>
      <c r="C6" s="40" t="s">
        <v>88</v>
      </c>
      <c r="D6" s="40" t="s">
        <v>1</v>
      </c>
      <c r="E6" s="40" t="s">
        <v>2</v>
      </c>
      <c r="F6" s="40">
        <v>0.42</v>
      </c>
      <c r="G6" s="40">
        <v>0.42</v>
      </c>
      <c r="H6" s="40"/>
      <c r="I6" s="40">
        <v>3515</v>
      </c>
      <c r="J6" s="40">
        <v>2600</v>
      </c>
      <c r="K6" s="40"/>
      <c r="L6" s="40"/>
      <c r="M6" s="40"/>
      <c r="N6" s="8">
        <f>+H6+I6+J6+K6+L6+M6-SUM(O6:Y6)</f>
        <v>3365</v>
      </c>
      <c r="O6" s="40"/>
      <c r="P6" s="40">
        <v>1500</v>
      </c>
      <c r="Q6" s="40"/>
      <c r="R6" s="40"/>
      <c r="S6" s="40"/>
      <c r="T6" s="40">
        <v>500</v>
      </c>
      <c r="U6" s="40"/>
      <c r="V6" s="40"/>
      <c r="W6" s="40"/>
      <c r="X6" s="40">
        <v>750</v>
      </c>
      <c r="Y6" s="40"/>
      <c r="Z6" s="7">
        <f t="shared" ref="Z6:Z37" si="0">+G6*SUM(H6:M6)</f>
        <v>2568.2999999999997</v>
      </c>
      <c r="AA6" s="7">
        <v>1000</v>
      </c>
      <c r="AB6" s="7">
        <v>0</v>
      </c>
      <c r="AC6" s="8">
        <f t="shared" ref="AC6:AC37" si="1">+H6*AB6</f>
        <v>0</v>
      </c>
      <c r="AD6" s="8">
        <v>0</v>
      </c>
      <c r="AE6" s="8">
        <f t="shared" ref="AE6:AE37" si="2">+H6*AD6</f>
        <v>0</v>
      </c>
      <c r="AF6" s="8">
        <f>+AE6*2</f>
        <v>0</v>
      </c>
      <c r="AG6" s="8">
        <v>0</v>
      </c>
      <c r="AH6" s="8">
        <v>0</v>
      </c>
      <c r="AI6" s="8" t="s">
        <v>119</v>
      </c>
      <c r="AJ6" s="8" t="s">
        <v>121</v>
      </c>
      <c r="AL6" s="14">
        <v>0</v>
      </c>
      <c r="AM6" s="15">
        <v>0</v>
      </c>
      <c r="AN6" s="28"/>
      <c r="AQ6" s="1">
        <v>5600</v>
      </c>
    </row>
    <row r="7" spans="1:44" s="17" customFormat="1" x14ac:dyDescent="0.25">
      <c r="A7" s="1"/>
      <c r="B7" s="40" t="s">
        <v>87</v>
      </c>
      <c r="C7" s="40" t="s">
        <v>88</v>
      </c>
      <c r="D7" s="40" t="s">
        <v>3</v>
      </c>
      <c r="E7" s="40" t="s">
        <v>2</v>
      </c>
      <c r="F7" s="40">
        <v>0.42</v>
      </c>
      <c r="G7" s="40">
        <v>0.42</v>
      </c>
      <c r="H7" s="40"/>
      <c r="I7" s="40">
        <v>6076</v>
      </c>
      <c r="J7" s="40">
        <v>1200</v>
      </c>
      <c r="K7" s="40"/>
      <c r="L7" s="40"/>
      <c r="M7" s="40"/>
      <c r="N7" s="8">
        <f>+H7+I7+J7+K7+L7+M7-SUM(O7:Y7)</f>
        <v>3576</v>
      </c>
      <c r="O7" s="40"/>
      <c r="P7" s="40">
        <v>800</v>
      </c>
      <c r="Q7" s="40"/>
      <c r="R7" s="40"/>
      <c r="S7" s="40"/>
      <c r="T7" s="40">
        <v>2700</v>
      </c>
      <c r="U7" s="40"/>
      <c r="V7" s="40"/>
      <c r="W7" s="40"/>
      <c r="X7" s="40">
        <v>200</v>
      </c>
      <c r="Y7" s="40"/>
      <c r="Z7" s="7">
        <f t="shared" si="0"/>
        <v>3055.92</v>
      </c>
      <c r="AA7" s="7">
        <v>1000</v>
      </c>
      <c r="AB7" s="7">
        <v>0</v>
      </c>
      <c r="AC7" s="8">
        <f t="shared" si="1"/>
        <v>0</v>
      </c>
      <c r="AD7" s="8">
        <v>0</v>
      </c>
      <c r="AE7" s="8">
        <f t="shared" si="2"/>
        <v>0</v>
      </c>
      <c r="AF7" s="8">
        <f t="shared" ref="AF7:AF70" si="3">+AE7*2</f>
        <v>0</v>
      </c>
      <c r="AG7" s="8">
        <v>0</v>
      </c>
      <c r="AH7" s="8">
        <v>0</v>
      </c>
      <c r="AI7" s="8" t="s">
        <v>119</v>
      </c>
      <c r="AJ7" s="8" t="s">
        <v>121</v>
      </c>
      <c r="AL7" s="14" t="s">
        <v>117</v>
      </c>
      <c r="AM7" s="15">
        <v>128</v>
      </c>
      <c r="AN7" s="28"/>
      <c r="AQ7" s="1">
        <v>4338</v>
      </c>
    </row>
    <row r="8" spans="1:44" s="17" customFormat="1" x14ac:dyDescent="0.25">
      <c r="A8" s="1"/>
      <c r="B8" s="40" t="s">
        <v>87</v>
      </c>
      <c r="C8" s="40" t="s">
        <v>88</v>
      </c>
      <c r="D8" s="40" t="s">
        <v>4</v>
      </c>
      <c r="E8" s="40" t="s">
        <v>2</v>
      </c>
      <c r="F8" s="40">
        <v>0.42</v>
      </c>
      <c r="G8" s="40">
        <v>0.42</v>
      </c>
      <c r="H8" s="40"/>
      <c r="I8" s="40">
        <v>672</v>
      </c>
      <c r="J8" s="40">
        <v>500</v>
      </c>
      <c r="K8" s="40"/>
      <c r="L8" s="40"/>
      <c r="M8" s="40"/>
      <c r="N8" s="8">
        <f t="shared" ref="N8:N37" si="4">+H8+I8+J8+K8+L8+M8-SUM(O8:Y8)</f>
        <v>472</v>
      </c>
      <c r="O8" s="40"/>
      <c r="P8" s="40"/>
      <c r="Q8" s="40"/>
      <c r="R8" s="40"/>
      <c r="S8" s="40"/>
      <c r="T8" s="40"/>
      <c r="U8" s="40"/>
      <c r="V8" s="40"/>
      <c r="W8" s="40"/>
      <c r="X8" s="40">
        <v>700</v>
      </c>
      <c r="Y8" s="40"/>
      <c r="Z8" s="7">
        <f t="shared" si="0"/>
        <v>492.24</v>
      </c>
      <c r="AA8" s="7">
        <v>1000</v>
      </c>
      <c r="AB8" s="7">
        <v>0</v>
      </c>
      <c r="AC8" s="8">
        <f t="shared" si="1"/>
        <v>0</v>
      </c>
      <c r="AD8" s="8">
        <v>0</v>
      </c>
      <c r="AE8" s="8">
        <f t="shared" si="2"/>
        <v>0</v>
      </c>
      <c r="AF8" s="8">
        <f t="shared" si="3"/>
        <v>0</v>
      </c>
      <c r="AG8" s="8">
        <v>0</v>
      </c>
      <c r="AH8" s="8">
        <v>0</v>
      </c>
      <c r="AI8" s="8" t="s">
        <v>119</v>
      </c>
      <c r="AJ8" s="8" t="s">
        <v>121</v>
      </c>
      <c r="AL8" s="14" t="s">
        <v>113</v>
      </c>
      <c r="AM8" s="15">
        <v>0</v>
      </c>
      <c r="AN8" s="28"/>
      <c r="AQ8" s="1">
        <v>1300</v>
      </c>
    </row>
    <row r="9" spans="1:44" s="17" customFormat="1" x14ac:dyDescent="0.25">
      <c r="A9" s="1"/>
      <c r="B9" s="40" t="s">
        <v>87</v>
      </c>
      <c r="C9" s="40" t="s">
        <v>88</v>
      </c>
      <c r="D9" s="40" t="s">
        <v>5</v>
      </c>
      <c r="E9" s="40" t="s">
        <v>2</v>
      </c>
      <c r="F9" s="40">
        <v>0.42</v>
      </c>
      <c r="G9" s="40">
        <v>0.42</v>
      </c>
      <c r="H9" s="40"/>
      <c r="I9" s="40">
        <v>0</v>
      </c>
      <c r="J9" s="40">
        <v>700</v>
      </c>
      <c r="K9" s="40"/>
      <c r="L9" s="40"/>
      <c r="M9" s="40"/>
      <c r="N9" s="8">
        <f t="shared" si="4"/>
        <v>200</v>
      </c>
      <c r="O9" s="40"/>
      <c r="P9" s="40"/>
      <c r="Q9" s="40"/>
      <c r="R9" s="40"/>
      <c r="S9" s="40"/>
      <c r="T9" s="40">
        <v>500</v>
      </c>
      <c r="U9" s="40"/>
      <c r="V9" s="40"/>
      <c r="W9" s="40"/>
      <c r="X9" s="40"/>
      <c r="Y9" s="40"/>
      <c r="Z9" s="7">
        <f t="shared" si="0"/>
        <v>294</v>
      </c>
      <c r="AA9" s="7">
        <v>1000</v>
      </c>
      <c r="AB9" s="7">
        <v>0</v>
      </c>
      <c r="AC9" s="8">
        <f t="shared" si="1"/>
        <v>0</v>
      </c>
      <c r="AD9" s="8">
        <v>0</v>
      </c>
      <c r="AE9" s="8">
        <f t="shared" si="2"/>
        <v>0</v>
      </c>
      <c r="AF9" s="8">
        <f t="shared" si="3"/>
        <v>0</v>
      </c>
      <c r="AG9" s="8">
        <v>0</v>
      </c>
      <c r="AH9" s="8">
        <v>0</v>
      </c>
      <c r="AI9" s="8" t="s">
        <v>119</v>
      </c>
      <c r="AJ9" s="8" t="s">
        <v>121</v>
      </c>
      <c r="AL9" s="14" t="s">
        <v>110</v>
      </c>
      <c r="AM9" s="15">
        <v>864</v>
      </c>
      <c r="AN9" s="28"/>
      <c r="AQ9" s="1">
        <v>0</v>
      </c>
    </row>
    <row r="10" spans="1:44" s="17" customFormat="1" x14ac:dyDescent="0.25">
      <c r="A10" s="1"/>
      <c r="B10" s="40" t="s">
        <v>87</v>
      </c>
      <c r="C10" s="40" t="s">
        <v>88</v>
      </c>
      <c r="D10" s="40" t="s">
        <v>6</v>
      </c>
      <c r="E10" s="40" t="s">
        <v>2</v>
      </c>
      <c r="F10" s="40">
        <v>0.42</v>
      </c>
      <c r="G10" s="40">
        <v>0.42</v>
      </c>
      <c r="H10" s="40"/>
      <c r="I10" s="40">
        <v>200</v>
      </c>
      <c r="J10" s="40">
        <v>500</v>
      </c>
      <c r="K10" s="40"/>
      <c r="L10" s="40"/>
      <c r="M10" s="40"/>
      <c r="N10" s="8">
        <f>+H10+I10+J10+K10+L10+M10-SUM(O10:Y10)</f>
        <v>700</v>
      </c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7">
        <f t="shared" si="0"/>
        <v>294</v>
      </c>
      <c r="AA10" s="7">
        <v>1000</v>
      </c>
      <c r="AB10" s="7">
        <v>0</v>
      </c>
      <c r="AC10" s="8">
        <f t="shared" si="1"/>
        <v>0</v>
      </c>
      <c r="AD10" s="8">
        <v>0</v>
      </c>
      <c r="AE10" s="8">
        <f t="shared" si="2"/>
        <v>0</v>
      </c>
      <c r="AF10" s="8">
        <f t="shared" si="3"/>
        <v>0</v>
      </c>
      <c r="AG10" s="8">
        <v>0</v>
      </c>
      <c r="AH10" s="8">
        <v>0</v>
      </c>
      <c r="AI10" s="8" t="s">
        <v>119</v>
      </c>
      <c r="AJ10" s="8" t="s">
        <v>121</v>
      </c>
      <c r="AL10" s="14" t="s">
        <v>116</v>
      </c>
      <c r="AM10" s="15">
        <v>0</v>
      </c>
      <c r="AN10" s="28"/>
      <c r="AQ10" s="1">
        <v>1000</v>
      </c>
    </row>
    <row r="11" spans="1:44" s="17" customFormat="1" x14ac:dyDescent="0.25">
      <c r="A11" s="1"/>
      <c r="B11" s="40" t="s">
        <v>87</v>
      </c>
      <c r="C11" s="40" t="s">
        <v>88</v>
      </c>
      <c r="D11" s="40" t="s">
        <v>7</v>
      </c>
      <c r="E11" s="40" t="s">
        <v>2</v>
      </c>
      <c r="F11" s="40">
        <v>0.42</v>
      </c>
      <c r="G11" s="40">
        <v>0.42</v>
      </c>
      <c r="H11" s="40"/>
      <c r="I11" s="40">
        <v>1507</v>
      </c>
      <c r="J11" s="40">
        <v>600</v>
      </c>
      <c r="K11" s="40"/>
      <c r="L11" s="40"/>
      <c r="M11" s="40"/>
      <c r="N11" s="8">
        <f t="shared" si="4"/>
        <v>573</v>
      </c>
      <c r="O11" s="40"/>
      <c r="P11" s="40">
        <v>1534</v>
      </c>
      <c r="Q11" s="40"/>
      <c r="R11" s="40"/>
      <c r="S11" s="40"/>
      <c r="T11" s="40"/>
      <c r="U11" s="40"/>
      <c r="V11" s="40"/>
      <c r="W11" s="40"/>
      <c r="X11" s="40"/>
      <c r="Y11" s="40"/>
      <c r="Z11" s="7">
        <f t="shared" si="0"/>
        <v>884.93999999999994</v>
      </c>
      <c r="AA11" s="7">
        <v>1000</v>
      </c>
      <c r="AB11" s="7">
        <v>0</v>
      </c>
      <c r="AC11" s="8">
        <f t="shared" si="1"/>
        <v>0</v>
      </c>
      <c r="AD11" s="8">
        <v>0</v>
      </c>
      <c r="AE11" s="8">
        <f t="shared" si="2"/>
        <v>0</v>
      </c>
      <c r="AF11" s="8">
        <f t="shared" si="3"/>
        <v>0</v>
      </c>
      <c r="AG11" s="8">
        <v>0</v>
      </c>
      <c r="AH11" s="8">
        <v>0</v>
      </c>
      <c r="AI11" s="8" t="s">
        <v>119</v>
      </c>
      <c r="AJ11" s="8" t="s">
        <v>121</v>
      </c>
      <c r="AL11" s="14" t="s">
        <v>111</v>
      </c>
      <c r="AM11" s="15">
        <v>7704</v>
      </c>
      <c r="AN11" s="28"/>
      <c r="AQ11" s="1">
        <v>1707</v>
      </c>
    </row>
    <row r="12" spans="1:44" s="1" customFormat="1" x14ac:dyDescent="0.25">
      <c r="B12" s="40" t="s">
        <v>87</v>
      </c>
      <c r="C12" s="40" t="s">
        <v>88</v>
      </c>
      <c r="D12" s="40" t="s">
        <v>8</v>
      </c>
      <c r="E12" s="40" t="s">
        <v>2</v>
      </c>
      <c r="F12" s="40">
        <v>0.42</v>
      </c>
      <c r="G12" s="40">
        <v>0.42</v>
      </c>
      <c r="H12" s="40"/>
      <c r="I12" s="40">
        <v>0</v>
      </c>
      <c r="J12" s="40">
        <v>0</v>
      </c>
      <c r="K12" s="40"/>
      <c r="L12" s="40"/>
      <c r="M12" s="40"/>
      <c r="N12" s="8">
        <f t="shared" si="4"/>
        <v>0</v>
      </c>
      <c r="O12" s="40"/>
      <c r="P12" s="40"/>
      <c r="Q12" s="40"/>
      <c r="R12" s="40"/>
      <c r="S12" s="40"/>
      <c r="T12" s="40"/>
      <c r="U12" s="19"/>
      <c r="V12" s="19"/>
      <c r="W12" s="40"/>
      <c r="X12" s="40"/>
      <c r="Y12" s="40"/>
      <c r="Z12" s="7">
        <f t="shared" si="0"/>
        <v>0</v>
      </c>
      <c r="AA12" s="7">
        <v>1000</v>
      </c>
      <c r="AB12" s="7">
        <v>0</v>
      </c>
      <c r="AC12" s="8">
        <f t="shared" si="1"/>
        <v>0</v>
      </c>
      <c r="AD12" s="8">
        <v>0</v>
      </c>
      <c r="AE12" s="8">
        <f t="shared" si="2"/>
        <v>0</v>
      </c>
      <c r="AF12" s="8">
        <f t="shared" si="3"/>
        <v>0</v>
      </c>
      <c r="AG12" s="8">
        <v>0</v>
      </c>
      <c r="AH12" s="8">
        <v>0</v>
      </c>
      <c r="AI12" s="8" t="s">
        <v>119</v>
      </c>
      <c r="AJ12" s="8" t="s">
        <v>121</v>
      </c>
      <c r="AL12" s="14" t="s">
        <v>112</v>
      </c>
      <c r="AM12" s="15">
        <v>3840</v>
      </c>
      <c r="AN12"/>
      <c r="AQ12" s="1">
        <v>0</v>
      </c>
    </row>
    <row r="13" spans="1:44" s="17" customFormat="1" x14ac:dyDescent="0.25">
      <c r="A13" s="1"/>
      <c r="B13" s="2" t="s">
        <v>87</v>
      </c>
      <c r="C13" s="2" t="s">
        <v>88</v>
      </c>
      <c r="D13" s="2" t="s">
        <v>9</v>
      </c>
      <c r="E13" s="2" t="s">
        <v>10</v>
      </c>
      <c r="F13" s="2" t="s">
        <v>147</v>
      </c>
      <c r="G13" s="2">
        <v>2.8000000000000001E-2</v>
      </c>
      <c r="H13" s="19">
        <v>2000</v>
      </c>
      <c r="I13" s="2">
        <v>0</v>
      </c>
      <c r="J13" s="2"/>
      <c r="K13" s="2"/>
      <c r="L13" s="2"/>
      <c r="M13" s="2"/>
      <c r="N13" s="8">
        <f t="shared" si="4"/>
        <v>-200</v>
      </c>
      <c r="O13" s="2">
        <v>1000</v>
      </c>
      <c r="P13" s="19">
        <v>500</v>
      </c>
      <c r="Q13" s="19">
        <v>500</v>
      </c>
      <c r="R13" s="19">
        <v>200</v>
      </c>
      <c r="S13" s="19"/>
      <c r="T13" s="19"/>
      <c r="U13" s="19"/>
      <c r="V13" s="19"/>
      <c r="W13" s="2"/>
      <c r="X13" s="2"/>
      <c r="Y13" s="2"/>
      <c r="Z13" s="7">
        <f t="shared" si="0"/>
        <v>56</v>
      </c>
      <c r="AA13" s="7">
        <v>1000</v>
      </c>
      <c r="AB13" s="7">
        <v>0</v>
      </c>
      <c r="AC13" s="8">
        <f t="shared" si="1"/>
        <v>0</v>
      </c>
      <c r="AD13" s="8">
        <v>0</v>
      </c>
      <c r="AE13" s="8">
        <f t="shared" si="2"/>
        <v>0</v>
      </c>
      <c r="AF13" s="8">
        <f t="shared" si="3"/>
        <v>0</v>
      </c>
      <c r="AG13" s="8">
        <v>0</v>
      </c>
      <c r="AH13" s="8">
        <v>0</v>
      </c>
      <c r="AI13" s="8" t="s">
        <v>119</v>
      </c>
      <c r="AJ13" s="8" t="s">
        <v>121</v>
      </c>
      <c r="AL13" s="14" t="s">
        <v>114</v>
      </c>
      <c r="AM13" s="15">
        <v>1280</v>
      </c>
      <c r="AN13" s="28"/>
      <c r="AQ13" s="1">
        <v>-3900</v>
      </c>
    </row>
    <row r="14" spans="1:44" s="1" customFormat="1" x14ac:dyDescent="0.25">
      <c r="B14" s="2" t="s">
        <v>87</v>
      </c>
      <c r="C14" s="2" t="s">
        <v>88</v>
      </c>
      <c r="D14" s="2" t="s">
        <v>11</v>
      </c>
      <c r="E14" s="2" t="s">
        <v>10</v>
      </c>
      <c r="F14" s="2">
        <v>2.8000000000000001E-2</v>
      </c>
      <c r="G14" s="2">
        <v>2.8000000000000001E-2</v>
      </c>
      <c r="H14" s="19">
        <v>0</v>
      </c>
      <c r="I14" s="2">
        <v>0</v>
      </c>
      <c r="J14" s="2"/>
      <c r="K14" s="2"/>
      <c r="L14" s="2"/>
      <c r="M14" s="2"/>
      <c r="N14" s="8">
        <f t="shared" si="4"/>
        <v>0</v>
      </c>
      <c r="O14" s="2"/>
      <c r="P14" s="19"/>
      <c r="Q14" s="19"/>
      <c r="R14" s="19"/>
      <c r="S14" s="19"/>
      <c r="T14" s="19"/>
      <c r="U14" s="19"/>
      <c r="V14" s="19"/>
      <c r="W14" s="2"/>
      <c r="X14" s="2"/>
      <c r="Y14" s="2"/>
      <c r="Z14" s="7">
        <f t="shared" si="0"/>
        <v>0</v>
      </c>
      <c r="AA14" s="7">
        <v>1000</v>
      </c>
      <c r="AB14" s="7">
        <v>0</v>
      </c>
      <c r="AC14" s="8">
        <f t="shared" si="1"/>
        <v>0</v>
      </c>
      <c r="AD14" s="8">
        <v>0</v>
      </c>
      <c r="AE14" s="8">
        <f t="shared" si="2"/>
        <v>0</v>
      </c>
      <c r="AF14" s="8">
        <f t="shared" si="3"/>
        <v>0</v>
      </c>
      <c r="AG14" s="8">
        <v>0</v>
      </c>
      <c r="AH14" s="8">
        <v>0</v>
      </c>
      <c r="AI14" s="8" t="s">
        <v>119</v>
      </c>
      <c r="AJ14" s="8" t="s">
        <v>121</v>
      </c>
      <c r="AL14" s="14" t="s">
        <v>115</v>
      </c>
      <c r="AM14" s="15">
        <v>384</v>
      </c>
      <c r="AN14"/>
      <c r="AQ14" s="1">
        <v>-2966</v>
      </c>
    </row>
    <row r="15" spans="1:44" s="1" customFormat="1" x14ac:dyDescent="0.25">
      <c r="B15" s="2" t="s">
        <v>87</v>
      </c>
      <c r="C15" s="2" t="s">
        <v>88</v>
      </c>
      <c r="D15" s="2" t="s">
        <v>12</v>
      </c>
      <c r="E15" s="2" t="s">
        <v>10</v>
      </c>
      <c r="F15" s="2">
        <v>2.8000000000000001E-2</v>
      </c>
      <c r="G15" s="2">
        <v>2.8000000000000001E-2</v>
      </c>
      <c r="H15" s="19">
        <v>2500</v>
      </c>
      <c r="I15" s="2">
        <v>0</v>
      </c>
      <c r="J15" s="2"/>
      <c r="K15" s="2"/>
      <c r="L15" s="2"/>
      <c r="M15" s="2"/>
      <c r="N15" s="8">
        <f t="shared" si="4"/>
        <v>-500</v>
      </c>
      <c r="O15" s="2"/>
      <c r="P15" s="19"/>
      <c r="Q15" s="19">
        <v>300</v>
      </c>
      <c r="R15" s="19"/>
      <c r="S15" s="19"/>
      <c r="T15" s="19"/>
      <c r="U15" s="19"/>
      <c r="V15" s="19"/>
      <c r="W15" s="2"/>
      <c r="X15" s="2"/>
      <c r="Y15" s="2">
        <v>2700</v>
      </c>
      <c r="Z15" s="7">
        <f t="shared" si="0"/>
        <v>70</v>
      </c>
      <c r="AA15" s="7">
        <v>1000</v>
      </c>
      <c r="AB15" s="7">
        <v>0</v>
      </c>
      <c r="AC15" s="8">
        <f t="shared" si="1"/>
        <v>0</v>
      </c>
      <c r="AD15" s="8">
        <v>0</v>
      </c>
      <c r="AE15" s="8">
        <f t="shared" si="2"/>
        <v>0</v>
      </c>
      <c r="AF15" s="8">
        <f t="shared" si="3"/>
        <v>0</v>
      </c>
      <c r="AG15" s="8">
        <v>0</v>
      </c>
      <c r="AH15" s="8">
        <v>0</v>
      </c>
      <c r="AI15" s="8" t="s">
        <v>119</v>
      </c>
      <c r="AJ15" s="8" t="s">
        <v>121</v>
      </c>
      <c r="AL15" s="14" t="s">
        <v>124</v>
      </c>
      <c r="AM15" s="15">
        <v>14200</v>
      </c>
      <c r="AN15"/>
      <c r="AQ15" s="1">
        <v>2400</v>
      </c>
    </row>
    <row r="16" spans="1:44" s="17" customFormat="1" x14ac:dyDescent="0.25">
      <c r="A16" s="1"/>
      <c r="B16" s="2" t="s">
        <v>87</v>
      </c>
      <c r="C16" s="2" t="s">
        <v>88</v>
      </c>
      <c r="D16" s="2" t="s">
        <v>13</v>
      </c>
      <c r="E16" s="2" t="s">
        <v>10</v>
      </c>
      <c r="F16" s="2">
        <v>2.8000000000000001E-2</v>
      </c>
      <c r="G16" s="2">
        <v>2.8000000000000001E-2</v>
      </c>
      <c r="H16" s="19">
        <v>500</v>
      </c>
      <c r="I16" s="2">
        <v>0</v>
      </c>
      <c r="J16" s="2"/>
      <c r="K16" s="2"/>
      <c r="L16" s="2"/>
      <c r="M16" s="2"/>
      <c r="N16" s="8">
        <f t="shared" si="4"/>
        <v>500</v>
      </c>
      <c r="O16" s="2"/>
      <c r="P16" s="19"/>
      <c r="Q16" s="19"/>
      <c r="R16" s="19"/>
      <c r="S16" s="19"/>
      <c r="T16" s="19"/>
      <c r="U16" s="19"/>
      <c r="V16" s="19"/>
      <c r="W16" s="19"/>
      <c r="X16" s="2"/>
      <c r="Y16" s="2"/>
      <c r="Z16" s="7">
        <f t="shared" si="0"/>
        <v>14</v>
      </c>
      <c r="AA16" s="7">
        <v>1000</v>
      </c>
      <c r="AB16" s="7">
        <v>0</v>
      </c>
      <c r="AC16" s="8">
        <f t="shared" si="1"/>
        <v>0</v>
      </c>
      <c r="AD16" s="8">
        <v>0</v>
      </c>
      <c r="AE16" s="8">
        <f t="shared" si="2"/>
        <v>0</v>
      </c>
      <c r="AF16" s="8">
        <f t="shared" si="3"/>
        <v>0</v>
      </c>
      <c r="AG16" s="8">
        <v>0</v>
      </c>
      <c r="AH16" s="8">
        <v>0</v>
      </c>
      <c r="AI16" s="8" t="s">
        <v>119</v>
      </c>
      <c r="AJ16" s="8" t="s">
        <v>121</v>
      </c>
      <c r="AL16" s="28"/>
      <c r="AM16" s="28"/>
      <c r="AN16" s="28"/>
      <c r="AQ16" s="1">
        <v>400</v>
      </c>
    </row>
    <row r="17" spans="1:43" s="1" customFormat="1" x14ac:dyDescent="0.25">
      <c r="B17" s="2" t="s">
        <v>87</v>
      </c>
      <c r="C17" s="2" t="s">
        <v>88</v>
      </c>
      <c r="D17" s="2" t="s">
        <v>14</v>
      </c>
      <c r="E17" s="2" t="s">
        <v>10</v>
      </c>
      <c r="F17" s="2">
        <v>2.8000000000000001E-2</v>
      </c>
      <c r="G17" s="2">
        <v>2.8000000000000001E-2</v>
      </c>
      <c r="H17" s="19">
        <v>3400</v>
      </c>
      <c r="I17" s="2">
        <v>0</v>
      </c>
      <c r="J17" s="2"/>
      <c r="K17" s="2"/>
      <c r="L17" s="2"/>
      <c r="M17" s="2"/>
      <c r="N17" s="8">
        <f t="shared" si="4"/>
        <v>-800</v>
      </c>
      <c r="O17" s="2"/>
      <c r="P17" s="19"/>
      <c r="Q17" s="19"/>
      <c r="R17" s="19"/>
      <c r="S17" s="19"/>
      <c r="T17" s="19"/>
      <c r="U17" s="19"/>
      <c r="V17" s="19"/>
      <c r="W17" s="2"/>
      <c r="X17" s="2"/>
      <c r="Y17" s="2">
        <v>4200</v>
      </c>
      <c r="Z17" s="7">
        <f t="shared" si="0"/>
        <v>95.2</v>
      </c>
      <c r="AA17" s="7">
        <v>1000</v>
      </c>
      <c r="AB17" s="7">
        <v>0</v>
      </c>
      <c r="AC17" s="8">
        <f t="shared" si="1"/>
        <v>0</v>
      </c>
      <c r="AD17" s="8">
        <v>0</v>
      </c>
      <c r="AE17" s="8">
        <f t="shared" si="2"/>
        <v>0</v>
      </c>
      <c r="AF17" s="8">
        <f t="shared" si="3"/>
        <v>0</v>
      </c>
      <c r="AG17" s="8">
        <v>0</v>
      </c>
      <c r="AH17" s="8">
        <v>0</v>
      </c>
      <c r="AI17" s="8" t="s">
        <v>119</v>
      </c>
      <c r="AJ17" s="8" t="s">
        <v>121</v>
      </c>
      <c r="AL17"/>
      <c r="AM17"/>
      <c r="AN17"/>
      <c r="AQ17" s="1">
        <v>3600</v>
      </c>
    </row>
    <row r="18" spans="1:43" s="17" customFormat="1" x14ac:dyDescent="0.25">
      <c r="A18" s="1"/>
      <c r="B18" s="2" t="s">
        <v>87</v>
      </c>
      <c r="C18" s="2" t="s">
        <v>88</v>
      </c>
      <c r="D18" s="2" t="s">
        <v>15</v>
      </c>
      <c r="E18" s="2" t="s">
        <v>10</v>
      </c>
      <c r="F18" s="2">
        <v>2.8000000000000001E-2</v>
      </c>
      <c r="G18" s="2">
        <v>2.8000000000000001E-2</v>
      </c>
      <c r="H18" s="19">
        <v>700</v>
      </c>
      <c r="I18" s="2">
        <v>0</v>
      </c>
      <c r="J18" s="2"/>
      <c r="K18" s="2"/>
      <c r="L18" s="2"/>
      <c r="M18" s="2"/>
      <c r="N18" s="8">
        <f t="shared" si="4"/>
        <v>400</v>
      </c>
      <c r="O18" s="2"/>
      <c r="P18" s="19"/>
      <c r="Q18" s="19"/>
      <c r="R18" s="19"/>
      <c r="S18" s="19"/>
      <c r="T18" s="19">
        <v>300</v>
      </c>
      <c r="U18" s="19"/>
      <c r="V18" s="19"/>
      <c r="W18" s="19"/>
      <c r="X18" s="2"/>
      <c r="Y18" s="2"/>
      <c r="Z18" s="7">
        <f t="shared" si="0"/>
        <v>19.600000000000001</v>
      </c>
      <c r="AA18" s="7">
        <v>1000</v>
      </c>
      <c r="AB18" s="7">
        <v>0</v>
      </c>
      <c r="AC18" s="8">
        <f t="shared" si="1"/>
        <v>0</v>
      </c>
      <c r="AD18" s="8">
        <v>0</v>
      </c>
      <c r="AE18" s="8">
        <f t="shared" si="2"/>
        <v>0</v>
      </c>
      <c r="AF18" s="8">
        <f t="shared" si="3"/>
        <v>0</v>
      </c>
      <c r="AG18" s="8">
        <v>0</v>
      </c>
      <c r="AH18" s="8">
        <v>0</v>
      </c>
      <c r="AI18" s="8" t="s">
        <v>119</v>
      </c>
      <c r="AJ18" s="8" t="s">
        <v>121</v>
      </c>
      <c r="AL18" s="28"/>
      <c r="AM18" s="28"/>
      <c r="AN18" s="28"/>
      <c r="AQ18" s="1">
        <v>0</v>
      </c>
    </row>
    <row r="19" spans="1:43" s="17" customFormat="1" x14ac:dyDescent="0.25">
      <c r="A19" s="1"/>
      <c r="B19" s="2" t="s">
        <v>87</v>
      </c>
      <c r="C19" s="2" t="s">
        <v>88</v>
      </c>
      <c r="D19" s="2" t="s">
        <v>16</v>
      </c>
      <c r="E19" s="2" t="s">
        <v>17</v>
      </c>
      <c r="F19" s="2">
        <v>2.8000000000000001E-2</v>
      </c>
      <c r="G19" s="2">
        <v>2.8000000000000001E-2</v>
      </c>
      <c r="H19" s="19">
        <v>200</v>
      </c>
      <c r="I19" s="2">
        <v>0</v>
      </c>
      <c r="J19" s="2"/>
      <c r="K19" s="2"/>
      <c r="L19" s="2"/>
      <c r="M19" s="2"/>
      <c r="N19" s="8">
        <f t="shared" si="4"/>
        <v>-29</v>
      </c>
      <c r="O19" s="2"/>
      <c r="P19" s="19"/>
      <c r="Q19" s="19"/>
      <c r="R19" s="19"/>
      <c r="S19" s="19"/>
      <c r="T19" s="19"/>
      <c r="U19" s="19"/>
      <c r="V19" s="19">
        <v>211</v>
      </c>
      <c r="W19" s="2"/>
      <c r="X19" s="2"/>
      <c r="Y19" s="2">
        <v>18</v>
      </c>
      <c r="Z19" s="7">
        <f t="shared" si="0"/>
        <v>5.6000000000000005</v>
      </c>
      <c r="AA19" s="7">
        <v>100</v>
      </c>
      <c r="AB19" s="7">
        <v>0</v>
      </c>
      <c r="AC19" s="8">
        <f t="shared" si="1"/>
        <v>0</v>
      </c>
      <c r="AD19" s="8">
        <v>0</v>
      </c>
      <c r="AE19" s="8">
        <f t="shared" si="2"/>
        <v>0</v>
      </c>
      <c r="AF19" s="8">
        <f t="shared" si="3"/>
        <v>0</v>
      </c>
      <c r="AG19" s="8">
        <v>0</v>
      </c>
      <c r="AH19" s="8">
        <v>0</v>
      </c>
      <c r="AI19" s="8" t="s">
        <v>119</v>
      </c>
      <c r="AJ19" s="8" t="s">
        <v>121</v>
      </c>
      <c r="AL19" s="28"/>
      <c r="AM19" s="28"/>
      <c r="AN19" s="28"/>
      <c r="AQ19" s="1">
        <v>-55</v>
      </c>
    </row>
    <row r="20" spans="1:43" s="17" customFormat="1" x14ac:dyDescent="0.25">
      <c r="A20" s="1"/>
      <c r="B20" s="2" t="s">
        <v>87</v>
      </c>
      <c r="C20" s="2" t="s">
        <v>88</v>
      </c>
      <c r="D20" s="2" t="s">
        <v>18</v>
      </c>
      <c r="E20" s="2" t="s">
        <v>17</v>
      </c>
      <c r="F20" s="2">
        <v>2.8000000000000001E-2</v>
      </c>
      <c r="G20" s="2">
        <v>2.8000000000000001E-2</v>
      </c>
      <c r="H20" s="19">
        <v>200</v>
      </c>
      <c r="I20" s="2">
        <v>0</v>
      </c>
      <c r="J20" s="2"/>
      <c r="K20" s="2"/>
      <c r="L20" s="2"/>
      <c r="M20" s="2"/>
      <c r="N20" s="8">
        <f t="shared" si="4"/>
        <v>-22</v>
      </c>
      <c r="O20" s="2"/>
      <c r="P20" s="19"/>
      <c r="Q20" s="19"/>
      <c r="R20" s="19"/>
      <c r="S20" s="19"/>
      <c r="T20" s="19"/>
      <c r="U20" s="19">
        <v>208</v>
      </c>
      <c r="V20" s="19"/>
      <c r="W20" s="2"/>
      <c r="X20" s="2"/>
      <c r="Y20" s="2">
        <v>14</v>
      </c>
      <c r="Z20" s="7">
        <f t="shared" si="0"/>
        <v>5.6000000000000005</v>
      </c>
      <c r="AA20" s="7">
        <v>100</v>
      </c>
      <c r="AB20" s="7">
        <v>0</v>
      </c>
      <c r="AC20" s="8">
        <f t="shared" si="1"/>
        <v>0</v>
      </c>
      <c r="AD20" s="8">
        <v>0</v>
      </c>
      <c r="AE20" s="8">
        <f t="shared" si="2"/>
        <v>0</v>
      </c>
      <c r="AF20" s="8">
        <f t="shared" si="3"/>
        <v>0</v>
      </c>
      <c r="AG20" s="8">
        <v>0</v>
      </c>
      <c r="AH20" s="8">
        <v>0</v>
      </c>
      <c r="AI20" s="8" t="s">
        <v>119</v>
      </c>
      <c r="AJ20" s="8" t="s">
        <v>121</v>
      </c>
      <c r="AL20" s="28"/>
      <c r="AM20" s="28"/>
      <c r="AN20" s="28"/>
      <c r="AQ20" s="1">
        <v>0</v>
      </c>
    </row>
    <row r="21" spans="1:43" s="1" customFormat="1" x14ac:dyDescent="0.25">
      <c r="B21" s="2" t="s">
        <v>87</v>
      </c>
      <c r="C21" s="2" t="s">
        <v>88</v>
      </c>
      <c r="D21" s="2" t="s">
        <v>19</v>
      </c>
      <c r="E21" s="2" t="s">
        <v>17</v>
      </c>
      <c r="F21" s="2">
        <v>2.8000000000000001E-2</v>
      </c>
      <c r="G21" s="2">
        <v>2.8000000000000001E-2</v>
      </c>
      <c r="H21" s="19">
        <v>0</v>
      </c>
      <c r="I21" s="2">
        <v>0</v>
      </c>
      <c r="J21" s="2"/>
      <c r="K21" s="4"/>
      <c r="L21" s="2"/>
      <c r="M21" s="2"/>
      <c r="N21" s="8">
        <f t="shared" si="4"/>
        <v>0</v>
      </c>
      <c r="O21" s="2"/>
      <c r="P21" s="19"/>
      <c r="Q21" s="19"/>
      <c r="R21" s="19"/>
      <c r="S21" s="19"/>
      <c r="T21" s="19"/>
      <c r="U21" s="19"/>
      <c r="V21" s="19"/>
      <c r="W21" s="2"/>
      <c r="X21" s="2"/>
      <c r="Y21" s="2"/>
      <c r="Z21" s="7">
        <f t="shared" si="0"/>
        <v>0</v>
      </c>
      <c r="AA21" s="7">
        <v>100</v>
      </c>
      <c r="AB21" s="7">
        <v>0</v>
      </c>
      <c r="AC21" s="8">
        <f t="shared" si="1"/>
        <v>0</v>
      </c>
      <c r="AD21" s="8">
        <v>0</v>
      </c>
      <c r="AE21" s="8">
        <f t="shared" si="2"/>
        <v>0</v>
      </c>
      <c r="AF21" s="8">
        <f t="shared" si="3"/>
        <v>0</v>
      </c>
      <c r="AG21" s="8">
        <v>0</v>
      </c>
      <c r="AH21" s="8">
        <v>0</v>
      </c>
      <c r="AI21" s="8" t="s">
        <v>119</v>
      </c>
      <c r="AJ21" s="8" t="s">
        <v>121</v>
      </c>
      <c r="AL21"/>
      <c r="AM21"/>
      <c r="AN21"/>
      <c r="AQ21" s="1">
        <v>-25</v>
      </c>
    </row>
    <row r="22" spans="1:43" s="1" customFormat="1" x14ac:dyDescent="0.25">
      <c r="B22" s="2" t="s">
        <v>87</v>
      </c>
      <c r="C22" s="2" t="s">
        <v>88</v>
      </c>
      <c r="D22" s="2" t="s">
        <v>20</v>
      </c>
      <c r="E22" s="2" t="s">
        <v>17</v>
      </c>
      <c r="F22" s="2">
        <v>2.8000000000000001E-2</v>
      </c>
      <c r="G22" s="2">
        <v>2.8000000000000001E-2</v>
      </c>
      <c r="H22" s="19">
        <v>700</v>
      </c>
      <c r="I22" s="2">
        <v>0</v>
      </c>
      <c r="J22" s="2"/>
      <c r="K22" s="2"/>
      <c r="L22" s="2"/>
      <c r="M22" s="2"/>
      <c r="N22" s="8">
        <f t="shared" si="4"/>
        <v>-1399</v>
      </c>
      <c r="O22" s="2">
        <v>211</v>
      </c>
      <c r="P22" s="19"/>
      <c r="Q22" s="19"/>
      <c r="R22" s="19"/>
      <c r="S22" s="19"/>
      <c r="T22" s="19"/>
      <c r="U22" s="19"/>
      <c r="V22" s="19">
        <v>700</v>
      </c>
      <c r="W22" s="2">
        <v>683</v>
      </c>
      <c r="X22" s="19"/>
      <c r="Y22" s="38">
        <v>505</v>
      </c>
      <c r="Z22" s="7">
        <f t="shared" si="0"/>
        <v>19.600000000000001</v>
      </c>
      <c r="AA22" s="7">
        <v>100</v>
      </c>
      <c r="AB22" s="7">
        <v>0</v>
      </c>
      <c r="AC22" s="8">
        <f t="shared" si="1"/>
        <v>0</v>
      </c>
      <c r="AD22" s="8">
        <v>0</v>
      </c>
      <c r="AE22" s="8">
        <f t="shared" si="2"/>
        <v>0</v>
      </c>
      <c r="AF22" s="8">
        <f t="shared" si="3"/>
        <v>0</v>
      </c>
      <c r="AG22" s="8">
        <v>0</v>
      </c>
      <c r="AH22" s="8">
        <v>0</v>
      </c>
      <c r="AI22" s="8" t="s">
        <v>119</v>
      </c>
      <c r="AJ22" s="8" t="s">
        <v>121</v>
      </c>
      <c r="AL22"/>
      <c r="AM22"/>
      <c r="AN22"/>
      <c r="AQ22" s="1">
        <v>-250</v>
      </c>
    </row>
    <row r="23" spans="1:43" s="1" customFormat="1" x14ac:dyDescent="0.25">
      <c r="B23" s="2" t="s">
        <v>87</v>
      </c>
      <c r="C23" s="2" t="s">
        <v>88</v>
      </c>
      <c r="D23" s="2" t="s">
        <v>21</v>
      </c>
      <c r="E23" s="2" t="s">
        <v>17</v>
      </c>
      <c r="F23" s="2">
        <v>2.8000000000000001E-2</v>
      </c>
      <c r="G23" s="2">
        <v>2.8000000000000001E-2</v>
      </c>
      <c r="H23" s="19">
        <v>0</v>
      </c>
      <c r="I23" s="2">
        <v>0</v>
      </c>
      <c r="J23" s="2"/>
      <c r="K23" s="2"/>
      <c r="L23" s="2"/>
      <c r="M23" s="2"/>
      <c r="N23" s="8">
        <f t="shared" si="4"/>
        <v>0</v>
      </c>
      <c r="O23" s="2"/>
      <c r="P23" s="19"/>
      <c r="Q23" s="19"/>
      <c r="R23" s="19"/>
      <c r="S23" s="19"/>
      <c r="T23" s="19"/>
      <c r="U23" s="19"/>
      <c r="V23" s="19"/>
      <c r="W23" s="2"/>
      <c r="X23" s="2"/>
      <c r="Y23" s="2"/>
      <c r="Z23" s="7">
        <f t="shared" si="0"/>
        <v>0</v>
      </c>
      <c r="AA23" s="7">
        <v>100</v>
      </c>
      <c r="AB23" s="7">
        <v>0</v>
      </c>
      <c r="AC23" s="8">
        <f t="shared" si="1"/>
        <v>0</v>
      </c>
      <c r="AD23" s="8">
        <v>0</v>
      </c>
      <c r="AE23" s="8">
        <f t="shared" si="2"/>
        <v>0</v>
      </c>
      <c r="AF23" s="8">
        <f t="shared" si="3"/>
        <v>0</v>
      </c>
      <c r="AG23" s="8">
        <v>0</v>
      </c>
      <c r="AH23" s="8">
        <v>0</v>
      </c>
      <c r="AI23" s="8" t="s">
        <v>119</v>
      </c>
      <c r="AJ23" s="8" t="s">
        <v>121</v>
      </c>
      <c r="AQ23" s="1">
        <v>0</v>
      </c>
    </row>
    <row r="24" spans="1:43" s="1" customFormat="1" x14ac:dyDescent="0.25">
      <c r="B24" s="2" t="s">
        <v>87</v>
      </c>
      <c r="C24" s="2" t="s">
        <v>88</v>
      </c>
      <c r="D24" s="2" t="s">
        <v>22</v>
      </c>
      <c r="E24" s="2" t="s">
        <v>17</v>
      </c>
      <c r="F24" s="2">
        <v>2.8000000000000001E-2</v>
      </c>
      <c r="G24" s="2">
        <v>2.8000000000000001E-2</v>
      </c>
      <c r="H24" s="19">
        <v>0</v>
      </c>
      <c r="I24" s="2">
        <v>0</v>
      </c>
      <c r="J24" s="2"/>
      <c r="K24" s="2"/>
      <c r="L24" s="2"/>
      <c r="M24" s="2"/>
      <c r="N24" s="8">
        <f t="shared" si="4"/>
        <v>-225</v>
      </c>
      <c r="O24" s="2"/>
      <c r="P24" s="19"/>
      <c r="Q24" s="19"/>
      <c r="R24" s="19"/>
      <c r="S24" s="19"/>
      <c r="T24" s="19"/>
      <c r="U24" s="19"/>
      <c r="V24" s="19"/>
      <c r="W24" s="2">
        <v>225</v>
      </c>
      <c r="X24" s="2"/>
      <c r="Y24" s="2"/>
      <c r="Z24" s="7">
        <f t="shared" si="0"/>
        <v>0</v>
      </c>
      <c r="AA24" s="7">
        <v>100</v>
      </c>
      <c r="AB24" s="7">
        <v>0</v>
      </c>
      <c r="AC24" s="8">
        <f t="shared" si="1"/>
        <v>0</v>
      </c>
      <c r="AD24" s="8">
        <v>0</v>
      </c>
      <c r="AE24" s="8">
        <f t="shared" si="2"/>
        <v>0</v>
      </c>
      <c r="AF24" s="8">
        <f t="shared" si="3"/>
        <v>0</v>
      </c>
      <c r="AG24" s="8">
        <v>0</v>
      </c>
      <c r="AH24" s="8">
        <v>0</v>
      </c>
      <c r="AI24" s="8" t="s">
        <v>119</v>
      </c>
      <c r="AJ24" s="8" t="s">
        <v>121</v>
      </c>
      <c r="AQ24" s="1">
        <v>-55</v>
      </c>
    </row>
    <row r="25" spans="1:43" s="1" customFormat="1" x14ac:dyDescent="0.25">
      <c r="B25" s="2" t="s">
        <v>87</v>
      </c>
      <c r="C25" s="2" t="s">
        <v>88</v>
      </c>
      <c r="D25" s="2" t="s">
        <v>23</v>
      </c>
      <c r="E25" s="2" t="s">
        <v>17</v>
      </c>
      <c r="F25" s="2">
        <v>2.8000000000000001E-2</v>
      </c>
      <c r="G25" s="2">
        <v>2.8000000000000001E-2</v>
      </c>
      <c r="H25" s="19">
        <v>900</v>
      </c>
      <c r="I25" s="2">
        <v>0</v>
      </c>
      <c r="J25" s="2"/>
      <c r="K25" s="2"/>
      <c r="L25" s="2"/>
      <c r="M25" s="2"/>
      <c r="N25" s="8">
        <f t="shared" si="4"/>
        <v>-14</v>
      </c>
      <c r="O25" s="2"/>
      <c r="P25" s="19"/>
      <c r="Q25" s="19"/>
      <c r="R25" s="19"/>
      <c r="S25" s="19"/>
      <c r="T25" s="19"/>
      <c r="U25" s="19"/>
      <c r="V25" s="19"/>
      <c r="W25" s="2"/>
      <c r="X25" s="2"/>
      <c r="Y25" s="2">
        <v>914</v>
      </c>
      <c r="Z25" s="7">
        <f t="shared" si="0"/>
        <v>25.2</v>
      </c>
      <c r="AA25" s="7">
        <v>100</v>
      </c>
      <c r="AB25" s="7">
        <v>0</v>
      </c>
      <c r="AC25" s="8">
        <f t="shared" si="1"/>
        <v>0</v>
      </c>
      <c r="AD25" s="8">
        <v>0</v>
      </c>
      <c r="AE25" s="8">
        <f t="shared" si="2"/>
        <v>0</v>
      </c>
      <c r="AF25" s="8">
        <f t="shared" si="3"/>
        <v>0</v>
      </c>
      <c r="AG25" s="8">
        <v>0</v>
      </c>
      <c r="AH25" s="8">
        <v>0</v>
      </c>
      <c r="AI25" s="8" t="s">
        <v>119</v>
      </c>
      <c r="AJ25" s="8" t="s">
        <v>121</v>
      </c>
      <c r="AQ25" s="1">
        <v>-50</v>
      </c>
    </row>
    <row r="26" spans="1:43" s="17" customFormat="1" x14ac:dyDescent="0.25">
      <c r="A26" s="1"/>
      <c r="B26" s="2" t="s">
        <v>87</v>
      </c>
      <c r="C26" s="2" t="s">
        <v>88</v>
      </c>
      <c r="D26" s="2" t="s">
        <v>24</v>
      </c>
      <c r="E26" s="2" t="s">
        <v>17</v>
      </c>
      <c r="F26" s="2">
        <v>2.8000000000000001E-2</v>
      </c>
      <c r="G26" s="2">
        <v>2.8000000000000001E-2</v>
      </c>
      <c r="H26" s="19">
        <v>500</v>
      </c>
      <c r="I26" s="2">
        <v>0</v>
      </c>
      <c r="J26" s="2"/>
      <c r="K26" s="2"/>
      <c r="L26" s="2"/>
      <c r="M26" s="2"/>
      <c r="N26" s="8">
        <f t="shared" si="4"/>
        <v>0</v>
      </c>
      <c r="O26" s="2"/>
      <c r="P26" s="19"/>
      <c r="Q26" s="19"/>
      <c r="R26" s="19"/>
      <c r="S26" s="19"/>
      <c r="T26" s="19">
        <v>467</v>
      </c>
      <c r="U26" s="19"/>
      <c r="V26" s="19"/>
      <c r="W26" s="19"/>
      <c r="X26" s="2"/>
      <c r="Y26" s="69">
        <v>33</v>
      </c>
      <c r="Z26" s="7">
        <f t="shared" si="0"/>
        <v>14</v>
      </c>
      <c r="AA26" s="7">
        <v>100</v>
      </c>
      <c r="AB26" s="7">
        <v>0</v>
      </c>
      <c r="AC26" s="8">
        <f t="shared" si="1"/>
        <v>0</v>
      </c>
      <c r="AD26" s="8">
        <v>0</v>
      </c>
      <c r="AE26" s="8">
        <f t="shared" si="2"/>
        <v>0</v>
      </c>
      <c r="AF26" s="8">
        <f t="shared" si="3"/>
        <v>0</v>
      </c>
      <c r="AG26" s="8">
        <v>0</v>
      </c>
      <c r="AH26" s="8">
        <v>0</v>
      </c>
      <c r="AI26" s="8" t="s">
        <v>119</v>
      </c>
      <c r="AJ26" s="8" t="s">
        <v>121</v>
      </c>
      <c r="AQ26" s="1">
        <v>0</v>
      </c>
    </row>
    <row r="27" spans="1:43" s="1" customFormat="1" x14ac:dyDescent="0.25">
      <c r="B27" s="2" t="s">
        <v>87</v>
      </c>
      <c r="C27" s="2" t="s">
        <v>88</v>
      </c>
      <c r="D27" s="2" t="s">
        <v>25</v>
      </c>
      <c r="E27" s="2" t="s">
        <v>17</v>
      </c>
      <c r="F27" s="2">
        <v>2.8000000000000001E-2</v>
      </c>
      <c r="G27" s="2">
        <v>2.8000000000000001E-2</v>
      </c>
      <c r="H27" s="19">
        <v>1300</v>
      </c>
      <c r="I27" s="2">
        <v>0</v>
      </c>
      <c r="J27" s="2"/>
      <c r="K27" s="2"/>
      <c r="L27" s="2"/>
      <c r="M27" s="2"/>
      <c r="N27" s="8">
        <f t="shared" si="4"/>
        <v>-590</v>
      </c>
      <c r="O27" s="2"/>
      <c r="P27" s="19"/>
      <c r="Q27" s="19"/>
      <c r="R27" s="19"/>
      <c r="S27" s="19"/>
      <c r="T27" s="19"/>
      <c r="U27" s="19"/>
      <c r="V27" s="19"/>
      <c r="W27" s="2"/>
      <c r="X27" s="2"/>
      <c r="Y27" s="2">
        <v>1890</v>
      </c>
      <c r="Z27" s="7">
        <f t="shared" si="0"/>
        <v>36.4</v>
      </c>
      <c r="AA27" s="7">
        <v>100</v>
      </c>
      <c r="AB27" s="7">
        <v>0</v>
      </c>
      <c r="AC27" s="8">
        <f t="shared" si="1"/>
        <v>0</v>
      </c>
      <c r="AD27" s="8">
        <v>0</v>
      </c>
      <c r="AE27" s="8">
        <f t="shared" si="2"/>
        <v>0</v>
      </c>
      <c r="AF27" s="8">
        <f t="shared" si="3"/>
        <v>0</v>
      </c>
      <c r="AG27" s="8">
        <v>0</v>
      </c>
      <c r="AH27" s="8">
        <v>0</v>
      </c>
      <c r="AI27" s="8" t="s">
        <v>119</v>
      </c>
      <c r="AJ27" s="8" t="s">
        <v>121</v>
      </c>
      <c r="AQ27" s="1">
        <v>307</v>
      </c>
    </row>
    <row r="28" spans="1:43" s="1" customFormat="1" x14ac:dyDescent="0.25">
      <c r="B28" s="2" t="s">
        <v>87</v>
      </c>
      <c r="C28" s="2" t="s">
        <v>88</v>
      </c>
      <c r="D28" s="2" t="s">
        <v>26</v>
      </c>
      <c r="E28" s="2" t="s">
        <v>17</v>
      </c>
      <c r="F28" s="2">
        <v>2.8000000000000001E-2</v>
      </c>
      <c r="G28" s="2">
        <v>2.8000000000000001E-2</v>
      </c>
      <c r="H28" s="19">
        <v>0</v>
      </c>
      <c r="I28" s="2">
        <v>0</v>
      </c>
      <c r="J28" s="2"/>
      <c r="K28" s="2"/>
      <c r="L28" s="2"/>
      <c r="M28" s="2"/>
      <c r="N28" s="8">
        <f t="shared" si="4"/>
        <v>0</v>
      </c>
      <c r="O28" s="2"/>
      <c r="P28" s="19"/>
      <c r="Q28" s="19"/>
      <c r="R28" s="19"/>
      <c r="S28" s="19"/>
      <c r="T28" s="19"/>
      <c r="U28" s="19"/>
      <c r="V28" s="19"/>
      <c r="W28" s="2"/>
      <c r="X28" s="2"/>
      <c r="Y28" s="2"/>
      <c r="Z28" s="7">
        <f t="shared" si="0"/>
        <v>0</v>
      </c>
      <c r="AA28" s="7">
        <v>100</v>
      </c>
      <c r="AB28" s="7">
        <v>0</v>
      </c>
      <c r="AC28" s="8">
        <f t="shared" si="1"/>
        <v>0</v>
      </c>
      <c r="AD28" s="8">
        <v>0</v>
      </c>
      <c r="AE28" s="8">
        <f t="shared" si="2"/>
        <v>0</v>
      </c>
      <c r="AF28" s="8">
        <f t="shared" si="3"/>
        <v>0</v>
      </c>
      <c r="AG28" s="8">
        <v>0</v>
      </c>
      <c r="AH28" s="8">
        <v>0</v>
      </c>
      <c r="AI28" s="8" t="s">
        <v>119</v>
      </c>
      <c r="AJ28" s="8" t="s">
        <v>121</v>
      </c>
      <c r="AQ28" s="1">
        <v>-77</v>
      </c>
    </row>
    <row r="29" spans="1:43" s="17" customFormat="1" x14ac:dyDescent="0.25">
      <c r="A29" s="1"/>
      <c r="B29" s="2" t="s">
        <v>87</v>
      </c>
      <c r="C29" s="2" t="s">
        <v>88</v>
      </c>
      <c r="D29" s="2" t="s">
        <v>27</v>
      </c>
      <c r="E29" s="2" t="s">
        <v>17</v>
      </c>
      <c r="F29" s="2">
        <v>2.8000000000000001E-2</v>
      </c>
      <c r="G29" s="2">
        <v>2.8000000000000001E-2</v>
      </c>
      <c r="H29" s="19">
        <v>100</v>
      </c>
      <c r="I29" s="2">
        <v>0</v>
      </c>
      <c r="J29" s="2"/>
      <c r="K29" s="2"/>
      <c r="L29" s="2"/>
      <c r="M29" s="2"/>
      <c r="N29" s="8">
        <f t="shared" si="4"/>
        <v>0</v>
      </c>
      <c r="O29" s="2"/>
      <c r="P29" s="19"/>
      <c r="Q29" s="19"/>
      <c r="R29" s="19"/>
      <c r="S29" s="19"/>
      <c r="T29" s="19"/>
      <c r="U29" s="19"/>
      <c r="V29" s="19"/>
      <c r="W29" s="19"/>
      <c r="X29" s="2"/>
      <c r="Y29" s="69">
        <v>100</v>
      </c>
      <c r="Z29" s="7">
        <f t="shared" si="0"/>
        <v>2.8000000000000003</v>
      </c>
      <c r="AA29" s="7">
        <v>100</v>
      </c>
      <c r="AB29" s="7">
        <v>0</v>
      </c>
      <c r="AC29" s="8">
        <f t="shared" si="1"/>
        <v>0</v>
      </c>
      <c r="AD29" s="8">
        <v>0</v>
      </c>
      <c r="AE29" s="8">
        <f t="shared" si="2"/>
        <v>0</v>
      </c>
      <c r="AF29" s="8">
        <f t="shared" si="3"/>
        <v>0</v>
      </c>
      <c r="AG29" s="8">
        <v>0</v>
      </c>
      <c r="AH29" s="8">
        <v>0</v>
      </c>
      <c r="AI29" s="8" t="s">
        <v>119</v>
      </c>
      <c r="AJ29" s="8" t="s">
        <v>121</v>
      </c>
      <c r="AQ29" s="1">
        <v>300</v>
      </c>
    </row>
    <row r="30" spans="1:43" s="1" customFormat="1" x14ac:dyDescent="0.25">
      <c r="B30" s="2" t="s">
        <v>87</v>
      </c>
      <c r="C30" s="2" t="s">
        <v>88</v>
      </c>
      <c r="D30" s="2" t="s">
        <v>28</v>
      </c>
      <c r="E30" s="2" t="s">
        <v>17</v>
      </c>
      <c r="F30" s="2">
        <v>2.8000000000000001E-2</v>
      </c>
      <c r="G30" s="2">
        <v>2.8000000000000001E-2</v>
      </c>
      <c r="H30" s="19">
        <v>1200</v>
      </c>
      <c r="I30" s="2">
        <v>0</v>
      </c>
      <c r="J30" s="2"/>
      <c r="K30" s="2"/>
      <c r="L30" s="2"/>
      <c r="M30" s="2"/>
      <c r="N30" s="8">
        <f t="shared" si="4"/>
        <v>-460</v>
      </c>
      <c r="O30" s="2"/>
      <c r="P30" s="19"/>
      <c r="Q30" s="19"/>
      <c r="R30" s="19"/>
      <c r="S30" s="19"/>
      <c r="T30" s="19"/>
      <c r="U30" s="19"/>
      <c r="V30" s="19"/>
      <c r="W30" s="2"/>
      <c r="X30" s="2"/>
      <c r="Y30" s="27">
        <v>1660</v>
      </c>
      <c r="Z30" s="7">
        <f t="shared" si="0"/>
        <v>33.6</v>
      </c>
      <c r="AA30" s="7">
        <v>100</v>
      </c>
      <c r="AB30" s="7">
        <v>0</v>
      </c>
      <c r="AC30" s="8">
        <f t="shared" si="1"/>
        <v>0</v>
      </c>
      <c r="AD30" s="8">
        <v>0</v>
      </c>
      <c r="AE30" s="8">
        <f t="shared" si="2"/>
        <v>0</v>
      </c>
      <c r="AF30" s="8">
        <f t="shared" si="3"/>
        <v>0</v>
      </c>
      <c r="AG30" s="8">
        <v>0</v>
      </c>
      <c r="AH30" s="8">
        <v>0</v>
      </c>
      <c r="AI30" s="8" t="s">
        <v>119</v>
      </c>
      <c r="AJ30" s="8" t="s">
        <v>121</v>
      </c>
      <c r="AQ30" s="1">
        <v>-445</v>
      </c>
    </row>
    <row r="31" spans="1:43" s="1" customFormat="1" x14ac:dyDescent="0.25">
      <c r="B31" s="2" t="s">
        <v>87</v>
      </c>
      <c r="C31" s="2" t="s">
        <v>88</v>
      </c>
      <c r="D31" s="2" t="s">
        <v>29</v>
      </c>
      <c r="E31" s="2" t="s">
        <v>17</v>
      </c>
      <c r="F31" s="2">
        <v>2.8000000000000001E-2</v>
      </c>
      <c r="G31" s="2">
        <v>2.8000000000000001E-2</v>
      </c>
      <c r="H31" s="19">
        <v>700</v>
      </c>
      <c r="I31" s="2">
        <v>0</v>
      </c>
      <c r="J31" s="2"/>
      <c r="K31" s="2"/>
      <c r="L31" s="2"/>
      <c r="M31" s="2"/>
      <c r="N31" s="8">
        <f t="shared" si="4"/>
        <v>-378</v>
      </c>
      <c r="O31" s="2"/>
      <c r="P31" s="19"/>
      <c r="Q31" s="19"/>
      <c r="R31" s="19"/>
      <c r="S31" s="19"/>
      <c r="T31" s="19"/>
      <c r="U31" s="19"/>
      <c r="V31" s="19"/>
      <c r="W31" s="2"/>
      <c r="X31" s="2"/>
      <c r="Y31" s="2">
        <v>1078</v>
      </c>
      <c r="Z31" s="7">
        <f t="shared" si="0"/>
        <v>19.600000000000001</v>
      </c>
      <c r="AA31" s="7">
        <v>100</v>
      </c>
      <c r="AB31" s="7">
        <v>0</v>
      </c>
      <c r="AC31" s="8">
        <f t="shared" si="1"/>
        <v>0</v>
      </c>
      <c r="AD31" s="8">
        <v>0</v>
      </c>
      <c r="AE31" s="8">
        <f t="shared" si="2"/>
        <v>0</v>
      </c>
      <c r="AF31" s="8">
        <f t="shared" si="3"/>
        <v>0</v>
      </c>
      <c r="AG31" s="8">
        <v>0</v>
      </c>
      <c r="AH31" s="8">
        <v>0</v>
      </c>
      <c r="AI31" s="8" t="s">
        <v>119</v>
      </c>
      <c r="AJ31" s="8" t="s">
        <v>121</v>
      </c>
      <c r="AQ31" s="1">
        <v>-83</v>
      </c>
    </row>
    <row r="32" spans="1:43" s="17" customFormat="1" x14ac:dyDescent="0.25">
      <c r="A32" s="1"/>
      <c r="B32" s="2" t="s">
        <v>87</v>
      </c>
      <c r="C32" s="2" t="s">
        <v>88</v>
      </c>
      <c r="D32" s="2" t="s">
        <v>30</v>
      </c>
      <c r="E32" s="2" t="s">
        <v>17</v>
      </c>
      <c r="F32" s="2">
        <v>2.8000000000000001E-2</v>
      </c>
      <c r="G32" s="2">
        <v>2.8000000000000001E-2</v>
      </c>
      <c r="H32" s="19">
        <v>400</v>
      </c>
      <c r="I32" s="2">
        <v>0</v>
      </c>
      <c r="J32" s="2"/>
      <c r="K32" s="2"/>
      <c r="L32" s="2"/>
      <c r="M32" s="2"/>
      <c r="N32" s="8">
        <f t="shared" si="4"/>
        <v>0</v>
      </c>
      <c r="O32" s="2"/>
      <c r="P32" s="19"/>
      <c r="Q32" s="19">
        <v>400</v>
      </c>
      <c r="R32" s="19"/>
      <c r="S32" s="19"/>
      <c r="T32" s="19"/>
      <c r="U32" s="19"/>
      <c r="V32" s="19"/>
      <c r="W32" s="2"/>
      <c r="X32" s="2"/>
      <c r="Y32" s="2"/>
      <c r="Z32" s="7">
        <f t="shared" si="0"/>
        <v>11.200000000000001</v>
      </c>
      <c r="AA32" s="7">
        <v>100</v>
      </c>
      <c r="AB32" s="7">
        <v>0</v>
      </c>
      <c r="AC32" s="8">
        <f t="shared" si="1"/>
        <v>0</v>
      </c>
      <c r="AD32" s="8">
        <v>0</v>
      </c>
      <c r="AE32" s="8">
        <f t="shared" si="2"/>
        <v>0</v>
      </c>
      <c r="AF32" s="8">
        <f t="shared" si="3"/>
        <v>0</v>
      </c>
      <c r="AG32" s="8">
        <v>0</v>
      </c>
      <c r="AH32" s="8">
        <v>0</v>
      </c>
      <c r="AI32" s="8" t="s">
        <v>119</v>
      </c>
      <c r="AJ32" s="8" t="s">
        <v>121</v>
      </c>
      <c r="AQ32" s="1">
        <v>0</v>
      </c>
    </row>
    <row r="33" spans="1:43" s="17" customFormat="1" x14ac:dyDescent="0.25">
      <c r="A33" s="1"/>
      <c r="B33" s="2" t="s">
        <v>87</v>
      </c>
      <c r="C33" s="2" t="s">
        <v>88</v>
      </c>
      <c r="D33" s="2" t="s">
        <v>31</v>
      </c>
      <c r="E33" s="2" t="s">
        <v>17</v>
      </c>
      <c r="F33" s="2">
        <v>2.8000000000000001E-2</v>
      </c>
      <c r="G33" s="2">
        <v>2.8000000000000001E-2</v>
      </c>
      <c r="H33" s="19">
        <v>300</v>
      </c>
      <c r="I33" s="2">
        <v>0</v>
      </c>
      <c r="J33" s="2"/>
      <c r="K33" s="2"/>
      <c r="L33" s="2"/>
      <c r="M33" s="2"/>
      <c r="N33" s="8">
        <f t="shared" si="4"/>
        <v>-230</v>
      </c>
      <c r="O33" s="2"/>
      <c r="P33" s="19"/>
      <c r="Q33" s="19"/>
      <c r="R33" s="19"/>
      <c r="S33" s="19">
        <v>300</v>
      </c>
      <c r="T33" s="19"/>
      <c r="U33" s="19"/>
      <c r="V33" s="19"/>
      <c r="W33" s="2"/>
      <c r="X33" s="2"/>
      <c r="Y33" s="2">
        <v>230</v>
      </c>
      <c r="Z33" s="7">
        <f t="shared" si="0"/>
        <v>8.4</v>
      </c>
      <c r="AA33" s="7">
        <v>100</v>
      </c>
      <c r="AB33" s="7">
        <v>0</v>
      </c>
      <c r="AC33" s="8">
        <f t="shared" si="1"/>
        <v>0</v>
      </c>
      <c r="AD33" s="8">
        <v>0</v>
      </c>
      <c r="AE33" s="8">
        <f t="shared" si="2"/>
        <v>0</v>
      </c>
      <c r="AF33" s="8">
        <f t="shared" si="3"/>
        <v>0</v>
      </c>
      <c r="AG33" s="8">
        <v>0</v>
      </c>
      <c r="AH33" s="8">
        <v>0</v>
      </c>
      <c r="AI33" s="8" t="s">
        <v>119</v>
      </c>
      <c r="AJ33" s="8" t="s">
        <v>121</v>
      </c>
      <c r="AQ33" s="1">
        <v>300</v>
      </c>
    </row>
    <row r="34" spans="1:43" s="17" customFormat="1" x14ac:dyDescent="0.25">
      <c r="A34" s="1"/>
      <c r="B34" s="2" t="s">
        <v>87</v>
      </c>
      <c r="C34" s="2" t="s">
        <v>88</v>
      </c>
      <c r="D34" s="2" t="s">
        <v>32</v>
      </c>
      <c r="E34" s="2" t="s">
        <v>17</v>
      </c>
      <c r="F34" s="2">
        <v>2.8000000000000001E-2</v>
      </c>
      <c r="G34" s="2">
        <v>2.8000000000000001E-2</v>
      </c>
      <c r="H34" s="19">
        <v>100</v>
      </c>
      <c r="I34" s="2">
        <v>0</v>
      </c>
      <c r="J34" s="2"/>
      <c r="K34" s="2"/>
      <c r="L34" s="2"/>
      <c r="M34" s="2"/>
      <c r="N34" s="8">
        <f t="shared" si="4"/>
        <v>-53</v>
      </c>
      <c r="O34" s="2"/>
      <c r="P34" s="19"/>
      <c r="Q34" s="19"/>
      <c r="R34" s="19"/>
      <c r="S34" s="19"/>
      <c r="T34" s="19"/>
      <c r="U34" s="19">
        <v>115</v>
      </c>
      <c r="V34" s="19"/>
      <c r="W34" s="2"/>
      <c r="X34" s="2"/>
      <c r="Y34" s="2">
        <v>38</v>
      </c>
      <c r="Z34" s="7">
        <f t="shared" si="0"/>
        <v>2.8000000000000003</v>
      </c>
      <c r="AA34" s="7">
        <v>100</v>
      </c>
      <c r="AB34" s="7">
        <v>0</v>
      </c>
      <c r="AC34" s="8">
        <f t="shared" si="1"/>
        <v>0</v>
      </c>
      <c r="AD34" s="8">
        <v>0</v>
      </c>
      <c r="AE34" s="8">
        <f t="shared" si="2"/>
        <v>0</v>
      </c>
      <c r="AF34" s="8">
        <f t="shared" si="3"/>
        <v>0</v>
      </c>
      <c r="AG34" s="8">
        <v>0</v>
      </c>
      <c r="AH34" s="8">
        <v>0</v>
      </c>
      <c r="AI34" s="8" t="s">
        <v>119</v>
      </c>
      <c r="AJ34" s="8" t="s">
        <v>121</v>
      </c>
      <c r="AQ34" s="1">
        <v>500</v>
      </c>
    </row>
    <row r="35" spans="1:43" s="17" customFormat="1" x14ac:dyDescent="0.25">
      <c r="A35" s="1"/>
      <c r="B35" s="2" t="s">
        <v>87</v>
      </c>
      <c r="C35" s="2" t="s">
        <v>88</v>
      </c>
      <c r="D35" s="2" t="s">
        <v>33</v>
      </c>
      <c r="E35" s="2" t="s">
        <v>17</v>
      </c>
      <c r="F35" s="2">
        <v>2.8000000000000001E-2</v>
      </c>
      <c r="G35" s="2">
        <v>2.8000000000000001E-2</v>
      </c>
      <c r="H35" s="19">
        <v>700</v>
      </c>
      <c r="I35" s="2">
        <v>0</v>
      </c>
      <c r="J35" s="2"/>
      <c r="K35" s="2"/>
      <c r="L35" s="2"/>
      <c r="M35" s="2"/>
      <c r="N35" s="8">
        <f t="shared" si="4"/>
        <v>-73</v>
      </c>
      <c r="O35" s="2">
        <v>182</v>
      </c>
      <c r="P35" s="19"/>
      <c r="Q35" s="19">
        <v>591</v>
      </c>
      <c r="R35" s="19"/>
      <c r="S35" s="19"/>
      <c r="T35" s="19"/>
      <c r="U35" s="19"/>
      <c r="V35" s="19"/>
      <c r="W35" s="2"/>
      <c r="X35" s="2"/>
      <c r="Y35" s="2"/>
      <c r="Z35" s="7">
        <f t="shared" si="0"/>
        <v>19.600000000000001</v>
      </c>
      <c r="AA35" s="7">
        <v>100</v>
      </c>
      <c r="AB35" s="7">
        <v>0</v>
      </c>
      <c r="AC35" s="8">
        <f t="shared" si="1"/>
        <v>0</v>
      </c>
      <c r="AD35" s="8">
        <v>0</v>
      </c>
      <c r="AE35" s="8">
        <f t="shared" si="2"/>
        <v>0</v>
      </c>
      <c r="AF35" s="8">
        <f t="shared" si="3"/>
        <v>0</v>
      </c>
      <c r="AG35" s="8">
        <v>0</v>
      </c>
      <c r="AH35" s="8">
        <v>0</v>
      </c>
      <c r="AI35" s="8" t="s">
        <v>119</v>
      </c>
      <c r="AJ35" s="8" t="s">
        <v>121</v>
      </c>
      <c r="AQ35" s="1">
        <v>300</v>
      </c>
    </row>
    <row r="36" spans="1:43" s="1" customFormat="1" x14ac:dyDescent="0.25">
      <c r="B36" s="2" t="s">
        <v>87</v>
      </c>
      <c r="C36" s="2" t="s">
        <v>88</v>
      </c>
      <c r="D36" s="2" t="s">
        <v>34</v>
      </c>
      <c r="E36" s="2" t="s">
        <v>17</v>
      </c>
      <c r="F36" s="2">
        <v>2.8000000000000001E-2</v>
      </c>
      <c r="G36" s="2">
        <v>2.8000000000000001E-2</v>
      </c>
      <c r="H36" s="19">
        <v>0</v>
      </c>
      <c r="I36" s="2">
        <v>0</v>
      </c>
      <c r="J36" s="2"/>
      <c r="K36" s="2"/>
      <c r="L36" s="2"/>
      <c r="M36" s="2"/>
      <c r="N36" s="8">
        <f t="shared" si="4"/>
        <v>0</v>
      </c>
      <c r="O36" s="2"/>
      <c r="P36" s="19"/>
      <c r="Q36" s="19"/>
      <c r="R36" s="19"/>
      <c r="S36" s="19"/>
      <c r="T36" s="19"/>
      <c r="U36" s="19"/>
      <c r="V36" s="19"/>
      <c r="W36" s="2"/>
      <c r="X36" s="2"/>
      <c r="Y36" s="2"/>
      <c r="Z36" s="7">
        <f t="shared" si="0"/>
        <v>0</v>
      </c>
      <c r="AA36" s="7">
        <v>100</v>
      </c>
      <c r="AB36" s="7">
        <v>0</v>
      </c>
      <c r="AC36" s="8">
        <f t="shared" si="1"/>
        <v>0</v>
      </c>
      <c r="AD36" s="8">
        <v>0</v>
      </c>
      <c r="AE36" s="8">
        <f t="shared" si="2"/>
        <v>0</v>
      </c>
      <c r="AF36" s="8">
        <f t="shared" si="3"/>
        <v>0</v>
      </c>
      <c r="AG36" s="8">
        <v>0</v>
      </c>
      <c r="AH36" s="8">
        <v>0</v>
      </c>
      <c r="AI36" s="8" t="s">
        <v>119</v>
      </c>
      <c r="AJ36" s="8" t="s">
        <v>121</v>
      </c>
      <c r="AQ36" s="1">
        <v>0</v>
      </c>
    </row>
    <row r="37" spans="1:43" s="17" customFormat="1" x14ac:dyDescent="0.25">
      <c r="A37" s="1"/>
      <c r="B37" s="2" t="s">
        <v>87</v>
      </c>
      <c r="C37" s="2" t="s">
        <v>88</v>
      </c>
      <c r="D37" s="2" t="s">
        <v>35</v>
      </c>
      <c r="E37" s="2" t="s">
        <v>17</v>
      </c>
      <c r="F37" s="2">
        <v>2.8000000000000001E-2</v>
      </c>
      <c r="G37" s="2">
        <v>2.8000000000000001E-2</v>
      </c>
      <c r="H37" s="19">
        <v>100</v>
      </c>
      <c r="I37" s="2">
        <v>0</v>
      </c>
      <c r="J37" s="2"/>
      <c r="K37" s="2"/>
      <c r="L37" s="2"/>
      <c r="M37" s="2"/>
      <c r="N37" s="8">
        <f t="shared" si="4"/>
        <v>-109</v>
      </c>
      <c r="O37" s="2"/>
      <c r="P37" s="19"/>
      <c r="Q37" s="19"/>
      <c r="R37" s="19"/>
      <c r="S37" s="19"/>
      <c r="T37" s="19"/>
      <c r="U37" s="19">
        <v>209</v>
      </c>
      <c r="V37" s="19"/>
      <c r="W37" s="2"/>
      <c r="X37" s="2"/>
      <c r="Y37" s="2"/>
      <c r="Z37" s="7">
        <f t="shared" si="0"/>
        <v>2.8000000000000003</v>
      </c>
      <c r="AA37" s="7">
        <v>100</v>
      </c>
      <c r="AB37" s="7">
        <v>0</v>
      </c>
      <c r="AC37" s="8">
        <f t="shared" si="1"/>
        <v>0</v>
      </c>
      <c r="AD37" s="8">
        <v>0</v>
      </c>
      <c r="AE37" s="8">
        <f t="shared" si="2"/>
        <v>0</v>
      </c>
      <c r="AF37" s="8">
        <f t="shared" si="3"/>
        <v>0</v>
      </c>
      <c r="AG37" s="8">
        <v>0</v>
      </c>
      <c r="AH37" s="8">
        <v>0</v>
      </c>
      <c r="AI37" s="8" t="s">
        <v>119</v>
      </c>
      <c r="AJ37" s="8" t="s">
        <v>121</v>
      </c>
      <c r="AQ37" s="1">
        <v>300</v>
      </c>
    </row>
    <row r="38" spans="1:43" s="1" customFormat="1" x14ac:dyDescent="0.25">
      <c r="B38" s="2" t="s">
        <v>87</v>
      </c>
      <c r="C38" s="2" t="s">
        <v>88</v>
      </c>
      <c r="D38" s="2" t="s">
        <v>36</v>
      </c>
      <c r="E38" s="2" t="s">
        <v>17</v>
      </c>
      <c r="F38" s="2">
        <v>2.8000000000000001E-2</v>
      </c>
      <c r="G38" s="2">
        <v>2.8000000000000001E-2</v>
      </c>
      <c r="H38" s="19">
        <v>0</v>
      </c>
      <c r="I38" s="2">
        <v>0</v>
      </c>
      <c r="J38" s="2"/>
      <c r="K38" s="2"/>
      <c r="L38" s="2"/>
      <c r="M38" s="2"/>
      <c r="N38" s="8">
        <f t="shared" ref="N38:N69" si="5">+H38+I38+J38+K38+L38+M38-SUM(O38:Y38)</f>
        <v>0</v>
      </c>
      <c r="O38" s="2"/>
      <c r="P38" s="19"/>
      <c r="Q38" s="19"/>
      <c r="R38" s="19"/>
      <c r="S38" s="19"/>
      <c r="T38" s="19"/>
      <c r="U38" s="19"/>
      <c r="V38" s="19"/>
      <c r="W38" s="2"/>
      <c r="X38" s="2"/>
      <c r="Y38" s="2"/>
      <c r="Z38" s="7">
        <f t="shared" ref="Z38:Z69" si="6">+G38*SUM(H38:M38)</f>
        <v>0</v>
      </c>
      <c r="AA38" s="7">
        <v>100</v>
      </c>
      <c r="AB38" s="7">
        <v>0</v>
      </c>
      <c r="AC38" s="8">
        <f t="shared" ref="AC38:AC69" si="7">+H38*AB38</f>
        <v>0</v>
      </c>
      <c r="AD38" s="8">
        <v>0</v>
      </c>
      <c r="AE38" s="8">
        <f t="shared" ref="AE38:AE69" si="8">+H38*AD38</f>
        <v>0</v>
      </c>
      <c r="AF38" s="8">
        <f t="shared" si="3"/>
        <v>0</v>
      </c>
      <c r="AG38" s="8">
        <v>0</v>
      </c>
      <c r="AH38" s="8">
        <v>0</v>
      </c>
      <c r="AI38" s="8" t="s">
        <v>119</v>
      </c>
      <c r="AJ38" s="8" t="s">
        <v>121</v>
      </c>
      <c r="AQ38" s="1">
        <v>0</v>
      </c>
    </row>
    <row r="39" spans="1:43" s="1" customFormat="1" x14ac:dyDescent="0.25">
      <c r="B39" s="2" t="s">
        <v>87</v>
      </c>
      <c r="C39" s="2" t="s">
        <v>88</v>
      </c>
      <c r="D39" s="2" t="s">
        <v>37</v>
      </c>
      <c r="E39" s="2" t="s">
        <v>17</v>
      </c>
      <c r="F39" s="2">
        <v>2.8000000000000001E-2</v>
      </c>
      <c r="G39" s="2">
        <v>2.8000000000000001E-2</v>
      </c>
      <c r="H39" s="19">
        <v>0</v>
      </c>
      <c r="I39" s="2">
        <v>0</v>
      </c>
      <c r="J39" s="2"/>
      <c r="K39" s="2"/>
      <c r="L39" s="2"/>
      <c r="M39" s="2"/>
      <c r="N39" s="8">
        <f t="shared" si="5"/>
        <v>0</v>
      </c>
      <c r="O39" s="2"/>
      <c r="P39" s="19"/>
      <c r="Q39" s="19"/>
      <c r="R39" s="19"/>
      <c r="S39" s="19"/>
      <c r="T39" s="19"/>
      <c r="U39" s="19"/>
      <c r="V39" s="19"/>
      <c r="W39" s="2"/>
      <c r="X39" s="2"/>
      <c r="Y39" s="2"/>
      <c r="Z39" s="7">
        <f t="shared" si="6"/>
        <v>0</v>
      </c>
      <c r="AA39" s="7">
        <v>100</v>
      </c>
      <c r="AB39" s="7">
        <v>0</v>
      </c>
      <c r="AC39" s="8">
        <f t="shared" si="7"/>
        <v>0</v>
      </c>
      <c r="AD39" s="8">
        <v>0</v>
      </c>
      <c r="AE39" s="8">
        <f t="shared" si="8"/>
        <v>0</v>
      </c>
      <c r="AF39" s="8">
        <f t="shared" si="3"/>
        <v>0</v>
      </c>
      <c r="AG39" s="8">
        <v>0</v>
      </c>
      <c r="AH39" s="8">
        <v>0</v>
      </c>
      <c r="AI39" s="8" t="s">
        <v>119</v>
      </c>
      <c r="AJ39" s="8" t="s">
        <v>121</v>
      </c>
      <c r="AQ39" s="1">
        <v>0</v>
      </c>
    </row>
    <row r="40" spans="1:43" s="1" customFormat="1" x14ac:dyDescent="0.25">
      <c r="B40" s="2" t="s">
        <v>87</v>
      </c>
      <c r="C40" s="2" t="s">
        <v>88</v>
      </c>
      <c r="D40" s="2" t="s">
        <v>38</v>
      </c>
      <c r="E40" s="2" t="s">
        <v>17</v>
      </c>
      <c r="F40" s="2">
        <v>2.8000000000000001E-2</v>
      </c>
      <c r="G40" s="2">
        <v>2.8000000000000001E-2</v>
      </c>
      <c r="H40" s="19">
        <v>0</v>
      </c>
      <c r="I40" s="2">
        <v>0</v>
      </c>
      <c r="J40" s="2"/>
      <c r="K40" s="2"/>
      <c r="L40" s="2"/>
      <c r="M40" s="2"/>
      <c r="N40" s="8">
        <f t="shared" si="5"/>
        <v>0</v>
      </c>
      <c r="O40" s="2"/>
      <c r="P40" s="19"/>
      <c r="Q40" s="19"/>
      <c r="R40" s="19"/>
      <c r="S40" s="19"/>
      <c r="T40" s="19"/>
      <c r="U40" s="19"/>
      <c r="V40" s="19"/>
      <c r="W40" s="2"/>
      <c r="X40" s="2"/>
      <c r="Y40" s="2"/>
      <c r="Z40" s="7">
        <f t="shared" si="6"/>
        <v>0</v>
      </c>
      <c r="AA40" s="7">
        <v>100</v>
      </c>
      <c r="AB40" s="7">
        <v>0</v>
      </c>
      <c r="AC40" s="8">
        <f t="shared" si="7"/>
        <v>0</v>
      </c>
      <c r="AD40" s="8">
        <v>0</v>
      </c>
      <c r="AE40" s="8">
        <f t="shared" si="8"/>
        <v>0</v>
      </c>
      <c r="AF40" s="8">
        <f t="shared" si="3"/>
        <v>0</v>
      </c>
      <c r="AG40" s="8">
        <v>0</v>
      </c>
      <c r="AH40" s="8">
        <v>0</v>
      </c>
      <c r="AI40" s="8" t="s">
        <v>119</v>
      </c>
      <c r="AJ40" s="8" t="s">
        <v>121</v>
      </c>
      <c r="AQ40" s="1">
        <v>0</v>
      </c>
    </row>
    <row r="41" spans="1:43" s="1" customFormat="1" x14ac:dyDescent="0.25">
      <c r="B41" s="2" t="s">
        <v>87</v>
      </c>
      <c r="C41" s="2" t="s">
        <v>88</v>
      </c>
      <c r="D41" s="2" t="s">
        <v>39</v>
      </c>
      <c r="E41" s="2" t="s">
        <v>17</v>
      </c>
      <c r="F41" s="2">
        <v>2.8000000000000001E-2</v>
      </c>
      <c r="G41" s="2">
        <v>2.8000000000000001E-2</v>
      </c>
      <c r="H41" s="19">
        <v>300</v>
      </c>
      <c r="I41" s="2">
        <v>0</v>
      </c>
      <c r="J41" s="2"/>
      <c r="K41" s="2"/>
      <c r="L41" s="2"/>
      <c r="M41" s="2"/>
      <c r="N41" s="8">
        <f t="shared" si="5"/>
        <v>-14</v>
      </c>
      <c r="O41" s="2">
        <v>314</v>
      </c>
      <c r="P41" s="19"/>
      <c r="Q41" s="19"/>
      <c r="R41" s="19"/>
      <c r="S41" s="19"/>
      <c r="T41" s="19"/>
      <c r="U41" s="19"/>
      <c r="V41" s="19"/>
      <c r="W41" s="2"/>
      <c r="X41" s="2"/>
      <c r="Y41" s="2"/>
      <c r="Z41" s="7">
        <f t="shared" si="6"/>
        <v>8.4</v>
      </c>
      <c r="AA41" s="7">
        <v>100</v>
      </c>
      <c r="AB41" s="7">
        <v>0</v>
      </c>
      <c r="AC41" s="8">
        <f t="shared" si="7"/>
        <v>0</v>
      </c>
      <c r="AD41" s="8">
        <v>0</v>
      </c>
      <c r="AE41" s="8">
        <f t="shared" si="8"/>
        <v>0</v>
      </c>
      <c r="AF41" s="8">
        <f t="shared" si="3"/>
        <v>0</v>
      </c>
      <c r="AG41" s="8">
        <v>0</v>
      </c>
      <c r="AH41" s="8">
        <v>0</v>
      </c>
      <c r="AI41" s="8" t="s">
        <v>119</v>
      </c>
      <c r="AJ41" s="8" t="s">
        <v>121</v>
      </c>
      <c r="AQ41" s="1">
        <v>0</v>
      </c>
    </row>
    <row r="42" spans="1:43" s="1" customFormat="1" x14ac:dyDescent="0.25">
      <c r="B42" s="2" t="s">
        <v>87</v>
      </c>
      <c r="C42" s="2" t="s">
        <v>88</v>
      </c>
      <c r="D42" s="2" t="s">
        <v>40</v>
      </c>
      <c r="E42" s="2" t="s">
        <v>17</v>
      </c>
      <c r="F42" s="2">
        <v>2.8000000000000001E-2</v>
      </c>
      <c r="G42" s="2">
        <v>2.8000000000000001E-2</v>
      </c>
      <c r="H42" s="19">
        <v>0</v>
      </c>
      <c r="I42" s="2">
        <v>0</v>
      </c>
      <c r="J42" s="2"/>
      <c r="K42" s="2"/>
      <c r="L42" s="2"/>
      <c r="M42" s="2"/>
      <c r="N42" s="8">
        <f t="shared" si="5"/>
        <v>0</v>
      </c>
      <c r="O42" s="2"/>
      <c r="P42" s="19"/>
      <c r="Q42" s="19"/>
      <c r="R42" s="19"/>
      <c r="S42" s="19"/>
      <c r="T42" s="19"/>
      <c r="U42" s="19"/>
      <c r="V42" s="19"/>
      <c r="W42" s="2"/>
      <c r="X42" s="2"/>
      <c r="Y42" s="2"/>
      <c r="Z42" s="7">
        <f t="shared" si="6"/>
        <v>0</v>
      </c>
      <c r="AA42" s="7">
        <v>100</v>
      </c>
      <c r="AB42" s="7">
        <v>0</v>
      </c>
      <c r="AC42" s="8">
        <f t="shared" si="7"/>
        <v>0</v>
      </c>
      <c r="AD42" s="8">
        <v>0</v>
      </c>
      <c r="AE42" s="8">
        <f t="shared" si="8"/>
        <v>0</v>
      </c>
      <c r="AF42" s="8">
        <f t="shared" si="3"/>
        <v>0</v>
      </c>
      <c r="AG42" s="8">
        <v>0</v>
      </c>
      <c r="AH42" s="8">
        <v>0</v>
      </c>
      <c r="AI42" s="8" t="s">
        <v>119</v>
      </c>
      <c r="AJ42" s="8" t="s">
        <v>121</v>
      </c>
      <c r="AQ42" s="1">
        <v>0</v>
      </c>
    </row>
    <row r="43" spans="1:43" s="1" customFormat="1" x14ac:dyDescent="0.25">
      <c r="B43" s="2" t="s">
        <v>87</v>
      </c>
      <c r="C43" s="2" t="s">
        <v>88</v>
      </c>
      <c r="D43" s="2" t="s">
        <v>41</v>
      </c>
      <c r="E43" s="2" t="s">
        <v>17</v>
      </c>
      <c r="F43" s="2">
        <v>2.8000000000000001E-2</v>
      </c>
      <c r="G43" s="2">
        <v>2.8000000000000001E-2</v>
      </c>
      <c r="H43" s="19">
        <v>500</v>
      </c>
      <c r="I43" s="2">
        <v>0</v>
      </c>
      <c r="J43" s="2"/>
      <c r="K43" s="2"/>
      <c r="L43" s="2"/>
      <c r="M43" s="2"/>
      <c r="N43" s="8">
        <f t="shared" si="5"/>
        <v>-50</v>
      </c>
      <c r="O43" s="2">
        <v>550</v>
      </c>
      <c r="P43" s="19"/>
      <c r="Q43" s="19"/>
      <c r="R43" s="19"/>
      <c r="S43" s="19"/>
      <c r="T43" s="19"/>
      <c r="U43" s="19"/>
      <c r="V43" s="19"/>
      <c r="W43" s="2"/>
      <c r="X43" s="2"/>
      <c r="Y43" s="2"/>
      <c r="Z43" s="7">
        <f t="shared" si="6"/>
        <v>14</v>
      </c>
      <c r="AA43" s="7">
        <v>100</v>
      </c>
      <c r="AB43" s="7">
        <v>0</v>
      </c>
      <c r="AC43" s="8">
        <f t="shared" si="7"/>
        <v>0</v>
      </c>
      <c r="AD43" s="8">
        <v>0</v>
      </c>
      <c r="AE43" s="8">
        <f t="shared" si="8"/>
        <v>0</v>
      </c>
      <c r="AF43" s="8">
        <f t="shared" si="3"/>
        <v>0</v>
      </c>
      <c r="AG43" s="8">
        <v>0</v>
      </c>
      <c r="AH43" s="8">
        <v>0</v>
      </c>
      <c r="AI43" s="8" t="s">
        <v>119</v>
      </c>
      <c r="AJ43" s="8" t="s">
        <v>121</v>
      </c>
      <c r="AQ43" s="1">
        <v>0</v>
      </c>
    </row>
    <row r="44" spans="1:43" s="17" customFormat="1" x14ac:dyDescent="0.25">
      <c r="A44" s="1"/>
      <c r="B44" s="2" t="s">
        <v>87</v>
      </c>
      <c r="C44" s="2" t="s">
        <v>88</v>
      </c>
      <c r="D44" s="2" t="s">
        <v>42</v>
      </c>
      <c r="E44" s="2" t="s">
        <v>17</v>
      </c>
      <c r="F44" s="2">
        <v>2.8000000000000001E-2</v>
      </c>
      <c r="G44" s="2">
        <v>2.8000000000000001E-2</v>
      </c>
      <c r="H44" s="19">
        <v>100</v>
      </c>
      <c r="I44" s="2">
        <v>0</v>
      </c>
      <c r="J44" s="2"/>
      <c r="K44" s="2"/>
      <c r="L44" s="2"/>
      <c r="M44" s="2"/>
      <c r="N44" s="8">
        <f t="shared" si="5"/>
        <v>-37</v>
      </c>
      <c r="O44" s="2"/>
      <c r="P44" s="19"/>
      <c r="Q44" s="19"/>
      <c r="R44" s="19"/>
      <c r="S44" s="19"/>
      <c r="T44" s="19"/>
      <c r="U44" s="19">
        <v>115</v>
      </c>
      <c r="V44" s="19"/>
      <c r="W44" s="2"/>
      <c r="X44" s="2"/>
      <c r="Y44" s="2">
        <v>22</v>
      </c>
      <c r="Z44" s="7">
        <f t="shared" si="6"/>
        <v>2.8000000000000003</v>
      </c>
      <c r="AA44" s="7">
        <v>100</v>
      </c>
      <c r="AB44" s="7">
        <v>0</v>
      </c>
      <c r="AC44" s="8">
        <f t="shared" si="7"/>
        <v>0</v>
      </c>
      <c r="AD44" s="8">
        <v>0</v>
      </c>
      <c r="AE44" s="8">
        <f t="shared" si="8"/>
        <v>0</v>
      </c>
      <c r="AF44" s="8">
        <f t="shared" si="3"/>
        <v>0</v>
      </c>
      <c r="AG44" s="8">
        <v>0</v>
      </c>
      <c r="AH44" s="8">
        <v>0</v>
      </c>
      <c r="AI44" s="8" t="s">
        <v>119</v>
      </c>
      <c r="AJ44" s="8" t="s">
        <v>121</v>
      </c>
      <c r="AQ44" s="1">
        <v>0</v>
      </c>
    </row>
    <row r="45" spans="1:43" s="1" customFormat="1" x14ac:dyDescent="0.25">
      <c r="B45" s="2" t="s">
        <v>87</v>
      </c>
      <c r="C45" s="2" t="s">
        <v>88</v>
      </c>
      <c r="D45" s="2" t="s">
        <v>43</v>
      </c>
      <c r="E45" s="2" t="s">
        <v>17</v>
      </c>
      <c r="F45" s="2">
        <v>2.8000000000000001E-2</v>
      </c>
      <c r="G45" s="2">
        <v>2.8000000000000001E-2</v>
      </c>
      <c r="H45" s="19">
        <v>700</v>
      </c>
      <c r="I45" s="2">
        <v>0</v>
      </c>
      <c r="J45" s="2"/>
      <c r="K45" s="2"/>
      <c r="L45" s="2"/>
      <c r="M45" s="2"/>
      <c r="N45" s="8">
        <f t="shared" si="5"/>
        <v>-86</v>
      </c>
      <c r="O45" s="2">
        <v>700</v>
      </c>
      <c r="P45" s="19"/>
      <c r="Q45" s="19"/>
      <c r="R45" s="19"/>
      <c r="S45" s="19"/>
      <c r="T45" s="19"/>
      <c r="U45" s="19"/>
      <c r="V45" s="19"/>
      <c r="W45" s="2"/>
      <c r="X45" s="2"/>
      <c r="Y45" s="2">
        <v>86</v>
      </c>
      <c r="Z45" s="7">
        <f t="shared" si="6"/>
        <v>19.600000000000001</v>
      </c>
      <c r="AA45" s="7">
        <v>100</v>
      </c>
      <c r="AB45" s="7">
        <v>0</v>
      </c>
      <c r="AC45" s="8">
        <f t="shared" si="7"/>
        <v>0</v>
      </c>
      <c r="AD45" s="8">
        <v>0</v>
      </c>
      <c r="AE45" s="8">
        <f t="shared" si="8"/>
        <v>0</v>
      </c>
      <c r="AF45" s="8">
        <f t="shared" si="3"/>
        <v>0</v>
      </c>
      <c r="AG45" s="8">
        <v>0</v>
      </c>
      <c r="AH45" s="8">
        <v>0</v>
      </c>
      <c r="AI45" s="8" t="s">
        <v>119</v>
      </c>
      <c r="AJ45" s="8" t="s">
        <v>121</v>
      </c>
      <c r="AQ45" s="1">
        <v>328</v>
      </c>
    </row>
    <row r="46" spans="1:43" s="1" customFormat="1" x14ac:dyDescent="0.25">
      <c r="B46" s="2" t="s">
        <v>87</v>
      </c>
      <c r="C46" s="2" t="s">
        <v>88</v>
      </c>
      <c r="D46" s="2" t="s">
        <v>44</v>
      </c>
      <c r="E46" s="2" t="s">
        <v>17</v>
      </c>
      <c r="F46" s="2">
        <v>2.8000000000000001E-2</v>
      </c>
      <c r="G46" s="2">
        <v>2.8000000000000001E-2</v>
      </c>
      <c r="H46" s="19">
        <v>0</v>
      </c>
      <c r="I46" s="2">
        <v>0</v>
      </c>
      <c r="J46" s="2"/>
      <c r="K46" s="2"/>
      <c r="L46" s="2"/>
      <c r="M46" s="2"/>
      <c r="N46" s="8">
        <f t="shared" si="5"/>
        <v>0</v>
      </c>
      <c r="O46" s="2"/>
      <c r="P46" s="19"/>
      <c r="Q46" s="19"/>
      <c r="R46" s="19"/>
      <c r="S46" s="19"/>
      <c r="T46" s="19"/>
      <c r="U46" s="19"/>
      <c r="V46" s="19"/>
      <c r="W46" s="2"/>
      <c r="X46" s="2"/>
      <c r="Y46" s="2"/>
      <c r="Z46" s="7">
        <f t="shared" si="6"/>
        <v>0</v>
      </c>
      <c r="AA46" s="7">
        <v>100</v>
      </c>
      <c r="AB46" s="7">
        <v>0</v>
      </c>
      <c r="AC46" s="8">
        <f t="shared" si="7"/>
        <v>0</v>
      </c>
      <c r="AD46" s="8">
        <v>0</v>
      </c>
      <c r="AE46" s="8">
        <f t="shared" si="8"/>
        <v>0</v>
      </c>
      <c r="AF46" s="8">
        <f t="shared" si="3"/>
        <v>0</v>
      </c>
      <c r="AG46" s="8">
        <v>0</v>
      </c>
      <c r="AH46" s="8">
        <v>0</v>
      </c>
      <c r="AI46" s="8" t="s">
        <v>119</v>
      </c>
      <c r="AJ46" s="8" t="s">
        <v>121</v>
      </c>
      <c r="AQ46" s="1">
        <v>400</v>
      </c>
    </row>
    <row r="47" spans="1:43" s="17" customFormat="1" x14ac:dyDescent="0.25">
      <c r="A47" s="1"/>
      <c r="B47" s="2" t="s">
        <v>87</v>
      </c>
      <c r="C47" s="2" t="s">
        <v>88</v>
      </c>
      <c r="D47" s="2" t="s">
        <v>45</v>
      </c>
      <c r="E47" s="2" t="s">
        <v>17</v>
      </c>
      <c r="F47" s="2">
        <v>2.8000000000000001E-2</v>
      </c>
      <c r="G47" s="2">
        <v>2.8000000000000001E-2</v>
      </c>
      <c r="H47" s="19">
        <v>400</v>
      </c>
      <c r="I47" s="2">
        <v>0</v>
      </c>
      <c r="J47" s="2"/>
      <c r="K47" s="2"/>
      <c r="L47" s="2"/>
      <c r="M47" s="2"/>
      <c r="N47" s="8">
        <f t="shared" si="5"/>
        <v>0</v>
      </c>
      <c r="O47" s="2"/>
      <c r="P47" s="19"/>
      <c r="Q47" s="19"/>
      <c r="R47" s="19"/>
      <c r="S47" s="19">
        <v>400</v>
      </c>
      <c r="T47" s="19"/>
      <c r="U47" s="19"/>
      <c r="V47" s="19"/>
      <c r="W47" s="2"/>
      <c r="X47" s="2"/>
      <c r="Y47" s="2"/>
      <c r="Z47" s="7">
        <f t="shared" si="6"/>
        <v>11.200000000000001</v>
      </c>
      <c r="AA47" s="7">
        <v>100</v>
      </c>
      <c r="AB47" s="7">
        <v>0</v>
      </c>
      <c r="AC47" s="8">
        <f t="shared" si="7"/>
        <v>0</v>
      </c>
      <c r="AD47" s="8">
        <v>0</v>
      </c>
      <c r="AE47" s="8">
        <f t="shared" si="8"/>
        <v>0</v>
      </c>
      <c r="AF47" s="8">
        <f t="shared" si="3"/>
        <v>0</v>
      </c>
      <c r="AG47" s="8">
        <v>0</v>
      </c>
      <c r="AH47" s="8">
        <v>0</v>
      </c>
      <c r="AI47" s="8" t="s">
        <v>119</v>
      </c>
      <c r="AJ47" s="8" t="s">
        <v>121</v>
      </c>
      <c r="AQ47" s="1">
        <v>-1493</v>
      </c>
    </row>
    <row r="48" spans="1:43" s="17" customFormat="1" x14ac:dyDescent="0.25">
      <c r="A48" s="1"/>
      <c r="B48" s="2" t="s">
        <v>87</v>
      </c>
      <c r="C48" s="2" t="s">
        <v>88</v>
      </c>
      <c r="D48" s="2" t="s">
        <v>46</v>
      </c>
      <c r="E48" s="2" t="s">
        <v>17</v>
      </c>
      <c r="F48" s="2">
        <v>2.8000000000000001E-2</v>
      </c>
      <c r="G48" s="2">
        <v>2.8000000000000001E-2</v>
      </c>
      <c r="H48" s="19">
        <v>2200</v>
      </c>
      <c r="I48" s="2">
        <v>0</v>
      </c>
      <c r="J48" s="2"/>
      <c r="K48" s="2"/>
      <c r="L48" s="2"/>
      <c r="M48" s="2"/>
      <c r="N48" s="8">
        <f t="shared" si="5"/>
        <v>-800</v>
      </c>
      <c r="O48" s="2"/>
      <c r="P48" s="19"/>
      <c r="Q48" s="19">
        <v>700</v>
      </c>
      <c r="R48" s="19">
        <v>900</v>
      </c>
      <c r="S48" s="19">
        <v>700</v>
      </c>
      <c r="T48" s="19">
        <v>700</v>
      </c>
      <c r="U48" s="19"/>
      <c r="V48" s="19"/>
      <c r="W48" s="2"/>
      <c r="X48" s="2"/>
      <c r="Y48" s="2"/>
      <c r="Z48" s="7">
        <f t="shared" si="6"/>
        <v>61.6</v>
      </c>
      <c r="AA48" s="7">
        <v>100</v>
      </c>
      <c r="AB48" s="7">
        <v>0</v>
      </c>
      <c r="AC48" s="8">
        <f t="shared" si="7"/>
        <v>0</v>
      </c>
      <c r="AD48" s="8">
        <v>0</v>
      </c>
      <c r="AE48" s="8">
        <f t="shared" si="8"/>
        <v>0</v>
      </c>
      <c r="AF48" s="8">
        <f t="shared" si="3"/>
        <v>0</v>
      </c>
      <c r="AG48" s="8">
        <v>0</v>
      </c>
      <c r="AH48" s="8">
        <v>0</v>
      </c>
      <c r="AI48" s="8" t="s">
        <v>119</v>
      </c>
      <c r="AJ48" s="8" t="s">
        <v>121</v>
      </c>
      <c r="AQ48" s="1">
        <v>-66</v>
      </c>
    </row>
    <row r="49" spans="1:43" s="17" customFormat="1" x14ac:dyDescent="0.25">
      <c r="A49" s="1"/>
      <c r="B49" s="2" t="s">
        <v>87</v>
      </c>
      <c r="C49" s="2" t="s">
        <v>88</v>
      </c>
      <c r="D49" s="2" t="s">
        <v>47</v>
      </c>
      <c r="E49" s="2" t="s">
        <v>48</v>
      </c>
      <c r="F49" s="2">
        <v>3.5000000000000003E-2</v>
      </c>
      <c r="G49" s="2">
        <v>3.5000000000000003E-2</v>
      </c>
      <c r="H49" s="19">
        <v>3000</v>
      </c>
      <c r="I49" s="2">
        <v>0</v>
      </c>
      <c r="J49" s="2"/>
      <c r="K49" s="2"/>
      <c r="L49" s="2"/>
      <c r="M49" s="2"/>
      <c r="N49" s="8">
        <f t="shared" si="5"/>
        <v>3000</v>
      </c>
      <c r="O49" s="2"/>
      <c r="P49" s="19"/>
      <c r="Q49" s="19"/>
      <c r="R49" s="19"/>
      <c r="S49" s="19"/>
      <c r="T49" s="19"/>
      <c r="U49" s="19"/>
      <c r="V49" s="19"/>
      <c r="W49" s="19"/>
      <c r="X49" s="2"/>
      <c r="Y49" s="2"/>
      <c r="Z49" s="7">
        <f t="shared" si="6"/>
        <v>105.00000000000001</v>
      </c>
      <c r="AA49" s="7">
        <v>500</v>
      </c>
      <c r="AB49" s="7">
        <v>0</v>
      </c>
      <c r="AC49" s="8">
        <f t="shared" si="7"/>
        <v>0</v>
      </c>
      <c r="AD49" s="8">
        <v>0</v>
      </c>
      <c r="AE49" s="8">
        <f t="shared" si="8"/>
        <v>0</v>
      </c>
      <c r="AF49" s="8">
        <f t="shared" si="3"/>
        <v>0</v>
      </c>
      <c r="AG49" s="8">
        <v>0</v>
      </c>
      <c r="AH49" s="8">
        <v>0</v>
      </c>
      <c r="AI49" s="8" t="s">
        <v>119</v>
      </c>
      <c r="AJ49" s="8" t="s">
        <v>121</v>
      </c>
      <c r="AQ49" s="1">
        <v>0</v>
      </c>
    </row>
    <row r="50" spans="1:43" s="17" customFormat="1" x14ac:dyDescent="0.25">
      <c r="A50" s="1"/>
      <c r="B50" s="2" t="s">
        <v>87</v>
      </c>
      <c r="C50" s="2" t="s">
        <v>88</v>
      </c>
      <c r="D50" s="2" t="s">
        <v>49</v>
      </c>
      <c r="E50" s="2" t="s">
        <v>48</v>
      </c>
      <c r="F50" s="2">
        <v>3.5000000000000003E-2</v>
      </c>
      <c r="G50" s="2">
        <v>3.5000000000000003E-2</v>
      </c>
      <c r="H50" s="19">
        <v>300</v>
      </c>
      <c r="I50" s="2">
        <v>0</v>
      </c>
      <c r="J50" s="2"/>
      <c r="K50" s="2"/>
      <c r="L50" s="2"/>
      <c r="M50" s="2"/>
      <c r="N50" s="8">
        <f t="shared" si="5"/>
        <v>300</v>
      </c>
      <c r="O50" s="2"/>
      <c r="P50" s="19"/>
      <c r="Q50" s="19"/>
      <c r="R50" s="19"/>
      <c r="S50" s="19"/>
      <c r="T50" s="19"/>
      <c r="U50" s="19"/>
      <c r="V50" s="19"/>
      <c r="W50" s="19"/>
      <c r="X50" s="2"/>
      <c r="Y50" s="2"/>
      <c r="Z50" s="7">
        <f t="shared" si="6"/>
        <v>10.500000000000002</v>
      </c>
      <c r="AA50" s="7">
        <v>500</v>
      </c>
      <c r="AB50" s="7">
        <v>0</v>
      </c>
      <c r="AC50" s="8">
        <f t="shared" si="7"/>
        <v>0</v>
      </c>
      <c r="AD50" s="8">
        <v>0</v>
      </c>
      <c r="AE50" s="8">
        <f t="shared" si="8"/>
        <v>0</v>
      </c>
      <c r="AF50" s="8">
        <f t="shared" si="3"/>
        <v>0</v>
      </c>
      <c r="AG50" s="8">
        <v>0</v>
      </c>
      <c r="AH50" s="8">
        <v>0</v>
      </c>
      <c r="AI50" s="8" t="s">
        <v>119</v>
      </c>
      <c r="AJ50" s="8" t="s">
        <v>121</v>
      </c>
      <c r="AQ50" s="1">
        <v>0</v>
      </c>
    </row>
    <row r="51" spans="1:43" s="17" customFormat="1" x14ac:dyDescent="0.25">
      <c r="A51" s="1"/>
      <c r="B51" s="2" t="s">
        <v>87</v>
      </c>
      <c r="C51" s="2" t="s">
        <v>88</v>
      </c>
      <c r="D51" s="2" t="s">
        <v>50</v>
      </c>
      <c r="E51" s="2" t="s">
        <v>48</v>
      </c>
      <c r="F51" s="2">
        <v>3.5000000000000003E-2</v>
      </c>
      <c r="G51" s="2">
        <v>3.5000000000000003E-2</v>
      </c>
      <c r="H51" s="19">
        <v>2200</v>
      </c>
      <c r="I51" s="2">
        <v>0</v>
      </c>
      <c r="J51" s="2"/>
      <c r="K51" s="2"/>
      <c r="L51" s="2"/>
      <c r="M51" s="2"/>
      <c r="N51" s="8">
        <f t="shared" si="5"/>
        <v>-1063</v>
      </c>
      <c r="O51" s="2"/>
      <c r="P51" s="19"/>
      <c r="Q51" s="19">
        <v>430</v>
      </c>
      <c r="R51" s="19"/>
      <c r="S51" s="19">
        <v>2833</v>
      </c>
      <c r="T51" s="19"/>
      <c r="U51" s="19"/>
      <c r="V51" s="19"/>
      <c r="W51" s="2"/>
      <c r="X51" s="2"/>
      <c r="Y51" s="2"/>
      <c r="Z51" s="7">
        <f t="shared" si="6"/>
        <v>77.000000000000014</v>
      </c>
      <c r="AA51" s="7">
        <v>1000</v>
      </c>
      <c r="AB51" s="7">
        <v>0</v>
      </c>
      <c r="AC51" s="8">
        <f t="shared" si="7"/>
        <v>0</v>
      </c>
      <c r="AD51" s="8">
        <v>0</v>
      </c>
      <c r="AE51" s="8">
        <f t="shared" si="8"/>
        <v>0</v>
      </c>
      <c r="AF51" s="8">
        <f t="shared" si="3"/>
        <v>0</v>
      </c>
      <c r="AG51" s="8">
        <v>0</v>
      </c>
      <c r="AH51" s="8">
        <v>0</v>
      </c>
      <c r="AI51" s="8" t="s">
        <v>119</v>
      </c>
      <c r="AJ51" s="8" t="s">
        <v>121</v>
      </c>
      <c r="AQ51" s="1">
        <v>1200</v>
      </c>
    </row>
    <row r="52" spans="1:43" s="1" customFormat="1" x14ac:dyDescent="0.25">
      <c r="B52" s="2" t="s">
        <v>87</v>
      </c>
      <c r="C52" s="2" t="s">
        <v>88</v>
      </c>
      <c r="D52" s="2" t="s">
        <v>51</v>
      </c>
      <c r="E52" s="2" t="s">
        <v>48</v>
      </c>
      <c r="F52" s="2">
        <v>3.5000000000000003E-2</v>
      </c>
      <c r="G52" s="2">
        <v>3.5000000000000003E-2</v>
      </c>
      <c r="H52" s="19">
        <v>0</v>
      </c>
      <c r="I52" s="2">
        <v>0</v>
      </c>
      <c r="J52" s="2"/>
      <c r="K52" s="2"/>
      <c r="L52" s="2"/>
      <c r="M52" s="2"/>
      <c r="N52" s="8">
        <f t="shared" si="5"/>
        <v>0</v>
      </c>
      <c r="O52" s="2"/>
      <c r="P52" s="19"/>
      <c r="Q52" s="19"/>
      <c r="R52" s="19"/>
      <c r="S52" s="19"/>
      <c r="T52" s="19"/>
      <c r="U52" s="19"/>
      <c r="V52" s="19"/>
      <c r="W52" s="2"/>
      <c r="X52" s="2"/>
      <c r="Y52" s="2"/>
      <c r="Z52" s="7">
        <f t="shared" si="6"/>
        <v>0</v>
      </c>
      <c r="AA52" s="7">
        <v>500</v>
      </c>
      <c r="AB52" s="7">
        <v>0</v>
      </c>
      <c r="AC52" s="8">
        <f t="shared" si="7"/>
        <v>0</v>
      </c>
      <c r="AD52" s="8">
        <v>0</v>
      </c>
      <c r="AE52" s="8">
        <f t="shared" si="8"/>
        <v>0</v>
      </c>
      <c r="AF52" s="8">
        <f t="shared" si="3"/>
        <v>0</v>
      </c>
      <c r="AG52" s="8">
        <v>0</v>
      </c>
      <c r="AH52" s="8">
        <v>0</v>
      </c>
      <c r="AI52" s="8" t="s">
        <v>119</v>
      </c>
      <c r="AJ52" s="8" t="s">
        <v>121</v>
      </c>
      <c r="AQ52" s="1">
        <v>0</v>
      </c>
    </row>
    <row r="53" spans="1:43" s="17" customFormat="1" x14ac:dyDescent="0.25">
      <c r="A53" s="1"/>
      <c r="B53" s="2" t="s">
        <v>87</v>
      </c>
      <c r="C53" s="2" t="s">
        <v>88</v>
      </c>
      <c r="D53" s="2" t="s">
        <v>52</v>
      </c>
      <c r="E53" s="2" t="s">
        <v>48</v>
      </c>
      <c r="F53" s="2">
        <v>3.5000000000000003E-2</v>
      </c>
      <c r="G53" s="2">
        <v>3.5000000000000003E-2</v>
      </c>
      <c r="H53" s="19">
        <v>1000</v>
      </c>
      <c r="I53" s="2">
        <v>0</v>
      </c>
      <c r="J53" s="2"/>
      <c r="K53" s="2"/>
      <c r="L53" s="2"/>
      <c r="M53" s="2"/>
      <c r="N53" s="8">
        <f t="shared" si="5"/>
        <v>800</v>
      </c>
      <c r="O53" s="2"/>
      <c r="P53" s="19"/>
      <c r="Q53" s="19"/>
      <c r="R53" s="19"/>
      <c r="S53" s="19"/>
      <c r="T53" s="19"/>
      <c r="U53" s="19"/>
      <c r="V53" s="19"/>
      <c r="W53" s="19">
        <v>200</v>
      </c>
      <c r="X53" s="2"/>
      <c r="Y53" s="2"/>
      <c r="Z53" s="7">
        <f t="shared" si="6"/>
        <v>35</v>
      </c>
      <c r="AA53" s="7">
        <v>500</v>
      </c>
      <c r="AB53" s="7">
        <v>0</v>
      </c>
      <c r="AC53" s="8">
        <f t="shared" si="7"/>
        <v>0</v>
      </c>
      <c r="AD53" s="8">
        <v>0</v>
      </c>
      <c r="AE53" s="8">
        <f t="shared" si="8"/>
        <v>0</v>
      </c>
      <c r="AF53" s="8">
        <f t="shared" si="3"/>
        <v>0</v>
      </c>
      <c r="AG53" s="8">
        <v>0</v>
      </c>
      <c r="AH53" s="8">
        <v>0</v>
      </c>
      <c r="AI53" s="8" t="s">
        <v>119</v>
      </c>
      <c r="AJ53" s="8" t="s">
        <v>121</v>
      </c>
      <c r="AQ53" s="1">
        <v>1000</v>
      </c>
    </row>
    <row r="54" spans="1:43" s="1" customFormat="1" x14ac:dyDescent="0.25">
      <c r="B54" s="2" t="s">
        <v>87</v>
      </c>
      <c r="C54" s="2" t="s">
        <v>88</v>
      </c>
      <c r="D54" s="2" t="s">
        <v>53</v>
      </c>
      <c r="E54" s="2" t="s">
        <v>54</v>
      </c>
      <c r="F54" s="2">
        <v>4.1000000000000002E-2</v>
      </c>
      <c r="G54" s="2">
        <v>4.1000000000000002E-2</v>
      </c>
      <c r="H54" s="19">
        <v>0</v>
      </c>
      <c r="I54" s="2">
        <v>0</v>
      </c>
      <c r="J54" s="2"/>
      <c r="K54" s="2"/>
      <c r="L54" s="2"/>
      <c r="M54" s="2"/>
      <c r="N54" s="8">
        <f t="shared" si="5"/>
        <v>0</v>
      </c>
      <c r="O54" s="2"/>
      <c r="P54" s="19"/>
      <c r="Q54" s="19"/>
      <c r="R54" s="19"/>
      <c r="S54" s="19"/>
      <c r="T54" s="19"/>
      <c r="U54" s="19"/>
      <c r="V54" s="19"/>
      <c r="W54" s="2"/>
      <c r="X54" s="2"/>
      <c r="Y54" s="2"/>
      <c r="Z54" s="7">
        <f t="shared" si="6"/>
        <v>0</v>
      </c>
      <c r="AA54" s="7">
        <v>1000</v>
      </c>
      <c r="AB54" s="7">
        <v>0</v>
      </c>
      <c r="AC54" s="8">
        <f t="shared" si="7"/>
        <v>0</v>
      </c>
      <c r="AD54" s="8">
        <v>0</v>
      </c>
      <c r="AE54" s="8">
        <f t="shared" si="8"/>
        <v>0</v>
      </c>
      <c r="AF54" s="8">
        <f t="shared" si="3"/>
        <v>0</v>
      </c>
      <c r="AG54" s="8">
        <v>0</v>
      </c>
      <c r="AH54" s="8">
        <v>0</v>
      </c>
      <c r="AI54" s="8" t="s">
        <v>119</v>
      </c>
      <c r="AJ54" s="8" t="s">
        <v>121</v>
      </c>
      <c r="AQ54" s="1">
        <v>2800</v>
      </c>
    </row>
    <row r="55" spans="1:43" s="17" customFormat="1" x14ac:dyDescent="0.25">
      <c r="A55" s="1"/>
      <c r="B55" s="2" t="s">
        <v>87</v>
      </c>
      <c r="C55" s="2" t="s">
        <v>88</v>
      </c>
      <c r="D55" s="2" t="s">
        <v>55</v>
      </c>
      <c r="E55" s="2" t="s">
        <v>54</v>
      </c>
      <c r="F55" s="2">
        <v>4.4999999999999998E-2</v>
      </c>
      <c r="G55" s="2">
        <v>4.4999999999999998E-2</v>
      </c>
      <c r="H55" s="19">
        <v>1000</v>
      </c>
      <c r="I55" s="2">
        <v>646</v>
      </c>
      <c r="J55" s="2"/>
      <c r="K55" s="2"/>
      <c r="L55" s="2"/>
      <c r="M55" s="2"/>
      <c r="N55" s="8">
        <f t="shared" si="5"/>
        <v>696</v>
      </c>
      <c r="O55" s="2"/>
      <c r="P55" s="19"/>
      <c r="Q55" s="19">
        <v>180</v>
      </c>
      <c r="R55" s="19">
        <v>364</v>
      </c>
      <c r="S55" s="19">
        <v>406</v>
      </c>
      <c r="T55" s="19"/>
      <c r="U55" s="19"/>
      <c r="V55" s="19"/>
      <c r="W55" s="19"/>
      <c r="X55" s="2"/>
      <c r="Y55" s="2"/>
      <c r="Z55" s="7">
        <f t="shared" si="6"/>
        <v>74.069999999999993</v>
      </c>
      <c r="AA55" s="7">
        <v>200</v>
      </c>
      <c r="AB55" s="7">
        <v>0</v>
      </c>
      <c r="AC55" s="8">
        <f t="shared" si="7"/>
        <v>0</v>
      </c>
      <c r="AD55" s="8">
        <v>0</v>
      </c>
      <c r="AE55" s="8">
        <f t="shared" si="8"/>
        <v>0</v>
      </c>
      <c r="AF55" s="8">
        <f t="shared" si="3"/>
        <v>0</v>
      </c>
      <c r="AG55" s="8">
        <v>0</v>
      </c>
      <c r="AH55" s="8">
        <v>0</v>
      </c>
      <c r="AI55" s="8" t="s">
        <v>119</v>
      </c>
      <c r="AJ55" s="8" t="s">
        <v>121</v>
      </c>
      <c r="AQ55" s="1">
        <v>1000</v>
      </c>
    </row>
    <row r="56" spans="1:43" s="1" customFormat="1" x14ac:dyDescent="0.25">
      <c r="B56" s="2" t="s">
        <v>87</v>
      </c>
      <c r="C56" s="2" t="s">
        <v>88</v>
      </c>
      <c r="D56" s="2" t="s">
        <v>56</v>
      </c>
      <c r="E56" s="2" t="s">
        <v>54</v>
      </c>
      <c r="F56" s="2">
        <v>4.4999999999999998E-2</v>
      </c>
      <c r="G56" s="2">
        <v>4.4999999999999998E-2</v>
      </c>
      <c r="H56" s="19">
        <v>0</v>
      </c>
      <c r="I56" s="2">
        <v>0</v>
      </c>
      <c r="J56" s="2"/>
      <c r="K56" s="2"/>
      <c r="L56" s="2"/>
      <c r="M56" s="2"/>
      <c r="N56" s="8">
        <f t="shared" si="5"/>
        <v>0</v>
      </c>
      <c r="O56" s="2"/>
      <c r="P56" s="19"/>
      <c r="Q56" s="19"/>
      <c r="R56" s="19"/>
      <c r="S56" s="19"/>
      <c r="T56" s="19"/>
      <c r="U56" s="19"/>
      <c r="V56" s="19"/>
      <c r="W56" s="2"/>
      <c r="X56" s="2"/>
      <c r="Y56" s="2"/>
      <c r="Z56" s="7">
        <f t="shared" si="6"/>
        <v>0</v>
      </c>
      <c r="AA56" s="7">
        <v>500</v>
      </c>
      <c r="AB56" s="7">
        <v>0</v>
      </c>
      <c r="AC56" s="8">
        <f t="shared" si="7"/>
        <v>0</v>
      </c>
      <c r="AD56" s="8">
        <v>0</v>
      </c>
      <c r="AE56" s="8">
        <f t="shared" si="8"/>
        <v>0</v>
      </c>
      <c r="AF56" s="8">
        <f t="shared" si="3"/>
        <v>0</v>
      </c>
      <c r="AG56" s="8">
        <v>0</v>
      </c>
      <c r="AH56" s="8">
        <v>0</v>
      </c>
      <c r="AI56" s="8" t="s">
        <v>119</v>
      </c>
      <c r="AJ56" s="8" t="s">
        <v>121</v>
      </c>
      <c r="AQ56" s="1">
        <v>416</v>
      </c>
    </row>
    <row r="57" spans="1:43" s="17" customFormat="1" x14ac:dyDescent="0.25">
      <c r="A57" s="1"/>
      <c r="B57" s="2" t="s">
        <v>87</v>
      </c>
      <c r="C57" s="2" t="s">
        <v>88</v>
      </c>
      <c r="D57" s="2" t="s">
        <v>57</v>
      </c>
      <c r="E57" s="2" t="s">
        <v>54</v>
      </c>
      <c r="F57" s="2">
        <v>4.1000000000000002E-2</v>
      </c>
      <c r="G57" s="2">
        <v>4.1000000000000002E-2</v>
      </c>
      <c r="H57" s="19">
        <v>2500</v>
      </c>
      <c r="I57" s="2">
        <v>129</v>
      </c>
      <c r="J57" s="2"/>
      <c r="K57" s="2"/>
      <c r="L57" s="2"/>
      <c r="M57" s="2"/>
      <c r="N57" s="8">
        <f t="shared" si="5"/>
        <v>1585</v>
      </c>
      <c r="O57" s="2"/>
      <c r="P57" s="19"/>
      <c r="Q57" s="19">
        <v>315</v>
      </c>
      <c r="R57" s="19"/>
      <c r="S57" s="19"/>
      <c r="T57" s="19"/>
      <c r="U57" s="19">
        <v>150</v>
      </c>
      <c r="V57" s="19"/>
      <c r="W57" s="19">
        <v>255</v>
      </c>
      <c r="X57" s="2">
        <v>324</v>
      </c>
      <c r="Y57" s="2"/>
      <c r="Z57" s="7">
        <f t="shared" si="6"/>
        <v>107.789</v>
      </c>
      <c r="AA57" s="7">
        <v>500</v>
      </c>
      <c r="AB57" s="7">
        <v>0</v>
      </c>
      <c r="AC57" s="8">
        <f t="shared" si="7"/>
        <v>0</v>
      </c>
      <c r="AD57" s="8">
        <v>0</v>
      </c>
      <c r="AE57" s="8">
        <f t="shared" si="8"/>
        <v>0</v>
      </c>
      <c r="AF57" s="8">
        <f t="shared" si="3"/>
        <v>0</v>
      </c>
      <c r="AG57" s="8">
        <v>0</v>
      </c>
      <c r="AH57" s="8">
        <v>0</v>
      </c>
      <c r="AI57" s="8" t="s">
        <v>119</v>
      </c>
      <c r="AJ57" s="8" t="s">
        <v>121</v>
      </c>
      <c r="AQ57" s="1">
        <v>2200</v>
      </c>
    </row>
    <row r="58" spans="1:43" s="17" customFormat="1" x14ac:dyDescent="0.25">
      <c r="A58" s="1"/>
      <c r="B58" s="2" t="s">
        <v>87</v>
      </c>
      <c r="C58" s="2" t="s">
        <v>88</v>
      </c>
      <c r="D58" s="2" t="s">
        <v>58</v>
      </c>
      <c r="E58" s="2" t="s">
        <v>54</v>
      </c>
      <c r="F58" s="2">
        <v>4.4999999999999998E-2</v>
      </c>
      <c r="G58" s="2">
        <v>4.4999999999999998E-2</v>
      </c>
      <c r="H58" s="19">
        <v>3000</v>
      </c>
      <c r="I58" s="2">
        <v>69</v>
      </c>
      <c r="J58" s="2"/>
      <c r="K58" s="2"/>
      <c r="L58" s="2"/>
      <c r="M58" s="2"/>
      <c r="N58" s="8">
        <f t="shared" si="5"/>
        <v>162</v>
      </c>
      <c r="O58" s="2"/>
      <c r="P58" s="19"/>
      <c r="Q58" s="19"/>
      <c r="R58" s="19"/>
      <c r="S58" s="19">
        <v>350</v>
      </c>
      <c r="T58" s="19">
        <v>1400</v>
      </c>
      <c r="U58" s="19">
        <v>1157</v>
      </c>
      <c r="V58" s="19"/>
      <c r="W58" s="19"/>
      <c r="X58" s="2"/>
      <c r="Y58" s="2"/>
      <c r="Z58" s="7">
        <f t="shared" si="6"/>
        <v>138.10499999999999</v>
      </c>
      <c r="AA58" s="7">
        <v>500</v>
      </c>
      <c r="AB58" s="7">
        <v>0</v>
      </c>
      <c r="AC58" s="8">
        <f t="shared" si="7"/>
        <v>0</v>
      </c>
      <c r="AD58" s="8">
        <v>0</v>
      </c>
      <c r="AE58" s="8">
        <f t="shared" si="8"/>
        <v>0</v>
      </c>
      <c r="AF58" s="8">
        <f t="shared" si="3"/>
        <v>0</v>
      </c>
      <c r="AG58" s="8">
        <v>0</v>
      </c>
      <c r="AH58" s="8">
        <v>0</v>
      </c>
      <c r="AI58" s="8" t="s">
        <v>119</v>
      </c>
      <c r="AJ58" s="8" t="s">
        <v>121</v>
      </c>
      <c r="AQ58" s="1">
        <v>1720</v>
      </c>
    </row>
    <row r="59" spans="1:43" s="1" customFormat="1" ht="14.25" customHeight="1" x14ac:dyDescent="0.25">
      <c r="B59" s="2" t="s">
        <v>87</v>
      </c>
      <c r="C59" s="2" t="s">
        <v>88</v>
      </c>
      <c r="D59" s="2" t="s">
        <v>59</v>
      </c>
      <c r="E59" s="2" t="s">
        <v>60</v>
      </c>
      <c r="F59" s="2">
        <v>3.5000000000000003E-2</v>
      </c>
      <c r="G59" s="2">
        <v>3.5000000000000003E-2</v>
      </c>
      <c r="H59" s="19">
        <v>144</v>
      </c>
      <c r="I59" s="2">
        <v>0</v>
      </c>
      <c r="J59" s="2"/>
      <c r="K59" s="2"/>
      <c r="L59" s="2"/>
      <c r="M59" s="2"/>
      <c r="N59" s="8">
        <f t="shared" si="5"/>
        <v>0</v>
      </c>
      <c r="O59" s="2"/>
      <c r="P59" s="19">
        <v>144</v>
      </c>
      <c r="Q59" s="19"/>
      <c r="R59" s="19"/>
      <c r="S59" s="19"/>
      <c r="T59" s="19"/>
      <c r="U59" s="19"/>
      <c r="V59" s="19"/>
      <c r="W59" s="2"/>
      <c r="X59" s="2"/>
      <c r="Y59" s="2"/>
      <c r="Z59" s="7">
        <f t="shared" si="6"/>
        <v>5.0400000000000009</v>
      </c>
      <c r="AA59" s="7">
        <v>144</v>
      </c>
      <c r="AB59" s="7">
        <v>0</v>
      </c>
      <c r="AC59" s="8">
        <f t="shared" si="7"/>
        <v>0</v>
      </c>
      <c r="AD59" s="8">
        <v>0</v>
      </c>
      <c r="AE59" s="8">
        <f t="shared" si="8"/>
        <v>0</v>
      </c>
      <c r="AF59" s="8">
        <f t="shared" si="3"/>
        <v>0</v>
      </c>
      <c r="AG59" s="8" t="s">
        <v>110</v>
      </c>
      <c r="AH59" s="8">
        <f t="shared" ref="AH59:AH78" si="9">+SUM(H59:M59)</f>
        <v>144</v>
      </c>
      <c r="AI59" s="8" t="s">
        <v>119</v>
      </c>
      <c r="AJ59" s="8" t="s">
        <v>121</v>
      </c>
      <c r="AQ59" s="1">
        <v>0</v>
      </c>
    </row>
    <row r="60" spans="1:43" s="1" customFormat="1" x14ac:dyDescent="0.25">
      <c r="B60" s="2" t="s">
        <v>87</v>
      </c>
      <c r="C60" s="2" t="s">
        <v>88</v>
      </c>
      <c r="D60" s="2" t="s">
        <v>61</v>
      </c>
      <c r="E60" s="2" t="s">
        <v>60</v>
      </c>
      <c r="F60" s="2">
        <v>3.5000000000000003E-2</v>
      </c>
      <c r="G60" s="2">
        <v>3.5000000000000003E-2</v>
      </c>
      <c r="H60" s="19">
        <v>0</v>
      </c>
      <c r="I60" s="2">
        <v>0</v>
      </c>
      <c r="J60" s="2"/>
      <c r="K60" s="2"/>
      <c r="L60" s="2"/>
      <c r="M60" s="2"/>
      <c r="N60" s="8">
        <f t="shared" si="5"/>
        <v>0</v>
      </c>
      <c r="O60" s="2"/>
      <c r="P60" s="19"/>
      <c r="Q60" s="19"/>
      <c r="R60" s="19"/>
      <c r="S60" s="19"/>
      <c r="T60" s="19"/>
      <c r="U60" s="19"/>
      <c r="V60" s="19"/>
      <c r="W60" s="2"/>
      <c r="X60" s="2"/>
      <c r="Y60" s="2"/>
      <c r="Z60" s="7">
        <f t="shared" si="6"/>
        <v>0</v>
      </c>
      <c r="AA60" s="7">
        <v>144</v>
      </c>
      <c r="AB60" s="7">
        <v>1</v>
      </c>
      <c r="AC60" s="8">
        <f t="shared" si="7"/>
        <v>0</v>
      </c>
      <c r="AD60" s="8">
        <v>0</v>
      </c>
      <c r="AE60" s="8">
        <f t="shared" si="8"/>
        <v>0</v>
      </c>
      <c r="AF60" s="8">
        <f t="shared" si="3"/>
        <v>0</v>
      </c>
      <c r="AG60" s="8" t="s">
        <v>111</v>
      </c>
      <c r="AH60" s="8">
        <f t="shared" si="9"/>
        <v>0</v>
      </c>
      <c r="AI60" s="8" t="s">
        <v>119</v>
      </c>
      <c r="AJ60" s="8" t="s">
        <v>121</v>
      </c>
      <c r="AQ60" s="1">
        <v>-576</v>
      </c>
    </row>
    <row r="61" spans="1:43" s="1" customFormat="1" x14ac:dyDescent="0.25">
      <c r="B61" s="2" t="s">
        <v>87</v>
      </c>
      <c r="C61" s="2" t="s">
        <v>88</v>
      </c>
      <c r="D61" s="2" t="s">
        <v>62</v>
      </c>
      <c r="E61" s="2" t="s">
        <v>60</v>
      </c>
      <c r="F61" s="2">
        <v>3.5000000000000003E-2</v>
      </c>
      <c r="G61" s="2">
        <v>3.5000000000000003E-2</v>
      </c>
      <c r="H61" s="19">
        <v>0</v>
      </c>
      <c r="I61" s="2">
        <v>0</v>
      </c>
      <c r="J61" s="2"/>
      <c r="K61" s="2"/>
      <c r="L61" s="2"/>
      <c r="M61" s="2"/>
      <c r="N61" s="8">
        <f t="shared" si="5"/>
        <v>0</v>
      </c>
      <c r="O61" s="2"/>
      <c r="P61" s="19"/>
      <c r="Q61" s="19"/>
      <c r="R61" s="19"/>
      <c r="S61" s="19"/>
      <c r="T61" s="19"/>
      <c r="U61" s="19"/>
      <c r="V61" s="19"/>
      <c r="W61" s="2"/>
      <c r="X61" s="2"/>
      <c r="Y61" s="2"/>
      <c r="Z61" s="7">
        <f t="shared" si="6"/>
        <v>0</v>
      </c>
      <c r="AA61" s="7">
        <v>144</v>
      </c>
      <c r="AB61" s="7">
        <v>1</v>
      </c>
      <c r="AC61" s="8">
        <f t="shared" si="7"/>
        <v>0</v>
      </c>
      <c r="AD61" s="8">
        <v>0</v>
      </c>
      <c r="AE61" s="8">
        <f t="shared" si="8"/>
        <v>0</v>
      </c>
      <c r="AF61" s="8">
        <f t="shared" si="3"/>
        <v>0</v>
      </c>
      <c r="AG61" s="8" t="s">
        <v>111</v>
      </c>
      <c r="AH61" s="8">
        <f t="shared" si="9"/>
        <v>0</v>
      </c>
      <c r="AI61" s="8" t="s">
        <v>119</v>
      </c>
      <c r="AJ61" s="8" t="s">
        <v>121</v>
      </c>
      <c r="AQ61" s="1">
        <v>0</v>
      </c>
    </row>
    <row r="62" spans="1:43" s="17" customFormat="1" x14ac:dyDescent="0.25">
      <c r="A62" s="1"/>
      <c r="B62" s="2" t="s">
        <v>87</v>
      </c>
      <c r="C62" s="2" t="s">
        <v>88</v>
      </c>
      <c r="D62" s="2" t="s">
        <v>63</v>
      </c>
      <c r="E62" s="2" t="s">
        <v>60</v>
      </c>
      <c r="F62" s="2">
        <v>3.5000000000000003E-2</v>
      </c>
      <c r="G62" s="2">
        <v>3.5000000000000003E-2</v>
      </c>
      <c r="H62" s="19">
        <v>1440</v>
      </c>
      <c r="I62" s="2">
        <v>0</v>
      </c>
      <c r="J62" s="2"/>
      <c r="K62" s="2"/>
      <c r="L62" s="2"/>
      <c r="M62" s="2"/>
      <c r="N62" s="8">
        <f t="shared" si="5"/>
        <v>-576</v>
      </c>
      <c r="O62" s="2"/>
      <c r="P62" s="19"/>
      <c r="Q62" s="19"/>
      <c r="R62" s="19"/>
      <c r="S62" s="19">
        <v>576</v>
      </c>
      <c r="T62" s="19">
        <v>432</v>
      </c>
      <c r="U62" s="19">
        <v>720</v>
      </c>
      <c r="V62" s="19">
        <v>144</v>
      </c>
      <c r="W62" s="2">
        <v>144</v>
      </c>
      <c r="X62" s="2"/>
      <c r="Y62" s="2"/>
      <c r="Z62" s="7">
        <f t="shared" si="6"/>
        <v>50.400000000000006</v>
      </c>
      <c r="AA62" s="7">
        <v>144</v>
      </c>
      <c r="AB62" s="7">
        <v>1</v>
      </c>
      <c r="AC62" s="8">
        <f t="shared" si="7"/>
        <v>1440</v>
      </c>
      <c r="AD62" s="8">
        <v>0</v>
      </c>
      <c r="AE62" s="8">
        <f t="shared" si="8"/>
        <v>0</v>
      </c>
      <c r="AF62" s="8">
        <f t="shared" si="3"/>
        <v>0</v>
      </c>
      <c r="AG62" s="8" t="s">
        <v>111</v>
      </c>
      <c r="AH62" s="8">
        <f t="shared" si="9"/>
        <v>1440</v>
      </c>
      <c r="AI62" s="8" t="s">
        <v>119</v>
      </c>
      <c r="AJ62" s="8" t="s">
        <v>121</v>
      </c>
      <c r="AQ62" s="1">
        <v>144</v>
      </c>
    </row>
    <row r="63" spans="1:43" s="17" customFormat="1" x14ac:dyDescent="0.25">
      <c r="A63" s="1"/>
      <c r="B63" s="2" t="s">
        <v>87</v>
      </c>
      <c r="C63" s="2" t="s">
        <v>88</v>
      </c>
      <c r="D63" s="2" t="s">
        <v>64</v>
      </c>
      <c r="E63" s="2" t="s">
        <v>60</v>
      </c>
      <c r="F63" s="2">
        <v>3.5000000000000003E-2</v>
      </c>
      <c r="G63" s="2">
        <v>3.5000000000000003E-2</v>
      </c>
      <c r="H63" s="19">
        <v>288</v>
      </c>
      <c r="I63" s="2">
        <v>500</v>
      </c>
      <c r="J63" s="2"/>
      <c r="K63" s="2"/>
      <c r="L63" s="2"/>
      <c r="M63" s="2"/>
      <c r="N63" s="8">
        <f t="shared" si="5"/>
        <v>356</v>
      </c>
      <c r="O63" s="2">
        <v>144</v>
      </c>
      <c r="P63" s="19"/>
      <c r="Q63" s="19"/>
      <c r="R63" s="19"/>
      <c r="S63" s="19"/>
      <c r="T63" s="19"/>
      <c r="U63" s="19">
        <v>144</v>
      </c>
      <c r="V63" s="19"/>
      <c r="W63" s="19"/>
      <c r="X63" s="2">
        <v>144</v>
      </c>
      <c r="Y63" s="2"/>
      <c r="Z63" s="7">
        <f t="shared" si="6"/>
        <v>27.580000000000002</v>
      </c>
      <c r="AA63" s="7">
        <v>144</v>
      </c>
      <c r="AB63" s="7">
        <v>1</v>
      </c>
      <c r="AC63" s="8">
        <f t="shared" si="7"/>
        <v>288</v>
      </c>
      <c r="AD63" s="8">
        <v>0</v>
      </c>
      <c r="AE63" s="8">
        <f t="shared" si="8"/>
        <v>0</v>
      </c>
      <c r="AF63" s="8">
        <f t="shared" si="3"/>
        <v>0</v>
      </c>
      <c r="AG63" s="8" t="s">
        <v>111</v>
      </c>
      <c r="AH63" s="8">
        <f t="shared" si="9"/>
        <v>788</v>
      </c>
      <c r="AI63" s="8" t="s">
        <v>119</v>
      </c>
      <c r="AJ63" s="8" t="s">
        <v>121</v>
      </c>
      <c r="AQ63" s="1">
        <v>0</v>
      </c>
    </row>
    <row r="64" spans="1:43" s="17" customFormat="1" x14ac:dyDescent="0.25">
      <c r="A64" s="1"/>
      <c r="B64" s="2" t="s">
        <v>87</v>
      </c>
      <c r="C64" s="2" t="s">
        <v>88</v>
      </c>
      <c r="D64" s="2" t="s">
        <v>65</v>
      </c>
      <c r="E64" s="2" t="s">
        <v>60</v>
      </c>
      <c r="F64" s="2">
        <v>3.5000000000000003E-2</v>
      </c>
      <c r="G64" s="2">
        <v>3.5000000000000003E-2</v>
      </c>
      <c r="H64" s="19">
        <v>864</v>
      </c>
      <c r="I64" s="2">
        <v>0</v>
      </c>
      <c r="J64" s="2"/>
      <c r="K64" s="2"/>
      <c r="L64" s="2"/>
      <c r="M64" s="2"/>
      <c r="N64" s="8">
        <f t="shared" si="5"/>
        <v>144</v>
      </c>
      <c r="O64" s="2"/>
      <c r="P64" s="19"/>
      <c r="Q64" s="19"/>
      <c r="R64" s="19">
        <v>432</v>
      </c>
      <c r="S64" s="19">
        <v>144</v>
      </c>
      <c r="T64" s="19">
        <v>144</v>
      </c>
      <c r="U64" s="19"/>
      <c r="V64" s="19"/>
      <c r="W64" s="19"/>
      <c r="X64" s="2"/>
      <c r="Y64" s="2"/>
      <c r="Z64" s="7">
        <f t="shared" si="6"/>
        <v>30.240000000000002</v>
      </c>
      <c r="AA64" s="7">
        <v>144</v>
      </c>
      <c r="AB64" s="7">
        <v>1</v>
      </c>
      <c r="AC64" s="8">
        <f t="shared" si="7"/>
        <v>864</v>
      </c>
      <c r="AD64" s="8">
        <v>0</v>
      </c>
      <c r="AE64" s="8">
        <f t="shared" si="8"/>
        <v>0</v>
      </c>
      <c r="AF64" s="8">
        <f t="shared" si="3"/>
        <v>0</v>
      </c>
      <c r="AG64" s="8" t="s">
        <v>111</v>
      </c>
      <c r="AH64" s="8">
        <f t="shared" si="9"/>
        <v>864</v>
      </c>
      <c r="AI64" s="8" t="s">
        <v>119</v>
      </c>
      <c r="AJ64" s="8" t="s">
        <v>121</v>
      </c>
      <c r="AQ64" s="1">
        <v>576</v>
      </c>
    </row>
    <row r="65" spans="1:43" s="17" customFormat="1" x14ac:dyDescent="0.25">
      <c r="A65" s="1"/>
      <c r="B65" s="2" t="s">
        <v>87</v>
      </c>
      <c r="C65" s="2" t="s">
        <v>88</v>
      </c>
      <c r="D65" s="2" t="s">
        <v>66</v>
      </c>
      <c r="E65" s="2" t="s">
        <v>60</v>
      </c>
      <c r="F65" s="2">
        <v>3.5000000000000003E-2</v>
      </c>
      <c r="G65" s="2">
        <v>3.5000000000000003E-2</v>
      </c>
      <c r="H65" s="19">
        <v>144</v>
      </c>
      <c r="I65" s="2">
        <v>300</v>
      </c>
      <c r="J65" s="2"/>
      <c r="K65" s="2"/>
      <c r="L65" s="2"/>
      <c r="M65" s="2"/>
      <c r="N65" s="8">
        <f t="shared" si="5"/>
        <v>0</v>
      </c>
      <c r="O65" s="2"/>
      <c r="P65" s="19">
        <v>288</v>
      </c>
      <c r="Q65" s="19"/>
      <c r="R65" s="19"/>
      <c r="S65" s="19"/>
      <c r="T65" s="19"/>
      <c r="U65" s="19"/>
      <c r="V65" s="19">
        <v>144</v>
      </c>
      <c r="W65" s="19"/>
      <c r="X65" s="2"/>
      <c r="Y65" s="69">
        <v>12</v>
      </c>
      <c r="Z65" s="7">
        <f t="shared" si="6"/>
        <v>15.540000000000001</v>
      </c>
      <c r="AA65" s="7">
        <v>144</v>
      </c>
      <c r="AB65" s="7">
        <v>0</v>
      </c>
      <c r="AC65" s="8">
        <f t="shared" si="7"/>
        <v>0</v>
      </c>
      <c r="AD65" s="8">
        <v>0</v>
      </c>
      <c r="AE65" s="8">
        <f t="shared" si="8"/>
        <v>0</v>
      </c>
      <c r="AF65" s="8">
        <f t="shared" si="3"/>
        <v>0</v>
      </c>
      <c r="AG65" s="8" t="s">
        <v>110</v>
      </c>
      <c r="AH65" s="8">
        <f t="shared" si="9"/>
        <v>444</v>
      </c>
      <c r="AI65" s="8" t="s">
        <v>119</v>
      </c>
      <c r="AJ65" s="8" t="s">
        <v>121</v>
      </c>
      <c r="AQ65" s="1">
        <v>0</v>
      </c>
    </row>
    <row r="66" spans="1:43" s="17" customFormat="1" x14ac:dyDescent="0.25">
      <c r="A66" s="1"/>
      <c r="B66" s="2" t="s">
        <v>87</v>
      </c>
      <c r="C66" s="2" t="s">
        <v>88</v>
      </c>
      <c r="D66" s="2" t="s">
        <v>67</v>
      </c>
      <c r="E66" s="2" t="s">
        <v>60</v>
      </c>
      <c r="F66" s="2">
        <v>3.5000000000000003E-2</v>
      </c>
      <c r="G66" s="2">
        <v>3.5000000000000003E-2</v>
      </c>
      <c r="H66" s="19">
        <v>144</v>
      </c>
      <c r="I66" s="2">
        <v>300</v>
      </c>
      <c r="J66" s="2"/>
      <c r="K66" s="2"/>
      <c r="L66" s="2"/>
      <c r="M66" s="2"/>
      <c r="N66" s="8">
        <f t="shared" si="5"/>
        <v>0</v>
      </c>
      <c r="O66" s="2"/>
      <c r="P66" s="19"/>
      <c r="Q66" s="19"/>
      <c r="R66" s="19"/>
      <c r="S66" s="19"/>
      <c r="T66" s="19"/>
      <c r="U66" s="19"/>
      <c r="V66" s="19"/>
      <c r="W66" s="19"/>
      <c r="X66" s="2">
        <v>432</v>
      </c>
      <c r="Y66" s="69">
        <v>12</v>
      </c>
      <c r="Z66" s="7">
        <f t="shared" si="6"/>
        <v>15.540000000000001</v>
      </c>
      <c r="AA66" s="7">
        <v>144</v>
      </c>
      <c r="AB66" s="7">
        <v>1</v>
      </c>
      <c r="AC66" s="8">
        <f t="shared" si="7"/>
        <v>144</v>
      </c>
      <c r="AD66" s="8">
        <v>0</v>
      </c>
      <c r="AE66" s="8">
        <f t="shared" si="8"/>
        <v>0</v>
      </c>
      <c r="AF66" s="8">
        <f t="shared" si="3"/>
        <v>0</v>
      </c>
      <c r="AG66" s="8" t="s">
        <v>111</v>
      </c>
      <c r="AH66" s="8">
        <f t="shared" si="9"/>
        <v>444</v>
      </c>
      <c r="AI66" s="8" t="s">
        <v>119</v>
      </c>
      <c r="AJ66" s="8" t="s">
        <v>121</v>
      </c>
      <c r="AQ66" s="1">
        <v>0</v>
      </c>
    </row>
    <row r="67" spans="1:43" s="17" customFormat="1" x14ac:dyDescent="0.25">
      <c r="A67" s="1"/>
      <c r="B67" s="2" t="s">
        <v>87</v>
      </c>
      <c r="C67" s="2" t="s">
        <v>88</v>
      </c>
      <c r="D67" s="2" t="s">
        <v>68</v>
      </c>
      <c r="E67" s="2" t="s">
        <v>60</v>
      </c>
      <c r="F67" s="2">
        <v>3.5000000000000003E-2</v>
      </c>
      <c r="G67" s="2">
        <v>3.5000000000000003E-2</v>
      </c>
      <c r="H67" s="19">
        <v>144</v>
      </c>
      <c r="I67" s="2">
        <v>0</v>
      </c>
      <c r="J67" s="2"/>
      <c r="K67" s="2"/>
      <c r="L67" s="2"/>
      <c r="M67" s="2"/>
      <c r="N67" s="8">
        <f t="shared" si="5"/>
        <v>144</v>
      </c>
      <c r="O67" s="2"/>
      <c r="P67" s="19"/>
      <c r="Q67" s="19"/>
      <c r="R67" s="19"/>
      <c r="S67" s="19"/>
      <c r="T67" s="19"/>
      <c r="U67" s="19"/>
      <c r="V67" s="19"/>
      <c r="W67" s="19"/>
      <c r="X67" s="2"/>
      <c r="Y67" s="2"/>
      <c r="Z67" s="7">
        <f t="shared" si="6"/>
        <v>5.0400000000000009</v>
      </c>
      <c r="AA67" s="7">
        <v>144</v>
      </c>
      <c r="AB67" s="7">
        <v>0</v>
      </c>
      <c r="AC67" s="8">
        <f t="shared" si="7"/>
        <v>0</v>
      </c>
      <c r="AD67" s="8">
        <v>0</v>
      </c>
      <c r="AE67" s="8">
        <f t="shared" si="8"/>
        <v>0</v>
      </c>
      <c r="AF67" s="8">
        <f t="shared" si="3"/>
        <v>0</v>
      </c>
      <c r="AG67" s="8" t="s">
        <v>110</v>
      </c>
      <c r="AH67" s="8">
        <f t="shared" si="9"/>
        <v>144</v>
      </c>
      <c r="AI67" s="8" t="s">
        <v>119</v>
      </c>
      <c r="AJ67" s="8" t="s">
        <v>121</v>
      </c>
      <c r="AQ67" s="1">
        <v>0</v>
      </c>
    </row>
    <row r="68" spans="1:43" s="17" customFormat="1" x14ac:dyDescent="0.25">
      <c r="A68" s="1"/>
      <c r="B68" s="2" t="s">
        <v>87</v>
      </c>
      <c r="C68" s="2" t="s">
        <v>88</v>
      </c>
      <c r="D68" s="2" t="s">
        <v>69</v>
      </c>
      <c r="E68" s="2" t="s">
        <v>60</v>
      </c>
      <c r="F68" s="2">
        <v>3.5000000000000003E-2</v>
      </c>
      <c r="G68" s="2">
        <v>3.5000000000000003E-2</v>
      </c>
      <c r="H68" s="19">
        <v>288</v>
      </c>
      <c r="I68" s="2">
        <v>0</v>
      </c>
      <c r="J68" s="2"/>
      <c r="K68" s="2"/>
      <c r="L68" s="2"/>
      <c r="M68" s="2"/>
      <c r="N68" s="8">
        <f t="shared" si="5"/>
        <v>0</v>
      </c>
      <c r="O68" s="2"/>
      <c r="P68" s="19"/>
      <c r="Q68" s="19"/>
      <c r="R68" s="19"/>
      <c r="S68" s="19"/>
      <c r="T68" s="19"/>
      <c r="U68" s="19"/>
      <c r="V68" s="19"/>
      <c r="W68" s="68"/>
      <c r="X68" s="2">
        <v>288</v>
      </c>
      <c r="Y68" s="2"/>
      <c r="Z68" s="7">
        <f t="shared" si="6"/>
        <v>10.080000000000002</v>
      </c>
      <c r="AA68" s="7">
        <v>144</v>
      </c>
      <c r="AB68" s="7">
        <v>1</v>
      </c>
      <c r="AC68" s="8">
        <f t="shared" si="7"/>
        <v>288</v>
      </c>
      <c r="AD68" s="8">
        <v>0</v>
      </c>
      <c r="AE68" s="8">
        <f t="shared" si="8"/>
        <v>0</v>
      </c>
      <c r="AF68" s="8">
        <f t="shared" si="3"/>
        <v>0</v>
      </c>
      <c r="AG68" s="8" t="s">
        <v>111</v>
      </c>
      <c r="AH68" s="8">
        <f t="shared" si="9"/>
        <v>288</v>
      </c>
      <c r="AI68" s="8" t="s">
        <v>119</v>
      </c>
      <c r="AJ68" s="8" t="s">
        <v>121</v>
      </c>
      <c r="AQ68" s="1">
        <v>-144</v>
      </c>
    </row>
    <row r="69" spans="1:43" s="1" customFormat="1" x14ac:dyDescent="0.25">
      <c r="B69" s="2" t="s">
        <v>87</v>
      </c>
      <c r="C69" s="2" t="s">
        <v>88</v>
      </c>
      <c r="D69" s="2" t="s">
        <v>70</v>
      </c>
      <c r="E69" s="2" t="s">
        <v>71</v>
      </c>
      <c r="F69" s="2">
        <v>4.4999999999999998E-2</v>
      </c>
      <c r="G69" s="2">
        <v>4.4999999999999998E-2</v>
      </c>
      <c r="H69" s="19">
        <v>0</v>
      </c>
      <c r="I69" s="2">
        <v>0</v>
      </c>
      <c r="J69" s="2"/>
      <c r="K69" s="2"/>
      <c r="L69" s="2"/>
      <c r="M69" s="2"/>
      <c r="N69" s="8">
        <f t="shared" si="5"/>
        <v>0</v>
      </c>
      <c r="O69" s="2"/>
      <c r="P69" s="19"/>
      <c r="Q69" s="19"/>
      <c r="R69" s="19"/>
      <c r="S69" s="19"/>
      <c r="T69" s="19"/>
      <c r="U69" s="19"/>
      <c r="V69" s="19"/>
      <c r="W69" s="2"/>
      <c r="X69" s="2"/>
      <c r="Y69" s="2"/>
      <c r="Z69" s="7">
        <f t="shared" si="6"/>
        <v>0</v>
      </c>
      <c r="AA69" s="7">
        <v>288</v>
      </c>
      <c r="AB69" s="7">
        <v>1</v>
      </c>
      <c r="AC69" s="8">
        <f t="shared" si="7"/>
        <v>0</v>
      </c>
      <c r="AD69" s="8">
        <v>0</v>
      </c>
      <c r="AE69" s="8">
        <f t="shared" si="8"/>
        <v>0</v>
      </c>
      <c r="AF69" s="8">
        <f t="shared" si="3"/>
        <v>0</v>
      </c>
      <c r="AG69" s="8" t="s">
        <v>112</v>
      </c>
      <c r="AH69" s="8">
        <f t="shared" si="9"/>
        <v>0</v>
      </c>
      <c r="AI69" s="8" t="s">
        <v>119</v>
      </c>
      <c r="AJ69" s="8" t="s">
        <v>121</v>
      </c>
      <c r="AQ69" s="1">
        <v>512</v>
      </c>
    </row>
    <row r="70" spans="1:43" s="17" customFormat="1" x14ac:dyDescent="0.25">
      <c r="A70" s="1"/>
      <c r="B70" s="2" t="s">
        <v>87</v>
      </c>
      <c r="C70" s="2" t="s">
        <v>88</v>
      </c>
      <c r="D70" s="2" t="s">
        <v>72</v>
      </c>
      <c r="E70" s="2" t="s">
        <v>71</v>
      </c>
      <c r="F70" s="2">
        <v>4.1000000000000002E-2</v>
      </c>
      <c r="G70" s="2">
        <v>4.1000000000000002E-2</v>
      </c>
      <c r="H70" s="19">
        <v>128</v>
      </c>
      <c r="I70" s="2">
        <v>0</v>
      </c>
      <c r="J70" s="2"/>
      <c r="K70" s="2"/>
      <c r="L70" s="2"/>
      <c r="M70" s="2"/>
      <c r="N70" s="8">
        <f t="shared" ref="N70:N78" si="10">+H70+I70+J70+K70+L70+M70-SUM(O70:Y70)</f>
        <v>128</v>
      </c>
      <c r="O70" s="2"/>
      <c r="P70" s="19"/>
      <c r="Q70" s="19"/>
      <c r="R70" s="19"/>
      <c r="S70" s="19"/>
      <c r="T70" s="19"/>
      <c r="U70" s="19"/>
      <c r="V70" s="19"/>
      <c r="W70" s="19"/>
      <c r="X70" s="2"/>
      <c r="Y70" s="2"/>
      <c r="Z70" s="7">
        <f t="shared" ref="Z70:Z78" si="11">+G70*SUM(H70:M70)</f>
        <v>5.2480000000000002</v>
      </c>
      <c r="AA70" s="7">
        <v>288</v>
      </c>
      <c r="AB70" s="7">
        <v>0</v>
      </c>
      <c r="AC70" s="8">
        <f t="shared" ref="AC70:AC78" si="12">+H70*AB70</f>
        <v>0</v>
      </c>
      <c r="AD70" s="8">
        <v>1</v>
      </c>
      <c r="AE70" s="8">
        <f t="shared" ref="AE70:AE78" si="13">+H70*AD70</f>
        <v>128</v>
      </c>
      <c r="AF70" s="8">
        <f t="shared" si="3"/>
        <v>256</v>
      </c>
      <c r="AG70" s="8" t="s">
        <v>113</v>
      </c>
      <c r="AH70" s="8">
        <f t="shared" si="9"/>
        <v>128</v>
      </c>
      <c r="AI70" s="8" t="s">
        <v>119</v>
      </c>
      <c r="AJ70" s="8" t="s">
        <v>121</v>
      </c>
      <c r="AQ70" s="1">
        <v>0</v>
      </c>
    </row>
    <row r="71" spans="1:43" s="1" customFormat="1" x14ac:dyDescent="0.25">
      <c r="B71" s="2" t="s">
        <v>87</v>
      </c>
      <c r="C71" s="2" t="s">
        <v>88</v>
      </c>
      <c r="D71" s="2" t="s">
        <v>73</v>
      </c>
      <c r="E71" s="2" t="s">
        <v>71</v>
      </c>
      <c r="F71" s="2">
        <v>4.4999999999999998E-2</v>
      </c>
      <c r="G71" s="2">
        <v>4.4999999999999998E-2</v>
      </c>
      <c r="H71" s="19">
        <v>0</v>
      </c>
      <c r="I71" s="2">
        <v>0</v>
      </c>
      <c r="J71" s="2"/>
      <c r="K71" s="2"/>
      <c r="L71" s="2"/>
      <c r="M71" s="2"/>
      <c r="N71" s="8">
        <f t="shared" si="10"/>
        <v>-256</v>
      </c>
      <c r="O71" s="2">
        <v>256</v>
      </c>
      <c r="P71" s="19"/>
      <c r="Q71" s="19"/>
      <c r="R71" s="19"/>
      <c r="S71" s="19"/>
      <c r="T71" s="19"/>
      <c r="U71" s="19"/>
      <c r="V71" s="19"/>
      <c r="W71" s="2"/>
      <c r="X71" s="2"/>
      <c r="Y71" s="2"/>
      <c r="Z71" s="7">
        <f t="shared" si="11"/>
        <v>0</v>
      </c>
      <c r="AA71" s="7">
        <v>288</v>
      </c>
      <c r="AB71" s="7">
        <v>1</v>
      </c>
      <c r="AC71" s="8">
        <f t="shared" si="12"/>
        <v>0</v>
      </c>
      <c r="AD71" s="8">
        <v>0</v>
      </c>
      <c r="AE71" s="8">
        <f t="shared" si="13"/>
        <v>0</v>
      </c>
      <c r="AF71" s="8">
        <f t="shared" ref="AF71:AF78" si="14">+AE71*2</f>
        <v>0</v>
      </c>
      <c r="AG71" s="8" t="s">
        <v>112</v>
      </c>
      <c r="AH71" s="8">
        <f t="shared" si="9"/>
        <v>0</v>
      </c>
      <c r="AI71" s="8" t="s">
        <v>119</v>
      </c>
      <c r="AJ71" s="8" t="s">
        <v>121</v>
      </c>
      <c r="AQ71" s="1">
        <v>0</v>
      </c>
    </row>
    <row r="72" spans="1:43" s="17" customFormat="1" x14ac:dyDescent="0.25">
      <c r="A72" s="1"/>
      <c r="B72" s="2" t="s">
        <v>87</v>
      </c>
      <c r="C72" s="2" t="s">
        <v>88</v>
      </c>
      <c r="D72" s="2" t="s">
        <v>74</v>
      </c>
      <c r="E72" s="2" t="s">
        <v>71</v>
      </c>
      <c r="F72" s="2">
        <v>4.4999999999999998E-2</v>
      </c>
      <c r="G72" s="2">
        <v>4.4999999999999998E-2</v>
      </c>
      <c r="H72" s="19">
        <v>384</v>
      </c>
      <c r="I72" s="2">
        <v>0</v>
      </c>
      <c r="J72" s="2"/>
      <c r="K72" s="2"/>
      <c r="L72" s="2"/>
      <c r="M72" s="2"/>
      <c r="N72" s="8">
        <f t="shared" si="10"/>
        <v>-512</v>
      </c>
      <c r="O72" s="2"/>
      <c r="P72" s="19"/>
      <c r="Q72" s="19"/>
      <c r="R72" s="19"/>
      <c r="S72" s="19">
        <v>384</v>
      </c>
      <c r="T72" s="19"/>
      <c r="U72" s="19"/>
      <c r="V72" s="19"/>
      <c r="W72" s="2">
        <v>512</v>
      </c>
      <c r="X72" s="2"/>
      <c r="Y72" s="2"/>
      <c r="Z72" s="7">
        <f t="shared" si="11"/>
        <v>17.28</v>
      </c>
      <c r="AA72" s="7">
        <v>288</v>
      </c>
      <c r="AB72" s="7">
        <v>1</v>
      </c>
      <c r="AC72" s="8">
        <f t="shared" si="12"/>
        <v>384</v>
      </c>
      <c r="AD72" s="8">
        <v>0</v>
      </c>
      <c r="AE72" s="8">
        <f t="shared" si="13"/>
        <v>0</v>
      </c>
      <c r="AF72" s="8">
        <f t="shared" si="14"/>
        <v>0</v>
      </c>
      <c r="AG72" s="8" t="s">
        <v>114</v>
      </c>
      <c r="AH72" s="8">
        <f t="shared" si="9"/>
        <v>384</v>
      </c>
      <c r="AI72" s="8" t="s">
        <v>119</v>
      </c>
      <c r="AJ72" s="8" t="s">
        <v>121</v>
      </c>
      <c r="AQ72" s="1">
        <v>0</v>
      </c>
    </row>
    <row r="73" spans="1:43" s="17" customFormat="1" x14ac:dyDescent="0.25">
      <c r="A73" s="1"/>
      <c r="B73" s="2" t="s">
        <v>87</v>
      </c>
      <c r="C73" s="2" t="s">
        <v>88</v>
      </c>
      <c r="D73" s="2" t="s">
        <v>75</v>
      </c>
      <c r="E73" s="2" t="s">
        <v>71</v>
      </c>
      <c r="F73" s="2">
        <v>4.4999999999999998E-2</v>
      </c>
      <c r="G73" s="2">
        <v>4.4999999999999998E-2</v>
      </c>
      <c r="H73" s="19">
        <v>128</v>
      </c>
      <c r="I73" s="2">
        <v>0</v>
      </c>
      <c r="J73" s="2"/>
      <c r="K73" s="2"/>
      <c r="L73" s="2"/>
      <c r="M73" s="2"/>
      <c r="N73" s="8">
        <f t="shared" si="10"/>
        <v>0</v>
      </c>
      <c r="O73" s="2"/>
      <c r="P73" s="19"/>
      <c r="Q73" s="19"/>
      <c r="R73" s="19"/>
      <c r="S73" s="19"/>
      <c r="T73" s="19"/>
      <c r="U73" s="19"/>
      <c r="V73" s="19"/>
      <c r="W73" s="68"/>
      <c r="X73" s="2">
        <v>128</v>
      </c>
      <c r="Y73" s="2"/>
      <c r="Z73" s="7">
        <f t="shared" si="11"/>
        <v>5.76</v>
      </c>
      <c r="AA73" s="7">
        <v>288</v>
      </c>
      <c r="AB73" s="7">
        <v>1</v>
      </c>
      <c r="AC73" s="8">
        <f t="shared" si="12"/>
        <v>128</v>
      </c>
      <c r="AD73" s="8">
        <v>0</v>
      </c>
      <c r="AE73" s="8">
        <f t="shared" si="13"/>
        <v>0</v>
      </c>
      <c r="AF73" s="8">
        <f t="shared" si="14"/>
        <v>0</v>
      </c>
      <c r="AG73" s="8" t="s">
        <v>115</v>
      </c>
      <c r="AH73" s="8">
        <f t="shared" si="9"/>
        <v>128</v>
      </c>
      <c r="AI73" s="8" t="s">
        <v>119</v>
      </c>
      <c r="AJ73" s="8" t="s">
        <v>121</v>
      </c>
      <c r="AQ73" s="1">
        <v>0</v>
      </c>
    </row>
    <row r="74" spans="1:43" s="17" customFormat="1" x14ac:dyDescent="0.25">
      <c r="A74" s="1"/>
      <c r="B74" s="2" t="s">
        <v>87</v>
      </c>
      <c r="C74" s="2" t="s">
        <v>88</v>
      </c>
      <c r="D74" s="2" t="s">
        <v>76</v>
      </c>
      <c r="E74" s="2" t="s">
        <v>71</v>
      </c>
      <c r="F74" s="2">
        <v>4.4999999999999998E-2</v>
      </c>
      <c r="G74" s="2">
        <v>4.4999999999999998E-2</v>
      </c>
      <c r="H74" s="19">
        <v>128</v>
      </c>
      <c r="I74" s="40">
        <v>128</v>
      </c>
      <c r="J74" s="2"/>
      <c r="K74" s="2"/>
      <c r="L74" s="2"/>
      <c r="M74" s="2"/>
      <c r="N74" s="8">
        <f t="shared" si="10"/>
        <v>128</v>
      </c>
      <c r="O74" s="2"/>
      <c r="P74" s="19">
        <v>128</v>
      </c>
      <c r="Q74" s="19"/>
      <c r="R74" s="19"/>
      <c r="S74" s="19"/>
      <c r="T74" s="19"/>
      <c r="U74" s="19"/>
      <c r="V74" s="19"/>
      <c r="W74" s="19"/>
      <c r="X74" s="2"/>
      <c r="Y74" s="2"/>
      <c r="Z74" s="7">
        <f t="shared" si="11"/>
        <v>11.52</v>
      </c>
      <c r="AA74" s="7">
        <v>288</v>
      </c>
      <c r="AB74" s="7">
        <v>1</v>
      </c>
      <c r="AC74" s="8">
        <f t="shared" si="12"/>
        <v>128</v>
      </c>
      <c r="AD74" s="8">
        <v>0</v>
      </c>
      <c r="AE74" s="8">
        <f t="shared" si="13"/>
        <v>0</v>
      </c>
      <c r="AF74" s="8">
        <f t="shared" si="14"/>
        <v>0</v>
      </c>
      <c r="AG74" s="8" t="s">
        <v>115</v>
      </c>
      <c r="AH74" s="8">
        <f t="shared" si="9"/>
        <v>256</v>
      </c>
      <c r="AI74" s="8" t="s">
        <v>119</v>
      </c>
      <c r="AJ74" s="8" t="s">
        <v>121</v>
      </c>
      <c r="AQ74" s="1">
        <v>0</v>
      </c>
    </row>
    <row r="75" spans="1:43" s="17" customFormat="1" x14ac:dyDescent="0.25">
      <c r="A75" s="1"/>
      <c r="B75" s="2" t="s">
        <v>87</v>
      </c>
      <c r="C75" s="2" t="s">
        <v>88</v>
      </c>
      <c r="D75" s="2" t="s">
        <v>77</v>
      </c>
      <c r="E75" s="2" t="s">
        <v>71</v>
      </c>
      <c r="F75" s="2">
        <v>4.1000000000000002E-2</v>
      </c>
      <c r="G75" s="2">
        <v>4.1000000000000002E-2</v>
      </c>
      <c r="H75" s="19">
        <v>0</v>
      </c>
      <c r="I75" s="40">
        <v>256</v>
      </c>
      <c r="J75" s="2"/>
      <c r="K75" s="2"/>
      <c r="L75" s="2"/>
      <c r="M75" s="2"/>
      <c r="N75" s="8">
        <f t="shared" si="10"/>
        <v>0</v>
      </c>
      <c r="O75" s="2"/>
      <c r="P75" s="19">
        <v>128</v>
      </c>
      <c r="Q75" s="19"/>
      <c r="R75" s="19"/>
      <c r="S75" s="19"/>
      <c r="T75" s="19"/>
      <c r="U75" s="19"/>
      <c r="V75" s="19"/>
      <c r="W75" s="68"/>
      <c r="X75" s="2">
        <v>128</v>
      </c>
      <c r="Y75" s="2"/>
      <c r="Z75" s="7">
        <f t="shared" si="11"/>
        <v>10.496</v>
      </c>
      <c r="AA75" s="7">
        <v>288</v>
      </c>
      <c r="AB75" s="7">
        <v>0</v>
      </c>
      <c r="AC75" s="8">
        <f t="shared" si="12"/>
        <v>0</v>
      </c>
      <c r="AD75" s="8">
        <v>0</v>
      </c>
      <c r="AE75" s="8">
        <f t="shared" si="13"/>
        <v>0</v>
      </c>
      <c r="AF75" s="8">
        <f t="shared" si="14"/>
        <v>0</v>
      </c>
      <c r="AG75" s="8" t="s">
        <v>116</v>
      </c>
      <c r="AH75" s="8">
        <f t="shared" si="9"/>
        <v>256</v>
      </c>
      <c r="AI75" s="8" t="s">
        <v>119</v>
      </c>
      <c r="AJ75" s="8" t="s">
        <v>121</v>
      </c>
      <c r="AQ75" s="1">
        <v>0</v>
      </c>
    </row>
    <row r="76" spans="1:43" s="17" customFormat="1" x14ac:dyDescent="0.25">
      <c r="A76" s="1"/>
      <c r="B76" s="2" t="s">
        <v>87</v>
      </c>
      <c r="C76" s="2" t="s">
        <v>88</v>
      </c>
      <c r="D76" s="2" t="s">
        <v>78</v>
      </c>
      <c r="E76" s="2" t="s">
        <v>71</v>
      </c>
      <c r="F76" s="2">
        <v>4.4999999999999998E-2</v>
      </c>
      <c r="G76" s="2">
        <v>4.4999999999999998E-2</v>
      </c>
      <c r="H76" s="19">
        <v>1152</v>
      </c>
      <c r="I76" s="19">
        <v>167</v>
      </c>
      <c r="J76" s="2"/>
      <c r="K76" s="2"/>
      <c r="L76" s="2"/>
      <c r="M76" s="2"/>
      <c r="N76" s="8">
        <f t="shared" si="10"/>
        <v>640</v>
      </c>
      <c r="O76" s="2">
        <v>128</v>
      </c>
      <c r="P76" s="19"/>
      <c r="Q76" s="19"/>
      <c r="R76" s="19">
        <v>128</v>
      </c>
      <c r="S76" s="19"/>
      <c r="T76" s="19"/>
      <c r="U76" s="19"/>
      <c r="V76" s="19">
        <v>384</v>
      </c>
      <c r="W76" s="19"/>
      <c r="X76" s="2"/>
      <c r="Y76" s="69">
        <v>39</v>
      </c>
      <c r="Z76" s="7">
        <f t="shared" si="11"/>
        <v>59.354999999999997</v>
      </c>
      <c r="AA76" s="7">
        <v>288</v>
      </c>
      <c r="AB76" s="7">
        <v>1</v>
      </c>
      <c r="AC76" s="8">
        <f t="shared" si="12"/>
        <v>1152</v>
      </c>
      <c r="AD76" s="8">
        <v>0</v>
      </c>
      <c r="AE76" s="8">
        <f t="shared" si="13"/>
        <v>0</v>
      </c>
      <c r="AF76" s="8">
        <f t="shared" si="14"/>
        <v>0</v>
      </c>
      <c r="AG76" s="8" t="s">
        <v>112</v>
      </c>
      <c r="AH76" s="8">
        <f t="shared" si="9"/>
        <v>1319</v>
      </c>
      <c r="AI76" s="8" t="s">
        <v>119</v>
      </c>
      <c r="AJ76" s="8" t="s">
        <v>121</v>
      </c>
      <c r="AQ76" s="1">
        <v>128</v>
      </c>
    </row>
    <row r="77" spans="1:43" s="17" customFormat="1" x14ac:dyDescent="0.25">
      <c r="A77" s="1"/>
      <c r="B77" s="2" t="s">
        <v>87</v>
      </c>
      <c r="C77" s="2" t="s">
        <v>88</v>
      </c>
      <c r="D77" s="2" t="s">
        <v>79</v>
      </c>
      <c r="E77" s="2" t="s">
        <v>71</v>
      </c>
      <c r="F77" s="2">
        <v>4.1000000000000002E-2</v>
      </c>
      <c r="G77" s="2">
        <v>4.1000000000000002E-2</v>
      </c>
      <c r="H77" s="19">
        <v>0</v>
      </c>
      <c r="I77" s="40">
        <v>384</v>
      </c>
      <c r="J77" s="2"/>
      <c r="K77" s="2"/>
      <c r="L77" s="2"/>
      <c r="M77" s="2"/>
      <c r="N77" s="8">
        <f t="shared" si="10"/>
        <v>-128</v>
      </c>
      <c r="O77" s="2"/>
      <c r="P77" s="19"/>
      <c r="Q77" s="19"/>
      <c r="R77" s="19">
        <v>128</v>
      </c>
      <c r="S77" s="19">
        <v>128</v>
      </c>
      <c r="T77" s="19"/>
      <c r="U77" s="19"/>
      <c r="V77" s="19">
        <v>128</v>
      </c>
      <c r="W77" s="2"/>
      <c r="X77" s="2">
        <v>128</v>
      </c>
      <c r="Y77" s="2"/>
      <c r="Z77" s="7">
        <f t="shared" si="11"/>
        <v>15.744</v>
      </c>
      <c r="AA77" s="7">
        <v>288</v>
      </c>
      <c r="AB77" s="7">
        <v>0</v>
      </c>
      <c r="AC77" s="8">
        <f t="shared" si="12"/>
        <v>0</v>
      </c>
      <c r="AD77" s="8">
        <v>1</v>
      </c>
      <c r="AE77" s="8">
        <f t="shared" si="13"/>
        <v>0</v>
      </c>
      <c r="AF77" s="8">
        <f t="shared" si="14"/>
        <v>0</v>
      </c>
      <c r="AG77" s="8" t="s">
        <v>117</v>
      </c>
      <c r="AH77" s="8">
        <f t="shared" si="9"/>
        <v>384</v>
      </c>
      <c r="AI77" s="8" t="s">
        <v>119</v>
      </c>
      <c r="AJ77" s="8" t="s">
        <v>121</v>
      </c>
      <c r="AQ77" s="1">
        <v>0</v>
      </c>
    </row>
    <row r="78" spans="1:43" s="17" customFormat="1" x14ac:dyDescent="0.25">
      <c r="A78" s="1"/>
      <c r="B78" s="2" t="s">
        <v>87</v>
      </c>
      <c r="C78" s="2" t="s">
        <v>88</v>
      </c>
      <c r="D78" s="2" t="s">
        <v>80</v>
      </c>
      <c r="E78" s="2" t="s">
        <v>71</v>
      </c>
      <c r="F78" s="2">
        <v>4.4999999999999998E-2</v>
      </c>
      <c r="G78" s="2">
        <v>4.4999999999999998E-2</v>
      </c>
      <c r="H78" s="19">
        <v>384</v>
      </c>
      <c r="I78" s="2">
        <v>0</v>
      </c>
      <c r="J78" s="2"/>
      <c r="K78" s="2"/>
      <c r="L78" s="2"/>
      <c r="M78" s="2"/>
      <c r="N78" s="8">
        <f t="shared" si="10"/>
        <v>-128</v>
      </c>
      <c r="O78" s="2"/>
      <c r="P78" s="19"/>
      <c r="Q78" s="19"/>
      <c r="R78" s="19"/>
      <c r="S78" s="19"/>
      <c r="T78" s="19">
        <v>128</v>
      </c>
      <c r="U78" s="19">
        <v>256</v>
      </c>
      <c r="V78" s="19"/>
      <c r="W78" s="2">
        <v>128</v>
      </c>
      <c r="X78" s="2"/>
      <c r="Y78" s="2"/>
      <c r="Z78" s="7">
        <f t="shared" si="11"/>
        <v>17.28</v>
      </c>
      <c r="AA78" s="7">
        <v>288</v>
      </c>
      <c r="AB78" s="7">
        <v>1</v>
      </c>
      <c r="AC78" s="8">
        <f t="shared" si="12"/>
        <v>384</v>
      </c>
      <c r="AD78" s="8">
        <v>0</v>
      </c>
      <c r="AE78" s="8">
        <f t="shared" si="13"/>
        <v>0</v>
      </c>
      <c r="AF78" s="8">
        <f t="shared" si="14"/>
        <v>0</v>
      </c>
      <c r="AG78" s="8" t="s">
        <v>112</v>
      </c>
      <c r="AH78" s="8">
        <f t="shared" si="9"/>
        <v>384</v>
      </c>
      <c r="AI78" s="8" t="s">
        <v>119</v>
      </c>
      <c r="AJ78" s="8" t="s">
        <v>121</v>
      </c>
      <c r="AQ78" s="1">
        <v>0</v>
      </c>
    </row>
    <row r="79" spans="1:43" s="17" customFormat="1" x14ac:dyDescent="0.25">
      <c r="F79" s="1"/>
      <c r="G79" s="4" t="s">
        <v>102</v>
      </c>
      <c r="H79" s="20">
        <f>SUM(H6:H78)</f>
        <v>39460</v>
      </c>
      <c r="I79" s="9">
        <f>SUM(I6:I78)</f>
        <v>14849</v>
      </c>
      <c r="J79" s="9">
        <f>SUM(J6:J78)</f>
        <v>6100</v>
      </c>
      <c r="K79" s="9">
        <f t="shared" ref="K79:M79" si="15">SUM(K6:K78)</f>
        <v>0</v>
      </c>
      <c r="L79" s="9">
        <f t="shared" si="15"/>
        <v>0</v>
      </c>
      <c r="M79" s="9">
        <f t="shared" si="15"/>
        <v>0</v>
      </c>
      <c r="N79" s="13">
        <f>SUM(N6:N78)</f>
        <v>9137</v>
      </c>
      <c r="O79" s="9">
        <f t="shared" ref="O79:W79" si="16">SUM(O13:O78)</f>
        <v>3485</v>
      </c>
      <c r="P79" s="9">
        <f t="shared" si="16"/>
        <v>1188</v>
      </c>
      <c r="Q79" s="20">
        <f t="shared" si="16"/>
        <v>3416</v>
      </c>
      <c r="R79" s="20">
        <f t="shared" si="16"/>
        <v>2152</v>
      </c>
      <c r="S79" s="20">
        <f t="shared" si="16"/>
        <v>6221</v>
      </c>
      <c r="T79" s="20">
        <f t="shared" si="16"/>
        <v>3571</v>
      </c>
      <c r="U79" s="20">
        <f t="shared" si="16"/>
        <v>3074</v>
      </c>
      <c r="V79" s="20">
        <f t="shared" si="16"/>
        <v>1711</v>
      </c>
      <c r="W79" s="9">
        <f t="shared" si="16"/>
        <v>2147</v>
      </c>
      <c r="X79" s="9">
        <f>SUM(X13:X78)</f>
        <v>1572</v>
      </c>
      <c r="Y79" s="9">
        <f t="shared" ref="Y79:AF79" si="17">SUM(Y6:Y78)</f>
        <v>13551</v>
      </c>
      <c r="Z79" s="9">
        <f t="shared" si="17"/>
        <v>9018.6070000000054</v>
      </c>
      <c r="AA79" s="9"/>
      <c r="AB79" s="10">
        <f t="shared" si="17"/>
        <v>14</v>
      </c>
      <c r="AC79" s="11">
        <f t="shared" si="17"/>
        <v>5200</v>
      </c>
      <c r="AD79" s="11">
        <f t="shared" si="17"/>
        <v>2</v>
      </c>
      <c r="AE79" s="11">
        <f t="shared" si="17"/>
        <v>128</v>
      </c>
      <c r="AF79" s="11">
        <f t="shared" si="17"/>
        <v>256</v>
      </c>
      <c r="AG79" s="1"/>
      <c r="AH79" s="11">
        <f>SUM(AH6:AH78)</f>
        <v>7795</v>
      </c>
      <c r="AQ79" s="1"/>
    </row>
    <row r="80" spans="1:43" s="1" customFormat="1" x14ac:dyDescent="0.25">
      <c r="G80" s="4" t="s">
        <v>108</v>
      </c>
      <c r="H80" s="91">
        <f>+H79+I79+J79+K79+L79+M79</f>
        <v>60409</v>
      </c>
      <c r="I80" s="91"/>
      <c r="J80" s="91"/>
      <c r="K80" s="91"/>
      <c r="L80" s="91"/>
      <c r="M80" s="91"/>
      <c r="O80" s="108">
        <f>+O79+P79</f>
        <v>4673</v>
      </c>
      <c r="P80" s="86"/>
      <c r="Q80" s="108">
        <f>+Q79+R79</f>
        <v>5568</v>
      </c>
      <c r="R80" s="86"/>
      <c r="S80" s="108">
        <f>+S79+T79</f>
        <v>9792</v>
      </c>
      <c r="T80" s="86"/>
      <c r="U80" s="108">
        <f t="shared" ref="U80" si="18">+U79+V79</f>
        <v>4785</v>
      </c>
      <c r="V80" s="86"/>
      <c r="W80" s="108">
        <f>+W79+X79</f>
        <v>3719</v>
      </c>
      <c r="X80" s="86"/>
      <c r="Y80" s="12">
        <f>+Y79</f>
        <v>13551</v>
      </c>
    </row>
    <row r="81" spans="1:30" s="52" customFormat="1" x14ac:dyDescent="0.25">
      <c r="A81" s="17"/>
      <c r="B81" s="17"/>
      <c r="C81" s="17"/>
      <c r="D81" s="17"/>
      <c r="E81" s="17"/>
      <c r="F81" s="1"/>
      <c r="G81" s="17"/>
      <c r="H81" s="20">
        <f>SUM(H13:H78)</f>
        <v>39460</v>
      </c>
      <c r="I81" s="1">
        <f>SUM(I13:I78)</f>
        <v>2879</v>
      </c>
      <c r="J81" s="1">
        <f t="shared" ref="J81:M81" si="19">SUM(J13:J78)</f>
        <v>0</v>
      </c>
      <c r="K81" s="1">
        <f t="shared" si="19"/>
        <v>0</v>
      </c>
      <c r="L81" s="1">
        <f t="shared" si="19"/>
        <v>0</v>
      </c>
      <c r="M81" s="1">
        <f t="shared" si="19"/>
        <v>0</v>
      </c>
      <c r="N81" s="1"/>
      <c r="O81" s="123">
        <f>SUM(O6:P11)</f>
        <v>3834</v>
      </c>
      <c r="P81" s="123"/>
      <c r="Q81" s="123">
        <f>SUM(Q6:R11)</f>
        <v>0</v>
      </c>
      <c r="R81" s="123"/>
      <c r="S81" s="123">
        <f>SUM(S6:T11)</f>
        <v>3700</v>
      </c>
      <c r="T81" s="123"/>
      <c r="U81" s="112">
        <f>SUM(U6:V11)</f>
        <v>0</v>
      </c>
      <c r="V81" s="112"/>
      <c r="W81" s="123">
        <f>SUM(W6:X11)</f>
        <v>1650</v>
      </c>
      <c r="X81" s="123"/>
      <c r="AD81" s="1"/>
    </row>
    <row r="82" spans="1:30" s="17" customFormat="1" x14ac:dyDescent="0.25">
      <c r="F82" s="1"/>
      <c r="O82" s="123" t="s">
        <v>172</v>
      </c>
      <c r="P82" s="123"/>
      <c r="Q82" s="123"/>
      <c r="R82" s="123"/>
      <c r="S82" s="123"/>
      <c r="T82" s="123"/>
      <c r="U82" s="110"/>
      <c r="V82" s="123"/>
      <c r="W82" s="123"/>
      <c r="X82" s="123"/>
      <c r="AD82" s="1"/>
    </row>
    <row r="83" spans="1:30" s="17" customFormat="1" x14ac:dyDescent="0.25">
      <c r="C83" s="41" t="s">
        <v>143</v>
      </c>
      <c r="D83" s="41" t="s">
        <v>144</v>
      </c>
      <c r="E83" s="41" t="s">
        <v>145</v>
      </c>
      <c r="F83" s="1"/>
      <c r="G83" s="41" t="s">
        <v>163</v>
      </c>
      <c r="AD83" s="1"/>
    </row>
    <row r="84" spans="1:30" s="17" customFormat="1" x14ac:dyDescent="0.25">
      <c r="B84" s="4" t="s">
        <v>138</v>
      </c>
      <c r="C84" s="8">
        <v>42339</v>
      </c>
      <c r="D84" s="2">
        <f>+C84/5</f>
        <v>8467.7999999999993</v>
      </c>
      <c r="E84" s="2">
        <f>+D84/2</f>
        <v>4233.8999999999996</v>
      </c>
      <c r="F84" s="1"/>
      <c r="G84" s="53">
        <v>3500</v>
      </c>
      <c r="AD84" s="1"/>
    </row>
    <row r="85" spans="1:30" x14ac:dyDescent="0.25">
      <c r="B85" s="4" t="s">
        <v>142</v>
      </c>
      <c r="C85" s="8">
        <v>8983</v>
      </c>
    </row>
    <row r="86" spans="1:30" x14ac:dyDescent="0.25">
      <c r="B86" s="4" t="s">
        <v>139</v>
      </c>
      <c r="C86" s="2">
        <f>C84-C85</f>
        <v>33356</v>
      </c>
    </row>
    <row r="87" spans="1:30" x14ac:dyDescent="0.25">
      <c r="B87" s="4" t="s">
        <v>136</v>
      </c>
      <c r="C87" s="25">
        <f>+C86/C84</f>
        <v>0.78783155010746597</v>
      </c>
    </row>
    <row r="88" spans="1:30" x14ac:dyDescent="0.25">
      <c r="B88" s="4" t="s">
        <v>137</v>
      </c>
      <c r="C88" s="42">
        <f>+C85/C84</f>
        <v>0.21216844989253408</v>
      </c>
    </row>
    <row r="89" spans="1:30" x14ac:dyDescent="0.25">
      <c r="P89" s="119" t="s">
        <v>169</v>
      </c>
      <c r="Q89" s="119"/>
      <c r="R89" s="119"/>
      <c r="S89" s="119"/>
      <c r="T89" s="119"/>
      <c r="U89" s="120"/>
      <c r="V89" s="119"/>
      <c r="W89" s="119"/>
      <c r="X89" s="119"/>
      <c r="Y89" s="119"/>
      <c r="Z89" s="119"/>
      <c r="AA89" s="119"/>
      <c r="AB89" s="119"/>
    </row>
    <row r="90" spans="1:30" x14ac:dyDescent="0.25">
      <c r="A90" s="114" t="s">
        <v>171</v>
      </c>
      <c r="B90" s="114"/>
      <c r="C90" s="114"/>
      <c r="D90" s="114"/>
      <c r="E90" s="114"/>
      <c r="F90" s="115"/>
      <c r="G90" s="114"/>
      <c r="P90" s="64"/>
      <c r="Q90" s="65"/>
      <c r="R90" s="121">
        <v>46237</v>
      </c>
      <c r="S90" s="122"/>
      <c r="T90" s="121">
        <v>46238</v>
      </c>
      <c r="U90" s="124"/>
      <c r="V90" s="121">
        <v>46239</v>
      </c>
      <c r="W90" s="122"/>
      <c r="X90" s="121">
        <v>46240</v>
      </c>
      <c r="Y90" s="122"/>
      <c r="Z90" s="121">
        <v>46241</v>
      </c>
      <c r="AA90" s="122"/>
      <c r="AB90" s="66"/>
    </row>
    <row r="91" spans="1:30" x14ac:dyDescent="0.25">
      <c r="A91" s="86" t="s">
        <v>157</v>
      </c>
      <c r="B91" s="44">
        <v>46237</v>
      </c>
      <c r="C91" s="44">
        <v>46238</v>
      </c>
      <c r="D91" s="44">
        <v>46239</v>
      </c>
      <c r="E91" s="44">
        <v>46240</v>
      </c>
      <c r="F91" s="34">
        <v>46241</v>
      </c>
      <c r="G91" s="44">
        <v>46241</v>
      </c>
      <c r="P91" s="54"/>
      <c r="Q91" s="55"/>
      <c r="R91" s="46" t="s">
        <v>97</v>
      </c>
      <c r="S91" s="47" t="s">
        <v>98</v>
      </c>
      <c r="T91" s="46" t="s">
        <v>97</v>
      </c>
      <c r="U91" s="47" t="s">
        <v>98</v>
      </c>
      <c r="V91" s="46" t="s">
        <v>97</v>
      </c>
      <c r="W91" s="47" t="s">
        <v>98</v>
      </c>
      <c r="X91" s="46" t="s">
        <v>97</v>
      </c>
      <c r="Y91" s="47" t="s">
        <v>98</v>
      </c>
      <c r="Z91" s="46" t="s">
        <v>97</v>
      </c>
      <c r="AA91" s="47" t="s">
        <v>98</v>
      </c>
      <c r="AB91" s="56"/>
    </row>
    <row r="92" spans="1:30" x14ac:dyDescent="0.25">
      <c r="A92" s="86"/>
      <c r="B92" s="45" t="s">
        <v>148</v>
      </c>
      <c r="C92" s="4" t="s">
        <v>149</v>
      </c>
      <c r="D92" s="4" t="s">
        <v>150</v>
      </c>
      <c r="E92" s="4" t="s">
        <v>151</v>
      </c>
      <c r="F92" s="1" t="s">
        <v>152</v>
      </c>
      <c r="G92" s="4" t="s">
        <v>160</v>
      </c>
      <c r="P92" s="54"/>
      <c r="Q92" s="63" t="s">
        <v>170</v>
      </c>
      <c r="R92" s="45">
        <f>O79/E84</f>
        <v>0.82311816528496196</v>
      </c>
      <c r="S92" s="48">
        <f>P79/E84</f>
        <v>0.28059236165237728</v>
      </c>
      <c r="T92" s="48">
        <f>Q79/E84</f>
        <v>0.80682113417888945</v>
      </c>
      <c r="U92" s="48">
        <f>R79/E84</f>
        <v>0.50827841942417162</v>
      </c>
      <c r="V92" s="48">
        <f>S79/E84</f>
        <v>1.4693308769692248</v>
      </c>
      <c r="W92" s="67">
        <f>T79/E84</f>
        <v>0.84343040695339999</v>
      </c>
      <c r="X92" s="45">
        <f>U79/E84</f>
        <v>0.72604454521835671</v>
      </c>
      <c r="Y92" s="45">
        <f>V79/E84</f>
        <v>0.40411913365927399</v>
      </c>
      <c r="Z92" s="45">
        <f>W79/E84</f>
        <v>0.50709747514112291</v>
      </c>
      <c r="AA92" s="45">
        <f>X79/E84</f>
        <v>0.3712888825905194</v>
      </c>
      <c r="AB92" s="56"/>
    </row>
    <row r="93" spans="1:30" x14ac:dyDescent="0.25">
      <c r="A93" s="11" t="s">
        <v>153</v>
      </c>
      <c r="B93" s="35">
        <v>0.34</v>
      </c>
      <c r="C93" s="35">
        <v>0.48</v>
      </c>
      <c r="D93" s="35">
        <v>0.66</v>
      </c>
      <c r="E93" s="35">
        <v>0.74</v>
      </c>
      <c r="G93" s="35">
        <v>0.79</v>
      </c>
      <c r="P93" s="54"/>
      <c r="Q93" s="62" t="s">
        <v>168</v>
      </c>
      <c r="R93" s="116">
        <f>O81/$G$84</f>
        <v>1.0954285714285714</v>
      </c>
      <c r="S93" s="117"/>
      <c r="T93" s="116">
        <f>Q81/$G$84</f>
        <v>0</v>
      </c>
      <c r="U93" s="118"/>
      <c r="V93" s="116">
        <f>S81/$G$84</f>
        <v>1.0571428571428572</v>
      </c>
      <c r="W93" s="117"/>
      <c r="X93" s="116">
        <f>U81/$G$84</f>
        <v>0</v>
      </c>
      <c r="Y93" s="117"/>
      <c r="Z93" s="116">
        <f>W81/$G$84</f>
        <v>0.47142857142857142</v>
      </c>
      <c r="AA93" s="117"/>
      <c r="AB93" s="57"/>
    </row>
    <row r="94" spans="1:30" x14ac:dyDescent="0.25">
      <c r="A94" s="43" t="s">
        <v>154</v>
      </c>
      <c r="B94" s="35">
        <v>0.52</v>
      </c>
      <c r="C94" s="35">
        <v>0.52</v>
      </c>
      <c r="D94" s="35">
        <v>0.34</v>
      </c>
      <c r="E94" s="35">
        <v>0.26</v>
      </c>
      <c r="G94" s="35">
        <v>0.21</v>
      </c>
      <c r="P94" s="58"/>
      <c r="Q94" s="59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1"/>
    </row>
    <row r="95" spans="1:30" x14ac:dyDescent="0.25">
      <c r="A95" s="50"/>
      <c r="B95" s="110" t="s">
        <v>155</v>
      </c>
      <c r="C95" s="110"/>
      <c r="D95" s="110"/>
      <c r="E95" s="110"/>
      <c r="F95" s="113"/>
      <c r="G95" s="110"/>
    </row>
    <row r="98" spans="17:17" x14ac:dyDescent="0.25">
      <c r="Q98" s="17"/>
    </row>
  </sheetData>
  <autoFilter ref="B5:AJ80" xr:uid="{00000000-0009-0000-0000-000004000000}"/>
  <mergeCells count="34">
    <mergeCell ref="V93:W93"/>
    <mergeCell ref="X93:Y93"/>
    <mergeCell ref="Z93:AA93"/>
    <mergeCell ref="O81:P81"/>
    <mergeCell ref="Q81:R81"/>
    <mergeCell ref="S81:T81"/>
    <mergeCell ref="U81:V81"/>
    <mergeCell ref="W81:X81"/>
    <mergeCell ref="O82:X82"/>
    <mergeCell ref="T90:U90"/>
    <mergeCell ref="V90:W90"/>
    <mergeCell ref="X90:Y90"/>
    <mergeCell ref="Z90:AA90"/>
    <mergeCell ref="A91:A92"/>
    <mergeCell ref="B95:G95"/>
    <mergeCell ref="W4:X4"/>
    <mergeCell ref="H80:M80"/>
    <mergeCell ref="O80:P80"/>
    <mergeCell ref="Q80:R80"/>
    <mergeCell ref="S80:T80"/>
    <mergeCell ref="U80:V80"/>
    <mergeCell ref="W80:X80"/>
    <mergeCell ref="U4:V4"/>
    <mergeCell ref="I4:M4"/>
    <mergeCell ref="A90:G90"/>
    <mergeCell ref="R93:S93"/>
    <mergeCell ref="T93:U93"/>
    <mergeCell ref="P89:AB89"/>
    <mergeCell ref="R90:S90"/>
    <mergeCell ref="C2:D2"/>
    <mergeCell ref="B3:B4"/>
    <mergeCell ref="O4:P4"/>
    <mergeCell ref="Q4:R4"/>
    <mergeCell ref="S4:T4"/>
  </mergeCells>
  <phoneticPr fontId="9" type="noConversion"/>
  <conditionalFormatting sqref="R92:AA92">
    <cfRule type="cellIs" dxfId="35" priority="4" operator="between">
      <formula>1</formula>
      <formula>5</formula>
    </cfRule>
    <cfRule type="cellIs" dxfId="34" priority="5" operator="between">
      <formula>0.85</formula>
      <formula>0.99</formula>
    </cfRule>
    <cfRule type="cellIs" dxfId="33" priority="6" operator="between">
      <formula>0</formula>
      <formula>0.84</formula>
    </cfRule>
  </conditionalFormatting>
  <conditionalFormatting sqref="R93:AA93">
    <cfRule type="cellIs" dxfId="32" priority="1" operator="between">
      <formula>1</formula>
      <formula>9</formula>
    </cfRule>
    <cfRule type="cellIs" dxfId="31" priority="2" operator="between">
      <formula>0.85</formula>
      <formula>0.99</formula>
    </cfRule>
    <cfRule type="cellIs" dxfId="30" priority="3" operator="between">
      <formula>0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scale="43" orientation="landscape"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 filterMode="1">
    <pageSetUpPr fitToPage="1"/>
  </sheetPr>
  <dimension ref="A1:AR98"/>
  <sheetViews>
    <sheetView topLeftCell="A2" zoomScale="85" zoomScaleNormal="85" zoomScaleSheetLayoutView="100" workbookViewId="0">
      <pane xSplit="14" topLeftCell="S1" activePane="topRight" state="frozen"/>
      <selection pane="topRight" activeCell="X6" sqref="X6"/>
    </sheetView>
  </sheetViews>
  <sheetFormatPr baseColWidth="10" defaultColWidth="8.7109375" defaultRowHeight="15" x14ac:dyDescent="0.25"/>
  <cols>
    <col min="1" max="1" width="8.7109375" style="17"/>
    <col min="2" max="2" width="19" style="17" bestFit="1" customWidth="1"/>
    <col min="3" max="3" width="14.42578125" style="17" bestFit="1" customWidth="1"/>
    <col min="4" max="4" width="19.140625" style="17" customWidth="1"/>
    <col min="5" max="5" width="15.140625" style="17" bestFit="1" customWidth="1"/>
    <col min="6" max="6" width="17.7109375" style="1" hidden="1" customWidth="1"/>
    <col min="7" max="7" width="15.85546875" style="17" bestFit="1" customWidth="1"/>
    <col min="8" max="8" width="11.5703125" style="17" customWidth="1"/>
    <col min="9" max="9" width="9.5703125" style="17" bestFit="1" customWidth="1"/>
    <col min="10" max="10" width="9.5703125" style="17" hidden="1" customWidth="1"/>
    <col min="11" max="12" width="8.85546875" style="17" hidden="1" customWidth="1"/>
    <col min="13" max="13" width="5.140625" style="17" hidden="1" customWidth="1"/>
    <col min="14" max="14" width="10.140625" style="17" bestFit="1" customWidth="1"/>
    <col min="15" max="16" width="9.140625" style="49" bestFit="1" customWidth="1"/>
    <col min="17" max="27" width="8.7109375" style="49"/>
    <col min="28" max="28" width="8.7109375" style="49" customWidth="1"/>
    <col min="29" max="29" width="8.7109375" style="49"/>
    <col min="30" max="30" width="0" style="1" hidden="1" customWidth="1"/>
    <col min="31" max="32" width="8.7109375" style="49"/>
    <col min="33" max="33" width="10" style="49" bestFit="1" customWidth="1"/>
    <col min="34" max="34" width="10" style="49" customWidth="1"/>
    <col min="35" max="35" width="13" style="49" bestFit="1" customWidth="1"/>
    <col min="36" max="36" width="11.5703125" style="49" bestFit="1" customWidth="1"/>
    <col min="37" max="37" width="8.7109375" style="49"/>
    <col min="38" max="38" width="12.85546875" style="49" customWidth="1"/>
    <col min="39" max="39" width="16.5703125" style="49" customWidth="1"/>
    <col min="40" max="16384" width="8.7109375" style="49"/>
  </cols>
  <sheetData>
    <row r="1" spans="1:44" s="17" customFormat="1" x14ac:dyDescent="0.25">
      <c r="A1" s="1"/>
      <c r="B1" s="1"/>
      <c r="C1" s="1"/>
      <c r="D1" s="1"/>
      <c r="E1" s="1"/>
      <c r="F1" s="1"/>
      <c r="G1" s="1"/>
      <c r="I1" s="1"/>
      <c r="J1" s="1"/>
      <c r="K1" s="1"/>
      <c r="L1" s="1"/>
      <c r="M1" s="1"/>
      <c r="N1" s="1"/>
      <c r="AD1" s="1"/>
    </row>
    <row r="2" spans="1:44" s="17" customFormat="1" x14ac:dyDescent="0.25">
      <c r="A2" s="1"/>
      <c r="B2" s="4" t="s">
        <v>99</v>
      </c>
      <c r="C2" s="88" t="s">
        <v>100</v>
      </c>
      <c r="D2" s="88"/>
      <c r="E2" s="1"/>
      <c r="F2" s="1"/>
      <c r="G2" s="1"/>
      <c r="I2" s="1"/>
      <c r="J2" s="1"/>
      <c r="K2" s="1"/>
      <c r="L2" s="1"/>
      <c r="M2" s="1"/>
      <c r="N2" s="1"/>
      <c r="AD2" s="1"/>
    </row>
    <row r="3" spans="1:44" s="17" customFormat="1" x14ac:dyDescent="0.25">
      <c r="A3" s="1"/>
      <c r="B3" s="89">
        <f ca="1">TODAY()</f>
        <v>46309</v>
      </c>
      <c r="C3" s="4" t="s">
        <v>97</v>
      </c>
      <c r="D3" s="2" t="s">
        <v>127</v>
      </c>
      <c r="E3" s="1"/>
      <c r="F3" s="1"/>
      <c r="G3" s="1"/>
      <c r="H3" s="18" t="s">
        <v>84</v>
      </c>
      <c r="I3" s="1"/>
      <c r="J3" s="1"/>
      <c r="K3" s="1"/>
      <c r="L3" s="1"/>
      <c r="M3" s="1"/>
      <c r="N3" s="1"/>
      <c r="AD3" s="1"/>
    </row>
    <row r="4" spans="1:44" s="1" customFormat="1" x14ac:dyDescent="0.25">
      <c r="B4" s="89"/>
      <c r="C4" s="4" t="s">
        <v>98</v>
      </c>
      <c r="D4" s="2"/>
      <c r="H4" s="18" t="s">
        <v>85</v>
      </c>
      <c r="I4" s="90" t="s">
        <v>146</v>
      </c>
      <c r="J4" s="90"/>
      <c r="K4" s="90"/>
      <c r="L4" s="90"/>
      <c r="M4" s="90"/>
      <c r="O4" s="87">
        <v>46244</v>
      </c>
      <c r="P4" s="87"/>
      <c r="Q4" s="87">
        <v>46245</v>
      </c>
      <c r="R4" s="87"/>
      <c r="S4" s="87">
        <v>46246</v>
      </c>
      <c r="T4" s="87"/>
      <c r="U4" s="87">
        <v>46247</v>
      </c>
      <c r="V4" s="87"/>
      <c r="W4" s="87">
        <v>46248</v>
      </c>
      <c r="X4" s="87"/>
      <c r="Y4" s="6" t="s">
        <v>92</v>
      </c>
      <c r="Z4" s="17"/>
      <c r="AA4" s="17"/>
      <c r="AB4" s="17"/>
      <c r="AC4" s="17"/>
      <c r="AE4" s="17"/>
      <c r="AF4" s="17"/>
      <c r="AG4" s="17"/>
      <c r="AH4" s="17"/>
      <c r="AI4" s="17"/>
      <c r="AJ4" s="17"/>
      <c r="AK4" s="17"/>
      <c r="AL4" s="17"/>
      <c r="AM4" s="17"/>
      <c r="AO4" s="17"/>
      <c r="AP4" s="17"/>
      <c r="AQ4" s="17"/>
      <c r="AR4" s="17"/>
    </row>
    <row r="5" spans="1:44" s="1" customFormat="1" x14ac:dyDescent="0.25">
      <c r="B5" s="4" t="s">
        <v>0</v>
      </c>
      <c r="C5" s="4" t="s">
        <v>86</v>
      </c>
      <c r="D5" s="4" t="s">
        <v>89</v>
      </c>
      <c r="E5" s="4" t="s">
        <v>81</v>
      </c>
      <c r="F5" s="4" t="s">
        <v>82</v>
      </c>
      <c r="G5" s="4" t="s">
        <v>83</v>
      </c>
      <c r="H5" s="11">
        <v>33</v>
      </c>
      <c r="I5" s="4" t="s">
        <v>162</v>
      </c>
      <c r="J5" s="4" t="s">
        <v>91</v>
      </c>
      <c r="K5" s="4" t="s">
        <v>93</v>
      </c>
      <c r="L5" s="4" t="s">
        <v>94</v>
      </c>
      <c r="M5" s="4"/>
      <c r="N5" s="4" t="s">
        <v>96</v>
      </c>
      <c r="O5" s="4" t="s">
        <v>97</v>
      </c>
      <c r="P5" s="18" t="s">
        <v>98</v>
      </c>
      <c r="Q5" s="18" t="s">
        <v>97</v>
      </c>
      <c r="R5" s="18" t="s">
        <v>98</v>
      </c>
      <c r="S5" s="18" t="s">
        <v>97</v>
      </c>
      <c r="T5" s="18" t="s">
        <v>98</v>
      </c>
      <c r="U5" s="18" t="s">
        <v>97</v>
      </c>
      <c r="V5" s="18" t="s">
        <v>98</v>
      </c>
      <c r="W5" s="4" t="s">
        <v>97</v>
      </c>
      <c r="X5" s="4" t="s">
        <v>98</v>
      </c>
      <c r="Y5" s="4" t="s">
        <v>104</v>
      </c>
      <c r="Z5" s="4" t="s">
        <v>90</v>
      </c>
      <c r="AA5" s="4" t="s">
        <v>126</v>
      </c>
      <c r="AB5" s="4" t="s">
        <v>105</v>
      </c>
      <c r="AC5" s="4" t="s">
        <v>105</v>
      </c>
      <c r="AD5" s="4" t="s">
        <v>106</v>
      </c>
      <c r="AE5" s="4" t="s">
        <v>106</v>
      </c>
      <c r="AF5" s="4" t="s">
        <v>107</v>
      </c>
      <c r="AG5" s="4" t="s">
        <v>109</v>
      </c>
      <c r="AH5" s="4" t="s">
        <v>122</v>
      </c>
      <c r="AI5" s="4" t="s">
        <v>118</v>
      </c>
      <c r="AJ5" s="4" t="s">
        <v>120</v>
      </c>
      <c r="AK5" s="17"/>
      <c r="AL5" s="15" t="s">
        <v>123</v>
      </c>
      <c r="AM5" s="15" t="s">
        <v>125</v>
      </c>
      <c r="AN5" s="28"/>
      <c r="AO5" s="17"/>
      <c r="AP5" s="17"/>
      <c r="AQ5" s="17"/>
      <c r="AR5" s="17"/>
    </row>
    <row r="6" spans="1:44" s="17" customFormat="1" x14ac:dyDescent="0.25">
      <c r="A6" s="1"/>
      <c r="B6" s="40" t="s">
        <v>87</v>
      </c>
      <c r="C6" s="40" t="s">
        <v>88</v>
      </c>
      <c r="D6" s="40" t="s">
        <v>1</v>
      </c>
      <c r="E6" s="40" t="s">
        <v>2</v>
      </c>
      <c r="F6" s="40">
        <v>0.42</v>
      </c>
      <c r="G6" s="40">
        <v>0.42</v>
      </c>
      <c r="H6" s="40">
        <v>4000</v>
      </c>
      <c r="I6" s="40">
        <v>3365</v>
      </c>
      <c r="J6" s="40"/>
      <c r="K6" s="40"/>
      <c r="L6" s="40"/>
      <c r="M6" s="40"/>
      <c r="N6" s="8">
        <f>+H6+I6+J6+K6+L6+M6-SUM(O6:Y6)</f>
        <v>4865</v>
      </c>
      <c r="O6" s="40">
        <v>500</v>
      </c>
      <c r="P6" s="40"/>
      <c r="Q6" s="40"/>
      <c r="R6" s="40"/>
      <c r="S6" s="40"/>
      <c r="T6" s="40"/>
      <c r="U6" s="40"/>
      <c r="V6" s="40">
        <v>1000</v>
      </c>
      <c r="W6" s="40"/>
      <c r="X6" s="40">
        <v>1000</v>
      </c>
      <c r="Y6" s="40"/>
      <c r="Z6" s="7">
        <f t="shared" ref="Z6:Z69" si="0">+G6*SUM(H6:M6)</f>
        <v>3093.2999999999997</v>
      </c>
      <c r="AA6" s="7">
        <v>1000</v>
      </c>
      <c r="AB6" s="7">
        <v>0</v>
      </c>
      <c r="AC6" s="8">
        <f t="shared" ref="AC6:AC69" si="1">+H6*AB6</f>
        <v>0</v>
      </c>
      <c r="AD6" s="8">
        <v>0</v>
      </c>
      <c r="AE6" s="8">
        <f t="shared" ref="AE6:AE69" si="2">+H6*AD6</f>
        <v>0</v>
      </c>
      <c r="AF6" s="8">
        <f>+AE6*2</f>
        <v>0</v>
      </c>
      <c r="AG6" s="8">
        <v>0</v>
      </c>
      <c r="AH6" s="8">
        <v>0</v>
      </c>
      <c r="AI6" s="8" t="s">
        <v>119</v>
      </c>
      <c r="AJ6" s="8" t="s">
        <v>121</v>
      </c>
      <c r="AL6" s="14">
        <v>0</v>
      </c>
      <c r="AM6" s="15">
        <v>0</v>
      </c>
      <c r="AN6" s="28"/>
      <c r="AQ6" s="1">
        <v>5600</v>
      </c>
    </row>
    <row r="7" spans="1:44" s="17" customFormat="1" x14ac:dyDescent="0.25">
      <c r="A7" s="1"/>
      <c r="B7" s="40" t="s">
        <v>87</v>
      </c>
      <c r="C7" s="40" t="s">
        <v>88</v>
      </c>
      <c r="D7" s="40" t="s">
        <v>3</v>
      </c>
      <c r="E7" s="40" t="s">
        <v>2</v>
      </c>
      <c r="F7" s="40">
        <v>0.42</v>
      </c>
      <c r="G7" s="40">
        <v>0.42</v>
      </c>
      <c r="H7" s="40">
        <v>2500</v>
      </c>
      <c r="I7" s="40">
        <v>3576</v>
      </c>
      <c r="J7" s="40"/>
      <c r="K7" s="40"/>
      <c r="L7" s="40"/>
      <c r="M7" s="40"/>
      <c r="N7" s="8">
        <f t="shared" ref="N7:N70" si="3">+H7+I7+J7+K7+L7+M7-SUM(O7:Y7)</f>
        <v>2576</v>
      </c>
      <c r="O7" s="40">
        <v>1500</v>
      </c>
      <c r="P7" s="40"/>
      <c r="Q7" s="40"/>
      <c r="R7" s="40"/>
      <c r="S7" s="40"/>
      <c r="T7" s="40"/>
      <c r="U7" s="40"/>
      <c r="V7" s="40">
        <v>1000</v>
      </c>
      <c r="W7" s="40"/>
      <c r="X7" s="40">
        <v>1000</v>
      </c>
      <c r="Y7" s="40"/>
      <c r="Z7" s="7">
        <f t="shared" si="0"/>
        <v>2551.92</v>
      </c>
      <c r="AA7" s="7">
        <v>1000</v>
      </c>
      <c r="AB7" s="7">
        <v>0</v>
      </c>
      <c r="AC7" s="8">
        <f t="shared" si="1"/>
        <v>0</v>
      </c>
      <c r="AD7" s="8">
        <v>0</v>
      </c>
      <c r="AE7" s="8">
        <f t="shared" si="2"/>
        <v>0</v>
      </c>
      <c r="AF7" s="8">
        <f t="shared" ref="AF7:AF70" si="4">+AE7*2</f>
        <v>0</v>
      </c>
      <c r="AG7" s="8">
        <v>0</v>
      </c>
      <c r="AH7" s="8">
        <v>0</v>
      </c>
      <c r="AI7" s="8" t="s">
        <v>119</v>
      </c>
      <c r="AJ7" s="8" t="s">
        <v>121</v>
      </c>
      <c r="AL7" s="14" t="s">
        <v>117</v>
      </c>
      <c r="AM7" s="15">
        <v>128</v>
      </c>
      <c r="AN7" s="28"/>
      <c r="AQ7" s="1">
        <v>4338</v>
      </c>
    </row>
    <row r="8" spans="1:44" s="17" customFormat="1" x14ac:dyDescent="0.25">
      <c r="A8" s="1"/>
      <c r="B8" s="40" t="s">
        <v>87</v>
      </c>
      <c r="C8" s="40" t="s">
        <v>88</v>
      </c>
      <c r="D8" s="40" t="s">
        <v>4</v>
      </c>
      <c r="E8" s="40" t="s">
        <v>2</v>
      </c>
      <c r="F8" s="40">
        <v>0.42</v>
      </c>
      <c r="G8" s="40">
        <v>0.42</v>
      </c>
      <c r="H8" s="40"/>
      <c r="I8" s="40">
        <v>472</v>
      </c>
      <c r="J8" s="40"/>
      <c r="K8" s="40"/>
      <c r="L8" s="40"/>
      <c r="M8" s="40"/>
      <c r="N8" s="8">
        <f t="shared" si="3"/>
        <v>472</v>
      </c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7">
        <f t="shared" si="0"/>
        <v>198.23999999999998</v>
      </c>
      <c r="AA8" s="7">
        <v>1000</v>
      </c>
      <c r="AB8" s="7">
        <v>0</v>
      </c>
      <c r="AC8" s="8">
        <f t="shared" si="1"/>
        <v>0</v>
      </c>
      <c r="AD8" s="8">
        <v>0</v>
      </c>
      <c r="AE8" s="8">
        <f t="shared" si="2"/>
        <v>0</v>
      </c>
      <c r="AF8" s="8">
        <f t="shared" si="4"/>
        <v>0</v>
      </c>
      <c r="AG8" s="8">
        <v>0</v>
      </c>
      <c r="AH8" s="8">
        <v>0</v>
      </c>
      <c r="AI8" s="8" t="s">
        <v>119</v>
      </c>
      <c r="AJ8" s="8" t="s">
        <v>121</v>
      </c>
      <c r="AL8" s="14" t="s">
        <v>113</v>
      </c>
      <c r="AM8" s="15">
        <v>0</v>
      </c>
      <c r="AN8" s="28"/>
      <c r="AQ8" s="1">
        <v>1300</v>
      </c>
    </row>
    <row r="9" spans="1:44" s="17" customFormat="1" x14ac:dyDescent="0.25">
      <c r="A9" s="1"/>
      <c r="B9" s="40" t="s">
        <v>87</v>
      </c>
      <c r="C9" s="40" t="s">
        <v>88</v>
      </c>
      <c r="D9" s="40" t="s">
        <v>5</v>
      </c>
      <c r="E9" s="40" t="s">
        <v>2</v>
      </c>
      <c r="F9" s="40">
        <v>0.42</v>
      </c>
      <c r="G9" s="40">
        <v>0.42</v>
      </c>
      <c r="H9" s="40">
        <v>500</v>
      </c>
      <c r="I9" s="40">
        <v>200</v>
      </c>
      <c r="J9" s="40"/>
      <c r="K9" s="40"/>
      <c r="L9" s="40"/>
      <c r="M9" s="40"/>
      <c r="N9" s="8">
        <f t="shared" si="3"/>
        <v>700</v>
      </c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7">
        <f t="shared" si="0"/>
        <v>294</v>
      </c>
      <c r="AA9" s="7">
        <v>1000</v>
      </c>
      <c r="AB9" s="7">
        <v>0</v>
      </c>
      <c r="AC9" s="8">
        <f t="shared" si="1"/>
        <v>0</v>
      </c>
      <c r="AD9" s="8">
        <v>0</v>
      </c>
      <c r="AE9" s="8">
        <f t="shared" si="2"/>
        <v>0</v>
      </c>
      <c r="AF9" s="8">
        <f t="shared" si="4"/>
        <v>0</v>
      </c>
      <c r="AG9" s="8">
        <v>0</v>
      </c>
      <c r="AH9" s="8">
        <v>0</v>
      </c>
      <c r="AI9" s="8" t="s">
        <v>119</v>
      </c>
      <c r="AJ9" s="8" t="s">
        <v>121</v>
      </c>
      <c r="AL9" s="14" t="s">
        <v>110</v>
      </c>
      <c r="AM9" s="15">
        <v>864</v>
      </c>
      <c r="AN9" s="28"/>
      <c r="AQ9" s="1">
        <v>0</v>
      </c>
    </row>
    <row r="10" spans="1:44" s="17" customFormat="1" x14ac:dyDescent="0.25">
      <c r="A10" s="1"/>
      <c r="B10" s="40" t="s">
        <v>87</v>
      </c>
      <c r="C10" s="40" t="s">
        <v>88</v>
      </c>
      <c r="D10" s="40" t="s">
        <v>6</v>
      </c>
      <c r="E10" s="40" t="s">
        <v>2</v>
      </c>
      <c r="F10" s="40">
        <v>0.42</v>
      </c>
      <c r="G10" s="40">
        <v>0.42</v>
      </c>
      <c r="H10" s="40"/>
      <c r="I10" s="40">
        <v>700</v>
      </c>
      <c r="J10" s="40"/>
      <c r="K10" s="40"/>
      <c r="L10" s="40"/>
      <c r="M10" s="40"/>
      <c r="N10" s="8">
        <f t="shared" si="3"/>
        <v>700</v>
      </c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7">
        <f t="shared" si="0"/>
        <v>294</v>
      </c>
      <c r="AA10" s="7">
        <v>1000</v>
      </c>
      <c r="AB10" s="7">
        <v>0</v>
      </c>
      <c r="AC10" s="8">
        <f t="shared" si="1"/>
        <v>0</v>
      </c>
      <c r="AD10" s="8">
        <v>0</v>
      </c>
      <c r="AE10" s="8">
        <f t="shared" si="2"/>
        <v>0</v>
      </c>
      <c r="AF10" s="8">
        <f t="shared" si="4"/>
        <v>0</v>
      </c>
      <c r="AG10" s="8">
        <v>0</v>
      </c>
      <c r="AH10" s="8">
        <v>0</v>
      </c>
      <c r="AI10" s="8" t="s">
        <v>119</v>
      </c>
      <c r="AJ10" s="8" t="s">
        <v>121</v>
      </c>
      <c r="AL10" s="14" t="s">
        <v>116</v>
      </c>
      <c r="AM10" s="15">
        <v>0</v>
      </c>
      <c r="AN10" s="28"/>
      <c r="AQ10" s="1">
        <v>1000</v>
      </c>
    </row>
    <row r="11" spans="1:44" s="17" customFormat="1" x14ac:dyDescent="0.25">
      <c r="A11" s="1"/>
      <c r="B11" s="40" t="s">
        <v>87</v>
      </c>
      <c r="C11" s="40" t="s">
        <v>88</v>
      </c>
      <c r="D11" s="40" t="s">
        <v>7</v>
      </c>
      <c r="E11" s="40" t="s">
        <v>2</v>
      </c>
      <c r="F11" s="40">
        <v>0.42</v>
      </c>
      <c r="G11" s="40">
        <v>0.42</v>
      </c>
      <c r="H11" s="40">
        <v>1000</v>
      </c>
      <c r="I11" s="40">
        <v>573</v>
      </c>
      <c r="J11" s="40"/>
      <c r="K11" s="40"/>
      <c r="L11" s="40"/>
      <c r="M11" s="40"/>
      <c r="N11" s="8">
        <f t="shared" si="3"/>
        <v>473</v>
      </c>
      <c r="O11" s="40"/>
      <c r="P11" s="40"/>
      <c r="Q11" s="40"/>
      <c r="R11" s="40"/>
      <c r="S11" s="40"/>
      <c r="T11" s="40"/>
      <c r="U11" s="40"/>
      <c r="V11" s="40">
        <v>100</v>
      </c>
      <c r="W11" s="40"/>
      <c r="X11" s="40">
        <v>1000</v>
      </c>
      <c r="Y11" s="40"/>
      <c r="Z11" s="7">
        <f t="shared" si="0"/>
        <v>660.66</v>
      </c>
      <c r="AA11" s="7">
        <v>1000</v>
      </c>
      <c r="AB11" s="7">
        <v>0</v>
      </c>
      <c r="AC11" s="8">
        <f t="shared" si="1"/>
        <v>0</v>
      </c>
      <c r="AD11" s="8">
        <v>0</v>
      </c>
      <c r="AE11" s="8">
        <f t="shared" si="2"/>
        <v>0</v>
      </c>
      <c r="AF11" s="8">
        <f t="shared" si="4"/>
        <v>0</v>
      </c>
      <c r="AG11" s="8">
        <v>0</v>
      </c>
      <c r="AH11" s="8">
        <v>0</v>
      </c>
      <c r="AI11" s="8" t="s">
        <v>119</v>
      </c>
      <c r="AJ11" s="8" t="s">
        <v>121</v>
      </c>
      <c r="AL11" s="14" t="s">
        <v>111</v>
      </c>
      <c r="AM11" s="15">
        <v>7704</v>
      </c>
      <c r="AN11" s="28"/>
      <c r="AQ11" s="1">
        <v>1707</v>
      </c>
    </row>
    <row r="12" spans="1:44" s="1" customFormat="1" hidden="1" x14ac:dyDescent="0.25">
      <c r="B12" s="40" t="s">
        <v>87</v>
      </c>
      <c r="C12" s="40" t="s">
        <v>88</v>
      </c>
      <c r="D12" s="40" t="s">
        <v>8</v>
      </c>
      <c r="E12" s="40" t="s">
        <v>2</v>
      </c>
      <c r="F12" s="40">
        <v>0.42</v>
      </c>
      <c r="G12" s="40">
        <v>0.42</v>
      </c>
      <c r="H12" s="40"/>
      <c r="I12" s="40">
        <v>0</v>
      </c>
      <c r="J12" s="40"/>
      <c r="K12" s="40"/>
      <c r="L12" s="40"/>
      <c r="M12" s="40"/>
      <c r="N12" s="8">
        <f t="shared" si="3"/>
        <v>0</v>
      </c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7">
        <f t="shared" si="0"/>
        <v>0</v>
      </c>
      <c r="AA12" s="7">
        <v>1000</v>
      </c>
      <c r="AB12" s="7">
        <v>0</v>
      </c>
      <c r="AC12" s="8">
        <f t="shared" si="1"/>
        <v>0</v>
      </c>
      <c r="AD12" s="8">
        <v>0</v>
      </c>
      <c r="AE12" s="8">
        <f t="shared" si="2"/>
        <v>0</v>
      </c>
      <c r="AF12" s="8">
        <f t="shared" si="4"/>
        <v>0</v>
      </c>
      <c r="AG12" s="8">
        <v>0</v>
      </c>
      <c r="AH12" s="8">
        <v>0</v>
      </c>
      <c r="AI12" s="8" t="s">
        <v>119</v>
      </c>
      <c r="AJ12" s="8" t="s">
        <v>121</v>
      </c>
      <c r="AL12" s="14" t="s">
        <v>112</v>
      </c>
      <c r="AM12" s="15">
        <v>3840</v>
      </c>
      <c r="AN12"/>
      <c r="AQ12" s="1">
        <v>0</v>
      </c>
    </row>
    <row r="13" spans="1:44" s="17" customFormat="1" hidden="1" x14ac:dyDescent="0.25">
      <c r="A13" s="1"/>
      <c r="B13" s="2" t="s">
        <v>87</v>
      </c>
      <c r="C13" s="2" t="s">
        <v>88</v>
      </c>
      <c r="D13" s="2" t="s">
        <v>9</v>
      </c>
      <c r="E13" s="2" t="s">
        <v>10</v>
      </c>
      <c r="F13" s="2" t="s">
        <v>147</v>
      </c>
      <c r="G13" s="2">
        <v>2.8000000000000001E-2</v>
      </c>
      <c r="H13" s="40">
        <f>VLOOKUP(D13,'[2]programa producción LENNOX Cu'!$B$11:$L$63,2,0)</f>
        <v>800</v>
      </c>
      <c r="I13" s="40">
        <v>0</v>
      </c>
      <c r="J13" s="2"/>
      <c r="K13" s="2"/>
      <c r="L13" s="2"/>
      <c r="M13" s="2"/>
      <c r="N13" s="8">
        <f t="shared" si="3"/>
        <v>0</v>
      </c>
      <c r="O13" s="2"/>
      <c r="P13" s="19"/>
      <c r="Q13" s="19"/>
      <c r="R13" s="19"/>
      <c r="S13" s="19"/>
      <c r="T13" s="19"/>
      <c r="U13" s="19"/>
      <c r="V13" s="19">
        <v>800</v>
      </c>
      <c r="W13" s="2"/>
      <c r="X13" s="2"/>
      <c r="Y13" s="2"/>
      <c r="Z13" s="7">
        <f t="shared" si="0"/>
        <v>22.400000000000002</v>
      </c>
      <c r="AA13" s="7">
        <v>1000</v>
      </c>
      <c r="AB13" s="7">
        <v>0</v>
      </c>
      <c r="AC13" s="8">
        <f t="shared" si="1"/>
        <v>0</v>
      </c>
      <c r="AD13" s="8">
        <v>0</v>
      </c>
      <c r="AE13" s="8">
        <f t="shared" si="2"/>
        <v>0</v>
      </c>
      <c r="AF13" s="8">
        <f t="shared" si="4"/>
        <v>0</v>
      </c>
      <c r="AG13" s="8">
        <v>0</v>
      </c>
      <c r="AH13" s="8">
        <v>0</v>
      </c>
      <c r="AI13" s="8" t="s">
        <v>119</v>
      </c>
      <c r="AJ13" s="8" t="s">
        <v>121</v>
      </c>
      <c r="AL13" s="14" t="s">
        <v>114</v>
      </c>
      <c r="AM13" s="15">
        <v>1280</v>
      </c>
      <c r="AN13" s="28"/>
      <c r="AQ13" s="1">
        <v>-3900</v>
      </c>
    </row>
    <row r="14" spans="1:44" s="1" customFormat="1" hidden="1" x14ac:dyDescent="0.25">
      <c r="B14" s="2" t="s">
        <v>87</v>
      </c>
      <c r="C14" s="2" t="s">
        <v>88</v>
      </c>
      <c r="D14" s="2" t="s">
        <v>11</v>
      </c>
      <c r="E14" s="2" t="s">
        <v>10</v>
      </c>
      <c r="F14" s="2">
        <v>2.8000000000000001E-2</v>
      </c>
      <c r="G14" s="2">
        <v>2.8000000000000001E-2</v>
      </c>
      <c r="H14" s="40">
        <f>VLOOKUP(D14,'[2]programa producción LENNOX Cu'!$B$11:$L$63,2,0)</f>
        <v>6500</v>
      </c>
      <c r="I14" s="40">
        <v>0</v>
      </c>
      <c r="J14" s="2"/>
      <c r="K14" s="2"/>
      <c r="L14" s="2"/>
      <c r="M14" s="2"/>
      <c r="N14" s="8">
        <f t="shared" si="3"/>
        <v>-600</v>
      </c>
      <c r="O14" s="2"/>
      <c r="P14" s="19"/>
      <c r="Q14" s="19">
        <v>800</v>
      </c>
      <c r="R14" s="19">
        <v>800</v>
      </c>
      <c r="S14" s="19">
        <v>1200</v>
      </c>
      <c r="T14" s="19"/>
      <c r="U14" s="19"/>
      <c r="V14" s="19">
        <v>1500</v>
      </c>
      <c r="W14" s="2">
        <v>1200</v>
      </c>
      <c r="X14" s="2">
        <v>1600</v>
      </c>
      <c r="Y14" s="2"/>
      <c r="Z14" s="7">
        <f t="shared" si="0"/>
        <v>182</v>
      </c>
      <c r="AA14" s="7">
        <v>1000</v>
      </c>
      <c r="AB14" s="7">
        <v>0</v>
      </c>
      <c r="AC14" s="8">
        <f t="shared" si="1"/>
        <v>0</v>
      </c>
      <c r="AD14" s="8">
        <v>0</v>
      </c>
      <c r="AE14" s="8">
        <f t="shared" si="2"/>
        <v>0</v>
      </c>
      <c r="AF14" s="8">
        <f t="shared" si="4"/>
        <v>0</v>
      </c>
      <c r="AG14" s="8">
        <v>0</v>
      </c>
      <c r="AH14" s="8">
        <v>0</v>
      </c>
      <c r="AI14" s="8" t="s">
        <v>119</v>
      </c>
      <c r="AJ14" s="8" t="s">
        <v>121</v>
      </c>
      <c r="AL14" s="14" t="s">
        <v>115</v>
      </c>
      <c r="AM14" s="15">
        <v>384</v>
      </c>
      <c r="AN14"/>
      <c r="AQ14" s="1">
        <v>-2966</v>
      </c>
    </row>
    <row r="15" spans="1:44" s="1" customFormat="1" x14ac:dyDescent="0.25">
      <c r="B15" s="2" t="s">
        <v>87</v>
      </c>
      <c r="C15" s="2" t="s">
        <v>88</v>
      </c>
      <c r="D15" s="2" t="s">
        <v>12</v>
      </c>
      <c r="E15" s="2" t="s">
        <v>10</v>
      </c>
      <c r="F15" s="2">
        <v>2.8000000000000001E-2</v>
      </c>
      <c r="G15" s="2">
        <v>2.8000000000000001E-2</v>
      </c>
      <c r="H15" s="40">
        <f>VLOOKUP(D15,'[2]programa producción LENNOX Cu'!$B$11:$L$63,2,0)</f>
        <v>1700</v>
      </c>
      <c r="I15" s="40">
        <v>0</v>
      </c>
      <c r="J15" s="2"/>
      <c r="K15" s="2"/>
      <c r="L15" s="2"/>
      <c r="M15" s="2"/>
      <c r="N15" s="8">
        <f t="shared" si="3"/>
        <v>1700</v>
      </c>
      <c r="O15" s="2"/>
      <c r="P15" s="19"/>
      <c r="Q15" s="19"/>
      <c r="R15" s="19"/>
      <c r="S15" s="19"/>
      <c r="T15" s="19"/>
      <c r="U15" s="19"/>
      <c r="V15" s="19"/>
      <c r="W15" s="2"/>
      <c r="X15" s="2"/>
      <c r="Y15" s="2"/>
      <c r="Z15" s="7">
        <f t="shared" si="0"/>
        <v>47.6</v>
      </c>
      <c r="AA15" s="7">
        <v>1000</v>
      </c>
      <c r="AB15" s="7">
        <v>0</v>
      </c>
      <c r="AC15" s="8">
        <f t="shared" si="1"/>
        <v>0</v>
      </c>
      <c r="AD15" s="8">
        <v>0</v>
      </c>
      <c r="AE15" s="8">
        <f t="shared" si="2"/>
        <v>0</v>
      </c>
      <c r="AF15" s="8">
        <f t="shared" si="4"/>
        <v>0</v>
      </c>
      <c r="AG15" s="8">
        <v>0</v>
      </c>
      <c r="AH15" s="8">
        <v>0</v>
      </c>
      <c r="AI15" s="8" t="s">
        <v>119</v>
      </c>
      <c r="AJ15" s="8" t="s">
        <v>121</v>
      </c>
      <c r="AL15" s="14" t="s">
        <v>124</v>
      </c>
      <c r="AM15" s="15">
        <v>14200</v>
      </c>
      <c r="AN15"/>
      <c r="AQ15" s="1">
        <v>2400</v>
      </c>
    </row>
    <row r="16" spans="1:44" s="17" customFormat="1" hidden="1" x14ac:dyDescent="0.25">
      <c r="A16" s="1"/>
      <c r="B16" s="2" t="s">
        <v>87</v>
      </c>
      <c r="C16" s="2" t="s">
        <v>88</v>
      </c>
      <c r="D16" s="2" t="s">
        <v>13</v>
      </c>
      <c r="E16" s="2" t="s">
        <v>10</v>
      </c>
      <c r="F16" s="2">
        <v>2.8000000000000001E-2</v>
      </c>
      <c r="G16" s="2">
        <v>2.8000000000000001E-2</v>
      </c>
      <c r="H16" s="40"/>
      <c r="I16" s="40">
        <v>500</v>
      </c>
      <c r="J16" s="2"/>
      <c r="K16" s="2"/>
      <c r="L16" s="2"/>
      <c r="M16" s="2"/>
      <c r="N16" s="8">
        <f t="shared" si="3"/>
        <v>0</v>
      </c>
      <c r="O16" s="2"/>
      <c r="P16" s="19"/>
      <c r="Q16" s="19">
        <v>500</v>
      </c>
      <c r="R16" s="19"/>
      <c r="S16" s="19"/>
      <c r="T16" s="19"/>
      <c r="U16" s="19"/>
      <c r="V16" s="19"/>
      <c r="W16" s="2"/>
      <c r="X16" s="2"/>
      <c r="Y16" s="2"/>
      <c r="Z16" s="7">
        <f t="shared" si="0"/>
        <v>14</v>
      </c>
      <c r="AA16" s="7">
        <v>1000</v>
      </c>
      <c r="AB16" s="7">
        <v>0</v>
      </c>
      <c r="AC16" s="8">
        <f t="shared" si="1"/>
        <v>0</v>
      </c>
      <c r="AD16" s="8">
        <v>0</v>
      </c>
      <c r="AE16" s="8">
        <f t="shared" si="2"/>
        <v>0</v>
      </c>
      <c r="AF16" s="8">
        <f t="shared" si="4"/>
        <v>0</v>
      </c>
      <c r="AG16" s="8">
        <v>0</v>
      </c>
      <c r="AH16" s="8">
        <v>0</v>
      </c>
      <c r="AI16" s="8" t="s">
        <v>119</v>
      </c>
      <c r="AJ16" s="8" t="s">
        <v>121</v>
      </c>
      <c r="AL16" s="28"/>
      <c r="AM16" s="28"/>
      <c r="AN16" s="28"/>
      <c r="AQ16" s="1">
        <v>400</v>
      </c>
    </row>
    <row r="17" spans="1:43" s="1" customFormat="1" x14ac:dyDescent="0.25">
      <c r="B17" s="2" t="s">
        <v>87</v>
      </c>
      <c r="C17" s="2" t="s">
        <v>88</v>
      </c>
      <c r="D17" s="2" t="s">
        <v>14</v>
      </c>
      <c r="E17" s="2" t="s">
        <v>10</v>
      </c>
      <c r="F17" s="2">
        <v>2.8000000000000001E-2</v>
      </c>
      <c r="G17" s="2">
        <v>2.8000000000000001E-2</v>
      </c>
      <c r="H17" s="40">
        <f>VLOOKUP(D17,'[2]programa producción LENNOX Cu'!$B$11:$L$63,2,0)</f>
        <v>500</v>
      </c>
      <c r="I17" s="40">
        <v>0</v>
      </c>
      <c r="J17" s="2"/>
      <c r="K17" s="2"/>
      <c r="L17" s="2"/>
      <c r="M17" s="2"/>
      <c r="N17" s="8">
        <f t="shared" si="3"/>
        <v>500</v>
      </c>
      <c r="O17" s="2"/>
      <c r="P17" s="19"/>
      <c r="Q17" s="19"/>
      <c r="R17" s="19"/>
      <c r="S17" s="19"/>
      <c r="T17" s="19"/>
      <c r="U17" s="19"/>
      <c r="V17" s="19"/>
      <c r="W17" s="2"/>
      <c r="X17" s="2"/>
      <c r="Y17" s="2"/>
      <c r="Z17" s="7">
        <f t="shared" si="0"/>
        <v>14</v>
      </c>
      <c r="AA17" s="7">
        <v>1000</v>
      </c>
      <c r="AB17" s="7">
        <v>0</v>
      </c>
      <c r="AC17" s="8">
        <f t="shared" si="1"/>
        <v>0</v>
      </c>
      <c r="AD17" s="8">
        <v>0</v>
      </c>
      <c r="AE17" s="8">
        <f t="shared" si="2"/>
        <v>0</v>
      </c>
      <c r="AF17" s="8">
        <f t="shared" si="4"/>
        <v>0</v>
      </c>
      <c r="AG17" s="8">
        <v>0</v>
      </c>
      <c r="AH17" s="8">
        <v>0</v>
      </c>
      <c r="AI17" s="8" t="s">
        <v>119</v>
      </c>
      <c r="AJ17" s="8" t="s">
        <v>121</v>
      </c>
      <c r="AL17"/>
      <c r="AM17"/>
      <c r="AN17"/>
      <c r="AQ17" s="1">
        <v>3600</v>
      </c>
    </row>
    <row r="18" spans="1:43" s="17" customFormat="1" x14ac:dyDescent="0.25">
      <c r="A18" s="1"/>
      <c r="B18" s="2" t="s">
        <v>87</v>
      </c>
      <c r="C18" s="2" t="s">
        <v>88</v>
      </c>
      <c r="D18" s="2" t="s">
        <v>15</v>
      </c>
      <c r="E18" s="2" t="s">
        <v>10</v>
      </c>
      <c r="F18" s="2">
        <v>2.8000000000000001E-2</v>
      </c>
      <c r="G18" s="2">
        <v>2.8000000000000001E-2</v>
      </c>
      <c r="H18" s="40">
        <f>VLOOKUP(D18,'[2]programa producción LENNOX Cu'!$B$11:$L$63,2,0)</f>
        <v>600</v>
      </c>
      <c r="I18" s="40">
        <v>400</v>
      </c>
      <c r="J18" s="2"/>
      <c r="K18" s="2"/>
      <c r="L18" s="2"/>
      <c r="M18" s="2"/>
      <c r="N18" s="8">
        <f t="shared" si="3"/>
        <v>300</v>
      </c>
      <c r="O18" s="2"/>
      <c r="P18" s="19"/>
      <c r="Q18" s="19"/>
      <c r="R18" s="19"/>
      <c r="S18" s="19">
        <v>700</v>
      </c>
      <c r="T18" s="19"/>
      <c r="U18" s="19"/>
      <c r="V18" s="19"/>
      <c r="W18" s="2"/>
      <c r="X18" s="2"/>
      <c r="Y18" s="2"/>
      <c r="Z18" s="7">
        <f t="shared" si="0"/>
        <v>28</v>
      </c>
      <c r="AA18" s="7">
        <v>1000</v>
      </c>
      <c r="AB18" s="7">
        <v>0</v>
      </c>
      <c r="AC18" s="8">
        <f t="shared" si="1"/>
        <v>0</v>
      </c>
      <c r="AD18" s="8">
        <v>0</v>
      </c>
      <c r="AE18" s="8">
        <f t="shared" si="2"/>
        <v>0</v>
      </c>
      <c r="AF18" s="8">
        <f t="shared" si="4"/>
        <v>0</v>
      </c>
      <c r="AG18" s="8">
        <v>0</v>
      </c>
      <c r="AH18" s="8">
        <v>0</v>
      </c>
      <c r="AI18" s="8" t="s">
        <v>119</v>
      </c>
      <c r="AJ18" s="8" t="s">
        <v>121</v>
      </c>
      <c r="AL18" s="28"/>
      <c r="AM18" s="28"/>
      <c r="AN18" s="28"/>
      <c r="AQ18" s="1">
        <v>0</v>
      </c>
    </row>
    <row r="19" spans="1:43" s="17" customFormat="1" x14ac:dyDescent="0.25">
      <c r="A19" s="1"/>
      <c r="B19" s="2" t="s">
        <v>87</v>
      </c>
      <c r="C19" s="2" t="s">
        <v>88</v>
      </c>
      <c r="D19" s="2" t="s">
        <v>16</v>
      </c>
      <c r="E19" s="2" t="s">
        <v>17</v>
      </c>
      <c r="F19" s="2">
        <v>2.8000000000000001E-2</v>
      </c>
      <c r="G19" s="2">
        <v>2.8000000000000001E-2</v>
      </c>
      <c r="H19" s="40">
        <f>VLOOKUP(D19,'[2]programa producción LENNOX Cu'!$B$11:$L$63,2,0)</f>
        <v>200</v>
      </c>
      <c r="I19" s="40">
        <v>0</v>
      </c>
      <c r="J19" s="2"/>
      <c r="K19" s="2"/>
      <c r="L19" s="2"/>
      <c r="M19" s="2"/>
      <c r="N19" s="8">
        <f t="shared" si="3"/>
        <v>200</v>
      </c>
      <c r="O19" s="2"/>
      <c r="P19" s="19"/>
      <c r="Q19" s="19"/>
      <c r="R19" s="19"/>
      <c r="S19" s="19"/>
      <c r="T19" s="19"/>
      <c r="U19" s="19"/>
      <c r="V19" s="19"/>
      <c r="W19" s="2"/>
      <c r="X19" s="2"/>
      <c r="Y19" s="2"/>
      <c r="Z19" s="7">
        <f t="shared" si="0"/>
        <v>5.6000000000000005</v>
      </c>
      <c r="AA19" s="7">
        <v>100</v>
      </c>
      <c r="AB19" s="7">
        <v>0</v>
      </c>
      <c r="AC19" s="8">
        <f t="shared" si="1"/>
        <v>0</v>
      </c>
      <c r="AD19" s="8">
        <v>0</v>
      </c>
      <c r="AE19" s="8">
        <f t="shared" si="2"/>
        <v>0</v>
      </c>
      <c r="AF19" s="8">
        <f t="shared" si="4"/>
        <v>0</v>
      </c>
      <c r="AG19" s="8">
        <v>0</v>
      </c>
      <c r="AH19" s="8">
        <v>0</v>
      </c>
      <c r="AI19" s="8" t="s">
        <v>119</v>
      </c>
      <c r="AJ19" s="8" t="s">
        <v>121</v>
      </c>
      <c r="AL19" s="28"/>
      <c r="AM19" s="28"/>
      <c r="AN19" s="28"/>
      <c r="AQ19" s="1">
        <v>-55</v>
      </c>
    </row>
    <row r="20" spans="1:43" s="17" customFormat="1" x14ac:dyDescent="0.25">
      <c r="A20" s="1"/>
      <c r="B20" s="2" t="s">
        <v>87</v>
      </c>
      <c r="C20" s="2" t="s">
        <v>88</v>
      </c>
      <c r="D20" s="2" t="s">
        <v>18</v>
      </c>
      <c r="E20" s="2" t="s">
        <v>17</v>
      </c>
      <c r="F20" s="2">
        <v>2.8000000000000001E-2</v>
      </c>
      <c r="G20" s="2">
        <v>2.8000000000000001E-2</v>
      </c>
      <c r="H20" s="40">
        <f>VLOOKUP(D20,'[2]programa producción LENNOX Cu'!$B$11:$L$63,2,0)</f>
        <v>200</v>
      </c>
      <c r="I20" s="40">
        <v>0</v>
      </c>
      <c r="J20" s="2"/>
      <c r="K20" s="2"/>
      <c r="L20" s="2"/>
      <c r="M20" s="2"/>
      <c r="N20" s="8">
        <f t="shared" si="3"/>
        <v>200</v>
      </c>
      <c r="O20" s="2"/>
      <c r="P20" s="19"/>
      <c r="Q20" s="19"/>
      <c r="R20" s="19"/>
      <c r="S20" s="19"/>
      <c r="T20" s="19"/>
      <c r="U20" s="19"/>
      <c r="V20" s="19"/>
      <c r="W20" s="2"/>
      <c r="X20" s="2"/>
      <c r="Y20" s="19"/>
      <c r="Z20" s="7">
        <f t="shared" si="0"/>
        <v>5.6000000000000005</v>
      </c>
      <c r="AA20" s="7">
        <v>100</v>
      </c>
      <c r="AB20" s="7">
        <v>0</v>
      </c>
      <c r="AC20" s="8">
        <f t="shared" si="1"/>
        <v>0</v>
      </c>
      <c r="AD20" s="8">
        <v>0</v>
      </c>
      <c r="AE20" s="8">
        <f t="shared" si="2"/>
        <v>0</v>
      </c>
      <c r="AF20" s="8">
        <f t="shared" si="4"/>
        <v>0</v>
      </c>
      <c r="AG20" s="8">
        <v>0</v>
      </c>
      <c r="AH20" s="8">
        <v>0</v>
      </c>
      <c r="AI20" s="8" t="s">
        <v>119</v>
      </c>
      <c r="AJ20" s="8" t="s">
        <v>121</v>
      </c>
      <c r="AL20" s="28"/>
      <c r="AM20" s="28"/>
      <c r="AN20" s="28"/>
      <c r="AQ20" s="1">
        <v>0</v>
      </c>
    </row>
    <row r="21" spans="1:43" s="1" customFormat="1" x14ac:dyDescent="0.25">
      <c r="B21" s="2" t="s">
        <v>87</v>
      </c>
      <c r="C21" s="2" t="s">
        <v>88</v>
      </c>
      <c r="D21" s="2" t="s">
        <v>19</v>
      </c>
      <c r="E21" s="2" t="s">
        <v>17</v>
      </c>
      <c r="F21" s="2">
        <v>2.8000000000000001E-2</v>
      </c>
      <c r="G21" s="2">
        <v>2.8000000000000001E-2</v>
      </c>
      <c r="H21" s="40">
        <f>VLOOKUP(D21,'[2]programa producción LENNOX Cu'!$B$11:$L$63,2,0)</f>
        <v>600</v>
      </c>
      <c r="I21" s="40">
        <v>0</v>
      </c>
      <c r="J21" s="2"/>
      <c r="K21" s="4"/>
      <c r="L21" s="2"/>
      <c r="M21" s="2"/>
      <c r="N21" s="8">
        <f t="shared" si="3"/>
        <v>100</v>
      </c>
      <c r="O21" s="2"/>
      <c r="P21" s="19"/>
      <c r="Q21" s="19"/>
      <c r="R21" s="19"/>
      <c r="S21" s="19"/>
      <c r="T21" s="19"/>
      <c r="U21" s="19"/>
      <c r="V21" s="19"/>
      <c r="W21" s="2">
        <v>500</v>
      </c>
      <c r="X21" s="2"/>
      <c r="Y21" s="19"/>
      <c r="Z21" s="7">
        <f t="shared" si="0"/>
        <v>16.8</v>
      </c>
      <c r="AA21" s="7">
        <v>100</v>
      </c>
      <c r="AB21" s="7">
        <v>0</v>
      </c>
      <c r="AC21" s="8">
        <f t="shared" si="1"/>
        <v>0</v>
      </c>
      <c r="AD21" s="8">
        <v>0</v>
      </c>
      <c r="AE21" s="8">
        <f t="shared" si="2"/>
        <v>0</v>
      </c>
      <c r="AF21" s="8">
        <f t="shared" si="4"/>
        <v>0</v>
      </c>
      <c r="AG21" s="8">
        <v>0</v>
      </c>
      <c r="AH21" s="8">
        <v>0</v>
      </c>
      <c r="AI21" s="8" t="s">
        <v>119</v>
      </c>
      <c r="AJ21" s="8" t="s">
        <v>121</v>
      </c>
      <c r="AL21"/>
      <c r="AM21"/>
      <c r="AN21"/>
      <c r="AQ21" s="1">
        <v>-25</v>
      </c>
    </row>
    <row r="22" spans="1:43" s="1" customFormat="1" hidden="1" x14ac:dyDescent="0.25">
      <c r="B22" s="2" t="s">
        <v>87</v>
      </c>
      <c r="C22" s="2" t="s">
        <v>88</v>
      </c>
      <c r="D22" s="2" t="s">
        <v>20</v>
      </c>
      <c r="E22" s="2" t="s">
        <v>17</v>
      </c>
      <c r="F22" s="2">
        <v>2.8000000000000001E-2</v>
      </c>
      <c r="G22" s="2">
        <v>2.8000000000000001E-2</v>
      </c>
      <c r="H22" s="40">
        <f>VLOOKUP(D22,'[2]programa producción LENNOX Cu'!$B$11:$L$63,2,0)</f>
        <v>1200</v>
      </c>
      <c r="I22" s="40">
        <v>0</v>
      </c>
      <c r="J22" s="2"/>
      <c r="K22" s="2"/>
      <c r="L22" s="2"/>
      <c r="M22" s="2"/>
      <c r="N22" s="8">
        <f t="shared" si="3"/>
        <v>-1035</v>
      </c>
      <c r="O22" s="2"/>
      <c r="P22" s="19"/>
      <c r="Q22" s="19"/>
      <c r="R22" s="19"/>
      <c r="S22" s="19">
        <v>750</v>
      </c>
      <c r="T22" s="19">
        <v>285</v>
      </c>
      <c r="U22" s="19"/>
      <c r="V22" s="19"/>
      <c r="W22" s="2"/>
      <c r="X22" s="19"/>
      <c r="Y22" s="19">
        <v>1200</v>
      </c>
      <c r="Z22" s="7">
        <f t="shared" si="0"/>
        <v>33.6</v>
      </c>
      <c r="AA22" s="7">
        <v>100</v>
      </c>
      <c r="AB22" s="7">
        <v>0</v>
      </c>
      <c r="AC22" s="8">
        <f t="shared" si="1"/>
        <v>0</v>
      </c>
      <c r="AD22" s="8">
        <v>0</v>
      </c>
      <c r="AE22" s="8">
        <f t="shared" si="2"/>
        <v>0</v>
      </c>
      <c r="AF22" s="8">
        <f t="shared" si="4"/>
        <v>0</v>
      </c>
      <c r="AG22" s="8">
        <v>0</v>
      </c>
      <c r="AH22" s="8">
        <v>0</v>
      </c>
      <c r="AI22" s="8" t="s">
        <v>119</v>
      </c>
      <c r="AJ22" s="8" t="s">
        <v>121</v>
      </c>
      <c r="AL22"/>
      <c r="AM22"/>
      <c r="AN22"/>
      <c r="AQ22" s="1">
        <v>-250</v>
      </c>
    </row>
    <row r="23" spans="1:43" s="1" customFormat="1" hidden="1" x14ac:dyDescent="0.25">
      <c r="B23" s="2" t="s">
        <v>87</v>
      </c>
      <c r="C23" s="2" t="s">
        <v>88</v>
      </c>
      <c r="D23" s="2" t="s">
        <v>21</v>
      </c>
      <c r="E23" s="2" t="s">
        <v>17</v>
      </c>
      <c r="F23" s="2">
        <v>2.8000000000000001E-2</v>
      </c>
      <c r="G23" s="2">
        <v>2.8000000000000001E-2</v>
      </c>
      <c r="H23" s="40"/>
      <c r="I23" s="40">
        <v>0</v>
      </c>
      <c r="J23" s="2"/>
      <c r="K23" s="2"/>
      <c r="L23" s="2"/>
      <c r="M23" s="2"/>
      <c r="N23" s="8">
        <f t="shared" si="3"/>
        <v>0</v>
      </c>
      <c r="O23" s="2"/>
      <c r="P23" s="19"/>
      <c r="Q23" s="19"/>
      <c r="R23" s="19"/>
      <c r="S23" s="19"/>
      <c r="T23" s="19"/>
      <c r="U23" s="19"/>
      <c r="V23" s="19"/>
      <c r="W23" s="2"/>
      <c r="X23" s="2"/>
      <c r="Y23" s="19"/>
      <c r="Z23" s="7">
        <f t="shared" si="0"/>
        <v>0</v>
      </c>
      <c r="AA23" s="7">
        <v>100</v>
      </c>
      <c r="AB23" s="7">
        <v>0</v>
      </c>
      <c r="AC23" s="8">
        <f t="shared" si="1"/>
        <v>0</v>
      </c>
      <c r="AD23" s="8">
        <v>0</v>
      </c>
      <c r="AE23" s="8">
        <f t="shared" si="2"/>
        <v>0</v>
      </c>
      <c r="AF23" s="8">
        <f t="shared" si="4"/>
        <v>0</v>
      </c>
      <c r="AG23" s="8">
        <v>0</v>
      </c>
      <c r="AH23" s="8">
        <v>0</v>
      </c>
      <c r="AI23" s="8" t="s">
        <v>119</v>
      </c>
      <c r="AJ23" s="8" t="s">
        <v>121</v>
      </c>
      <c r="AQ23" s="1">
        <v>0</v>
      </c>
    </row>
    <row r="24" spans="1:43" s="1" customFormat="1" hidden="1" x14ac:dyDescent="0.25">
      <c r="B24" s="2" t="s">
        <v>87</v>
      </c>
      <c r="C24" s="2" t="s">
        <v>88</v>
      </c>
      <c r="D24" s="2" t="s">
        <v>22</v>
      </c>
      <c r="E24" s="2" t="s">
        <v>17</v>
      </c>
      <c r="F24" s="2">
        <v>2.8000000000000001E-2</v>
      </c>
      <c r="G24" s="2">
        <v>2.8000000000000001E-2</v>
      </c>
      <c r="H24" s="40">
        <f>VLOOKUP(D24,'[2]programa producción LENNOX Cu'!$B$11:$L$63,2,0)</f>
        <v>2000</v>
      </c>
      <c r="I24" s="40">
        <v>0</v>
      </c>
      <c r="J24" s="2"/>
      <c r="K24" s="2"/>
      <c r="L24" s="2"/>
      <c r="M24" s="2"/>
      <c r="N24" s="8">
        <f t="shared" si="3"/>
        <v>-88</v>
      </c>
      <c r="O24" s="2"/>
      <c r="P24" s="19"/>
      <c r="Q24" s="19"/>
      <c r="R24" s="19"/>
      <c r="S24" s="19">
        <v>1863</v>
      </c>
      <c r="T24" s="19"/>
      <c r="U24" s="19"/>
      <c r="V24" s="19"/>
      <c r="W24" s="2"/>
      <c r="X24" s="2"/>
      <c r="Y24" s="19">
        <v>225</v>
      </c>
      <c r="Z24" s="7">
        <f t="shared" si="0"/>
        <v>56</v>
      </c>
      <c r="AA24" s="7">
        <v>100</v>
      </c>
      <c r="AB24" s="7">
        <v>0</v>
      </c>
      <c r="AC24" s="8">
        <f t="shared" si="1"/>
        <v>0</v>
      </c>
      <c r="AD24" s="8">
        <v>0</v>
      </c>
      <c r="AE24" s="8">
        <f t="shared" si="2"/>
        <v>0</v>
      </c>
      <c r="AF24" s="8">
        <f t="shared" si="4"/>
        <v>0</v>
      </c>
      <c r="AG24" s="8">
        <v>0</v>
      </c>
      <c r="AH24" s="8">
        <v>0</v>
      </c>
      <c r="AI24" s="8" t="s">
        <v>119</v>
      </c>
      <c r="AJ24" s="8" t="s">
        <v>121</v>
      </c>
      <c r="AQ24" s="1">
        <v>-55</v>
      </c>
    </row>
    <row r="25" spans="1:43" s="1" customFormat="1" x14ac:dyDescent="0.25">
      <c r="B25" s="2" t="s">
        <v>87</v>
      </c>
      <c r="C25" s="2" t="s">
        <v>88</v>
      </c>
      <c r="D25" s="2" t="s">
        <v>23</v>
      </c>
      <c r="E25" s="2" t="s">
        <v>17</v>
      </c>
      <c r="F25" s="2">
        <v>2.8000000000000001E-2</v>
      </c>
      <c r="G25" s="2">
        <v>2.8000000000000001E-2</v>
      </c>
      <c r="H25" s="40">
        <f>VLOOKUP(D25,'[2]programa producción LENNOX Cu'!$B$11:$L$63,2,0)</f>
        <v>300</v>
      </c>
      <c r="I25" s="40">
        <v>0</v>
      </c>
      <c r="J25" s="2"/>
      <c r="K25" s="2"/>
      <c r="L25" s="2"/>
      <c r="M25" s="2"/>
      <c r="N25" s="8">
        <f t="shared" si="3"/>
        <v>100</v>
      </c>
      <c r="O25" s="2"/>
      <c r="P25" s="19"/>
      <c r="Q25" s="19"/>
      <c r="R25" s="19"/>
      <c r="S25" s="19"/>
      <c r="T25" s="19"/>
      <c r="U25" s="19"/>
      <c r="V25" s="19"/>
      <c r="W25" s="2"/>
      <c r="X25" s="2">
        <v>200</v>
      </c>
      <c r="Y25" s="19"/>
      <c r="Z25" s="7">
        <f t="shared" si="0"/>
        <v>8.4</v>
      </c>
      <c r="AA25" s="7">
        <v>100</v>
      </c>
      <c r="AB25" s="7">
        <v>0</v>
      </c>
      <c r="AC25" s="8">
        <f t="shared" si="1"/>
        <v>0</v>
      </c>
      <c r="AD25" s="8">
        <v>0</v>
      </c>
      <c r="AE25" s="8">
        <f t="shared" si="2"/>
        <v>0</v>
      </c>
      <c r="AF25" s="8">
        <f t="shared" si="4"/>
        <v>0</v>
      </c>
      <c r="AG25" s="8">
        <v>0</v>
      </c>
      <c r="AH25" s="8">
        <v>0</v>
      </c>
      <c r="AI25" s="8" t="s">
        <v>119</v>
      </c>
      <c r="AJ25" s="8" t="s">
        <v>121</v>
      </c>
      <c r="AQ25" s="1">
        <v>-50</v>
      </c>
    </row>
    <row r="26" spans="1:43" s="17" customFormat="1" hidden="1" x14ac:dyDescent="0.25">
      <c r="A26" s="1"/>
      <c r="B26" s="2" t="s">
        <v>87</v>
      </c>
      <c r="C26" s="2" t="s">
        <v>88</v>
      </c>
      <c r="D26" s="2" t="s">
        <v>24</v>
      </c>
      <c r="E26" s="2" t="s">
        <v>17</v>
      </c>
      <c r="F26" s="2">
        <v>2.8000000000000001E-2</v>
      </c>
      <c r="G26" s="2">
        <v>2.8000000000000001E-2</v>
      </c>
      <c r="H26" s="40">
        <f>VLOOKUP(D26,'[2]programa producción LENNOX Cu'!$B$11:$L$63,2,0)</f>
        <v>300</v>
      </c>
      <c r="I26" s="40">
        <v>0</v>
      </c>
      <c r="J26" s="2"/>
      <c r="K26" s="2"/>
      <c r="L26" s="2"/>
      <c r="M26" s="2"/>
      <c r="N26" s="8">
        <f t="shared" si="3"/>
        <v>0</v>
      </c>
      <c r="O26" s="2"/>
      <c r="P26" s="19"/>
      <c r="Q26" s="19"/>
      <c r="R26" s="19"/>
      <c r="S26" s="19"/>
      <c r="T26" s="19"/>
      <c r="U26" s="19">
        <v>300</v>
      </c>
      <c r="V26" s="19"/>
      <c r="W26" s="2"/>
      <c r="X26" s="2"/>
      <c r="Y26" s="19"/>
      <c r="Z26" s="7">
        <f t="shared" si="0"/>
        <v>8.4</v>
      </c>
      <c r="AA26" s="7">
        <v>100</v>
      </c>
      <c r="AB26" s="7">
        <v>0</v>
      </c>
      <c r="AC26" s="8">
        <f t="shared" si="1"/>
        <v>0</v>
      </c>
      <c r="AD26" s="8">
        <v>0</v>
      </c>
      <c r="AE26" s="8">
        <f t="shared" si="2"/>
        <v>0</v>
      </c>
      <c r="AF26" s="8">
        <f t="shared" si="4"/>
        <v>0</v>
      </c>
      <c r="AG26" s="8">
        <v>0</v>
      </c>
      <c r="AH26" s="8">
        <v>0</v>
      </c>
      <c r="AI26" s="8" t="s">
        <v>119</v>
      </c>
      <c r="AJ26" s="8" t="s">
        <v>121</v>
      </c>
      <c r="AQ26" s="1">
        <v>0</v>
      </c>
    </row>
    <row r="27" spans="1:43" s="1" customFormat="1" hidden="1" x14ac:dyDescent="0.25">
      <c r="B27" s="2" t="s">
        <v>87</v>
      </c>
      <c r="C27" s="2" t="s">
        <v>88</v>
      </c>
      <c r="D27" s="2" t="s">
        <v>25</v>
      </c>
      <c r="E27" s="2" t="s">
        <v>17</v>
      </c>
      <c r="F27" s="2">
        <v>2.8000000000000001E-2</v>
      </c>
      <c r="G27" s="2">
        <v>2.8000000000000001E-2</v>
      </c>
      <c r="H27" s="40">
        <f>VLOOKUP(D27,'[2]programa producción LENNOX Cu'!$B$11:$L$63,2,0)</f>
        <v>500</v>
      </c>
      <c r="I27" s="40">
        <v>0</v>
      </c>
      <c r="J27" s="2"/>
      <c r="K27" s="2"/>
      <c r="L27" s="2"/>
      <c r="M27" s="2"/>
      <c r="N27" s="8">
        <f t="shared" si="3"/>
        <v>-22</v>
      </c>
      <c r="O27" s="2"/>
      <c r="P27" s="19"/>
      <c r="Q27" s="19"/>
      <c r="R27" s="19"/>
      <c r="S27" s="19"/>
      <c r="T27" s="19"/>
      <c r="U27" s="19"/>
      <c r="V27" s="19"/>
      <c r="W27" s="2"/>
      <c r="X27" s="2">
        <v>522</v>
      </c>
      <c r="Y27" s="19"/>
      <c r="Z27" s="7">
        <f t="shared" si="0"/>
        <v>14</v>
      </c>
      <c r="AA27" s="7">
        <v>100</v>
      </c>
      <c r="AB27" s="7">
        <v>0</v>
      </c>
      <c r="AC27" s="8">
        <f t="shared" si="1"/>
        <v>0</v>
      </c>
      <c r="AD27" s="8">
        <v>0</v>
      </c>
      <c r="AE27" s="8">
        <f t="shared" si="2"/>
        <v>0</v>
      </c>
      <c r="AF27" s="8">
        <f t="shared" si="4"/>
        <v>0</v>
      </c>
      <c r="AG27" s="8">
        <v>0</v>
      </c>
      <c r="AH27" s="8">
        <v>0</v>
      </c>
      <c r="AI27" s="8" t="s">
        <v>119</v>
      </c>
      <c r="AJ27" s="8" t="s">
        <v>121</v>
      </c>
      <c r="AQ27" s="1">
        <v>307</v>
      </c>
    </row>
    <row r="28" spans="1:43" s="1" customFormat="1" hidden="1" x14ac:dyDescent="0.25">
      <c r="B28" s="2" t="s">
        <v>87</v>
      </c>
      <c r="C28" s="2" t="s">
        <v>88</v>
      </c>
      <c r="D28" s="2" t="s">
        <v>26</v>
      </c>
      <c r="E28" s="2" t="s">
        <v>17</v>
      </c>
      <c r="F28" s="2">
        <v>2.8000000000000001E-2</v>
      </c>
      <c r="G28" s="2">
        <v>2.8000000000000001E-2</v>
      </c>
      <c r="H28" s="40"/>
      <c r="I28" s="40">
        <v>0</v>
      </c>
      <c r="J28" s="2"/>
      <c r="K28" s="2"/>
      <c r="L28" s="2"/>
      <c r="M28" s="2"/>
      <c r="N28" s="8">
        <f t="shared" si="3"/>
        <v>0</v>
      </c>
      <c r="O28" s="2"/>
      <c r="P28" s="19"/>
      <c r="Q28" s="19"/>
      <c r="R28" s="19"/>
      <c r="S28" s="19"/>
      <c r="T28" s="19"/>
      <c r="U28" s="19"/>
      <c r="V28" s="19"/>
      <c r="W28" s="2"/>
      <c r="X28" s="2"/>
      <c r="Y28" s="19"/>
      <c r="Z28" s="7">
        <f t="shared" si="0"/>
        <v>0</v>
      </c>
      <c r="AA28" s="7">
        <v>100</v>
      </c>
      <c r="AB28" s="7">
        <v>0</v>
      </c>
      <c r="AC28" s="8">
        <f t="shared" si="1"/>
        <v>0</v>
      </c>
      <c r="AD28" s="8">
        <v>0</v>
      </c>
      <c r="AE28" s="8">
        <f t="shared" si="2"/>
        <v>0</v>
      </c>
      <c r="AF28" s="8">
        <f t="shared" si="4"/>
        <v>0</v>
      </c>
      <c r="AG28" s="8">
        <v>0</v>
      </c>
      <c r="AH28" s="8">
        <v>0</v>
      </c>
      <c r="AI28" s="8" t="s">
        <v>119</v>
      </c>
      <c r="AJ28" s="8" t="s">
        <v>121</v>
      </c>
      <c r="AQ28" s="1">
        <v>-77</v>
      </c>
    </row>
    <row r="29" spans="1:43" s="17" customFormat="1" hidden="1" x14ac:dyDescent="0.25">
      <c r="A29" s="1"/>
      <c r="B29" s="2" t="s">
        <v>87</v>
      </c>
      <c r="C29" s="2" t="s">
        <v>88</v>
      </c>
      <c r="D29" s="2" t="s">
        <v>27</v>
      </c>
      <c r="E29" s="2" t="s">
        <v>17</v>
      </c>
      <c r="F29" s="2">
        <v>2.8000000000000001E-2</v>
      </c>
      <c r="G29" s="2">
        <v>2.8000000000000001E-2</v>
      </c>
      <c r="H29" s="40">
        <f>VLOOKUP(D29,'[2]programa producción LENNOX Cu'!$B$11:$L$63,2,0)</f>
        <v>600</v>
      </c>
      <c r="I29" s="40">
        <v>0</v>
      </c>
      <c r="J29" s="2"/>
      <c r="K29" s="2"/>
      <c r="L29" s="2"/>
      <c r="M29" s="2"/>
      <c r="N29" s="8">
        <f t="shared" si="3"/>
        <v>0</v>
      </c>
      <c r="O29" s="2"/>
      <c r="P29" s="19"/>
      <c r="Q29" s="19"/>
      <c r="R29" s="19"/>
      <c r="S29" s="19"/>
      <c r="T29" s="19"/>
      <c r="U29" s="19"/>
      <c r="V29" s="19">
        <v>600</v>
      </c>
      <c r="W29" s="2"/>
      <c r="X29" s="2"/>
      <c r="Y29" s="19"/>
      <c r="Z29" s="7">
        <f t="shared" si="0"/>
        <v>16.8</v>
      </c>
      <c r="AA29" s="7">
        <v>100</v>
      </c>
      <c r="AB29" s="7">
        <v>0</v>
      </c>
      <c r="AC29" s="8">
        <f t="shared" si="1"/>
        <v>0</v>
      </c>
      <c r="AD29" s="8">
        <v>0</v>
      </c>
      <c r="AE29" s="8">
        <f t="shared" si="2"/>
        <v>0</v>
      </c>
      <c r="AF29" s="8">
        <f t="shared" si="4"/>
        <v>0</v>
      </c>
      <c r="AG29" s="8">
        <v>0</v>
      </c>
      <c r="AH29" s="8">
        <v>0</v>
      </c>
      <c r="AI29" s="8" t="s">
        <v>119</v>
      </c>
      <c r="AJ29" s="8" t="s">
        <v>121</v>
      </c>
      <c r="AQ29" s="1">
        <v>300</v>
      </c>
    </row>
    <row r="30" spans="1:43" s="1" customFormat="1" x14ac:dyDescent="0.25">
      <c r="B30" s="2" t="s">
        <v>87</v>
      </c>
      <c r="C30" s="2" t="s">
        <v>88</v>
      </c>
      <c r="D30" s="2" t="s">
        <v>28</v>
      </c>
      <c r="E30" s="2" t="s">
        <v>17</v>
      </c>
      <c r="F30" s="2">
        <v>2.8000000000000001E-2</v>
      </c>
      <c r="G30" s="2">
        <v>2.8000000000000001E-2</v>
      </c>
      <c r="H30" s="40">
        <f>VLOOKUP(D30,'[2]programa producción LENNOX Cu'!$B$11:$L$63,2,0)</f>
        <v>200</v>
      </c>
      <c r="I30" s="40">
        <v>0</v>
      </c>
      <c r="J30" s="2"/>
      <c r="K30" s="2"/>
      <c r="L30" s="2"/>
      <c r="M30" s="2"/>
      <c r="N30" s="8">
        <f t="shared" si="3"/>
        <v>200</v>
      </c>
      <c r="O30" s="2"/>
      <c r="P30" s="19"/>
      <c r="Q30" s="19"/>
      <c r="R30" s="19"/>
      <c r="S30" s="19"/>
      <c r="T30" s="19"/>
      <c r="U30" s="19"/>
      <c r="V30" s="19"/>
      <c r="W30" s="2"/>
      <c r="X30" s="2"/>
      <c r="Y30" s="19"/>
      <c r="Z30" s="7">
        <f t="shared" si="0"/>
        <v>5.6000000000000005</v>
      </c>
      <c r="AA30" s="7">
        <v>100</v>
      </c>
      <c r="AB30" s="7">
        <v>0</v>
      </c>
      <c r="AC30" s="8">
        <f t="shared" si="1"/>
        <v>0</v>
      </c>
      <c r="AD30" s="8">
        <v>0</v>
      </c>
      <c r="AE30" s="8">
        <f t="shared" si="2"/>
        <v>0</v>
      </c>
      <c r="AF30" s="8">
        <f t="shared" si="4"/>
        <v>0</v>
      </c>
      <c r="AG30" s="8">
        <v>0</v>
      </c>
      <c r="AH30" s="8">
        <v>0</v>
      </c>
      <c r="AI30" s="8" t="s">
        <v>119</v>
      </c>
      <c r="AJ30" s="8" t="s">
        <v>121</v>
      </c>
      <c r="AQ30" s="1">
        <v>-445</v>
      </c>
    </row>
    <row r="31" spans="1:43" s="1" customFormat="1" x14ac:dyDescent="0.25">
      <c r="B31" s="2" t="s">
        <v>87</v>
      </c>
      <c r="C31" s="2" t="s">
        <v>88</v>
      </c>
      <c r="D31" s="2" t="s">
        <v>29</v>
      </c>
      <c r="E31" s="2" t="s">
        <v>17</v>
      </c>
      <c r="F31" s="2">
        <v>2.8000000000000001E-2</v>
      </c>
      <c r="G31" s="2">
        <v>2.8000000000000001E-2</v>
      </c>
      <c r="H31" s="40">
        <f>VLOOKUP(D31,'[2]programa producción LENNOX Cu'!$B$11:$L$63,2,0)</f>
        <v>900</v>
      </c>
      <c r="I31" s="40">
        <v>0</v>
      </c>
      <c r="J31" s="2"/>
      <c r="K31" s="2"/>
      <c r="L31" s="2"/>
      <c r="M31" s="2"/>
      <c r="N31" s="8">
        <f t="shared" si="3"/>
        <v>398</v>
      </c>
      <c r="O31" s="2"/>
      <c r="P31" s="19"/>
      <c r="Q31" s="19"/>
      <c r="R31" s="19"/>
      <c r="S31" s="19"/>
      <c r="T31" s="19"/>
      <c r="U31" s="19"/>
      <c r="V31" s="19"/>
      <c r="W31" s="2">
        <v>502</v>
      </c>
      <c r="X31" s="2"/>
      <c r="Y31" s="19"/>
      <c r="Z31" s="7">
        <f t="shared" si="0"/>
        <v>25.2</v>
      </c>
      <c r="AA31" s="7">
        <v>100</v>
      </c>
      <c r="AB31" s="7">
        <v>0</v>
      </c>
      <c r="AC31" s="8">
        <f t="shared" si="1"/>
        <v>0</v>
      </c>
      <c r="AD31" s="8">
        <v>0</v>
      </c>
      <c r="AE31" s="8">
        <f t="shared" si="2"/>
        <v>0</v>
      </c>
      <c r="AF31" s="8">
        <f t="shared" si="4"/>
        <v>0</v>
      </c>
      <c r="AG31" s="8">
        <v>0</v>
      </c>
      <c r="AH31" s="8">
        <v>0</v>
      </c>
      <c r="AI31" s="8" t="s">
        <v>119</v>
      </c>
      <c r="AJ31" s="8" t="s">
        <v>121</v>
      </c>
      <c r="AQ31" s="1">
        <v>-83</v>
      </c>
    </row>
    <row r="32" spans="1:43" s="17" customFormat="1" x14ac:dyDescent="0.25">
      <c r="A32" s="1"/>
      <c r="B32" s="2" t="s">
        <v>87</v>
      </c>
      <c r="C32" s="2" t="s">
        <v>88</v>
      </c>
      <c r="D32" s="2" t="s">
        <v>30</v>
      </c>
      <c r="E32" s="2" t="s">
        <v>17</v>
      </c>
      <c r="F32" s="2">
        <v>2.8000000000000001E-2</v>
      </c>
      <c r="G32" s="2">
        <v>2.8000000000000001E-2</v>
      </c>
      <c r="H32" s="40">
        <f>VLOOKUP(D32,'[2]programa producción LENNOX Cu'!$B$11:$L$63,2,0)</f>
        <v>300</v>
      </c>
      <c r="I32" s="40">
        <v>0</v>
      </c>
      <c r="J32" s="2"/>
      <c r="K32" s="2"/>
      <c r="L32" s="2"/>
      <c r="M32" s="2"/>
      <c r="N32" s="8">
        <f t="shared" si="3"/>
        <v>300</v>
      </c>
      <c r="O32" s="2"/>
      <c r="P32" s="19"/>
      <c r="Q32" s="19"/>
      <c r="R32" s="19"/>
      <c r="S32" s="19"/>
      <c r="T32" s="19"/>
      <c r="U32" s="19"/>
      <c r="V32" s="19"/>
      <c r="W32" s="2"/>
      <c r="X32" s="2"/>
      <c r="Y32" s="19"/>
      <c r="Z32" s="7">
        <f t="shared" si="0"/>
        <v>8.4</v>
      </c>
      <c r="AA32" s="7">
        <v>100</v>
      </c>
      <c r="AB32" s="7">
        <v>0</v>
      </c>
      <c r="AC32" s="8">
        <f t="shared" si="1"/>
        <v>0</v>
      </c>
      <c r="AD32" s="8">
        <v>0</v>
      </c>
      <c r="AE32" s="8">
        <f t="shared" si="2"/>
        <v>0</v>
      </c>
      <c r="AF32" s="8">
        <f t="shared" si="4"/>
        <v>0</v>
      </c>
      <c r="AG32" s="8">
        <v>0</v>
      </c>
      <c r="AH32" s="8">
        <v>0</v>
      </c>
      <c r="AI32" s="8" t="s">
        <v>119</v>
      </c>
      <c r="AJ32" s="8" t="s">
        <v>121</v>
      </c>
      <c r="AQ32" s="1">
        <v>0</v>
      </c>
    </row>
    <row r="33" spans="1:43" s="17" customFormat="1" x14ac:dyDescent="0.25">
      <c r="A33" s="1"/>
      <c r="B33" s="2" t="s">
        <v>87</v>
      </c>
      <c r="C33" s="2" t="s">
        <v>88</v>
      </c>
      <c r="D33" s="2" t="s">
        <v>31</v>
      </c>
      <c r="E33" s="2" t="s">
        <v>17</v>
      </c>
      <c r="F33" s="2">
        <v>2.8000000000000001E-2</v>
      </c>
      <c r="G33" s="2">
        <v>2.8000000000000001E-2</v>
      </c>
      <c r="H33" s="40">
        <f>VLOOKUP(D33,'[2]programa producción LENNOX Cu'!$B$11:$L$63,2,0)</f>
        <v>800</v>
      </c>
      <c r="I33" s="40">
        <v>0</v>
      </c>
      <c r="J33" s="2"/>
      <c r="K33" s="2"/>
      <c r="L33" s="2"/>
      <c r="M33" s="2"/>
      <c r="N33" s="8">
        <f t="shared" si="3"/>
        <v>300</v>
      </c>
      <c r="O33" s="2"/>
      <c r="P33" s="19"/>
      <c r="Q33" s="19"/>
      <c r="R33" s="19"/>
      <c r="S33" s="19"/>
      <c r="T33" s="19"/>
      <c r="U33" s="19">
        <v>500</v>
      </c>
      <c r="V33" s="19"/>
      <c r="W33" s="2"/>
      <c r="X33" s="2"/>
      <c r="Y33" s="19"/>
      <c r="Z33" s="7">
        <f t="shared" si="0"/>
        <v>22.400000000000002</v>
      </c>
      <c r="AA33" s="7">
        <v>100</v>
      </c>
      <c r="AB33" s="7">
        <v>0</v>
      </c>
      <c r="AC33" s="8">
        <f t="shared" si="1"/>
        <v>0</v>
      </c>
      <c r="AD33" s="8">
        <v>0</v>
      </c>
      <c r="AE33" s="8">
        <f t="shared" si="2"/>
        <v>0</v>
      </c>
      <c r="AF33" s="8">
        <f t="shared" si="4"/>
        <v>0</v>
      </c>
      <c r="AG33" s="8">
        <v>0</v>
      </c>
      <c r="AH33" s="8">
        <v>0</v>
      </c>
      <c r="AI33" s="8" t="s">
        <v>119</v>
      </c>
      <c r="AJ33" s="8" t="s">
        <v>121</v>
      </c>
      <c r="AQ33" s="1">
        <v>300</v>
      </c>
    </row>
    <row r="34" spans="1:43" s="17" customFormat="1" x14ac:dyDescent="0.25">
      <c r="A34" s="1"/>
      <c r="B34" s="2" t="s">
        <v>87</v>
      </c>
      <c r="C34" s="2" t="s">
        <v>88</v>
      </c>
      <c r="D34" s="2" t="s">
        <v>32</v>
      </c>
      <c r="E34" s="2" t="s">
        <v>17</v>
      </c>
      <c r="F34" s="2">
        <v>2.8000000000000001E-2</v>
      </c>
      <c r="G34" s="2">
        <v>2.8000000000000001E-2</v>
      </c>
      <c r="H34" s="40">
        <f>VLOOKUP(D34,'[2]programa producción LENNOX Cu'!$B$11:$L$63,2,0)</f>
        <v>700</v>
      </c>
      <c r="I34" s="40">
        <v>0</v>
      </c>
      <c r="J34" s="2"/>
      <c r="K34" s="2"/>
      <c r="L34" s="2"/>
      <c r="M34" s="2"/>
      <c r="N34" s="8">
        <f t="shared" si="3"/>
        <v>46</v>
      </c>
      <c r="O34" s="2"/>
      <c r="P34" s="19"/>
      <c r="Q34" s="19"/>
      <c r="R34" s="19"/>
      <c r="S34" s="19"/>
      <c r="T34" s="19"/>
      <c r="U34" s="19"/>
      <c r="V34" s="19"/>
      <c r="W34" s="2"/>
      <c r="X34" s="2">
        <v>654</v>
      </c>
      <c r="Y34" s="2"/>
      <c r="Z34" s="7">
        <f t="shared" si="0"/>
        <v>19.600000000000001</v>
      </c>
      <c r="AA34" s="7">
        <v>100</v>
      </c>
      <c r="AB34" s="7">
        <v>0</v>
      </c>
      <c r="AC34" s="8">
        <f t="shared" si="1"/>
        <v>0</v>
      </c>
      <c r="AD34" s="8">
        <v>0</v>
      </c>
      <c r="AE34" s="8">
        <f t="shared" si="2"/>
        <v>0</v>
      </c>
      <c r="AF34" s="8">
        <f t="shared" si="4"/>
        <v>0</v>
      </c>
      <c r="AG34" s="8">
        <v>0</v>
      </c>
      <c r="AH34" s="8">
        <v>0</v>
      </c>
      <c r="AI34" s="8" t="s">
        <v>119</v>
      </c>
      <c r="AJ34" s="8" t="s">
        <v>121</v>
      </c>
      <c r="AQ34" s="1">
        <v>500</v>
      </c>
    </row>
    <row r="35" spans="1:43" s="17" customFormat="1" x14ac:dyDescent="0.25">
      <c r="A35" s="1"/>
      <c r="B35" s="2" t="s">
        <v>87</v>
      </c>
      <c r="C35" s="2" t="s">
        <v>88</v>
      </c>
      <c r="D35" s="2" t="s">
        <v>33</v>
      </c>
      <c r="E35" s="2" t="s">
        <v>17</v>
      </c>
      <c r="F35" s="2">
        <v>2.8000000000000001E-2</v>
      </c>
      <c r="G35" s="2">
        <v>2.8000000000000001E-2</v>
      </c>
      <c r="H35" s="40">
        <f>VLOOKUP(D35,'[2]programa producción LENNOX Cu'!$B$11:$L$63,2,0)</f>
        <v>200</v>
      </c>
      <c r="I35" s="40">
        <v>0</v>
      </c>
      <c r="J35" s="2"/>
      <c r="K35" s="2"/>
      <c r="L35" s="2"/>
      <c r="M35" s="2"/>
      <c r="N35" s="8">
        <f t="shared" si="3"/>
        <v>200</v>
      </c>
      <c r="O35" s="2"/>
      <c r="P35" s="19"/>
      <c r="Q35" s="19"/>
      <c r="R35" s="19"/>
      <c r="S35" s="19"/>
      <c r="T35" s="19"/>
      <c r="U35" s="19"/>
      <c r="V35" s="19"/>
      <c r="W35" s="2"/>
      <c r="X35" s="2"/>
      <c r="Y35" s="2"/>
      <c r="Z35" s="7">
        <f t="shared" si="0"/>
        <v>5.6000000000000005</v>
      </c>
      <c r="AA35" s="7">
        <v>100</v>
      </c>
      <c r="AB35" s="7">
        <v>0</v>
      </c>
      <c r="AC35" s="8">
        <f t="shared" si="1"/>
        <v>0</v>
      </c>
      <c r="AD35" s="8">
        <v>0</v>
      </c>
      <c r="AE35" s="8">
        <f t="shared" si="2"/>
        <v>0</v>
      </c>
      <c r="AF35" s="8">
        <f t="shared" si="4"/>
        <v>0</v>
      </c>
      <c r="AG35" s="8">
        <v>0</v>
      </c>
      <c r="AH35" s="8">
        <v>0</v>
      </c>
      <c r="AI35" s="8" t="s">
        <v>119</v>
      </c>
      <c r="AJ35" s="8" t="s">
        <v>121</v>
      </c>
      <c r="AQ35" s="1">
        <v>300</v>
      </c>
    </row>
    <row r="36" spans="1:43" s="1" customFormat="1" x14ac:dyDescent="0.25">
      <c r="B36" s="2" t="s">
        <v>87</v>
      </c>
      <c r="C36" s="2" t="s">
        <v>88</v>
      </c>
      <c r="D36" s="2" t="s">
        <v>34</v>
      </c>
      <c r="E36" s="2" t="s">
        <v>17</v>
      </c>
      <c r="F36" s="2">
        <v>2.8000000000000001E-2</v>
      </c>
      <c r="G36" s="2">
        <v>2.8000000000000001E-2</v>
      </c>
      <c r="H36" s="40">
        <f>VLOOKUP(D36,'[2]programa producción LENNOX Cu'!$B$11:$L$63,2,0)</f>
        <v>400</v>
      </c>
      <c r="I36" s="40">
        <v>0</v>
      </c>
      <c r="J36" s="2"/>
      <c r="K36" s="2"/>
      <c r="L36" s="2"/>
      <c r="M36" s="2"/>
      <c r="N36" s="8">
        <f t="shared" si="3"/>
        <v>400</v>
      </c>
      <c r="O36" s="2"/>
      <c r="P36" s="19"/>
      <c r="Q36" s="19"/>
      <c r="R36" s="19"/>
      <c r="S36" s="19"/>
      <c r="T36" s="19"/>
      <c r="U36" s="19"/>
      <c r="V36" s="19"/>
      <c r="W36" s="2"/>
      <c r="X36" s="2"/>
      <c r="Y36" s="2"/>
      <c r="Z36" s="7">
        <f t="shared" si="0"/>
        <v>11.200000000000001</v>
      </c>
      <c r="AA36" s="7">
        <v>100</v>
      </c>
      <c r="AB36" s="7">
        <v>0</v>
      </c>
      <c r="AC36" s="8">
        <f t="shared" si="1"/>
        <v>0</v>
      </c>
      <c r="AD36" s="8">
        <v>0</v>
      </c>
      <c r="AE36" s="8">
        <f t="shared" si="2"/>
        <v>0</v>
      </c>
      <c r="AF36" s="8">
        <f t="shared" si="4"/>
        <v>0</v>
      </c>
      <c r="AG36" s="8">
        <v>0</v>
      </c>
      <c r="AH36" s="8">
        <v>0</v>
      </c>
      <c r="AI36" s="8" t="s">
        <v>119</v>
      </c>
      <c r="AJ36" s="8" t="s">
        <v>121</v>
      </c>
      <c r="AQ36" s="1">
        <v>0</v>
      </c>
    </row>
    <row r="37" spans="1:43" s="17" customFormat="1" x14ac:dyDescent="0.25">
      <c r="A37" s="1"/>
      <c r="B37" s="2" t="s">
        <v>87</v>
      </c>
      <c r="C37" s="2" t="s">
        <v>88</v>
      </c>
      <c r="D37" s="2" t="s">
        <v>35</v>
      </c>
      <c r="E37" s="2" t="s">
        <v>17</v>
      </c>
      <c r="F37" s="2">
        <v>2.8000000000000001E-2</v>
      </c>
      <c r="G37" s="2">
        <v>2.8000000000000001E-2</v>
      </c>
      <c r="H37" s="40">
        <f>VLOOKUP(D37,'[2]programa producción LENNOX Cu'!$B$11:$L$63,2,0)</f>
        <v>400</v>
      </c>
      <c r="I37" s="40">
        <v>0</v>
      </c>
      <c r="J37" s="2"/>
      <c r="K37" s="2"/>
      <c r="L37" s="2"/>
      <c r="M37" s="2"/>
      <c r="N37" s="8">
        <f t="shared" si="3"/>
        <v>400</v>
      </c>
      <c r="O37" s="2"/>
      <c r="P37" s="19"/>
      <c r="Q37" s="19"/>
      <c r="R37" s="19"/>
      <c r="S37" s="19"/>
      <c r="T37" s="19"/>
      <c r="U37" s="19"/>
      <c r="V37" s="19"/>
      <c r="W37" s="2"/>
      <c r="X37" s="2"/>
      <c r="Y37" s="2"/>
      <c r="Z37" s="7">
        <f t="shared" si="0"/>
        <v>11.200000000000001</v>
      </c>
      <c r="AA37" s="7">
        <v>100</v>
      </c>
      <c r="AB37" s="7">
        <v>0</v>
      </c>
      <c r="AC37" s="8">
        <f t="shared" si="1"/>
        <v>0</v>
      </c>
      <c r="AD37" s="8">
        <v>0</v>
      </c>
      <c r="AE37" s="8">
        <f t="shared" si="2"/>
        <v>0</v>
      </c>
      <c r="AF37" s="8">
        <f t="shared" si="4"/>
        <v>0</v>
      </c>
      <c r="AG37" s="8">
        <v>0</v>
      </c>
      <c r="AH37" s="8">
        <v>0</v>
      </c>
      <c r="AI37" s="8" t="s">
        <v>119</v>
      </c>
      <c r="AJ37" s="8" t="s">
        <v>121</v>
      </c>
      <c r="AQ37" s="1">
        <v>300</v>
      </c>
    </row>
    <row r="38" spans="1:43" s="1" customFormat="1" hidden="1" x14ac:dyDescent="0.25">
      <c r="B38" s="2" t="s">
        <v>87</v>
      </c>
      <c r="C38" s="2" t="s">
        <v>88</v>
      </c>
      <c r="D38" s="2" t="s">
        <v>36</v>
      </c>
      <c r="E38" s="2" t="s">
        <v>17</v>
      </c>
      <c r="F38" s="2">
        <v>2.8000000000000001E-2</v>
      </c>
      <c r="G38" s="2">
        <v>2.8000000000000001E-2</v>
      </c>
      <c r="H38" s="40"/>
      <c r="I38" s="40">
        <v>0</v>
      </c>
      <c r="J38" s="2"/>
      <c r="K38" s="2"/>
      <c r="L38" s="2"/>
      <c r="M38" s="2"/>
      <c r="N38" s="8">
        <f t="shared" si="3"/>
        <v>0</v>
      </c>
      <c r="O38" s="2"/>
      <c r="P38" s="19"/>
      <c r="Q38" s="19"/>
      <c r="R38" s="19"/>
      <c r="S38" s="19"/>
      <c r="T38" s="19"/>
      <c r="U38" s="19"/>
      <c r="V38" s="19"/>
      <c r="W38" s="2"/>
      <c r="X38" s="2"/>
      <c r="Y38" s="2"/>
      <c r="Z38" s="7">
        <f t="shared" si="0"/>
        <v>0</v>
      </c>
      <c r="AA38" s="7">
        <v>100</v>
      </c>
      <c r="AB38" s="7">
        <v>0</v>
      </c>
      <c r="AC38" s="8">
        <f t="shared" si="1"/>
        <v>0</v>
      </c>
      <c r="AD38" s="8">
        <v>0</v>
      </c>
      <c r="AE38" s="8">
        <f t="shared" si="2"/>
        <v>0</v>
      </c>
      <c r="AF38" s="8">
        <f t="shared" si="4"/>
        <v>0</v>
      </c>
      <c r="AG38" s="8">
        <v>0</v>
      </c>
      <c r="AH38" s="8">
        <v>0</v>
      </c>
      <c r="AI38" s="8" t="s">
        <v>119</v>
      </c>
      <c r="AJ38" s="8" t="s">
        <v>121</v>
      </c>
      <c r="AQ38" s="1">
        <v>0</v>
      </c>
    </row>
    <row r="39" spans="1:43" s="1" customFormat="1" x14ac:dyDescent="0.25">
      <c r="B39" s="2" t="s">
        <v>87</v>
      </c>
      <c r="C39" s="2" t="s">
        <v>88</v>
      </c>
      <c r="D39" s="2" t="s">
        <v>37</v>
      </c>
      <c r="E39" s="2" t="s">
        <v>17</v>
      </c>
      <c r="F39" s="2">
        <v>2.8000000000000001E-2</v>
      </c>
      <c r="G39" s="2">
        <v>2.8000000000000001E-2</v>
      </c>
      <c r="H39" s="40">
        <f>VLOOKUP(D39,'[2]programa producción LENNOX Cu'!$B$11:$L$63,2,0)</f>
        <v>300</v>
      </c>
      <c r="I39" s="40">
        <v>0</v>
      </c>
      <c r="J39" s="2"/>
      <c r="K39" s="2"/>
      <c r="L39" s="2"/>
      <c r="M39" s="2"/>
      <c r="N39" s="8">
        <f t="shared" si="3"/>
        <v>300</v>
      </c>
      <c r="O39" s="2"/>
      <c r="P39" s="19"/>
      <c r="Q39" s="19"/>
      <c r="R39" s="19"/>
      <c r="S39" s="19"/>
      <c r="T39" s="19"/>
      <c r="U39" s="19"/>
      <c r="V39" s="19"/>
      <c r="W39" s="2"/>
      <c r="X39" s="2"/>
      <c r="Y39" s="2"/>
      <c r="Z39" s="7">
        <f t="shared" si="0"/>
        <v>8.4</v>
      </c>
      <c r="AA39" s="7">
        <v>100</v>
      </c>
      <c r="AB39" s="7">
        <v>0</v>
      </c>
      <c r="AC39" s="8">
        <f t="shared" si="1"/>
        <v>0</v>
      </c>
      <c r="AD39" s="8">
        <v>0</v>
      </c>
      <c r="AE39" s="8">
        <f t="shared" si="2"/>
        <v>0</v>
      </c>
      <c r="AF39" s="8">
        <f t="shared" si="4"/>
        <v>0</v>
      </c>
      <c r="AG39" s="8">
        <v>0</v>
      </c>
      <c r="AH39" s="8">
        <v>0</v>
      </c>
      <c r="AI39" s="8" t="s">
        <v>119</v>
      </c>
      <c r="AJ39" s="8" t="s">
        <v>121</v>
      </c>
      <c r="AQ39" s="1">
        <v>0</v>
      </c>
    </row>
    <row r="40" spans="1:43" s="1" customFormat="1" hidden="1" x14ac:dyDescent="0.25">
      <c r="B40" s="2" t="s">
        <v>87</v>
      </c>
      <c r="C40" s="2" t="s">
        <v>88</v>
      </c>
      <c r="D40" s="2" t="s">
        <v>38</v>
      </c>
      <c r="E40" s="2" t="s">
        <v>17</v>
      </c>
      <c r="F40" s="2">
        <v>2.8000000000000001E-2</v>
      </c>
      <c r="G40" s="2">
        <v>2.8000000000000001E-2</v>
      </c>
      <c r="H40" s="40"/>
      <c r="I40" s="40">
        <v>0</v>
      </c>
      <c r="J40" s="2"/>
      <c r="K40" s="2"/>
      <c r="L40" s="2"/>
      <c r="M40" s="2"/>
      <c r="N40" s="8">
        <f t="shared" si="3"/>
        <v>0</v>
      </c>
      <c r="O40" s="2"/>
      <c r="P40" s="19"/>
      <c r="Q40" s="19"/>
      <c r="R40" s="19"/>
      <c r="S40" s="19"/>
      <c r="T40" s="19"/>
      <c r="U40" s="19"/>
      <c r="V40" s="19"/>
      <c r="W40" s="2"/>
      <c r="X40" s="2"/>
      <c r="Y40" s="2"/>
      <c r="Z40" s="7">
        <f t="shared" si="0"/>
        <v>0</v>
      </c>
      <c r="AA40" s="7">
        <v>100</v>
      </c>
      <c r="AB40" s="7">
        <v>0</v>
      </c>
      <c r="AC40" s="8">
        <f t="shared" si="1"/>
        <v>0</v>
      </c>
      <c r="AD40" s="8">
        <v>0</v>
      </c>
      <c r="AE40" s="8">
        <f t="shared" si="2"/>
        <v>0</v>
      </c>
      <c r="AF40" s="8">
        <f t="shared" si="4"/>
        <v>0</v>
      </c>
      <c r="AG40" s="8">
        <v>0</v>
      </c>
      <c r="AH40" s="8">
        <v>0</v>
      </c>
      <c r="AI40" s="8" t="s">
        <v>119</v>
      </c>
      <c r="AJ40" s="8" t="s">
        <v>121</v>
      </c>
      <c r="AQ40" s="1">
        <v>0</v>
      </c>
    </row>
    <row r="41" spans="1:43" s="1" customFormat="1" x14ac:dyDescent="0.25">
      <c r="B41" s="2" t="s">
        <v>87</v>
      </c>
      <c r="C41" s="2" t="s">
        <v>88</v>
      </c>
      <c r="D41" s="2" t="s">
        <v>39</v>
      </c>
      <c r="E41" s="2" t="s">
        <v>17</v>
      </c>
      <c r="F41" s="2">
        <v>2.8000000000000001E-2</v>
      </c>
      <c r="G41" s="2">
        <v>2.8000000000000001E-2</v>
      </c>
      <c r="H41" s="40">
        <f>VLOOKUP(D41,'[2]programa producción LENNOX Cu'!$B$11:$L$63,2,0)</f>
        <v>300</v>
      </c>
      <c r="I41" s="40">
        <v>0</v>
      </c>
      <c r="J41" s="2"/>
      <c r="K41" s="2"/>
      <c r="L41" s="2"/>
      <c r="M41" s="2"/>
      <c r="N41" s="8">
        <f t="shared" si="3"/>
        <v>300</v>
      </c>
      <c r="O41" s="2"/>
      <c r="P41" s="19"/>
      <c r="Q41" s="19"/>
      <c r="R41" s="19"/>
      <c r="S41" s="19"/>
      <c r="T41" s="19"/>
      <c r="U41" s="19"/>
      <c r="V41" s="19"/>
      <c r="W41" s="2"/>
      <c r="X41" s="2"/>
      <c r="Y41" s="2"/>
      <c r="Z41" s="7">
        <f t="shared" si="0"/>
        <v>8.4</v>
      </c>
      <c r="AA41" s="7">
        <v>100</v>
      </c>
      <c r="AB41" s="7">
        <v>0</v>
      </c>
      <c r="AC41" s="8">
        <f t="shared" si="1"/>
        <v>0</v>
      </c>
      <c r="AD41" s="8">
        <v>0</v>
      </c>
      <c r="AE41" s="8">
        <f t="shared" si="2"/>
        <v>0</v>
      </c>
      <c r="AF41" s="8">
        <f t="shared" si="4"/>
        <v>0</v>
      </c>
      <c r="AG41" s="8">
        <v>0</v>
      </c>
      <c r="AH41" s="8">
        <v>0</v>
      </c>
      <c r="AI41" s="8" t="s">
        <v>119</v>
      </c>
      <c r="AJ41" s="8" t="s">
        <v>121</v>
      </c>
      <c r="AQ41" s="1">
        <v>0</v>
      </c>
    </row>
    <row r="42" spans="1:43" s="1" customFormat="1" x14ac:dyDescent="0.25">
      <c r="B42" s="2" t="s">
        <v>87</v>
      </c>
      <c r="C42" s="2" t="s">
        <v>88</v>
      </c>
      <c r="D42" s="2" t="s">
        <v>40</v>
      </c>
      <c r="E42" s="2" t="s">
        <v>17</v>
      </c>
      <c r="F42" s="2">
        <v>2.8000000000000001E-2</v>
      </c>
      <c r="G42" s="2">
        <v>2.8000000000000001E-2</v>
      </c>
      <c r="H42" s="40">
        <f>VLOOKUP(D42,'[2]programa producción LENNOX Cu'!$B$11:$L$63,2,0)</f>
        <v>200</v>
      </c>
      <c r="I42" s="40">
        <v>0</v>
      </c>
      <c r="J42" s="2"/>
      <c r="K42" s="2"/>
      <c r="L42" s="2"/>
      <c r="M42" s="2"/>
      <c r="N42" s="8">
        <f t="shared" si="3"/>
        <v>200</v>
      </c>
      <c r="O42" s="2"/>
      <c r="P42" s="19"/>
      <c r="Q42" s="19"/>
      <c r="R42" s="19"/>
      <c r="S42" s="19"/>
      <c r="T42" s="19"/>
      <c r="U42" s="19"/>
      <c r="V42" s="19"/>
      <c r="W42" s="2"/>
      <c r="X42" s="2"/>
      <c r="Y42" s="2"/>
      <c r="Z42" s="7">
        <f t="shared" si="0"/>
        <v>5.6000000000000005</v>
      </c>
      <c r="AA42" s="7">
        <v>100</v>
      </c>
      <c r="AB42" s="7">
        <v>0</v>
      </c>
      <c r="AC42" s="8">
        <f t="shared" si="1"/>
        <v>0</v>
      </c>
      <c r="AD42" s="8">
        <v>0</v>
      </c>
      <c r="AE42" s="8">
        <f t="shared" si="2"/>
        <v>0</v>
      </c>
      <c r="AF42" s="8">
        <f t="shared" si="4"/>
        <v>0</v>
      </c>
      <c r="AG42" s="8">
        <v>0</v>
      </c>
      <c r="AH42" s="8">
        <v>0</v>
      </c>
      <c r="AI42" s="8" t="s">
        <v>119</v>
      </c>
      <c r="AJ42" s="8" t="s">
        <v>121</v>
      </c>
      <c r="AQ42" s="1">
        <v>0</v>
      </c>
    </row>
    <row r="43" spans="1:43" s="1" customFormat="1" hidden="1" x14ac:dyDescent="0.25">
      <c r="B43" s="2" t="s">
        <v>87</v>
      </c>
      <c r="C43" s="2" t="s">
        <v>88</v>
      </c>
      <c r="D43" s="2" t="s">
        <v>41</v>
      </c>
      <c r="E43" s="2" t="s">
        <v>17</v>
      </c>
      <c r="F43" s="2">
        <v>2.8000000000000001E-2</v>
      </c>
      <c r="G43" s="2">
        <v>2.8000000000000001E-2</v>
      </c>
      <c r="H43" s="40"/>
      <c r="I43" s="40">
        <v>0</v>
      </c>
      <c r="J43" s="2"/>
      <c r="K43" s="2"/>
      <c r="L43" s="2"/>
      <c r="M43" s="2"/>
      <c r="N43" s="8">
        <f t="shared" si="3"/>
        <v>0</v>
      </c>
      <c r="O43" s="2"/>
      <c r="P43" s="19"/>
      <c r="Q43" s="19"/>
      <c r="R43" s="19"/>
      <c r="S43" s="19"/>
      <c r="T43" s="19"/>
      <c r="U43" s="19"/>
      <c r="V43" s="19"/>
      <c r="W43" s="2"/>
      <c r="X43" s="2"/>
      <c r="Y43" s="2"/>
      <c r="Z43" s="7">
        <f t="shared" si="0"/>
        <v>0</v>
      </c>
      <c r="AA43" s="7">
        <v>100</v>
      </c>
      <c r="AB43" s="7">
        <v>0</v>
      </c>
      <c r="AC43" s="8">
        <f t="shared" si="1"/>
        <v>0</v>
      </c>
      <c r="AD43" s="8">
        <v>0</v>
      </c>
      <c r="AE43" s="8">
        <f t="shared" si="2"/>
        <v>0</v>
      </c>
      <c r="AF43" s="8">
        <f t="shared" si="4"/>
        <v>0</v>
      </c>
      <c r="AG43" s="8">
        <v>0</v>
      </c>
      <c r="AH43" s="8">
        <v>0</v>
      </c>
      <c r="AI43" s="8" t="s">
        <v>119</v>
      </c>
      <c r="AJ43" s="8" t="s">
        <v>121</v>
      </c>
      <c r="AQ43" s="1">
        <v>0</v>
      </c>
    </row>
    <row r="44" spans="1:43" s="17" customFormat="1" x14ac:dyDescent="0.25">
      <c r="A44" s="1"/>
      <c r="B44" s="2" t="s">
        <v>87</v>
      </c>
      <c r="C44" s="2" t="s">
        <v>88</v>
      </c>
      <c r="D44" s="2" t="s">
        <v>42</v>
      </c>
      <c r="E44" s="2" t="s">
        <v>17</v>
      </c>
      <c r="F44" s="2">
        <v>2.8000000000000001E-2</v>
      </c>
      <c r="G44" s="2">
        <v>2.8000000000000001E-2</v>
      </c>
      <c r="H44" s="40">
        <f>VLOOKUP(D44,'[2]programa producción LENNOX Cu'!$B$11:$L$63,2,0)</f>
        <v>200</v>
      </c>
      <c r="I44" s="40">
        <v>0</v>
      </c>
      <c r="J44" s="2"/>
      <c r="K44" s="2"/>
      <c r="L44" s="2"/>
      <c r="M44" s="2"/>
      <c r="N44" s="8">
        <f t="shared" si="3"/>
        <v>200</v>
      </c>
      <c r="O44" s="2"/>
      <c r="P44" s="19"/>
      <c r="Q44" s="19"/>
      <c r="R44" s="19"/>
      <c r="S44" s="19"/>
      <c r="T44" s="19"/>
      <c r="U44" s="19"/>
      <c r="V44" s="19"/>
      <c r="W44" s="2"/>
      <c r="X44" s="2"/>
      <c r="Y44" s="2"/>
      <c r="Z44" s="7">
        <f t="shared" si="0"/>
        <v>5.6000000000000005</v>
      </c>
      <c r="AA44" s="7">
        <v>100</v>
      </c>
      <c r="AB44" s="7">
        <v>0</v>
      </c>
      <c r="AC44" s="8">
        <f t="shared" si="1"/>
        <v>0</v>
      </c>
      <c r="AD44" s="8">
        <v>0</v>
      </c>
      <c r="AE44" s="8">
        <f t="shared" si="2"/>
        <v>0</v>
      </c>
      <c r="AF44" s="8">
        <f t="shared" si="4"/>
        <v>0</v>
      </c>
      <c r="AG44" s="8">
        <v>0</v>
      </c>
      <c r="AH44" s="8">
        <v>0</v>
      </c>
      <c r="AI44" s="8" t="s">
        <v>119</v>
      </c>
      <c r="AJ44" s="8" t="s">
        <v>121</v>
      </c>
      <c r="AQ44" s="1">
        <v>0</v>
      </c>
    </row>
    <row r="45" spans="1:43" s="1" customFormat="1" hidden="1" x14ac:dyDescent="0.25">
      <c r="B45" s="2" t="s">
        <v>87</v>
      </c>
      <c r="C45" s="2" t="s">
        <v>88</v>
      </c>
      <c r="D45" s="2" t="s">
        <v>43</v>
      </c>
      <c r="E45" s="2" t="s">
        <v>17</v>
      </c>
      <c r="F45" s="2">
        <v>2.8000000000000001E-2</v>
      </c>
      <c r="G45" s="2">
        <v>2.8000000000000001E-2</v>
      </c>
      <c r="H45" s="40"/>
      <c r="I45" s="40">
        <v>0</v>
      </c>
      <c r="J45" s="2"/>
      <c r="K45" s="2"/>
      <c r="L45" s="2"/>
      <c r="M45" s="2"/>
      <c r="N45" s="8">
        <f t="shared" si="3"/>
        <v>0</v>
      </c>
      <c r="O45" s="2"/>
      <c r="P45" s="19"/>
      <c r="Q45" s="19"/>
      <c r="R45" s="19"/>
      <c r="S45" s="19"/>
      <c r="T45" s="19"/>
      <c r="U45" s="19"/>
      <c r="V45" s="19"/>
      <c r="W45" s="2"/>
      <c r="X45" s="2"/>
      <c r="Y45" s="2"/>
      <c r="Z45" s="7">
        <f t="shared" si="0"/>
        <v>0</v>
      </c>
      <c r="AA45" s="7">
        <v>100</v>
      </c>
      <c r="AB45" s="7">
        <v>0</v>
      </c>
      <c r="AC45" s="8">
        <f t="shared" si="1"/>
        <v>0</v>
      </c>
      <c r="AD45" s="8">
        <v>0</v>
      </c>
      <c r="AE45" s="8">
        <f t="shared" si="2"/>
        <v>0</v>
      </c>
      <c r="AF45" s="8">
        <f t="shared" si="4"/>
        <v>0</v>
      </c>
      <c r="AG45" s="8">
        <v>0</v>
      </c>
      <c r="AH45" s="8">
        <v>0</v>
      </c>
      <c r="AI45" s="8" t="s">
        <v>119</v>
      </c>
      <c r="AJ45" s="8" t="s">
        <v>121</v>
      </c>
      <c r="AQ45" s="1">
        <v>328</v>
      </c>
    </row>
    <row r="46" spans="1:43" s="1" customFormat="1" hidden="1" x14ac:dyDescent="0.25">
      <c r="B46" s="2" t="s">
        <v>87</v>
      </c>
      <c r="C46" s="2" t="s">
        <v>88</v>
      </c>
      <c r="D46" s="2" t="s">
        <v>44</v>
      </c>
      <c r="E46" s="2" t="s">
        <v>17</v>
      </c>
      <c r="F46" s="2">
        <v>2.8000000000000001E-2</v>
      </c>
      <c r="G46" s="2">
        <v>2.8000000000000001E-2</v>
      </c>
      <c r="H46" s="40"/>
      <c r="I46" s="40">
        <v>0</v>
      </c>
      <c r="J46" s="2"/>
      <c r="K46" s="2"/>
      <c r="L46" s="2"/>
      <c r="M46" s="2"/>
      <c r="N46" s="8">
        <f t="shared" si="3"/>
        <v>0</v>
      </c>
      <c r="O46" s="2"/>
      <c r="P46" s="19"/>
      <c r="Q46" s="19"/>
      <c r="R46" s="19"/>
      <c r="S46" s="19"/>
      <c r="T46" s="19"/>
      <c r="U46" s="19"/>
      <c r="V46" s="19"/>
      <c r="W46" s="2"/>
      <c r="X46" s="2"/>
      <c r="Y46" s="2"/>
      <c r="Z46" s="7">
        <f t="shared" si="0"/>
        <v>0</v>
      </c>
      <c r="AA46" s="7">
        <v>100</v>
      </c>
      <c r="AB46" s="7">
        <v>0</v>
      </c>
      <c r="AC46" s="8">
        <f t="shared" si="1"/>
        <v>0</v>
      </c>
      <c r="AD46" s="8">
        <v>0</v>
      </c>
      <c r="AE46" s="8">
        <f t="shared" si="2"/>
        <v>0</v>
      </c>
      <c r="AF46" s="8">
        <f t="shared" si="4"/>
        <v>0</v>
      </c>
      <c r="AG46" s="8">
        <v>0</v>
      </c>
      <c r="AH46" s="8">
        <v>0</v>
      </c>
      <c r="AI46" s="8" t="s">
        <v>119</v>
      </c>
      <c r="AJ46" s="8" t="s">
        <v>121</v>
      </c>
      <c r="AQ46" s="1">
        <v>400</v>
      </c>
    </row>
    <row r="47" spans="1:43" s="17" customFormat="1" hidden="1" x14ac:dyDescent="0.25">
      <c r="A47" s="1"/>
      <c r="B47" s="2" t="s">
        <v>87</v>
      </c>
      <c r="C47" s="2" t="s">
        <v>88</v>
      </c>
      <c r="D47" s="2" t="s">
        <v>45</v>
      </c>
      <c r="E47" s="2" t="s">
        <v>17</v>
      </c>
      <c r="F47" s="2">
        <v>2.8000000000000001E-2</v>
      </c>
      <c r="G47" s="2">
        <v>2.8000000000000001E-2</v>
      </c>
      <c r="H47" s="40"/>
      <c r="I47" s="40">
        <v>0</v>
      </c>
      <c r="J47" s="2"/>
      <c r="K47" s="2"/>
      <c r="L47" s="2"/>
      <c r="M47" s="2"/>
      <c r="N47" s="8">
        <f t="shared" si="3"/>
        <v>0</v>
      </c>
      <c r="O47" s="2"/>
      <c r="P47" s="19"/>
      <c r="Q47" s="19"/>
      <c r="R47" s="19"/>
      <c r="S47" s="19"/>
      <c r="T47" s="19"/>
      <c r="U47" s="19"/>
      <c r="V47" s="19"/>
      <c r="W47" s="2"/>
      <c r="X47" s="2"/>
      <c r="Y47" s="2"/>
      <c r="Z47" s="7">
        <f t="shared" si="0"/>
        <v>0</v>
      </c>
      <c r="AA47" s="7">
        <v>100</v>
      </c>
      <c r="AB47" s="7">
        <v>0</v>
      </c>
      <c r="AC47" s="8">
        <f t="shared" si="1"/>
        <v>0</v>
      </c>
      <c r="AD47" s="8">
        <v>0</v>
      </c>
      <c r="AE47" s="8">
        <f t="shared" si="2"/>
        <v>0</v>
      </c>
      <c r="AF47" s="8">
        <f t="shared" si="4"/>
        <v>0</v>
      </c>
      <c r="AG47" s="8">
        <v>0</v>
      </c>
      <c r="AH47" s="8">
        <v>0</v>
      </c>
      <c r="AI47" s="8" t="s">
        <v>119</v>
      </c>
      <c r="AJ47" s="8" t="s">
        <v>121</v>
      </c>
      <c r="AQ47" s="1">
        <v>-1493</v>
      </c>
    </row>
    <row r="48" spans="1:43" s="17" customFormat="1" x14ac:dyDescent="0.25">
      <c r="A48" s="1"/>
      <c r="B48" s="2" t="s">
        <v>87</v>
      </c>
      <c r="C48" s="2" t="s">
        <v>88</v>
      </c>
      <c r="D48" s="2" t="s">
        <v>46</v>
      </c>
      <c r="E48" s="2" t="s">
        <v>17</v>
      </c>
      <c r="F48" s="2">
        <v>2.8000000000000001E-2</v>
      </c>
      <c r="G48" s="2">
        <v>2.8000000000000001E-2</v>
      </c>
      <c r="H48" s="40">
        <f>VLOOKUP(D48,'[2]programa producción LENNOX Cu'!$B$11:$L$63,2,0)</f>
        <v>1200</v>
      </c>
      <c r="I48" s="40">
        <v>0</v>
      </c>
      <c r="J48" s="2"/>
      <c r="K48" s="2"/>
      <c r="L48" s="2"/>
      <c r="M48" s="2"/>
      <c r="N48" s="8">
        <f t="shared" si="3"/>
        <v>38</v>
      </c>
      <c r="O48" s="2"/>
      <c r="P48" s="19"/>
      <c r="Q48" s="19"/>
      <c r="R48" s="19"/>
      <c r="S48" s="19"/>
      <c r="T48" s="19"/>
      <c r="U48" s="19">
        <v>1162</v>
      </c>
      <c r="V48" s="19"/>
      <c r="W48" s="2"/>
      <c r="X48" s="2"/>
      <c r="Y48" s="2"/>
      <c r="Z48" s="7">
        <f t="shared" si="0"/>
        <v>33.6</v>
      </c>
      <c r="AA48" s="7">
        <v>100</v>
      </c>
      <c r="AB48" s="7">
        <v>0</v>
      </c>
      <c r="AC48" s="8">
        <f t="shared" si="1"/>
        <v>0</v>
      </c>
      <c r="AD48" s="8">
        <v>0</v>
      </c>
      <c r="AE48" s="8">
        <f t="shared" si="2"/>
        <v>0</v>
      </c>
      <c r="AF48" s="8">
        <f t="shared" si="4"/>
        <v>0</v>
      </c>
      <c r="AG48" s="8">
        <v>0</v>
      </c>
      <c r="AH48" s="8">
        <v>0</v>
      </c>
      <c r="AI48" s="8" t="s">
        <v>119</v>
      </c>
      <c r="AJ48" s="8" t="s">
        <v>121</v>
      </c>
      <c r="AQ48" s="1">
        <v>-66</v>
      </c>
    </row>
    <row r="49" spans="1:43" s="17" customFormat="1" x14ac:dyDescent="0.25">
      <c r="A49" s="1"/>
      <c r="B49" s="2" t="s">
        <v>87</v>
      </c>
      <c r="C49" s="2" t="s">
        <v>88</v>
      </c>
      <c r="D49" s="2" t="s">
        <v>47</v>
      </c>
      <c r="E49" s="2" t="s">
        <v>48</v>
      </c>
      <c r="F49" s="2">
        <v>3.5000000000000003E-2</v>
      </c>
      <c r="G49" s="2">
        <v>3.5000000000000003E-2</v>
      </c>
      <c r="H49" s="40"/>
      <c r="I49" s="40">
        <v>3000</v>
      </c>
      <c r="J49" s="2"/>
      <c r="K49" s="2"/>
      <c r="L49" s="2"/>
      <c r="M49" s="2"/>
      <c r="N49" s="8">
        <f t="shared" si="3"/>
        <v>40</v>
      </c>
      <c r="O49" s="2">
        <v>1650</v>
      </c>
      <c r="P49" s="19">
        <v>1310</v>
      </c>
      <c r="Q49" s="19"/>
      <c r="R49" s="19"/>
      <c r="S49" s="19"/>
      <c r="T49" s="19"/>
      <c r="U49" s="19"/>
      <c r="V49" s="19"/>
      <c r="W49" s="2"/>
      <c r="X49" s="2"/>
      <c r="Y49" s="2"/>
      <c r="Z49" s="7">
        <f t="shared" si="0"/>
        <v>105.00000000000001</v>
      </c>
      <c r="AA49" s="7">
        <v>500</v>
      </c>
      <c r="AB49" s="7">
        <v>0</v>
      </c>
      <c r="AC49" s="8">
        <f t="shared" si="1"/>
        <v>0</v>
      </c>
      <c r="AD49" s="8">
        <v>0</v>
      </c>
      <c r="AE49" s="8">
        <f t="shared" si="2"/>
        <v>0</v>
      </c>
      <c r="AF49" s="8">
        <f t="shared" si="4"/>
        <v>0</v>
      </c>
      <c r="AG49" s="8">
        <v>0</v>
      </c>
      <c r="AH49" s="8">
        <v>0</v>
      </c>
      <c r="AI49" s="8" t="s">
        <v>119</v>
      </c>
      <c r="AJ49" s="8" t="s">
        <v>121</v>
      </c>
      <c r="AQ49" s="1">
        <v>0</v>
      </c>
    </row>
    <row r="50" spans="1:43" s="17" customFormat="1" x14ac:dyDescent="0.25">
      <c r="A50" s="1"/>
      <c r="B50" s="2" t="s">
        <v>87</v>
      </c>
      <c r="C50" s="2" t="s">
        <v>88</v>
      </c>
      <c r="D50" s="2" t="s">
        <v>49</v>
      </c>
      <c r="E50" s="2" t="s">
        <v>48</v>
      </c>
      <c r="F50" s="2">
        <v>3.5000000000000003E-2</v>
      </c>
      <c r="G50" s="2">
        <v>3.5000000000000003E-2</v>
      </c>
      <c r="H50" s="40">
        <f>VLOOKUP(D50,'[2]programa producción LENNOX Cu'!$B$11:$L$63,2,0)</f>
        <v>200</v>
      </c>
      <c r="I50" s="40">
        <v>300</v>
      </c>
      <c r="J50" s="2"/>
      <c r="K50" s="2"/>
      <c r="L50" s="2"/>
      <c r="M50" s="2"/>
      <c r="N50" s="8">
        <f t="shared" si="3"/>
        <v>65</v>
      </c>
      <c r="O50" s="2"/>
      <c r="P50" s="19"/>
      <c r="Q50" s="19"/>
      <c r="R50" s="19"/>
      <c r="S50" s="19"/>
      <c r="T50" s="19"/>
      <c r="U50" s="19"/>
      <c r="V50" s="19"/>
      <c r="W50" s="2">
        <v>200</v>
      </c>
      <c r="X50" s="2">
        <v>235</v>
      </c>
      <c r="Y50" s="2"/>
      <c r="Z50" s="7">
        <f t="shared" si="0"/>
        <v>17.5</v>
      </c>
      <c r="AA50" s="7">
        <v>500</v>
      </c>
      <c r="AB50" s="7">
        <v>0</v>
      </c>
      <c r="AC50" s="8">
        <f t="shared" si="1"/>
        <v>0</v>
      </c>
      <c r="AD50" s="8">
        <v>0</v>
      </c>
      <c r="AE50" s="8">
        <f t="shared" si="2"/>
        <v>0</v>
      </c>
      <c r="AF50" s="8">
        <f t="shared" si="4"/>
        <v>0</v>
      </c>
      <c r="AG50" s="8">
        <v>0</v>
      </c>
      <c r="AH50" s="8">
        <v>0</v>
      </c>
      <c r="AI50" s="8" t="s">
        <v>119</v>
      </c>
      <c r="AJ50" s="8" t="s">
        <v>121</v>
      </c>
      <c r="AQ50" s="1">
        <v>0</v>
      </c>
    </row>
    <row r="51" spans="1:43" s="17" customFormat="1" hidden="1" x14ac:dyDescent="0.25">
      <c r="A51" s="1"/>
      <c r="B51" s="2" t="s">
        <v>87</v>
      </c>
      <c r="C51" s="2" t="s">
        <v>88</v>
      </c>
      <c r="D51" s="2" t="s">
        <v>50</v>
      </c>
      <c r="E51" s="2" t="s">
        <v>48</v>
      </c>
      <c r="F51" s="2">
        <v>3.5000000000000003E-2</v>
      </c>
      <c r="G51" s="2">
        <v>3.5000000000000003E-2</v>
      </c>
      <c r="H51" s="40"/>
      <c r="I51" s="40">
        <v>0</v>
      </c>
      <c r="J51" s="2"/>
      <c r="K51" s="2"/>
      <c r="L51" s="2"/>
      <c r="M51" s="2"/>
      <c r="N51" s="8">
        <f t="shared" si="3"/>
        <v>0</v>
      </c>
      <c r="O51" s="2"/>
      <c r="P51" s="19"/>
      <c r="Q51" s="19"/>
      <c r="R51" s="19"/>
      <c r="S51" s="19"/>
      <c r="T51" s="19"/>
      <c r="U51" s="19"/>
      <c r="V51" s="19"/>
      <c r="W51" s="2"/>
      <c r="X51" s="2"/>
      <c r="Y51" s="2"/>
      <c r="Z51" s="7">
        <f t="shared" si="0"/>
        <v>0</v>
      </c>
      <c r="AA51" s="7">
        <v>1000</v>
      </c>
      <c r="AB51" s="7">
        <v>0</v>
      </c>
      <c r="AC51" s="8">
        <f t="shared" si="1"/>
        <v>0</v>
      </c>
      <c r="AD51" s="8">
        <v>0</v>
      </c>
      <c r="AE51" s="8">
        <f t="shared" si="2"/>
        <v>0</v>
      </c>
      <c r="AF51" s="8">
        <f t="shared" si="4"/>
        <v>0</v>
      </c>
      <c r="AG51" s="8">
        <v>0</v>
      </c>
      <c r="AH51" s="8">
        <v>0</v>
      </c>
      <c r="AI51" s="8" t="s">
        <v>119</v>
      </c>
      <c r="AJ51" s="8" t="s">
        <v>121</v>
      </c>
      <c r="AQ51" s="1">
        <v>1200</v>
      </c>
    </row>
    <row r="52" spans="1:43" s="1" customFormat="1" x14ac:dyDescent="0.25">
      <c r="B52" s="2" t="s">
        <v>87</v>
      </c>
      <c r="C52" s="2" t="s">
        <v>88</v>
      </c>
      <c r="D52" s="2" t="s">
        <v>51</v>
      </c>
      <c r="E52" s="2" t="s">
        <v>48</v>
      </c>
      <c r="F52" s="2">
        <v>3.5000000000000003E-2</v>
      </c>
      <c r="G52" s="2">
        <v>3.5000000000000003E-2</v>
      </c>
      <c r="H52" s="40">
        <f>VLOOKUP(D52,'[2]programa producción LENNOX Cu'!$B$11:$L$63,2,0)</f>
        <v>300</v>
      </c>
      <c r="I52" s="40">
        <v>0</v>
      </c>
      <c r="J52" s="2"/>
      <c r="K52" s="2"/>
      <c r="L52" s="2"/>
      <c r="M52" s="2"/>
      <c r="N52" s="8">
        <f t="shared" si="3"/>
        <v>300</v>
      </c>
      <c r="O52" s="2"/>
      <c r="P52" s="19"/>
      <c r="Q52" s="19"/>
      <c r="R52" s="19"/>
      <c r="S52" s="19"/>
      <c r="T52" s="19"/>
      <c r="U52" s="19"/>
      <c r="V52" s="19"/>
      <c r="W52" s="2"/>
      <c r="X52" s="2"/>
      <c r="Y52" s="2"/>
      <c r="Z52" s="7">
        <f t="shared" si="0"/>
        <v>10.500000000000002</v>
      </c>
      <c r="AA52" s="7">
        <v>500</v>
      </c>
      <c r="AB52" s="7">
        <v>0</v>
      </c>
      <c r="AC52" s="8">
        <f t="shared" si="1"/>
        <v>0</v>
      </c>
      <c r="AD52" s="8">
        <v>0</v>
      </c>
      <c r="AE52" s="8">
        <f t="shared" si="2"/>
        <v>0</v>
      </c>
      <c r="AF52" s="8">
        <f t="shared" si="4"/>
        <v>0</v>
      </c>
      <c r="AG52" s="8">
        <v>0</v>
      </c>
      <c r="AH52" s="8">
        <v>0</v>
      </c>
      <c r="AI52" s="8" t="s">
        <v>119</v>
      </c>
      <c r="AJ52" s="8" t="s">
        <v>121</v>
      </c>
      <c r="AQ52" s="1">
        <v>0</v>
      </c>
    </row>
    <row r="53" spans="1:43" s="17" customFormat="1" x14ac:dyDescent="0.25">
      <c r="A53" s="1"/>
      <c r="B53" s="2" t="s">
        <v>87</v>
      </c>
      <c r="C53" s="2" t="s">
        <v>88</v>
      </c>
      <c r="D53" s="2" t="s">
        <v>52</v>
      </c>
      <c r="E53" s="2" t="s">
        <v>48</v>
      </c>
      <c r="F53" s="2">
        <v>3.5000000000000003E-2</v>
      </c>
      <c r="G53" s="2">
        <v>3.5000000000000003E-2</v>
      </c>
      <c r="H53" s="40">
        <f>VLOOKUP(D53,'[2]programa producción LENNOX Cu'!$B$11:$L$63,2,0)</f>
        <v>2400</v>
      </c>
      <c r="I53" s="40">
        <v>800</v>
      </c>
      <c r="J53" s="2"/>
      <c r="K53" s="2"/>
      <c r="L53" s="2"/>
      <c r="M53" s="2"/>
      <c r="N53" s="8">
        <f t="shared" si="3"/>
        <v>1064</v>
      </c>
      <c r="O53" s="2"/>
      <c r="P53" s="19"/>
      <c r="Q53" s="19"/>
      <c r="R53" s="19">
        <v>266</v>
      </c>
      <c r="S53" s="19"/>
      <c r="T53" s="19"/>
      <c r="U53" s="19"/>
      <c r="V53" s="19"/>
      <c r="W53" s="2">
        <v>460</v>
      </c>
      <c r="X53" s="2">
        <v>1410</v>
      </c>
      <c r="Y53" s="2"/>
      <c r="Z53" s="7">
        <f t="shared" si="0"/>
        <v>112.00000000000001</v>
      </c>
      <c r="AA53" s="7">
        <v>500</v>
      </c>
      <c r="AB53" s="7">
        <v>0</v>
      </c>
      <c r="AC53" s="8">
        <f t="shared" si="1"/>
        <v>0</v>
      </c>
      <c r="AD53" s="8">
        <v>0</v>
      </c>
      <c r="AE53" s="8">
        <f t="shared" si="2"/>
        <v>0</v>
      </c>
      <c r="AF53" s="8">
        <f t="shared" si="4"/>
        <v>0</v>
      </c>
      <c r="AG53" s="8">
        <v>0</v>
      </c>
      <c r="AH53" s="8">
        <v>0</v>
      </c>
      <c r="AI53" s="8" t="s">
        <v>119</v>
      </c>
      <c r="AJ53" s="8" t="s">
        <v>121</v>
      </c>
      <c r="AQ53" s="1">
        <v>1000</v>
      </c>
    </row>
    <row r="54" spans="1:43" s="1" customFormat="1" x14ac:dyDescent="0.25">
      <c r="B54" s="2" t="s">
        <v>87</v>
      </c>
      <c r="C54" s="2" t="s">
        <v>88</v>
      </c>
      <c r="D54" s="2" t="s">
        <v>53</v>
      </c>
      <c r="E54" s="2" t="s">
        <v>54</v>
      </c>
      <c r="F54" s="2">
        <v>4.1000000000000002E-2</v>
      </c>
      <c r="G54" s="2">
        <v>4.1000000000000002E-2</v>
      </c>
      <c r="H54" s="40">
        <f>VLOOKUP(D54,'[2]programa producción LENNOX Cu'!$B$11:$L$63,2,0)</f>
        <v>2200</v>
      </c>
      <c r="I54" s="40">
        <v>0</v>
      </c>
      <c r="J54" s="2"/>
      <c r="K54" s="2"/>
      <c r="L54" s="2"/>
      <c r="M54" s="2"/>
      <c r="N54" s="8">
        <f t="shared" si="3"/>
        <v>1165</v>
      </c>
      <c r="O54" s="2"/>
      <c r="P54" s="19"/>
      <c r="Q54" s="19"/>
      <c r="R54" s="19"/>
      <c r="S54" s="19"/>
      <c r="T54" s="19"/>
      <c r="U54" s="19"/>
      <c r="V54" s="19">
        <v>1035</v>
      </c>
      <c r="W54" s="2"/>
      <c r="X54" s="2"/>
      <c r="Y54" s="2"/>
      <c r="Z54" s="7">
        <f t="shared" si="0"/>
        <v>90.2</v>
      </c>
      <c r="AA54" s="7">
        <v>1000</v>
      </c>
      <c r="AB54" s="7">
        <v>0</v>
      </c>
      <c r="AC54" s="8">
        <f t="shared" si="1"/>
        <v>0</v>
      </c>
      <c r="AD54" s="8">
        <v>0</v>
      </c>
      <c r="AE54" s="8">
        <f t="shared" si="2"/>
        <v>0</v>
      </c>
      <c r="AF54" s="8">
        <f t="shared" si="4"/>
        <v>0</v>
      </c>
      <c r="AG54" s="8">
        <v>0</v>
      </c>
      <c r="AH54" s="8">
        <v>0</v>
      </c>
      <c r="AI54" s="8" t="s">
        <v>119</v>
      </c>
      <c r="AJ54" s="8" t="s">
        <v>121</v>
      </c>
      <c r="AQ54" s="1">
        <v>2800</v>
      </c>
    </row>
    <row r="55" spans="1:43" s="17" customFormat="1" x14ac:dyDescent="0.25">
      <c r="A55" s="1"/>
      <c r="B55" s="2" t="s">
        <v>87</v>
      </c>
      <c r="C55" s="2" t="s">
        <v>88</v>
      </c>
      <c r="D55" s="2" t="s">
        <v>55</v>
      </c>
      <c r="E55" s="2" t="s">
        <v>54</v>
      </c>
      <c r="F55" s="2">
        <v>4.4999999999999998E-2</v>
      </c>
      <c r="G55" s="2">
        <v>4.4999999999999998E-2</v>
      </c>
      <c r="H55" s="40">
        <f>VLOOKUP(D55,'[2]programa producción LENNOX Cu'!$B$11:$L$63,2,0)</f>
        <v>300</v>
      </c>
      <c r="I55" s="40">
        <v>696</v>
      </c>
      <c r="J55" s="2"/>
      <c r="K55" s="2"/>
      <c r="L55" s="2"/>
      <c r="M55" s="2"/>
      <c r="N55" s="8">
        <f t="shared" si="3"/>
        <v>996</v>
      </c>
      <c r="O55" s="2"/>
      <c r="P55" s="19"/>
      <c r="Q55" s="19"/>
      <c r="R55" s="19"/>
      <c r="S55" s="19"/>
      <c r="T55" s="19"/>
      <c r="U55" s="19"/>
      <c r="V55" s="19"/>
      <c r="W55" s="2"/>
      <c r="X55" s="2"/>
      <c r="Y55" s="2"/>
      <c r="Z55" s="7">
        <f t="shared" si="0"/>
        <v>44.82</v>
      </c>
      <c r="AA55" s="7">
        <v>200</v>
      </c>
      <c r="AB55" s="7">
        <v>0</v>
      </c>
      <c r="AC55" s="8">
        <f t="shared" si="1"/>
        <v>0</v>
      </c>
      <c r="AD55" s="8">
        <v>0</v>
      </c>
      <c r="AE55" s="8">
        <f t="shared" si="2"/>
        <v>0</v>
      </c>
      <c r="AF55" s="8">
        <f t="shared" si="4"/>
        <v>0</v>
      </c>
      <c r="AG55" s="8">
        <v>0</v>
      </c>
      <c r="AH55" s="8">
        <v>0</v>
      </c>
      <c r="AI55" s="8" t="s">
        <v>119</v>
      </c>
      <c r="AJ55" s="8" t="s">
        <v>121</v>
      </c>
      <c r="AQ55" s="1">
        <v>1000</v>
      </c>
    </row>
    <row r="56" spans="1:43" s="1" customFormat="1" x14ac:dyDescent="0.25">
      <c r="B56" s="2" t="s">
        <v>87</v>
      </c>
      <c r="C56" s="2" t="s">
        <v>88</v>
      </c>
      <c r="D56" s="2" t="s">
        <v>56</v>
      </c>
      <c r="E56" s="2" t="s">
        <v>54</v>
      </c>
      <c r="F56" s="2">
        <v>4.4999999999999998E-2</v>
      </c>
      <c r="G56" s="2">
        <v>4.4999999999999998E-2</v>
      </c>
      <c r="H56" s="40">
        <f>VLOOKUP(D56,'[2]programa producción LENNOX Cu'!$B$11:$L$63,2,0)</f>
        <v>400</v>
      </c>
      <c r="I56" s="40">
        <v>0</v>
      </c>
      <c r="J56" s="2"/>
      <c r="K56" s="2"/>
      <c r="L56" s="2"/>
      <c r="M56" s="2"/>
      <c r="N56" s="8">
        <f t="shared" si="3"/>
        <v>400</v>
      </c>
      <c r="O56" s="2"/>
      <c r="P56" s="19"/>
      <c r="Q56" s="19"/>
      <c r="R56" s="19"/>
      <c r="S56" s="19"/>
      <c r="T56" s="19"/>
      <c r="U56" s="19"/>
      <c r="V56" s="19"/>
      <c r="W56" s="2"/>
      <c r="X56" s="2"/>
      <c r="Y56" s="2"/>
      <c r="Z56" s="7">
        <f t="shared" si="0"/>
        <v>18</v>
      </c>
      <c r="AA56" s="7">
        <v>500</v>
      </c>
      <c r="AB56" s="7">
        <v>0</v>
      </c>
      <c r="AC56" s="8">
        <f t="shared" si="1"/>
        <v>0</v>
      </c>
      <c r="AD56" s="8">
        <v>0</v>
      </c>
      <c r="AE56" s="8">
        <f t="shared" si="2"/>
        <v>0</v>
      </c>
      <c r="AF56" s="8">
        <f t="shared" si="4"/>
        <v>0</v>
      </c>
      <c r="AG56" s="8">
        <v>0</v>
      </c>
      <c r="AH56" s="8">
        <v>0</v>
      </c>
      <c r="AI56" s="8" t="s">
        <v>119</v>
      </c>
      <c r="AJ56" s="8" t="s">
        <v>121</v>
      </c>
      <c r="AQ56" s="1">
        <v>416</v>
      </c>
    </row>
    <row r="57" spans="1:43" s="17" customFormat="1" x14ac:dyDescent="0.25">
      <c r="A57" s="1"/>
      <c r="B57" s="2" t="s">
        <v>87</v>
      </c>
      <c r="C57" s="2" t="s">
        <v>88</v>
      </c>
      <c r="D57" s="2" t="s">
        <v>57</v>
      </c>
      <c r="E57" s="2" t="s">
        <v>54</v>
      </c>
      <c r="F57" s="2">
        <v>4.1000000000000002E-2</v>
      </c>
      <c r="G57" s="2">
        <v>4.1000000000000002E-2</v>
      </c>
      <c r="H57" s="40">
        <f>VLOOKUP(D57,'[2]programa producción LENNOX Cu'!$B$11:$L$63,2,0)</f>
        <v>600</v>
      </c>
      <c r="I57" s="40">
        <v>1585</v>
      </c>
      <c r="J57" s="2"/>
      <c r="K57" s="2"/>
      <c r="L57" s="2"/>
      <c r="M57" s="2"/>
      <c r="N57" s="8">
        <f t="shared" si="3"/>
        <v>965</v>
      </c>
      <c r="O57" s="2">
        <v>250</v>
      </c>
      <c r="P57" s="19"/>
      <c r="Q57" s="19"/>
      <c r="R57" s="19"/>
      <c r="S57" s="19"/>
      <c r="T57" s="19"/>
      <c r="U57" s="19"/>
      <c r="V57" s="19"/>
      <c r="W57" s="2">
        <v>250</v>
      </c>
      <c r="X57" s="2">
        <v>720</v>
      </c>
      <c r="Y57" s="2"/>
      <c r="Z57" s="7">
        <f t="shared" si="0"/>
        <v>89.585000000000008</v>
      </c>
      <c r="AA57" s="7">
        <v>500</v>
      </c>
      <c r="AB57" s="7">
        <v>0</v>
      </c>
      <c r="AC57" s="8">
        <f t="shared" si="1"/>
        <v>0</v>
      </c>
      <c r="AD57" s="8">
        <v>0</v>
      </c>
      <c r="AE57" s="8">
        <f t="shared" si="2"/>
        <v>0</v>
      </c>
      <c r="AF57" s="8">
        <f t="shared" si="4"/>
        <v>0</v>
      </c>
      <c r="AG57" s="8">
        <v>0</v>
      </c>
      <c r="AH57" s="8">
        <v>0</v>
      </c>
      <c r="AI57" s="8" t="s">
        <v>119</v>
      </c>
      <c r="AJ57" s="8" t="s">
        <v>121</v>
      </c>
      <c r="AQ57" s="1">
        <v>2200</v>
      </c>
    </row>
    <row r="58" spans="1:43" s="17" customFormat="1" x14ac:dyDescent="0.25">
      <c r="A58" s="1"/>
      <c r="B58" s="2" t="s">
        <v>87</v>
      </c>
      <c r="C58" s="2" t="s">
        <v>88</v>
      </c>
      <c r="D58" s="2" t="s">
        <v>58</v>
      </c>
      <c r="E58" s="2" t="s">
        <v>54</v>
      </c>
      <c r="F58" s="2">
        <v>4.4999999999999998E-2</v>
      </c>
      <c r="G58" s="2">
        <v>4.4999999999999998E-2</v>
      </c>
      <c r="H58" s="40">
        <f>VLOOKUP(D58,'[2]programa producción LENNOX Cu'!$B$11:$L$63,2,0)</f>
        <v>900</v>
      </c>
      <c r="I58" s="40">
        <v>162</v>
      </c>
      <c r="J58" s="2"/>
      <c r="K58" s="2"/>
      <c r="L58" s="2"/>
      <c r="M58" s="2"/>
      <c r="N58" s="8">
        <f t="shared" si="3"/>
        <v>412</v>
      </c>
      <c r="O58" s="2"/>
      <c r="P58" s="19"/>
      <c r="Q58" s="19"/>
      <c r="R58" s="19"/>
      <c r="S58" s="19"/>
      <c r="T58" s="19"/>
      <c r="U58" s="19">
        <v>400</v>
      </c>
      <c r="V58" s="19"/>
      <c r="W58" s="2"/>
      <c r="X58" s="2">
        <v>250</v>
      </c>
      <c r="Y58" s="2"/>
      <c r="Z58" s="7">
        <f t="shared" si="0"/>
        <v>47.79</v>
      </c>
      <c r="AA58" s="7">
        <v>500</v>
      </c>
      <c r="AB58" s="7">
        <v>0</v>
      </c>
      <c r="AC58" s="8">
        <f t="shared" si="1"/>
        <v>0</v>
      </c>
      <c r="AD58" s="8">
        <v>0</v>
      </c>
      <c r="AE58" s="8">
        <f t="shared" si="2"/>
        <v>0</v>
      </c>
      <c r="AF58" s="8">
        <f t="shared" si="4"/>
        <v>0</v>
      </c>
      <c r="AG58" s="8">
        <v>0</v>
      </c>
      <c r="AH58" s="8">
        <v>0</v>
      </c>
      <c r="AI58" s="8" t="s">
        <v>119</v>
      </c>
      <c r="AJ58" s="8" t="s">
        <v>121</v>
      </c>
      <c r="AQ58" s="1">
        <v>1720</v>
      </c>
    </row>
    <row r="59" spans="1:43" s="1" customFormat="1" ht="14.25" hidden="1" customHeight="1" x14ac:dyDescent="0.25">
      <c r="B59" s="2" t="s">
        <v>87</v>
      </c>
      <c r="C59" s="2" t="s">
        <v>88</v>
      </c>
      <c r="D59" s="2" t="s">
        <v>59</v>
      </c>
      <c r="E59" s="2" t="s">
        <v>60</v>
      </c>
      <c r="F59" s="2">
        <v>3.5000000000000003E-2</v>
      </c>
      <c r="G59" s="2">
        <v>3.5000000000000003E-2</v>
      </c>
      <c r="H59" s="40">
        <f>VLOOKUP(D59,'[2]programa producción LENNOX Cu'!$B$11:$L$63,2,0)</f>
        <v>432</v>
      </c>
      <c r="I59" s="40">
        <v>0</v>
      </c>
      <c r="J59" s="2"/>
      <c r="K59" s="2"/>
      <c r="L59" s="2"/>
      <c r="M59" s="2"/>
      <c r="N59" s="8">
        <f t="shared" si="3"/>
        <v>-288</v>
      </c>
      <c r="O59" s="2"/>
      <c r="P59" s="19"/>
      <c r="Q59" s="19">
        <v>288</v>
      </c>
      <c r="R59" s="19">
        <v>288</v>
      </c>
      <c r="S59" s="19">
        <v>144</v>
      </c>
      <c r="T59" s="19"/>
      <c r="U59" s="19"/>
      <c r="V59" s="19"/>
      <c r="W59" s="2"/>
      <c r="X59" s="2"/>
      <c r="Y59" s="2"/>
      <c r="Z59" s="7">
        <f t="shared" si="0"/>
        <v>15.120000000000001</v>
      </c>
      <c r="AA59" s="7">
        <v>144</v>
      </c>
      <c r="AB59" s="7">
        <v>0</v>
      </c>
      <c r="AC59" s="8">
        <f t="shared" si="1"/>
        <v>0</v>
      </c>
      <c r="AD59" s="8">
        <v>0</v>
      </c>
      <c r="AE59" s="8">
        <f t="shared" si="2"/>
        <v>0</v>
      </c>
      <c r="AF59" s="8">
        <f t="shared" si="4"/>
        <v>0</v>
      </c>
      <c r="AG59" s="8" t="s">
        <v>110</v>
      </c>
      <c r="AH59" s="8">
        <f t="shared" ref="AH59:AH78" si="5">+SUM(H59:M59)</f>
        <v>432</v>
      </c>
      <c r="AI59" s="8" t="s">
        <v>119</v>
      </c>
      <c r="AJ59" s="8" t="s">
        <v>121</v>
      </c>
      <c r="AQ59" s="1">
        <v>0</v>
      </c>
    </row>
    <row r="60" spans="1:43" s="1" customFormat="1" hidden="1" x14ac:dyDescent="0.25">
      <c r="B60" s="2" t="s">
        <v>87</v>
      </c>
      <c r="C60" s="2" t="s">
        <v>88</v>
      </c>
      <c r="D60" s="2" t="s">
        <v>61</v>
      </c>
      <c r="E60" s="2" t="s">
        <v>60</v>
      </c>
      <c r="F60" s="2">
        <v>3.5000000000000003E-2</v>
      </c>
      <c r="G60" s="2">
        <v>3.5000000000000003E-2</v>
      </c>
      <c r="H60" s="40"/>
      <c r="I60" s="40">
        <v>0</v>
      </c>
      <c r="J60" s="2"/>
      <c r="K60" s="2"/>
      <c r="L60" s="2"/>
      <c r="M60" s="2"/>
      <c r="N60" s="8">
        <f t="shared" si="3"/>
        <v>0</v>
      </c>
      <c r="O60" s="2"/>
      <c r="P60" s="19"/>
      <c r="Q60" s="19"/>
      <c r="R60" s="19"/>
      <c r="S60" s="19"/>
      <c r="T60" s="19"/>
      <c r="U60" s="19"/>
      <c r="V60" s="19"/>
      <c r="W60" s="2"/>
      <c r="X60" s="2"/>
      <c r="Y60" s="2"/>
      <c r="Z60" s="7">
        <f t="shared" si="0"/>
        <v>0</v>
      </c>
      <c r="AA60" s="7">
        <v>144</v>
      </c>
      <c r="AB60" s="7">
        <v>1</v>
      </c>
      <c r="AC60" s="8">
        <f t="shared" si="1"/>
        <v>0</v>
      </c>
      <c r="AD60" s="8">
        <v>0</v>
      </c>
      <c r="AE60" s="8">
        <f t="shared" si="2"/>
        <v>0</v>
      </c>
      <c r="AF60" s="8">
        <f t="shared" si="4"/>
        <v>0</v>
      </c>
      <c r="AG60" s="8" t="s">
        <v>111</v>
      </c>
      <c r="AH60" s="8">
        <f t="shared" si="5"/>
        <v>0</v>
      </c>
      <c r="AI60" s="8" t="s">
        <v>119</v>
      </c>
      <c r="AJ60" s="8" t="s">
        <v>121</v>
      </c>
      <c r="AQ60" s="1">
        <v>-576</v>
      </c>
    </row>
    <row r="61" spans="1:43" s="1" customFormat="1" hidden="1" x14ac:dyDescent="0.25">
      <c r="B61" s="2" t="s">
        <v>87</v>
      </c>
      <c r="C61" s="2" t="s">
        <v>88</v>
      </c>
      <c r="D61" s="2" t="s">
        <v>62</v>
      </c>
      <c r="E61" s="2" t="s">
        <v>60</v>
      </c>
      <c r="F61" s="2">
        <v>3.5000000000000003E-2</v>
      </c>
      <c r="G61" s="2">
        <v>3.5000000000000003E-2</v>
      </c>
      <c r="H61" s="40"/>
      <c r="I61" s="40">
        <v>0</v>
      </c>
      <c r="J61" s="2"/>
      <c r="K61" s="2"/>
      <c r="L61" s="2"/>
      <c r="M61" s="2"/>
      <c r="N61" s="8">
        <f t="shared" si="3"/>
        <v>0</v>
      </c>
      <c r="O61" s="2"/>
      <c r="P61" s="19"/>
      <c r="Q61" s="19"/>
      <c r="R61" s="19"/>
      <c r="S61" s="19"/>
      <c r="T61" s="19"/>
      <c r="U61" s="19"/>
      <c r="V61" s="19"/>
      <c r="W61" s="2"/>
      <c r="X61" s="2"/>
      <c r="Y61" s="2"/>
      <c r="Z61" s="7">
        <f t="shared" si="0"/>
        <v>0</v>
      </c>
      <c r="AA61" s="7">
        <v>144</v>
      </c>
      <c r="AB61" s="7">
        <v>1</v>
      </c>
      <c r="AC61" s="8">
        <f t="shared" si="1"/>
        <v>0</v>
      </c>
      <c r="AD61" s="8">
        <v>0</v>
      </c>
      <c r="AE61" s="8">
        <f t="shared" si="2"/>
        <v>0</v>
      </c>
      <c r="AF61" s="8">
        <f t="shared" si="4"/>
        <v>0</v>
      </c>
      <c r="AG61" s="8" t="s">
        <v>111</v>
      </c>
      <c r="AH61" s="8">
        <f t="shared" si="5"/>
        <v>0</v>
      </c>
      <c r="AI61" s="8" t="s">
        <v>119</v>
      </c>
      <c r="AJ61" s="8" t="s">
        <v>121</v>
      </c>
      <c r="AQ61" s="1">
        <v>0</v>
      </c>
    </row>
    <row r="62" spans="1:43" s="17" customFormat="1" hidden="1" x14ac:dyDescent="0.25">
      <c r="A62" s="1"/>
      <c r="B62" s="2" t="s">
        <v>87</v>
      </c>
      <c r="C62" s="2" t="s">
        <v>88</v>
      </c>
      <c r="D62" s="2" t="s">
        <v>63</v>
      </c>
      <c r="E62" s="2" t="s">
        <v>60</v>
      </c>
      <c r="F62" s="2">
        <v>3.5000000000000003E-2</v>
      </c>
      <c r="G62" s="2">
        <v>3.5000000000000003E-2</v>
      </c>
      <c r="H62" s="40">
        <f>VLOOKUP(D62,'[2]programa producción LENNOX Cu'!$B$11:$L$63,2,0)</f>
        <v>144</v>
      </c>
      <c r="I62" s="40">
        <v>0</v>
      </c>
      <c r="J62" s="2"/>
      <c r="K62" s="2"/>
      <c r="L62" s="2"/>
      <c r="M62" s="2"/>
      <c r="N62" s="8">
        <f t="shared" si="3"/>
        <v>0</v>
      </c>
      <c r="O62" s="2"/>
      <c r="P62" s="19"/>
      <c r="Q62" s="19"/>
      <c r="R62" s="19"/>
      <c r="S62" s="19"/>
      <c r="T62" s="19">
        <v>144</v>
      </c>
      <c r="U62" s="19"/>
      <c r="V62" s="19"/>
      <c r="W62" s="2"/>
      <c r="X62" s="2"/>
      <c r="Y62" s="2"/>
      <c r="Z62" s="7">
        <f t="shared" si="0"/>
        <v>5.0400000000000009</v>
      </c>
      <c r="AA62" s="7">
        <v>144</v>
      </c>
      <c r="AB62" s="7">
        <v>1</v>
      </c>
      <c r="AC62" s="8">
        <f t="shared" si="1"/>
        <v>144</v>
      </c>
      <c r="AD62" s="8">
        <v>0</v>
      </c>
      <c r="AE62" s="8">
        <f t="shared" si="2"/>
        <v>0</v>
      </c>
      <c r="AF62" s="8">
        <f t="shared" si="4"/>
        <v>0</v>
      </c>
      <c r="AG62" s="8" t="s">
        <v>111</v>
      </c>
      <c r="AH62" s="8">
        <f t="shared" si="5"/>
        <v>144</v>
      </c>
      <c r="AI62" s="8" t="s">
        <v>119</v>
      </c>
      <c r="AJ62" s="8" t="s">
        <v>121</v>
      </c>
      <c r="AQ62" s="1">
        <v>144</v>
      </c>
    </row>
    <row r="63" spans="1:43" s="17" customFormat="1" x14ac:dyDescent="0.25">
      <c r="A63" s="1"/>
      <c r="B63" s="2" t="s">
        <v>87</v>
      </c>
      <c r="C63" s="2" t="s">
        <v>88</v>
      </c>
      <c r="D63" s="2" t="s">
        <v>64</v>
      </c>
      <c r="E63" s="2" t="s">
        <v>60</v>
      </c>
      <c r="F63" s="2">
        <v>3.5000000000000003E-2</v>
      </c>
      <c r="G63" s="2">
        <v>3.5000000000000003E-2</v>
      </c>
      <c r="H63" s="40">
        <f>VLOOKUP(D63,'[2]programa producción LENNOX Cu'!$B$11:$L$63,2,0)</f>
        <v>144</v>
      </c>
      <c r="I63" s="40">
        <v>356</v>
      </c>
      <c r="J63" s="2"/>
      <c r="K63" s="2"/>
      <c r="L63" s="2"/>
      <c r="M63" s="2"/>
      <c r="N63" s="8">
        <f t="shared" si="3"/>
        <v>68</v>
      </c>
      <c r="O63" s="2">
        <v>144</v>
      </c>
      <c r="P63" s="19">
        <v>288</v>
      </c>
      <c r="Q63" s="19"/>
      <c r="R63" s="19"/>
      <c r="S63" s="19"/>
      <c r="T63" s="19"/>
      <c r="U63" s="19"/>
      <c r="V63" s="19"/>
      <c r="W63" s="2"/>
      <c r="X63" s="2"/>
      <c r="Y63" s="2"/>
      <c r="Z63" s="7">
        <f t="shared" si="0"/>
        <v>17.5</v>
      </c>
      <c r="AA63" s="7">
        <v>144</v>
      </c>
      <c r="AB63" s="7">
        <v>1</v>
      </c>
      <c r="AC63" s="8">
        <f t="shared" si="1"/>
        <v>144</v>
      </c>
      <c r="AD63" s="8">
        <v>0</v>
      </c>
      <c r="AE63" s="8">
        <f t="shared" si="2"/>
        <v>0</v>
      </c>
      <c r="AF63" s="8">
        <f t="shared" si="4"/>
        <v>0</v>
      </c>
      <c r="AG63" s="8" t="s">
        <v>111</v>
      </c>
      <c r="AH63" s="8">
        <f t="shared" si="5"/>
        <v>500</v>
      </c>
      <c r="AI63" s="8" t="s">
        <v>119</v>
      </c>
      <c r="AJ63" s="8" t="s">
        <v>121</v>
      </c>
      <c r="AQ63" s="1">
        <v>0</v>
      </c>
    </row>
    <row r="64" spans="1:43" s="17" customFormat="1" hidden="1" x14ac:dyDescent="0.25">
      <c r="A64" s="1"/>
      <c r="B64" s="2" t="s">
        <v>87</v>
      </c>
      <c r="C64" s="2" t="s">
        <v>88</v>
      </c>
      <c r="D64" s="2" t="s">
        <v>65</v>
      </c>
      <c r="E64" s="2" t="s">
        <v>60</v>
      </c>
      <c r="F64" s="2">
        <v>3.5000000000000003E-2</v>
      </c>
      <c r="G64" s="2">
        <v>3.5000000000000003E-2</v>
      </c>
      <c r="H64" s="40">
        <f>VLOOKUP(D64,'[2]programa producción LENNOX Cu'!$B$11:$L$63,2,0)</f>
        <v>288</v>
      </c>
      <c r="I64" s="40">
        <v>144</v>
      </c>
      <c r="J64" s="2"/>
      <c r="K64" s="2"/>
      <c r="L64" s="2"/>
      <c r="M64" s="2"/>
      <c r="N64" s="8">
        <f t="shared" si="3"/>
        <v>0</v>
      </c>
      <c r="O64" s="2"/>
      <c r="P64" s="19">
        <v>144</v>
      </c>
      <c r="Q64" s="19"/>
      <c r="R64" s="19"/>
      <c r="S64" s="19">
        <v>288</v>
      </c>
      <c r="T64" s="19"/>
      <c r="U64" s="19"/>
      <c r="V64" s="19"/>
      <c r="W64" s="2"/>
      <c r="X64" s="2"/>
      <c r="Y64" s="2"/>
      <c r="Z64" s="7">
        <f t="shared" si="0"/>
        <v>15.120000000000001</v>
      </c>
      <c r="AA64" s="7">
        <v>144</v>
      </c>
      <c r="AB64" s="7">
        <v>1</v>
      </c>
      <c r="AC64" s="8">
        <f t="shared" si="1"/>
        <v>288</v>
      </c>
      <c r="AD64" s="8">
        <v>0</v>
      </c>
      <c r="AE64" s="8">
        <f t="shared" si="2"/>
        <v>0</v>
      </c>
      <c r="AF64" s="8">
        <f t="shared" si="4"/>
        <v>0</v>
      </c>
      <c r="AG64" s="8" t="s">
        <v>111</v>
      </c>
      <c r="AH64" s="8">
        <f t="shared" si="5"/>
        <v>432</v>
      </c>
      <c r="AI64" s="8" t="s">
        <v>119</v>
      </c>
      <c r="AJ64" s="8" t="s">
        <v>121</v>
      </c>
      <c r="AQ64" s="1">
        <v>576</v>
      </c>
    </row>
    <row r="65" spans="1:43" s="17" customFormat="1" hidden="1" x14ac:dyDescent="0.25">
      <c r="A65" s="1"/>
      <c r="B65" s="2" t="s">
        <v>87</v>
      </c>
      <c r="C65" s="2" t="s">
        <v>88</v>
      </c>
      <c r="D65" s="2" t="s">
        <v>66</v>
      </c>
      <c r="E65" s="2" t="s">
        <v>60</v>
      </c>
      <c r="F65" s="2">
        <v>3.5000000000000003E-2</v>
      </c>
      <c r="G65" s="2">
        <v>3.5000000000000003E-2</v>
      </c>
      <c r="H65" s="40">
        <f>VLOOKUP(D65,'[2]programa producción LENNOX Cu'!$B$11:$L$63,2,0)</f>
        <v>288</v>
      </c>
      <c r="I65" s="40">
        <v>0</v>
      </c>
      <c r="J65" s="2"/>
      <c r="K65" s="2"/>
      <c r="L65" s="2"/>
      <c r="M65" s="2"/>
      <c r="N65" s="8">
        <f t="shared" si="3"/>
        <v>-144</v>
      </c>
      <c r="O65" s="2"/>
      <c r="P65" s="19"/>
      <c r="Q65" s="19"/>
      <c r="R65" s="19"/>
      <c r="S65" s="19"/>
      <c r="T65" s="19">
        <v>144</v>
      </c>
      <c r="U65" s="19"/>
      <c r="V65" s="19">
        <v>144</v>
      </c>
      <c r="W65" s="2"/>
      <c r="X65" s="2">
        <v>144</v>
      </c>
      <c r="Y65" s="2"/>
      <c r="Z65" s="7">
        <f t="shared" si="0"/>
        <v>10.080000000000002</v>
      </c>
      <c r="AA65" s="7">
        <v>144</v>
      </c>
      <c r="AB65" s="7">
        <v>0</v>
      </c>
      <c r="AC65" s="8">
        <f t="shared" si="1"/>
        <v>0</v>
      </c>
      <c r="AD65" s="8">
        <v>0</v>
      </c>
      <c r="AE65" s="8">
        <f t="shared" si="2"/>
        <v>0</v>
      </c>
      <c r="AF65" s="8">
        <f t="shared" si="4"/>
        <v>0</v>
      </c>
      <c r="AG65" s="8" t="s">
        <v>110</v>
      </c>
      <c r="AH65" s="8">
        <f t="shared" si="5"/>
        <v>288</v>
      </c>
      <c r="AI65" s="8" t="s">
        <v>119</v>
      </c>
      <c r="AJ65" s="8" t="s">
        <v>121</v>
      </c>
      <c r="AQ65" s="1">
        <v>0</v>
      </c>
    </row>
    <row r="66" spans="1:43" s="17" customFormat="1" hidden="1" x14ac:dyDescent="0.25">
      <c r="A66" s="1"/>
      <c r="B66" s="2" t="s">
        <v>87</v>
      </c>
      <c r="C66" s="2" t="s">
        <v>88</v>
      </c>
      <c r="D66" s="2" t="s">
        <v>67</v>
      </c>
      <c r="E66" s="2" t="s">
        <v>60</v>
      </c>
      <c r="F66" s="2">
        <v>3.5000000000000003E-2</v>
      </c>
      <c r="G66" s="2">
        <v>3.5000000000000003E-2</v>
      </c>
      <c r="H66" s="40">
        <f>VLOOKUP(D66,'[2]programa producción LENNOX Cu'!$B$11:$L$63,2,0)</f>
        <v>288</v>
      </c>
      <c r="I66" s="40">
        <v>0</v>
      </c>
      <c r="J66" s="2"/>
      <c r="K66" s="2"/>
      <c r="L66" s="2"/>
      <c r="M66" s="2"/>
      <c r="N66" s="8">
        <f t="shared" si="3"/>
        <v>-144</v>
      </c>
      <c r="O66" s="2"/>
      <c r="P66" s="19"/>
      <c r="Q66" s="19"/>
      <c r="R66" s="19"/>
      <c r="S66" s="19">
        <v>288</v>
      </c>
      <c r="T66" s="19">
        <v>144</v>
      </c>
      <c r="U66" s="19"/>
      <c r="V66" s="19"/>
      <c r="W66" s="2"/>
      <c r="X66" s="2"/>
      <c r="Y66" s="2"/>
      <c r="Z66" s="7">
        <f t="shared" si="0"/>
        <v>10.080000000000002</v>
      </c>
      <c r="AA66" s="7">
        <v>144</v>
      </c>
      <c r="AB66" s="7">
        <v>1</v>
      </c>
      <c r="AC66" s="8">
        <f t="shared" si="1"/>
        <v>288</v>
      </c>
      <c r="AD66" s="8">
        <v>0</v>
      </c>
      <c r="AE66" s="8">
        <f t="shared" si="2"/>
        <v>0</v>
      </c>
      <c r="AF66" s="8">
        <f t="shared" si="4"/>
        <v>0</v>
      </c>
      <c r="AG66" s="8" t="s">
        <v>111</v>
      </c>
      <c r="AH66" s="8">
        <f t="shared" si="5"/>
        <v>288</v>
      </c>
      <c r="AI66" s="8" t="s">
        <v>119</v>
      </c>
      <c r="AJ66" s="8" t="s">
        <v>121</v>
      </c>
      <c r="AQ66" s="1">
        <v>0</v>
      </c>
    </row>
    <row r="67" spans="1:43" s="17" customFormat="1" hidden="1" x14ac:dyDescent="0.25">
      <c r="A67" s="1"/>
      <c r="B67" s="2" t="s">
        <v>87</v>
      </c>
      <c r="C67" s="2" t="s">
        <v>88</v>
      </c>
      <c r="D67" s="2" t="s">
        <v>68</v>
      </c>
      <c r="E67" s="2" t="s">
        <v>60</v>
      </c>
      <c r="F67" s="2">
        <v>3.5000000000000003E-2</v>
      </c>
      <c r="G67" s="2">
        <v>3.5000000000000003E-2</v>
      </c>
      <c r="H67" s="40">
        <f>VLOOKUP(D67,'[2]programa producción LENNOX Cu'!$B$11:$L$63,2,0)</f>
        <v>288</v>
      </c>
      <c r="I67" s="40">
        <v>144</v>
      </c>
      <c r="J67" s="2"/>
      <c r="K67" s="2"/>
      <c r="L67" s="2"/>
      <c r="M67" s="2"/>
      <c r="N67" s="8">
        <f t="shared" si="3"/>
        <v>-288</v>
      </c>
      <c r="O67" s="2"/>
      <c r="P67" s="19">
        <v>144</v>
      </c>
      <c r="Q67" s="19"/>
      <c r="R67" s="19"/>
      <c r="S67" s="19">
        <v>144</v>
      </c>
      <c r="T67" s="19">
        <v>144</v>
      </c>
      <c r="U67" s="19">
        <v>144</v>
      </c>
      <c r="V67" s="19">
        <v>144</v>
      </c>
      <c r="W67" s="2"/>
      <c r="X67" s="2"/>
      <c r="Y67" s="2"/>
      <c r="Z67" s="7">
        <f t="shared" si="0"/>
        <v>15.120000000000001</v>
      </c>
      <c r="AA67" s="7">
        <v>144</v>
      </c>
      <c r="AB67" s="7">
        <v>0</v>
      </c>
      <c r="AC67" s="8">
        <f t="shared" si="1"/>
        <v>0</v>
      </c>
      <c r="AD67" s="8">
        <v>0</v>
      </c>
      <c r="AE67" s="8">
        <f t="shared" si="2"/>
        <v>0</v>
      </c>
      <c r="AF67" s="8">
        <f t="shared" si="4"/>
        <v>0</v>
      </c>
      <c r="AG67" s="8" t="s">
        <v>110</v>
      </c>
      <c r="AH67" s="8">
        <f t="shared" si="5"/>
        <v>432</v>
      </c>
      <c r="AI67" s="8" t="s">
        <v>119</v>
      </c>
      <c r="AJ67" s="8" t="s">
        <v>121</v>
      </c>
      <c r="AQ67" s="1">
        <v>0</v>
      </c>
    </row>
    <row r="68" spans="1:43" s="17" customFormat="1" x14ac:dyDescent="0.25">
      <c r="A68" s="1"/>
      <c r="B68" s="2" t="s">
        <v>87</v>
      </c>
      <c r="C68" s="2" t="s">
        <v>88</v>
      </c>
      <c r="D68" s="2" t="s">
        <v>69</v>
      </c>
      <c r="E68" s="2" t="s">
        <v>60</v>
      </c>
      <c r="F68" s="2">
        <v>3.5000000000000003E-2</v>
      </c>
      <c r="G68" s="2">
        <v>3.5000000000000003E-2</v>
      </c>
      <c r="H68" s="40">
        <f>VLOOKUP(D68,'[2]programa producción LENNOX Cu'!$B$11:$L$63,2,0)</f>
        <v>1008</v>
      </c>
      <c r="I68" s="40">
        <v>0</v>
      </c>
      <c r="J68" s="2"/>
      <c r="K68" s="2"/>
      <c r="L68" s="2"/>
      <c r="M68" s="2"/>
      <c r="N68" s="8">
        <f t="shared" si="3"/>
        <v>144</v>
      </c>
      <c r="O68" s="2">
        <v>144</v>
      </c>
      <c r="P68" s="19"/>
      <c r="Q68" s="19"/>
      <c r="R68" s="19"/>
      <c r="S68" s="19"/>
      <c r="T68" s="19"/>
      <c r="U68" s="19">
        <v>288</v>
      </c>
      <c r="V68" s="19">
        <v>288</v>
      </c>
      <c r="W68" s="2">
        <v>144</v>
      </c>
      <c r="X68" s="2"/>
      <c r="Y68" s="2"/>
      <c r="Z68" s="7">
        <f t="shared" si="0"/>
        <v>35.28</v>
      </c>
      <c r="AA68" s="7">
        <v>144</v>
      </c>
      <c r="AB68" s="7">
        <v>1</v>
      </c>
      <c r="AC68" s="8">
        <f t="shared" si="1"/>
        <v>1008</v>
      </c>
      <c r="AD68" s="8">
        <v>0</v>
      </c>
      <c r="AE68" s="8">
        <f t="shared" si="2"/>
        <v>0</v>
      </c>
      <c r="AF68" s="8">
        <f t="shared" si="4"/>
        <v>0</v>
      </c>
      <c r="AG68" s="8" t="s">
        <v>111</v>
      </c>
      <c r="AH68" s="8">
        <f t="shared" si="5"/>
        <v>1008</v>
      </c>
      <c r="AI68" s="8" t="s">
        <v>119</v>
      </c>
      <c r="AJ68" s="8" t="s">
        <v>121</v>
      </c>
      <c r="AQ68" s="1">
        <v>-144</v>
      </c>
    </row>
    <row r="69" spans="1:43" s="1" customFormat="1" hidden="1" x14ac:dyDescent="0.25">
      <c r="B69" s="2" t="s">
        <v>87</v>
      </c>
      <c r="C69" s="2" t="s">
        <v>88</v>
      </c>
      <c r="D69" s="2" t="s">
        <v>70</v>
      </c>
      <c r="E69" s="2" t="s">
        <v>71</v>
      </c>
      <c r="F69" s="2">
        <v>4.4999999999999998E-2</v>
      </c>
      <c r="G69" s="2">
        <v>4.4999999999999998E-2</v>
      </c>
      <c r="H69" s="40">
        <f>VLOOKUP(D69,'[2]programa producción LENNOX Cu'!$B$11:$L$63,2,0)</f>
        <v>128</v>
      </c>
      <c r="I69" s="40">
        <v>0</v>
      </c>
      <c r="J69" s="2"/>
      <c r="K69" s="2"/>
      <c r="L69" s="2"/>
      <c r="M69" s="2"/>
      <c r="N69" s="8">
        <f t="shared" si="3"/>
        <v>0</v>
      </c>
      <c r="O69" s="2"/>
      <c r="P69" s="19"/>
      <c r="Q69" s="19"/>
      <c r="R69" s="19"/>
      <c r="S69" s="19"/>
      <c r="T69" s="19"/>
      <c r="U69" s="19"/>
      <c r="V69" s="19"/>
      <c r="W69" s="2"/>
      <c r="X69" s="2">
        <v>128</v>
      </c>
      <c r="Y69" s="2"/>
      <c r="Z69" s="7">
        <f t="shared" si="0"/>
        <v>5.76</v>
      </c>
      <c r="AA69" s="7">
        <v>288</v>
      </c>
      <c r="AB69" s="7">
        <v>1</v>
      </c>
      <c r="AC69" s="8">
        <f t="shared" si="1"/>
        <v>128</v>
      </c>
      <c r="AD69" s="8">
        <v>0</v>
      </c>
      <c r="AE69" s="8">
        <f t="shared" si="2"/>
        <v>0</v>
      </c>
      <c r="AF69" s="8">
        <f t="shared" si="4"/>
        <v>0</v>
      </c>
      <c r="AG69" s="8" t="s">
        <v>112</v>
      </c>
      <c r="AH69" s="8">
        <f t="shared" si="5"/>
        <v>128</v>
      </c>
      <c r="AI69" s="8" t="s">
        <v>119</v>
      </c>
      <c r="AJ69" s="8" t="s">
        <v>121</v>
      </c>
      <c r="AQ69" s="1">
        <v>512</v>
      </c>
    </row>
    <row r="70" spans="1:43" s="17" customFormat="1" hidden="1" x14ac:dyDescent="0.25">
      <c r="A70" s="1"/>
      <c r="B70" s="2" t="s">
        <v>87</v>
      </c>
      <c r="C70" s="2" t="s">
        <v>88</v>
      </c>
      <c r="D70" s="2" t="s">
        <v>72</v>
      </c>
      <c r="E70" s="2" t="s">
        <v>71</v>
      </c>
      <c r="F70" s="2">
        <v>4.1000000000000002E-2</v>
      </c>
      <c r="G70" s="2">
        <v>4.1000000000000002E-2</v>
      </c>
      <c r="H70" s="40"/>
      <c r="I70" s="40">
        <v>128</v>
      </c>
      <c r="J70" s="2"/>
      <c r="K70" s="2"/>
      <c r="L70" s="2"/>
      <c r="M70" s="2"/>
      <c r="N70" s="8">
        <f t="shared" si="3"/>
        <v>0</v>
      </c>
      <c r="O70" s="2"/>
      <c r="P70" s="19"/>
      <c r="Q70" s="19"/>
      <c r="R70" s="19">
        <v>128</v>
      </c>
      <c r="S70" s="19"/>
      <c r="T70" s="19"/>
      <c r="U70" s="19"/>
      <c r="V70" s="19"/>
      <c r="W70" s="2"/>
      <c r="X70" s="2"/>
      <c r="Y70" s="2"/>
      <c r="Z70" s="7">
        <f t="shared" ref="Z70:Z78" si="6">+G70*SUM(H70:M70)</f>
        <v>5.2480000000000002</v>
      </c>
      <c r="AA70" s="7">
        <v>288</v>
      </c>
      <c r="AB70" s="7">
        <v>0</v>
      </c>
      <c r="AC70" s="8">
        <f t="shared" ref="AC70:AC78" si="7">+H70*AB70</f>
        <v>0</v>
      </c>
      <c r="AD70" s="8">
        <v>1</v>
      </c>
      <c r="AE70" s="8">
        <f t="shared" ref="AE70:AE78" si="8">+H70*AD70</f>
        <v>0</v>
      </c>
      <c r="AF70" s="8">
        <f t="shared" si="4"/>
        <v>0</v>
      </c>
      <c r="AG70" s="8" t="s">
        <v>113</v>
      </c>
      <c r="AH70" s="8">
        <f t="shared" si="5"/>
        <v>128</v>
      </c>
      <c r="AI70" s="8" t="s">
        <v>119</v>
      </c>
      <c r="AJ70" s="8" t="s">
        <v>121</v>
      </c>
      <c r="AQ70" s="1">
        <v>0</v>
      </c>
    </row>
    <row r="71" spans="1:43" s="1" customFormat="1" hidden="1" x14ac:dyDescent="0.25">
      <c r="B71" s="2" t="s">
        <v>87</v>
      </c>
      <c r="C71" s="2" t="s">
        <v>88</v>
      </c>
      <c r="D71" s="2" t="s">
        <v>73</v>
      </c>
      <c r="E71" s="2" t="s">
        <v>71</v>
      </c>
      <c r="F71" s="2">
        <v>4.4999999999999998E-2</v>
      </c>
      <c r="G71" s="2">
        <v>4.4999999999999998E-2</v>
      </c>
      <c r="H71" s="40"/>
      <c r="I71" s="40">
        <v>0</v>
      </c>
      <c r="J71" s="2"/>
      <c r="K71" s="2"/>
      <c r="L71" s="2"/>
      <c r="M71" s="2"/>
      <c r="N71" s="8">
        <f t="shared" ref="N71:N78" si="9">+H71+I71+J71+K71+L71+M71-SUM(O71:Y71)</f>
        <v>-384</v>
      </c>
      <c r="O71" s="2"/>
      <c r="P71" s="19"/>
      <c r="Q71" s="19"/>
      <c r="R71" s="19">
        <v>128</v>
      </c>
      <c r="S71" s="19">
        <v>256</v>
      </c>
      <c r="T71" s="19"/>
      <c r="U71" s="19"/>
      <c r="V71" s="19"/>
      <c r="W71" s="2"/>
      <c r="X71" s="2"/>
      <c r="Y71" s="2"/>
      <c r="Z71" s="7">
        <f t="shared" si="6"/>
        <v>0</v>
      </c>
      <c r="AA71" s="7">
        <v>288</v>
      </c>
      <c r="AB71" s="7">
        <v>1</v>
      </c>
      <c r="AC71" s="8">
        <f t="shared" si="7"/>
        <v>0</v>
      </c>
      <c r="AD71" s="8">
        <v>0</v>
      </c>
      <c r="AE71" s="8">
        <f t="shared" si="8"/>
        <v>0</v>
      </c>
      <c r="AF71" s="8">
        <f t="shared" ref="AF71:AF78" si="10">+AE71*2</f>
        <v>0</v>
      </c>
      <c r="AG71" s="8" t="s">
        <v>112</v>
      </c>
      <c r="AH71" s="8">
        <f t="shared" si="5"/>
        <v>0</v>
      </c>
      <c r="AI71" s="8" t="s">
        <v>119</v>
      </c>
      <c r="AJ71" s="8" t="s">
        <v>121</v>
      </c>
      <c r="AQ71" s="1">
        <v>0</v>
      </c>
    </row>
    <row r="72" spans="1:43" s="17" customFormat="1" hidden="1" x14ac:dyDescent="0.25">
      <c r="A72" s="1"/>
      <c r="B72" s="2" t="s">
        <v>87</v>
      </c>
      <c r="C72" s="2" t="s">
        <v>88</v>
      </c>
      <c r="D72" s="2" t="s">
        <v>74</v>
      </c>
      <c r="E72" s="2" t="s">
        <v>71</v>
      </c>
      <c r="F72" s="2">
        <v>4.4999999999999998E-2</v>
      </c>
      <c r="G72" s="2">
        <v>4.4999999999999998E-2</v>
      </c>
      <c r="H72" s="40">
        <f>VLOOKUP(D72,'[2]programa producción LENNOX Cu'!$B$11:$L$63,2,0)</f>
        <v>640</v>
      </c>
      <c r="I72" s="40">
        <v>0</v>
      </c>
      <c r="J72" s="2"/>
      <c r="K72" s="2"/>
      <c r="L72" s="2"/>
      <c r="M72" s="2"/>
      <c r="N72" s="8">
        <f t="shared" si="9"/>
        <v>0</v>
      </c>
      <c r="O72" s="2"/>
      <c r="P72" s="19"/>
      <c r="Q72" s="19"/>
      <c r="R72" s="19"/>
      <c r="S72" s="19"/>
      <c r="T72" s="19"/>
      <c r="U72" s="19">
        <v>128</v>
      </c>
      <c r="V72" s="19"/>
      <c r="W72" s="2">
        <v>512</v>
      </c>
      <c r="X72" s="2"/>
      <c r="Y72" s="2"/>
      <c r="Z72" s="7">
        <f t="shared" si="6"/>
        <v>28.799999999999997</v>
      </c>
      <c r="AA72" s="7">
        <v>288</v>
      </c>
      <c r="AB72" s="7">
        <v>1</v>
      </c>
      <c r="AC72" s="8">
        <f t="shared" si="7"/>
        <v>640</v>
      </c>
      <c r="AD72" s="8">
        <v>0</v>
      </c>
      <c r="AE72" s="8">
        <f t="shared" si="8"/>
        <v>0</v>
      </c>
      <c r="AF72" s="8">
        <f t="shared" si="10"/>
        <v>0</v>
      </c>
      <c r="AG72" s="8" t="s">
        <v>114</v>
      </c>
      <c r="AH72" s="8">
        <f t="shared" si="5"/>
        <v>640</v>
      </c>
      <c r="AI72" s="8" t="s">
        <v>119</v>
      </c>
      <c r="AJ72" s="8" t="s">
        <v>121</v>
      </c>
      <c r="AQ72" s="1">
        <v>0</v>
      </c>
    </row>
    <row r="73" spans="1:43" s="17" customFormat="1" hidden="1" x14ac:dyDescent="0.25">
      <c r="A73" s="1"/>
      <c r="B73" s="2" t="s">
        <v>87</v>
      </c>
      <c r="C73" s="2" t="s">
        <v>88</v>
      </c>
      <c r="D73" s="2" t="s">
        <v>75</v>
      </c>
      <c r="E73" s="2" t="s">
        <v>71</v>
      </c>
      <c r="F73" s="2">
        <v>4.4999999999999998E-2</v>
      </c>
      <c r="G73" s="2">
        <v>4.4999999999999998E-2</v>
      </c>
      <c r="H73" s="40"/>
      <c r="I73" s="40">
        <v>0</v>
      </c>
      <c r="J73" s="2"/>
      <c r="K73" s="2"/>
      <c r="L73" s="2"/>
      <c r="M73" s="2"/>
      <c r="N73" s="8">
        <f t="shared" si="9"/>
        <v>-512</v>
      </c>
      <c r="O73" s="2">
        <v>256</v>
      </c>
      <c r="P73" s="19"/>
      <c r="Q73" s="19">
        <v>128</v>
      </c>
      <c r="R73" s="19">
        <v>128</v>
      </c>
      <c r="S73" s="19"/>
      <c r="T73" s="19"/>
      <c r="U73" s="19"/>
      <c r="V73" s="19"/>
      <c r="W73" s="2"/>
      <c r="X73" s="2"/>
      <c r="Y73" s="2"/>
      <c r="Z73" s="7">
        <f t="shared" si="6"/>
        <v>0</v>
      </c>
      <c r="AA73" s="7">
        <v>288</v>
      </c>
      <c r="AB73" s="7">
        <v>1</v>
      </c>
      <c r="AC73" s="8">
        <f t="shared" si="7"/>
        <v>0</v>
      </c>
      <c r="AD73" s="8">
        <v>0</v>
      </c>
      <c r="AE73" s="8">
        <f t="shared" si="8"/>
        <v>0</v>
      </c>
      <c r="AF73" s="8">
        <f t="shared" si="10"/>
        <v>0</v>
      </c>
      <c r="AG73" s="8" t="s">
        <v>115</v>
      </c>
      <c r="AH73" s="8">
        <f t="shared" si="5"/>
        <v>0</v>
      </c>
      <c r="AI73" s="8" t="s">
        <v>119</v>
      </c>
      <c r="AJ73" s="8" t="s">
        <v>121</v>
      </c>
      <c r="AQ73" s="1">
        <v>0</v>
      </c>
    </row>
    <row r="74" spans="1:43" s="17" customFormat="1" hidden="1" x14ac:dyDescent="0.25">
      <c r="A74" s="1"/>
      <c r="B74" s="2" t="s">
        <v>87</v>
      </c>
      <c r="C74" s="2" t="s">
        <v>88</v>
      </c>
      <c r="D74" s="2" t="s">
        <v>76</v>
      </c>
      <c r="E74" s="2" t="s">
        <v>71</v>
      </c>
      <c r="F74" s="2">
        <v>4.4999999999999998E-2</v>
      </c>
      <c r="G74" s="2">
        <v>4.4999999999999998E-2</v>
      </c>
      <c r="H74" s="40"/>
      <c r="I74" s="40">
        <v>128</v>
      </c>
      <c r="J74" s="2"/>
      <c r="K74" s="2"/>
      <c r="L74" s="2"/>
      <c r="M74" s="2"/>
      <c r="N74" s="8">
        <f t="shared" si="9"/>
        <v>-128</v>
      </c>
      <c r="O74" s="2"/>
      <c r="P74" s="19"/>
      <c r="Q74" s="19">
        <v>128</v>
      </c>
      <c r="R74" s="19">
        <v>128</v>
      </c>
      <c r="S74" s="19"/>
      <c r="T74" s="19"/>
      <c r="U74" s="19"/>
      <c r="V74" s="19"/>
      <c r="W74" s="2"/>
      <c r="X74" s="2"/>
      <c r="Y74" s="2"/>
      <c r="Z74" s="7">
        <f t="shared" si="6"/>
        <v>5.76</v>
      </c>
      <c r="AA74" s="7">
        <v>288</v>
      </c>
      <c r="AB74" s="7">
        <v>1</v>
      </c>
      <c r="AC74" s="8">
        <f t="shared" si="7"/>
        <v>0</v>
      </c>
      <c r="AD74" s="8">
        <v>0</v>
      </c>
      <c r="AE74" s="8">
        <f t="shared" si="8"/>
        <v>0</v>
      </c>
      <c r="AF74" s="8">
        <f t="shared" si="10"/>
        <v>0</v>
      </c>
      <c r="AG74" s="8" t="s">
        <v>115</v>
      </c>
      <c r="AH74" s="8">
        <f t="shared" si="5"/>
        <v>128</v>
      </c>
      <c r="AI74" s="8" t="s">
        <v>119</v>
      </c>
      <c r="AJ74" s="8" t="s">
        <v>121</v>
      </c>
      <c r="AQ74" s="1">
        <v>0</v>
      </c>
    </row>
    <row r="75" spans="1:43" s="17" customFormat="1" hidden="1" x14ac:dyDescent="0.25">
      <c r="A75" s="1"/>
      <c r="B75" s="2" t="s">
        <v>87</v>
      </c>
      <c r="C75" s="2" t="s">
        <v>88</v>
      </c>
      <c r="D75" s="2" t="s">
        <v>77</v>
      </c>
      <c r="E75" s="2" t="s">
        <v>71</v>
      </c>
      <c r="F75" s="2">
        <v>4.1000000000000002E-2</v>
      </c>
      <c r="G75" s="2">
        <v>4.1000000000000002E-2</v>
      </c>
      <c r="H75" s="40">
        <f>VLOOKUP(D75,'[2]programa producción LENNOX Cu'!$B$11:$L$63,2,0)</f>
        <v>256</v>
      </c>
      <c r="I75" s="40">
        <v>0</v>
      </c>
      <c r="J75" s="2"/>
      <c r="K75" s="2"/>
      <c r="L75" s="2"/>
      <c r="M75" s="2"/>
      <c r="N75" s="8">
        <f t="shared" si="9"/>
        <v>0</v>
      </c>
      <c r="O75" s="2"/>
      <c r="P75" s="19"/>
      <c r="Q75" s="19"/>
      <c r="R75" s="19"/>
      <c r="S75" s="19"/>
      <c r="T75" s="19">
        <v>128</v>
      </c>
      <c r="U75" s="19">
        <v>128</v>
      </c>
      <c r="V75" s="19"/>
      <c r="W75" s="2"/>
      <c r="X75" s="2"/>
      <c r="Y75" s="2"/>
      <c r="Z75" s="7">
        <f t="shared" si="6"/>
        <v>10.496</v>
      </c>
      <c r="AA75" s="7">
        <v>288</v>
      </c>
      <c r="AB75" s="7">
        <v>0</v>
      </c>
      <c r="AC75" s="8">
        <f t="shared" si="7"/>
        <v>0</v>
      </c>
      <c r="AD75" s="8">
        <v>0</v>
      </c>
      <c r="AE75" s="8">
        <f t="shared" si="8"/>
        <v>0</v>
      </c>
      <c r="AF75" s="8">
        <f t="shared" si="10"/>
        <v>0</v>
      </c>
      <c r="AG75" s="8" t="s">
        <v>116</v>
      </c>
      <c r="AH75" s="8">
        <f t="shared" si="5"/>
        <v>256</v>
      </c>
      <c r="AI75" s="8" t="s">
        <v>119</v>
      </c>
      <c r="AJ75" s="8" t="s">
        <v>121</v>
      </c>
      <c r="AQ75" s="1">
        <v>0</v>
      </c>
    </row>
    <row r="76" spans="1:43" s="17" customFormat="1" x14ac:dyDescent="0.25">
      <c r="A76" s="1"/>
      <c r="B76" s="2" t="s">
        <v>87</v>
      </c>
      <c r="C76" s="2" t="s">
        <v>88</v>
      </c>
      <c r="D76" s="2" t="s">
        <v>78</v>
      </c>
      <c r="E76" s="2" t="s">
        <v>71</v>
      </c>
      <c r="F76" s="2">
        <v>4.4999999999999998E-2</v>
      </c>
      <c r="G76" s="2">
        <v>4.4999999999999998E-2</v>
      </c>
      <c r="H76" s="40"/>
      <c r="I76" s="40">
        <v>640</v>
      </c>
      <c r="J76" s="2"/>
      <c r="K76" s="2"/>
      <c r="L76" s="2"/>
      <c r="M76" s="2"/>
      <c r="N76" s="8">
        <f t="shared" si="9"/>
        <v>128</v>
      </c>
      <c r="O76" s="2"/>
      <c r="P76" s="19"/>
      <c r="Q76" s="19">
        <v>384</v>
      </c>
      <c r="R76" s="19"/>
      <c r="S76" s="19"/>
      <c r="T76" s="19"/>
      <c r="U76" s="19"/>
      <c r="V76" s="19">
        <v>128</v>
      </c>
      <c r="W76" s="2"/>
      <c r="X76" s="2"/>
      <c r="Y76" s="2"/>
      <c r="Z76" s="7">
        <f t="shared" si="6"/>
        <v>28.799999999999997</v>
      </c>
      <c r="AA76" s="7">
        <v>288</v>
      </c>
      <c r="AB76" s="7">
        <v>1</v>
      </c>
      <c r="AC76" s="8">
        <f t="shared" si="7"/>
        <v>0</v>
      </c>
      <c r="AD76" s="8">
        <v>0</v>
      </c>
      <c r="AE76" s="8">
        <f t="shared" si="8"/>
        <v>0</v>
      </c>
      <c r="AF76" s="8">
        <f t="shared" si="10"/>
        <v>0</v>
      </c>
      <c r="AG76" s="8" t="s">
        <v>112</v>
      </c>
      <c r="AH76" s="8">
        <f t="shared" si="5"/>
        <v>640</v>
      </c>
      <c r="AI76" s="8" t="s">
        <v>119</v>
      </c>
      <c r="AJ76" s="8" t="s">
        <v>121</v>
      </c>
      <c r="AQ76" s="1">
        <v>128</v>
      </c>
    </row>
    <row r="77" spans="1:43" s="17" customFormat="1" hidden="1" x14ac:dyDescent="0.25">
      <c r="A77" s="1"/>
      <c r="B77" s="2" t="s">
        <v>87</v>
      </c>
      <c r="C77" s="2" t="s">
        <v>88</v>
      </c>
      <c r="D77" s="2" t="s">
        <v>79</v>
      </c>
      <c r="E77" s="2" t="s">
        <v>71</v>
      </c>
      <c r="F77" s="2">
        <v>4.1000000000000002E-2</v>
      </c>
      <c r="G77" s="2">
        <v>4.1000000000000002E-2</v>
      </c>
      <c r="H77" s="40"/>
      <c r="I77" s="40">
        <v>0</v>
      </c>
      <c r="J77" s="2"/>
      <c r="K77" s="2"/>
      <c r="L77" s="2"/>
      <c r="M77" s="2"/>
      <c r="N77" s="8">
        <f t="shared" si="9"/>
        <v>-256</v>
      </c>
      <c r="O77" s="2"/>
      <c r="P77" s="19"/>
      <c r="Q77" s="19"/>
      <c r="R77" s="19"/>
      <c r="S77" s="19"/>
      <c r="T77" s="19">
        <v>128</v>
      </c>
      <c r="U77" s="19"/>
      <c r="V77" s="19"/>
      <c r="W77" s="2"/>
      <c r="X77" s="2">
        <v>128</v>
      </c>
      <c r="Y77" s="2"/>
      <c r="Z77" s="7">
        <f t="shared" si="6"/>
        <v>0</v>
      </c>
      <c r="AA77" s="7">
        <v>288</v>
      </c>
      <c r="AB77" s="7">
        <v>0</v>
      </c>
      <c r="AC77" s="8">
        <f t="shared" si="7"/>
        <v>0</v>
      </c>
      <c r="AD77" s="8">
        <v>1</v>
      </c>
      <c r="AE77" s="8">
        <f t="shared" si="8"/>
        <v>0</v>
      </c>
      <c r="AF77" s="8">
        <f t="shared" si="10"/>
        <v>0</v>
      </c>
      <c r="AG77" s="8" t="s">
        <v>117</v>
      </c>
      <c r="AH77" s="8">
        <f t="shared" si="5"/>
        <v>0</v>
      </c>
      <c r="AI77" s="8" t="s">
        <v>119</v>
      </c>
      <c r="AJ77" s="8" t="s">
        <v>121</v>
      </c>
      <c r="AQ77" s="1">
        <v>0</v>
      </c>
    </row>
    <row r="78" spans="1:43" s="17" customFormat="1" hidden="1" x14ac:dyDescent="0.25">
      <c r="A78" s="1"/>
      <c r="B78" s="2" t="s">
        <v>87</v>
      </c>
      <c r="C78" s="2" t="s">
        <v>88</v>
      </c>
      <c r="D78" s="2" t="s">
        <v>80</v>
      </c>
      <c r="E78" s="2" t="s">
        <v>71</v>
      </c>
      <c r="F78" s="2">
        <v>4.4999999999999998E-2</v>
      </c>
      <c r="G78" s="2">
        <v>4.4999999999999998E-2</v>
      </c>
      <c r="H78" s="40">
        <f>VLOOKUP(D78,'[2]programa producción LENNOX Cu'!$B$11:$L$63,2,0)</f>
        <v>128</v>
      </c>
      <c r="I78" s="40">
        <v>0</v>
      </c>
      <c r="J78" s="2"/>
      <c r="K78" s="2"/>
      <c r="L78" s="2"/>
      <c r="M78" s="2"/>
      <c r="N78" s="8">
        <f t="shared" si="9"/>
        <v>-105</v>
      </c>
      <c r="O78" s="2"/>
      <c r="P78" s="19"/>
      <c r="Q78" s="19"/>
      <c r="R78" s="19">
        <v>233</v>
      </c>
      <c r="S78" s="19"/>
      <c r="T78" s="19"/>
      <c r="U78" s="19"/>
      <c r="V78" s="19"/>
      <c r="W78" s="2"/>
      <c r="X78" s="2"/>
      <c r="Y78" s="2"/>
      <c r="Z78" s="7">
        <f t="shared" si="6"/>
        <v>5.76</v>
      </c>
      <c r="AA78" s="7">
        <v>288</v>
      </c>
      <c r="AB78" s="7">
        <v>1</v>
      </c>
      <c r="AC78" s="8">
        <f t="shared" si="7"/>
        <v>128</v>
      </c>
      <c r="AD78" s="8">
        <v>0</v>
      </c>
      <c r="AE78" s="8">
        <f t="shared" si="8"/>
        <v>0</v>
      </c>
      <c r="AF78" s="8">
        <f t="shared" si="10"/>
        <v>0</v>
      </c>
      <c r="AG78" s="8" t="s">
        <v>112</v>
      </c>
      <c r="AH78" s="8">
        <f t="shared" si="5"/>
        <v>128</v>
      </c>
      <c r="AI78" s="8" t="s">
        <v>119</v>
      </c>
      <c r="AJ78" s="8" t="s">
        <v>121</v>
      </c>
      <c r="AQ78" s="1">
        <v>0</v>
      </c>
    </row>
    <row r="79" spans="1:43" s="17" customFormat="1" x14ac:dyDescent="0.25">
      <c r="F79" s="1"/>
      <c r="G79" s="4" t="s">
        <v>102</v>
      </c>
      <c r="H79" s="20">
        <f>SUM(H6:H78)</f>
        <v>41432</v>
      </c>
      <c r="I79" s="9">
        <f>SUM(I6:I78)</f>
        <v>17869</v>
      </c>
      <c r="J79" s="9">
        <f>SUM(J6:J78)</f>
        <v>0</v>
      </c>
      <c r="K79" s="9">
        <f t="shared" ref="K79:M79" si="11">SUM(K6:K78)</f>
        <v>0</v>
      </c>
      <c r="L79" s="9">
        <f t="shared" si="11"/>
        <v>0</v>
      </c>
      <c r="M79" s="9">
        <f t="shared" si="11"/>
        <v>0</v>
      </c>
      <c r="N79" s="13">
        <f>SUM(N6:N78)</f>
        <v>17921</v>
      </c>
      <c r="O79" s="9">
        <f t="shared" ref="O79:X79" si="12">SUM(O13:O78)</f>
        <v>2444</v>
      </c>
      <c r="P79" s="9">
        <f t="shared" si="12"/>
        <v>1886</v>
      </c>
      <c r="Q79" s="20">
        <f t="shared" si="12"/>
        <v>2228</v>
      </c>
      <c r="R79" s="20">
        <f t="shared" si="12"/>
        <v>2099</v>
      </c>
      <c r="S79" s="20">
        <f t="shared" si="12"/>
        <v>5633</v>
      </c>
      <c r="T79" s="20">
        <f t="shared" si="12"/>
        <v>1117</v>
      </c>
      <c r="U79" s="20">
        <f t="shared" si="12"/>
        <v>3050</v>
      </c>
      <c r="V79" s="20">
        <f t="shared" si="12"/>
        <v>4639</v>
      </c>
      <c r="W79" s="9">
        <f t="shared" si="12"/>
        <v>3768</v>
      </c>
      <c r="X79" s="9">
        <f t="shared" si="12"/>
        <v>5991</v>
      </c>
      <c r="Y79" s="9">
        <f t="shared" ref="Y79:AF79" si="13">SUM(Y6:Y78)</f>
        <v>1425</v>
      </c>
      <c r="Z79" s="9">
        <f t="shared" si="13"/>
        <v>8485.4790000000012</v>
      </c>
      <c r="AA79" s="9"/>
      <c r="AB79" s="10">
        <f t="shared" si="13"/>
        <v>14</v>
      </c>
      <c r="AC79" s="11">
        <f t="shared" si="13"/>
        <v>2768</v>
      </c>
      <c r="AD79" s="11">
        <f t="shared" si="13"/>
        <v>2</v>
      </c>
      <c r="AE79" s="11">
        <f t="shared" si="13"/>
        <v>0</v>
      </c>
      <c r="AF79" s="11">
        <f t="shared" si="13"/>
        <v>0</v>
      </c>
      <c r="AG79" s="1"/>
      <c r="AH79" s="11">
        <f>SUM(AH6:AH78)</f>
        <v>5572</v>
      </c>
      <c r="AQ79" s="1"/>
    </row>
    <row r="80" spans="1:43" s="1" customFormat="1" x14ac:dyDescent="0.25">
      <c r="G80" s="4" t="s">
        <v>108</v>
      </c>
      <c r="H80" s="91">
        <f>+H79+I79+J79+K79+L79+M79</f>
        <v>59301</v>
      </c>
      <c r="I80" s="91"/>
      <c r="J80" s="91"/>
      <c r="K80" s="91"/>
      <c r="L80" s="91"/>
      <c r="M80" s="91"/>
      <c r="O80" s="108">
        <f>+O79+P79</f>
        <v>4330</v>
      </c>
      <c r="P80" s="86"/>
      <c r="Q80" s="108">
        <f>+Q79+R79</f>
        <v>4327</v>
      </c>
      <c r="R80" s="86"/>
      <c r="S80" s="108">
        <f>+S79+T79</f>
        <v>6750</v>
      </c>
      <c r="T80" s="86"/>
      <c r="U80" s="108">
        <f t="shared" ref="U80" si="14">+U79+V79</f>
        <v>7689</v>
      </c>
      <c r="V80" s="86"/>
      <c r="W80" s="108">
        <f>+W79+X79</f>
        <v>9759</v>
      </c>
      <c r="X80" s="86"/>
      <c r="Y80" s="12">
        <f>+Y79</f>
        <v>1425</v>
      </c>
    </row>
    <row r="81" spans="1:30" s="52" customFormat="1" x14ac:dyDescent="0.25">
      <c r="A81" s="17"/>
      <c r="B81" s="17"/>
      <c r="C81" s="17"/>
      <c r="D81" s="17"/>
      <c r="E81" s="17"/>
      <c r="F81" s="1"/>
      <c r="G81" s="17"/>
      <c r="H81" s="20">
        <f>SUM(H13:H78)</f>
        <v>33432</v>
      </c>
      <c r="I81" s="1">
        <f>SUM(I13:I78)</f>
        <v>8983</v>
      </c>
      <c r="J81" s="1">
        <f t="shared" ref="J81:M81" si="15">SUM(J13:J78)</f>
        <v>0</v>
      </c>
      <c r="K81" s="1">
        <f t="shared" si="15"/>
        <v>0</v>
      </c>
      <c r="L81" s="1">
        <f t="shared" si="15"/>
        <v>0</v>
      </c>
      <c r="M81" s="1">
        <f t="shared" si="15"/>
        <v>0</v>
      </c>
      <c r="N81" s="1"/>
      <c r="O81" s="123">
        <f>SUM(O6:P11)</f>
        <v>2000</v>
      </c>
      <c r="P81" s="123"/>
      <c r="Q81" s="123">
        <f>SUM(Q6:R11)</f>
        <v>0</v>
      </c>
      <c r="R81" s="123"/>
      <c r="S81" s="123">
        <f>SUM(S6:T11)</f>
        <v>0</v>
      </c>
      <c r="T81" s="123"/>
      <c r="U81" s="125">
        <f>SUM(U6:V11)</f>
        <v>2100</v>
      </c>
      <c r="V81" s="125"/>
      <c r="W81" s="123">
        <f>SUM(W6:X11)</f>
        <v>3000</v>
      </c>
      <c r="X81" s="123"/>
      <c r="AD81" s="1"/>
    </row>
    <row r="82" spans="1:30" s="17" customFormat="1" x14ac:dyDescent="0.25">
      <c r="F82" s="1"/>
      <c r="O82" s="123" t="s">
        <v>172</v>
      </c>
      <c r="P82" s="123"/>
      <c r="Q82" s="123"/>
      <c r="R82" s="123"/>
      <c r="S82" s="123"/>
      <c r="T82" s="123"/>
      <c r="U82" s="110"/>
      <c r="V82" s="123"/>
      <c r="W82" s="123"/>
      <c r="X82" s="123"/>
      <c r="AD82" s="1"/>
    </row>
    <row r="83" spans="1:30" s="17" customFormat="1" x14ac:dyDescent="0.25">
      <c r="C83" s="41" t="s">
        <v>143</v>
      </c>
      <c r="D83" s="41" t="s">
        <v>144</v>
      </c>
      <c r="E83" s="41" t="s">
        <v>145</v>
      </c>
      <c r="F83" s="1"/>
      <c r="G83" s="41" t="s">
        <v>163</v>
      </c>
      <c r="AD83" s="1"/>
    </row>
    <row r="84" spans="1:30" s="17" customFormat="1" x14ac:dyDescent="0.25">
      <c r="B84" s="4" t="s">
        <v>138</v>
      </c>
      <c r="C84" s="8">
        <v>42415</v>
      </c>
      <c r="D84" s="2">
        <f>+C84/5</f>
        <v>8483</v>
      </c>
      <c r="E84" s="2">
        <f>+D84/2</f>
        <v>4241.5</v>
      </c>
      <c r="F84" s="1"/>
      <c r="G84" s="53">
        <v>3500</v>
      </c>
      <c r="AD84" s="1"/>
    </row>
    <row r="85" spans="1:30" x14ac:dyDescent="0.25">
      <c r="B85" s="4" t="s">
        <v>142</v>
      </c>
      <c r="C85" s="8">
        <v>12129</v>
      </c>
    </row>
    <row r="86" spans="1:30" x14ac:dyDescent="0.25">
      <c r="B86" s="4" t="s">
        <v>139</v>
      </c>
      <c r="C86" s="2">
        <f>C84-C85</f>
        <v>30286</v>
      </c>
    </row>
    <row r="87" spans="1:30" x14ac:dyDescent="0.25">
      <c r="B87" s="4" t="s">
        <v>136</v>
      </c>
      <c r="C87" s="25">
        <f>+C86/C84</f>
        <v>0.71403984439467172</v>
      </c>
    </row>
    <row r="88" spans="1:30" x14ac:dyDescent="0.25">
      <c r="B88" s="4" t="s">
        <v>137</v>
      </c>
      <c r="C88" s="42">
        <f>+C85/C84</f>
        <v>0.28596015560532828</v>
      </c>
    </row>
    <row r="89" spans="1:30" x14ac:dyDescent="0.25">
      <c r="P89" s="119" t="s">
        <v>169</v>
      </c>
      <c r="Q89" s="119"/>
      <c r="R89" s="119"/>
      <c r="S89" s="119"/>
      <c r="T89" s="119"/>
      <c r="U89" s="120"/>
      <c r="V89" s="119"/>
      <c r="W89" s="119"/>
      <c r="X89" s="119"/>
      <c r="Y89" s="119"/>
      <c r="Z89" s="119"/>
      <c r="AA89" s="119"/>
      <c r="AB89" s="119"/>
    </row>
    <row r="90" spans="1:30" x14ac:dyDescent="0.25">
      <c r="A90" s="71" t="s">
        <v>171</v>
      </c>
      <c r="B90" s="72"/>
      <c r="C90" s="72"/>
      <c r="D90" s="72"/>
      <c r="E90" s="72"/>
      <c r="F90" s="70"/>
      <c r="G90" s="73"/>
      <c r="P90" s="64"/>
      <c r="Q90" s="65"/>
      <c r="R90" s="121">
        <v>46244</v>
      </c>
      <c r="S90" s="122"/>
      <c r="T90" s="121">
        <v>46245</v>
      </c>
      <c r="U90" s="122"/>
      <c r="V90" s="121">
        <v>46246</v>
      </c>
      <c r="W90" s="122"/>
      <c r="X90" s="121">
        <v>46247</v>
      </c>
      <c r="Y90" s="122"/>
      <c r="Z90" s="121">
        <v>46248</v>
      </c>
      <c r="AA90" s="122"/>
      <c r="AB90" s="66"/>
    </row>
    <row r="91" spans="1:30" x14ac:dyDescent="0.25">
      <c r="A91" s="86" t="s">
        <v>173</v>
      </c>
      <c r="B91" s="44">
        <v>46244</v>
      </c>
      <c r="C91" s="44">
        <v>46245</v>
      </c>
      <c r="D91" s="44">
        <v>46246</v>
      </c>
      <c r="E91" s="44">
        <v>46247</v>
      </c>
      <c r="F91" s="44">
        <v>46248</v>
      </c>
      <c r="G91" s="44">
        <v>46249</v>
      </c>
      <c r="P91" s="54"/>
      <c r="Q91" s="55"/>
      <c r="R91" s="46" t="s">
        <v>97</v>
      </c>
      <c r="S91" s="47" t="s">
        <v>98</v>
      </c>
      <c r="T91" s="46" t="s">
        <v>97</v>
      </c>
      <c r="U91" s="47" t="s">
        <v>98</v>
      </c>
      <c r="V91" s="46" t="s">
        <v>97</v>
      </c>
      <c r="W91" s="47" t="s">
        <v>98</v>
      </c>
      <c r="X91" s="46" t="s">
        <v>97</v>
      </c>
      <c r="Y91" s="47" t="s">
        <v>98</v>
      </c>
      <c r="Z91" s="46" t="s">
        <v>97</v>
      </c>
      <c r="AA91" s="47" t="s">
        <v>98</v>
      </c>
      <c r="AB91" s="56"/>
    </row>
    <row r="92" spans="1:30" x14ac:dyDescent="0.25">
      <c r="A92" s="86"/>
      <c r="B92" s="45" t="s">
        <v>148</v>
      </c>
      <c r="C92" s="4" t="s">
        <v>149</v>
      </c>
      <c r="D92" s="4" t="s">
        <v>150</v>
      </c>
      <c r="E92" s="4" t="s">
        <v>151</v>
      </c>
      <c r="F92" s="1" t="s">
        <v>152</v>
      </c>
      <c r="G92" s="4" t="s">
        <v>160</v>
      </c>
      <c r="P92" s="54"/>
      <c r="Q92" s="63" t="s">
        <v>170</v>
      </c>
      <c r="R92" s="45">
        <f>O79/E84</f>
        <v>0.57621124602145468</v>
      </c>
      <c r="S92" s="48">
        <f>P79/E84</f>
        <v>0.44465401391017328</v>
      </c>
      <c r="T92" s="48">
        <f>Q79/E84</f>
        <v>0.52528586584934578</v>
      </c>
      <c r="U92" s="48">
        <f>R79/E84</f>
        <v>0.49487209713544739</v>
      </c>
      <c r="V92" s="48">
        <f>S79/E84</f>
        <v>1.328067900506896</v>
      </c>
      <c r="W92" s="67">
        <f>T79/E84</f>
        <v>0.26335022987150775</v>
      </c>
      <c r="X92" s="45">
        <f>U79/E84</f>
        <v>0.71908522928209362</v>
      </c>
      <c r="Y92" s="45">
        <f>V79/E84</f>
        <v>1.0937168454556172</v>
      </c>
      <c r="Z92" s="45">
        <f>W79/E84</f>
        <v>0.88836496522456676</v>
      </c>
      <c r="AA92" s="45">
        <f>X79/E84</f>
        <v>1.4124720028291877</v>
      </c>
      <c r="AB92" s="56"/>
    </row>
    <row r="93" spans="1:30" x14ac:dyDescent="0.25">
      <c r="A93" s="11" t="s">
        <v>153</v>
      </c>
      <c r="B93" s="35">
        <v>0.1</v>
      </c>
      <c r="C93" s="35">
        <v>0.18</v>
      </c>
      <c r="D93" s="35">
        <v>0.33</v>
      </c>
      <c r="E93" s="35">
        <v>0.51</v>
      </c>
      <c r="G93" s="35">
        <v>0.71</v>
      </c>
      <c r="P93" s="54"/>
      <c r="Q93" s="62" t="s">
        <v>168</v>
      </c>
      <c r="R93" s="116">
        <f>O81/$G$84</f>
        <v>0.5714285714285714</v>
      </c>
      <c r="S93" s="117"/>
      <c r="T93" s="116">
        <f>Q81/$G$84</f>
        <v>0</v>
      </c>
      <c r="U93" s="118"/>
      <c r="V93" s="116">
        <f>S81/$G$84</f>
        <v>0</v>
      </c>
      <c r="W93" s="117"/>
      <c r="X93" s="116">
        <f>U81/$G$84</f>
        <v>0.6</v>
      </c>
      <c r="Y93" s="117"/>
      <c r="Z93" s="116">
        <f>W81/$G$84</f>
        <v>0.8571428571428571</v>
      </c>
      <c r="AA93" s="117"/>
      <c r="AB93" s="57"/>
    </row>
    <row r="94" spans="1:30" x14ac:dyDescent="0.25">
      <c r="A94" s="11" t="s">
        <v>154</v>
      </c>
      <c r="B94" s="35">
        <v>0.9</v>
      </c>
      <c r="C94" s="35">
        <v>0.82</v>
      </c>
      <c r="D94" s="35">
        <v>0.67</v>
      </c>
      <c r="E94" s="35">
        <v>0.49</v>
      </c>
      <c r="G94" s="35">
        <v>0.28999999999999998</v>
      </c>
      <c r="P94" s="58"/>
      <c r="Q94" s="59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1"/>
    </row>
    <row r="95" spans="1:30" x14ac:dyDescent="0.25">
      <c r="A95" s="50"/>
      <c r="B95" s="126" t="s">
        <v>155</v>
      </c>
      <c r="C95" s="113"/>
      <c r="D95" s="113"/>
      <c r="E95" s="113"/>
      <c r="F95" s="113"/>
      <c r="G95" s="127"/>
    </row>
    <row r="98" spans="17:17" x14ac:dyDescent="0.25">
      <c r="Q98" s="17"/>
    </row>
  </sheetData>
  <autoFilter ref="B5:AJ80" xr:uid="{00000000-0009-0000-0000-000005000000}">
    <filterColumn colId="12">
      <filters blank="1">
        <filter val="100"/>
        <filter val="1064"/>
        <filter val="1165"/>
        <filter val="128"/>
        <filter val="144"/>
        <filter val="1473"/>
        <filter val="1700"/>
        <filter val="20,921"/>
        <filter val="200"/>
        <filter val="300"/>
        <filter val="3576"/>
        <filter val="38"/>
        <filter val="398"/>
        <filter val="40"/>
        <filter val="400"/>
        <filter val="412"/>
        <filter val="46"/>
        <filter val="472"/>
        <filter val="500"/>
        <filter val="5865"/>
        <filter val="65"/>
        <filter val="68"/>
        <filter val="700"/>
        <filter val="965"/>
        <filter val="996"/>
      </filters>
    </filterColumn>
  </autoFilter>
  <mergeCells count="33">
    <mergeCell ref="B95:G95"/>
    <mergeCell ref="A91:A92"/>
    <mergeCell ref="R93:S93"/>
    <mergeCell ref="T93:U93"/>
    <mergeCell ref="V93:W93"/>
    <mergeCell ref="X93:Y93"/>
    <mergeCell ref="Z93:AA93"/>
    <mergeCell ref="P89:AB89"/>
    <mergeCell ref="R90:S90"/>
    <mergeCell ref="T90:U90"/>
    <mergeCell ref="V90:W90"/>
    <mergeCell ref="X90:Y90"/>
    <mergeCell ref="Z90:AA90"/>
    <mergeCell ref="O82:X82"/>
    <mergeCell ref="U4:V4"/>
    <mergeCell ref="W4:X4"/>
    <mergeCell ref="H80:M80"/>
    <mergeCell ref="O80:P80"/>
    <mergeCell ref="Q80:R80"/>
    <mergeCell ref="S80:T80"/>
    <mergeCell ref="U80:V80"/>
    <mergeCell ref="W80:X80"/>
    <mergeCell ref="S4:T4"/>
    <mergeCell ref="O81:P81"/>
    <mergeCell ref="Q81:R81"/>
    <mergeCell ref="S81:T81"/>
    <mergeCell ref="U81:V81"/>
    <mergeCell ref="W81:X81"/>
    <mergeCell ref="C2:D2"/>
    <mergeCell ref="B3:B4"/>
    <mergeCell ref="I4:M4"/>
    <mergeCell ref="O4:P4"/>
    <mergeCell ref="Q4:R4"/>
  </mergeCells>
  <conditionalFormatting sqref="R92:AA92">
    <cfRule type="cellIs" dxfId="29" priority="4" operator="between">
      <formula>1</formula>
      <formula>5</formula>
    </cfRule>
    <cfRule type="cellIs" dxfId="28" priority="5" operator="between">
      <formula>0.85</formula>
      <formula>0.99</formula>
    </cfRule>
    <cfRule type="cellIs" dxfId="27" priority="6" operator="between">
      <formula>0</formula>
      <formula>0.84</formula>
    </cfRule>
  </conditionalFormatting>
  <conditionalFormatting sqref="R93:AA93">
    <cfRule type="cellIs" dxfId="26" priority="1" operator="between">
      <formula>1</formula>
      <formula>9</formula>
    </cfRule>
    <cfRule type="cellIs" dxfId="25" priority="2" operator="between">
      <formula>0.85</formula>
      <formula>0.99</formula>
    </cfRule>
    <cfRule type="cellIs" dxfId="24" priority="3" operator="between">
      <formula>0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scale="70"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 filterMode="1">
    <pageSetUpPr fitToPage="1"/>
  </sheetPr>
  <dimension ref="A1:AQ95"/>
  <sheetViews>
    <sheetView zoomScale="80" zoomScaleNormal="85" workbookViewId="0">
      <pane xSplit="14" topLeftCell="O1" activePane="topRight" state="frozen"/>
      <selection activeCell="B2" sqref="B2"/>
      <selection pane="topRight" activeCell="H84" sqref="H84"/>
    </sheetView>
  </sheetViews>
  <sheetFormatPr baseColWidth="10" defaultColWidth="8.7109375" defaultRowHeight="15" x14ac:dyDescent="0.25"/>
  <cols>
    <col min="1" max="1" width="10.140625" style="1" bestFit="1" customWidth="1"/>
    <col min="2" max="2" width="17.7109375" style="1" bestFit="1" customWidth="1"/>
    <col min="3" max="3" width="14.42578125" style="1" bestFit="1" customWidth="1"/>
    <col min="4" max="4" width="19.140625" style="1" customWidth="1"/>
    <col min="5" max="5" width="14.5703125" style="1" bestFit="1" customWidth="1"/>
    <col min="6" max="6" width="17.7109375" style="1" bestFit="1" customWidth="1"/>
    <col min="7" max="7" width="14.85546875" style="1" hidden="1" customWidth="1"/>
    <col min="8" max="8" width="10.7109375" style="1" customWidth="1"/>
    <col min="9" max="9" width="10.140625" style="1" customWidth="1"/>
    <col min="10" max="10" width="12.28515625" style="1" hidden="1" customWidth="1"/>
    <col min="11" max="11" width="10" style="1" hidden="1" customWidth="1"/>
    <col min="12" max="12" width="9" style="1" hidden="1" customWidth="1"/>
    <col min="13" max="13" width="5.5703125" style="1" hidden="1" customWidth="1"/>
    <col min="14" max="14" width="10.140625" style="1" bestFit="1" customWidth="1"/>
    <col min="15" max="16" width="9.140625" style="1" bestFit="1" customWidth="1"/>
    <col min="17" max="27" width="8.7109375" style="1"/>
    <col min="28" max="28" width="8.7109375" style="1" customWidth="1"/>
    <col min="29" max="29" width="8.7109375" style="1"/>
    <col min="30" max="30" width="0" style="1" hidden="1" customWidth="1"/>
    <col min="31" max="32" width="8.7109375" style="1"/>
    <col min="33" max="33" width="10" style="1" bestFit="1" customWidth="1"/>
    <col min="34" max="34" width="10" style="1" customWidth="1"/>
    <col min="35" max="35" width="13" style="1" bestFit="1" customWidth="1"/>
    <col min="36" max="36" width="11.5703125" style="1" bestFit="1" customWidth="1"/>
    <col min="37" max="37" width="8.7109375" style="1"/>
    <col min="38" max="38" width="12.85546875" style="1" customWidth="1"/>
    <col min="39" max="39" width="16.5703125" style="1" customWidth="1"/>
    <col min="40" max="16384" width="8.7109375" style="1"/>
  </cols>
  <sheetData>
    <row r="1" spans="2:43" x14ac:dyDescent="0.25">
      <c r="R1" s="17"/>
      <c r="U1" s="17"/>
    </row>
    <row r="2" spans="2:43" x14ac:dyDescent="0.25">
      <c r="B2" s="4" t="s">
        <v>99</v>
      </c>
      <c r="C2" s="88" t="s">
        <v>100</v>
      </c>
      <c r="D2" s="88"/>
      <c r="R2" s="17"/>
      <c r="U2" s="17"/>
    </row>
    <row r="3" spans="2:43" x14ac:dyDescent="0.25">
      <c r="B3" s="89">
        <f ca="1">TODAY()</f>
        <v>46309</v>
      </c>
      <c r="C3" s="4" t="s">
        <v>97</v>
      </c>
      <c r="D3" s="2" t="s">
        <v>127</v>
      </c>
      <c r="H3" s="4" t="s">
        <v>84</v>
      </c>
      <c r="R3" s="17"/>
      <c r="U3" s="17"/>
    </row>
    <row r="4" spans="2:43" x14ac:dyDescent="0.25">
      <c r="B4" s="89"/>
      <c r="C4" s="4" t="s">
        <v>98</v>
      </c>
      <c r="D4" s="2"/>
      <c r="H4" s="4" t="s">
        <v>85</v>
      </c>
      <c r="I4" s="90" t="s">
        <v>146</v>
      </c>
      <c r="J4" s="90"/>
      <c r="K4" s="90"/>
      <c r="L4" s="90"/>
      <c r="M4" s="90"/>
      <c r="O4" s="87">
        <v>46251</v>
      </c>
      <c r="P4" s="87"/>
      <c r="Q4" s="87">
        <v>46252</v>
      </c>
      <c r="R4" s="87"/>
      <c r="S4" s="87">
        <v>46253</v>
      </c>
      <c r="T4" s="87"/>
      <c r="U4" s="87">
        <v>46254</v>
      </c>
      <c r="V4" s="87"/>
      <c r="W4" s="87">
        <v>46255</v>
      </c>
      <c r="X4" s="87"/>
      <c r="Y4" s="6" t="s">
        <v>92</v>
      </c>
    </row>
    <row r="5" spans="2:43" x14ac:dyDescent="0.25">
      <c r="B5" s="4" t="s">
        <v>0</v>
      </c>
      <c r="C5" s="4" t="s">
        <v>86</v>
      </c>
      <c r="D5" s="4" t="s">
        <v>89</v>
      </c>
      <c r="E5" s="4" t="s">
        <v>81</v>
      </c>
      <c r="F5" s="4" t="s">
        <v>82</v>
      </c>
      <c r="G5" s="4" t="s">
        <v>83</v>
      </c>
      <c r="H5" s="5">
        <v>34</v>
      </c>
      <c r="I5" s="4">
        <v>33</v>
      </c>
      <c r="J5" s="4" t="s">
        <v>91</v>
      </c>
      <c r="K5" s="4" t="s">
        <v>93</v>
      </c>
      <c r="L5" s="4" t="s">
        <v>94</v>
      </c>
      <c r="M5" s="4" t="s">
        <v>95</v>
      </c>
      <c r="N5" s="4" t="s">
        <v>96</v>
      </c>
      <c r="O5" s="4" t="s">
        <v>97</v>
      </c>
      <c r="P5" s="4" t="s">
        <v>98</v>
      </c>
      <c r="Q5" s="4" t="s">
        <v>97</v>
      </c>
      <c r="R5" s="18" t="s">
        <v>98</v>
      </c>
      <c r="S5" s="4" t="s">
        <v>97</v>
      </c>
      <c r="T5" s="4" t="s">
        <v>98</v>
      </c>
      <c r="U5" s="18" t="s">
        <v>97</v>
      </c>
      <c r="V5" s="4" t="s">
        <v>98</v>
      </c>
      <c r="W5" s="4" t="s">
        <v>97</v>
      </c>
      <c r="X5" s="4" t="s">
        <v>98</v>
      </c>
      <c r="Y5" s="4" t="s">
        <v>104</v>
      </c>
      <c r="Z5" s="4" t="s">
        <v>90</v>
      </c>
      <c r="AA5" s="4" t="s">
        <v>126</v>
      </c>
      <c r="AB5" s="4" t="s">
        <v>105</v>
      </c>
      <c r="AC5" s="4" t="s">
        <v>105</v>
      </c>
      <c r="AD5" s="4" t="s">
        <v>106</v>
      </c>
      <c r="AE5" s="4" t="s">
        <v>106</v>
      </c>
      <c r="AF5" s="4" t="s">
        <v>107</v>
      </c>
      <c r="AG5" s="4" t="s">
        <v>109</v>
      </c>
      <c r="AH5" s="4" t="s">
        <v>122</v>
      </c>
      <c r="AI5" s="4" t="s">
        <v>118</v>
      </c>
      <c r="AJ5" s="4" t="s">
        <v>120</v>
      </c>
      <c r="AL5" s="15" t="s">
        <v>123</v>
      </c>
      <c r="AM5" s="15" t="s">
        <v>125</v>
      </c>
      <c r="AN5"/>
    </row>
    <row r="6" spans="2:43" x14ac:dyDescent="0.25">
      <c r="B6" s="2" t="s">
        <v>87</v>
      </c>
      <c r="C6" s="2" t="s">
        <v>88</v>
      </c>
      <c r="D6" s="2" t="s">
        <v>1</v>
      </c>
      <c r="E6" s="2" t="s">
        <v>2</v>
      </c>
      <c r="F6" s="2">
        <v>0.42</v>
      </c>
      <c r="G6" s="3">
        <v>0.02</v>
      </c>
      <c r="H6" s="2">
        <v>3500</v>
      </c>
      <c r="I6" s="2">
        <v>4865</v>
      </c>
      <c r="J6" s="2"/>
      <c r="K6" s="2"/>
      <c r="L6" s="2"/>
      <c r="M6" s="2"/>
      <c r="N6" s="8">
        <f t="shared" ref="N6:N37" si="0">+H6+I6+J6+K6+L6+M6-SUM(O6:Y6)</f>
        <v>3265</v>
      </c>
      <c r="O6" s="2"/>
      <c r="P6" s="2"/>
      <c r="Q6" s="2"/>
      <c r="R6" s="19">
        <v>1800</v>
      </c>
      <c r="S6" s="2"/>
      <c r="T6" s="2">
        <v>3000</v>
      </c>
      <c r="U6" s="19"/>
      <c r="V6" s="2">
        <v>300</v>
      </c>
      <c r="W6" s="2"/>
      <c r="X6" s="2"/>
      <c r="Y6" s="2"/>
      <c r="Z6" s="7">
        <f t="shared" ref="Z6:Z37" si="1">+G6*SUM(H6:M6)</f>
        <v>167.3</v>
      </c>
      <c r="AA6" s="7">
        <v>1000</v>
      </c>
      <c r="AB6" s="7">
        <v>0</v>
      </c>
      <c r="AC6" s="8">
        <f t="shared" ref="AC6:AC37" si="2">+H6*AB6</f>
        <v>0</v>
      </c>
      <c r="AD6" s="8">
        <v>0</v>
      </c>
      <c r="AE6" s="8">
        <f t="shared" ref="AE6:AE37" si="3">+H6*AD6</f>
        <v>0</v>
      </c>
      <c r="AF6" s="8">
        <f>+AE6*2</f>
        <v>0</v>
      </c>
      <c r="AG6" s="8">
        <v>0</v>
      </c>
      <c r="AH6" s="8">
        <v>0</v>
      </c>
      <c r="AI6" s="8" t="s">
        <v>119</v>
      </c>
      <c r="AJ6" s="8" t="s">
        <v>121</v>
      </c>
      <c r="AL6" s="14">
        <v>0</v>
      </c>
      <c r="AM6" s="15">
        <v>0</v>
      </c>
      <c r="AN6"/>
      <c r="AQ6" s="1">
        <v>5600</v>
      </c>
    </row>
    <row r="7" spans="2:43" x14ac:dyDescent="0.25">
      <c r="B7" s="2" t="s">
        <v>87</v>
      </c>
      <c r="C7" s="2" t="s">
        <v>88</v>
      </c>
      <c r="D7" s="2" t="s">
        <v>3</v>
      </c>
      <c r="E7" s="2" t="s">
        <v>2</v>
      </c>
      <c r="F7" s="2">
        <v>0.42</v>
      </c>
      <c r="G7" s="3">
        <v>3.1E-2</v>
      </c>
      <c r="H7" s="2">
        <v>1000</v>
      </c>
      <c r="I7" s="2">
        <v>2576</v>
      </c>
      <c r="J7" s="2"/>
      <c r="K7" s="2"/>
      <c r="L7" s="2"/>
      <c r="M7" s="2"/>
      <c r="N7" s="8">
        <f t="shared" si="0"/>
        <v>2218</v>
      </c>
      <c r="O7" s="2"/>
      <c r="P7" s="2">
        <v>1000</v>
      </c>
      <c r="Q7" s="2"/>
      <c r="R7" s="19"/>
      <c r="S7" s="2"/>
      <c r="T7" s="2"/>
      <c r="U7" s="19"/>
      <c r="V7" s="2">
        <v>358</v>
      </c>
      <c r="W7" s="2"/>
      <c r="X7" s="2"/>
      <c r="Y7" s="2"/>
      <c r="Z7" s="7">
        <f t="shared" si="1"/>
        <v>110.85599999999999</v>
      </c>
      <c r="AA7" s="7">
        <v>1000</v>
      </c>
      <c r="AB7" s="7">
        <v>0</v>
      </c>
      <c r="AC7" s="8">
        <f t="shared" si="2"/>
        <v>0</v>
      </c>
      <c r="AD7" s="8">
        <v>0</v>
      </c>
      <c r="AE7" s="8">
        <f t="shared" si="3"/>
        <v>0</v>
      </c>
      <c r="AF7" s="8">
        <f t="shared" ref="AF7:AF70" si="4">+AE7*2</f>
        <v>0</v>
      </c>
      <c r="AG7" s="8">
        <v>0</v>
      </c>
      <c r="AH7" s="8">
        <v>0</v>
      </c>
      <c r="AI7" s="8" t="s">
        <v>119</v>
      </c>
      <c r="AJ7" s="8" t="s">
        <v>121</v>
      </c>
      <c r="AL7" s="14" t="s">
        <v>117</v>
      </c>
      <c r="AM7" s="15">
        <v>128</v>
      </c>
      <c r="AN7"/>
      <c r="AQ7" s="1">
        <v>4338</v>
      </c>
    </row>
    <row r="8" spans="2:43" x14ac:dyDescent="0.25">
      <c r="B8" s="2" t="s">
        <v>87</v>
      </c>
      <c r="C8" s="2" t="s">
        <v>88</v>
      </c>
      <c r="D8" s="2" t="s">
        <v>4</v>
      </c>
      <c r="E8" s="2" t="s">
        <v>2</v>
      </c>
      <c r="F8" s="2">
        <v>0.42</v>
      </c>
      <c r="G8" s="3">
        <v>3.3000000000000002E-2</v>
      </c>
      <c r="H8" s="2">
        <v>200</v>
      </c>
      <c r="I8" s="2">
        <v>472</v>
      </c>
      <c r="J8" s="2"/>
      <c r="K8" s="2"/>
      <c r="L8" s="2"/>
      <c r="M8" s="2"/>
      <c r="N8" s="8">
        <f t="shared" si="0"/>
        <v>112</v>
      </c>
      <c r="O8" s="2"/>
      <c r="P8" s="2"/>
      <c r="Q8" s="2"/>
      <c r="R8" s="19"/>
      <c r="S8" s="2"/>
      <c r="T8" s="2"/>
      <c r="U8" s="19"/>
      <c r="V8" s="2">
        <v>560</v>
      </c>
      <c r="W8" s="2"/>
      <c r="X8" s="2"/>
      <c r="Y8" s="2"/>
      <c r="Z8" s="7">
        <f t="shared" si="1"/>
        <v>22.176000000000002</v>
      </c>
      <c r="AA8" s="7">
        <v>1000</v>
      </c>
      <c r="AB8" s="7">
        <v>0</v>
      </c>
      <c r="AC8" s="8">
        <f t="shared" si="2"/>
        <v>0</v>
      </c>
      <c r="AD8" s="8">
        <v>0</v>
      </c>
      <c r="AE8" s="8">
        <f t="shared" si="3"/>
        <v>0</v>
      </c>
      <c r="AF8" s="8">
        <f t="shared" si="4"/>
        <v>0</v>
      </c>
      <c r="AG8" s="8">
        <v>0</v>
      </c>
      <c r="AH8" s="8">
        <v>0</v>
      </c>
      <c r="AI8" s="8" t="s">
        <v>119</v>
      </c>
      <c r="AJ8" s="8" t="s">
        <v>121</v>
      </c>
      <c r="AL8" s="14" t="s">
        <v>113</v>
      </c>
      <c r="AM8" s="15">
        <v>0</v>
      </c>
      <c r="AN8"/>
      <c r="AQ8" s="1">
        <v>1300</v>
      </c>
    </row>
    <row r="9" spans="2:43" hidden="1" x14ac:dyDescent="0.25">
      <c r="B9" s="2" t="s">
        <v>87</v>
      </c>
      <c r="C9" s="2" t="s">
        <v>88</v>
      </c>
      <c r="D9" s="2" t="s">
        <v>5</v>
      </c>
      <c r="E9" s="2" t="s">
        <v>2</v>
      </c>
      <c r="F9" s="2">
        <v>0.42</v>
      </c>
      <c r="G9" s="3">
        <v>1.9E-2</v>
      </c>
      <c r="H9" s="2">
        <v>0</v>
      </c>
      <c r="I9" s="2">
        <v>700</v>
      </c>
      <c r="J9" s="2"/>
      <c r="K9" s="2"/>
      <c r="L9" s="2"/>
      <c r="M9" s="2"/>
      <c r="N9" s="8">
        <f t="shared" si="0"/>
        <v>-222</v>
      </c>
      <c r="O9" s="2"/>
      <c r="P9" s="2"/>
      <c r="Q9" s="2"/>
      <c r="R9" s="19"/>
      <c r="S9" s="2"/>
      <c r="T9" s="2"/>
      <c r="U9" s="19"/>
      <c r="V9" s="2">
        <v>922</v>
      </c>
      <c r="W9" s="2"/>
      <c r="X9" s="2"/>
      <c r="Y9" s="2"/>
      <c r="Z9" s="7">
        <f t="shared" si="1"/>
        <v>13.299999999999999</v>
      </c>
      <c r="AA9" s="7">
        <v>1000</v>
      </c>
      <c r="AB9" s="7">
        <v>0</v>
      </c>
      <c r="AC9" s="8">
        <f t="shared" si="2"/>
        <v>0</v>
      </c>
      <c r="AD9" s="8">
        <v>0</v>
      </c>
      <c r="AE9" s="8">
        <f t="shared" si="3"/>
        <v>0</v>
      </c>
      <c r="AF9" s="8">
        <f t="shared" si="4"/>
        <v>0</v>
      </c>
      <c r="AG9" s="8">
        <v>0</v>
      </c>
      <c r="AH9" s="8">
        <v>0</v>
      </c>
      <c r="AI9" s="8" t="s">
        <v>119</v>
      </c>
      <c r="AJ9" s="8" t="s">
        <v>121</v>
      </c>
      <c r="AL9" s="14" t="s">
        <v>110</v>
      </c>
      <c r="AM9" s="15">
        <v>864</v>
      </c>
      <c r="AN9"/>
      <c r="AQ9" s="1">
        <v>0</v>
      </c>
    </row>
    <row r="10" spans="2:43" hidden="1" x14ac:dyDescent="0.25">
      <c r="B10" s="2" t="s">
        <v>87</v>
      </c>
      <c r="C10" s="2" t="s">
        <v>88</v>
      </c>
      <c r="D10" s="2" t="s">
        <v>6</v>
      </c>
      <c r="E10" s="2" t="s">
        <v>2</v>
      </c>
      <c r="F10" s="2">
        <v>0.42</v>
      </c>
      <c r="G10" s="3">
        <v>0.03</v>
      </c>
      <c r="H10" s="2">
        <v>0</v>
      </c>
      <c r="I10" s="2">
        <v>700</v>
      </c>
      <c r="J10" s="2"/>
      <c r="K10" s="2"/>
      <c r="L10" s="2"/>
      <c r="M10" s="2"/>
      <c r="N10" s="8">
        <f t="shared" si="0"/>
        <v>-365</v>
      </c>
      <c r="O10" s="2"/>
      <c r="P10" s="2"/>
      <c r="Q10" s="2"/>
      <c r="R10" s="19"/>
      <c r="S10" s="2"/>
      <c r="T10" s="2"/>
      <c r="U10" s="19"/>
      <c r="V10" s="2">
        <v>1065</v>
      </c>
      <c r="W10" s="2"/>
      <c r="X10" s="2"/>
      <c r="Y10" s="2"/>
      <c r="Z10" s="7">
        <f t="shared" si="1"/>
        <v>21</v>
      </c>
      <c r="AA10" s="7">
        <v>1000</v>
      </c>
      <c r="AB10" s="7">
        <v>0</v>
      </c>
      <c r="AC10" s="8">
        <f t="shared" si="2"/>
        <v>0</v>
      </c>
      <c r="AD10" s="8">
        <v>0</v>
      </c>
      <c r="AE10" s="8">
        <f t="shared" si="3"/>
        <v>0</v>
      </c>
      <c r="AF10" s="8">
        <f t="shared" si="4"/>
        <v>0</v>
      </c>
      <c r="AG10" s="8">
        <v>0</v>
      </c>
      <c r="AH10" s="8">
        <v>0</v>
      </c>
      <c r="AI10" s="8" t="s">
        <v>119</v>
      </c>
      <c r="AJ10" s="8" t="s">
        <v>121</v>
      </c>
      <c r="AL10" s="14" t="s">
        <v>116</v>
      </c>
      <c r="AM10" s="15">
        <v>0</v>
      </c>
      <c r="AN10"/>
      <c r="AQ10" s="1">
        <v>1000</v>
      </c>
    </row>
    <row r="11" spans="2:43" x14ac:dyDescent="0.25">
      <c r="B11" s="2" t="s">
        <v>87</v>
      </c>
      <c r="C11" s="2" t="s">
        <v>88</v>
      </c>
      <c r="D11" s="2" t="s">
        <v>7</v>
      </c>
      <c r="E11" s="2" t="s">
        <v>2</v>
      </c>
      <c r="F11" s="2">
        <v>0.42</v>
      </c>
      <c r="G11" s="3">
        <v>2.1999999999999999E-2</v>
      </c>
      <c r="H11" s="2">
        <v>1200</v>
      </c>
      <c r="I11" s="2">
        <v>473</v>
      </c>
      <c r="J11" s="2"/>
      <c r="K11" s="2"/>
      <c r="L11" s="2"/>
      <c r="M11" s="2"/>
      <c r="N11" s="8">
        <f t="shared" si="0"/>
        <v>753</v>
      </c>
      <c r="O11" s="2"/>
      <c r="P11" s="2">
        <v>270</v>
      </c>
      <c r="Q11" s="2"/>
      <c r="R11" s="19">
        <v>250</v>
      </c>
      <c r="S11" s="2"/>
      <c r="T11" s="2">
        <v>400</v>
      </c>
      <c r="U11" s="19"/>
      <c r="V11" s="2"/>
      <c r="W11" s="2"/>
      <c r="X11" s="2"/>
      <c r="Y11" s="2"/>
      <c r="Z11" s="7">
        <f t="shared" si="1"/>
        <v>36.805999999999997</v>
      </c>
      <c r="AA11" s="7">
        <v>1000</v>
      </c>
      <c r="AB11" s="7">
        <v>0</v>
      </c>
      <c r="AC11" s="8">
        <f t="shared" si="2"/>
        <v>0</v>
      </c>
      <c r="AD11" s="8">
        <v>0</v>
      </c>
      <c r="AE11" s="8">
        <f t="shared" si="3"/>
        <v>0</v>
      </c>
      <c r="AF11" s="8">
        <f t="shared" si="4"/>
        <v>0</v>
      </c>
      <c r="AG11" s="8">
        <v>0</v>
      </c>
      <c r="AH11" s="8">
        <v>0</v>
      </c>
      <c r="AI11" s="8" t="s">
        <v>119</v>
      </c>
      <c r="AJ11" s="8" t="s">
        <v>121</v>
      </c>
      <c r="AL11" s="14" t="s">
        <v>111</v>
      </c>
      <c r="AM11" s="15">
        <v>7704</v>
      </c>
      <c r="AN11"/>
      <c r="AQ11" s="1">
        <v>1707</v>
      </c>
    </row>
    <row r="12" spans="2:43" hidden="1" x14ac:dyDescent="0.25">
      <c r="B12" s="2" t="s">
        <v>87</v>
      </c>
      <c r="C12" s="2" t="s">
        <v>88</v>
      </c>
      <c r="D12" s="2" t="s">
        <v>8</v>
      </c>
      <c r="E12" s="2" t="s">
        <v>2</v>
      </c>
      <c r="F12" s="2">
        <v>0.42</v>
      </c>
      <c r="G12" s="3">
        <v>2.3E-2</v>
      </c>
      <c r="H12" s="2">
        <v>0</v>
      </c>
      <c r="I12" s="2">
        <v>0</v>
      </c>
      <c r="J12" s="2"/>
      <c r="K12" s="2"/>
      <c r="L12" s="2"/>
      <c r="M12" s="2"/>
      <c r="N12" s="8">
        <f t="shared" si="0"/>
        <v>0</v>
      </c>
      <c r="O12" s="2"/>
      <c r="P12" s="2"/>
      <c r="Q12" s="2"/>
      <c r="R12" s="19"/>
      <c r="S12" s="2"/>
      <c r="T12" s="2"/>
      <c r="U12" s="19"/>
      <c r="V12" s="2"/>
      <c r="W12" s="2"/>
      <c r="X12" s="2"/>
      <c r="Y12" s="2"/>
      <c r="Z12" s="7">
        <f t="shared" si="1"/>
        <v>0</v>
      </c>
      <c r="AA12" s="7">
        <v>1000</v>
      </c>
      <c r="AB12" s="7">
        <v>0</v>
      </c>
      <c r="AC12" s="8">
        <f t="shared" si="2"/>
        <v>0</v>
      </c>
      <c r="AD12" s="8">
        <v>0</v>
      </c>
      <c r="AE12" s="8">
        <f t="shared" si="3"/>
        <v>0</v>
      </c>
      <c r="AF12" s="8">
        <f t="shared" si="4"/>
        <v>0</v>
      </c>
      <c r="AG12" s="8">
        <v>0</v>
      </c>
      <c r="AH12" s="8">
        <v>0</v>
      </c>
      <c r="AI12" s="8" t="s">
        <v>119</v>
      </c>
      <c r="AJ12" s="8" t="s">
        <v>121</v>
      </c>
      <c r="AL12" s="14" t="s">
        <v>112</v>
      </c>
      <c r="AM12" s="15">
        <v>3840</v>
      </c>
      <c r="AN12"/>
      <c r="AQ12" s="1">
        <v>0</v>
      </c>
    </row>
    <row r="13" spans="2:43" x14ac:dyDescent="0.25">
      <c r="B13" s="2" t="s">
        <v>87</v>
      </c>
      <c r="C13" s="2" t="s">
        <v>88</v>
      </c>
      <c r="D13" s="2" t="s">
        <v>9</v>
      </c>
      <c r="E13" s="2" t="s">
        <v>10</v>
      </c>
      <c r="F13" s="2">
        <v>2.8000000000000001E-2</v>
      </c>
      <c r="G13" s="3">
        <v>5.7000000000000002E-2</v>
      </c>
      <c r="H13" s="2">
        <v>500</v>
      </c>
      <c r="I13" s="2">
        <v>0</v>
      </c>
      <c r="J13" s="2"/>
      <c r="K13" s="2"/>
      <c r="L13" s="2"/>
      <c r="M13" s="2"/>
      <c r="N13" s="8">
        <f t="shared" si="0"/>
        <v>500</v>
      </c>
      <c r="O13" s="2"/>
      <c r="P13" s="2"/>
      <c r="Q13" s="2"/>
      <c r="R13" s="19"/>
      <c r="S13" s="2"/>
      <c r="T13" s="2"/>
      <c r="U13" s="19"/>
      <c r="V13" s="2"/>
      <c r="W13" s="2"/>
      <c r="X13" s="2"/>
      <c r="Y13" s="2"/>
      <c r="Z13" s="7">
        <f t="shared" si="1"/>
        <v>28.5</v>
      </c>
      <c r="AA13" s="7">
        <v>1000</v>
      </c>
      <c r="AB13" s="7">
        <v>0</v>
      </c>
      <c r="AC13" s="8">
        <f t="shared" si="2"/>
        <v>0</v>
      </c>
      <c r="AD13" s="8">
        <v>0</v>
      </c>
      <c r="AE13" s="8">
        <f t="shared" si="3"/>
        <v>0</v>
      </c>
      <c r="AF13" s="8">
        <f t="shared" si="4"/>
        <v>0</v>
      </c>
      <c r="AG13" s="8">
        <v>0</v>
      </c>
      <c r="AH13" s="8">
        <v>0</v>
      </c>
      <c r="AI13" s="8" t="s">
        <v>119</v>
      </c>
      <c r="AJ13" s="8" t="s">
        <v>121</v>
      </c>
      <c r="AL13" s="14" t="s">
        <v>114</v>
      </c>
      <c r="AM13" s="15">
        <v>1280</v>
      </c>
      <c r="AN13"/>
      <c r="AQ13" s="1">
        <v>-3900</v>
      </c>
    </row>
    <row r="14" spans="2:43" x14ac:dyDescent="0.25">
      <c r="B14" s="2" t="s">
        <v>87</v>
      </c>
      <c r="C14" s="2" t="s">
        <v>88</v>
      </c>
      <c r="D14" s="2" t="s">
        <v>11</v>
      </c>
      <c r="E14" s="2" t="s">
        <v>10</v>
      </c>
      <c r="F14" s="2">
        <v>2.8000000000000001E-2</v>
      </c>
      <c r="G14" s="3">
        <v>4.3999999999999997E-2</v>
      </c>
      <c r="H14" s="2">
        <v>3900</v>
      </c>
      <c r="I14" s="2">
        <v>0</v>
      </c>
      <c r="J14" s="2"/>
      <c r="K14" s="2"/>
      <c r="L14" s="2"/>
      <c r="M14" s="2"/>
      <c r="N14" s="8">
        <f t="shared" si="0"/>
        <v>200</v>
      </c>
      <c r="O14" s="2">
        <v>200</v>
      </c>
      <c r="P14" s="2"/>
      <c r="Q14" s="2"/>
      <c r="R14" s="19"/>
      <c r="S14" s="2"/>
      <c r="T14" s="2">
        <v>600</v>
      </c>
      <c r="U14" s="19">
        <v>1800</v>
      </c>
      <c r="V14" s="2">
        <v>1100</v>
      </c>
      <c r="W14" s="2"/>
      <c r="X14" s="2"/>
      <c r="Y14" s="2"/>
      <c r="Z14" s="7">
        <f t="shared" si="1"/>
        <v>171.6</v>
      </c>
      <c r="AA14" s="7">
        <v>1000</v>
      </c>
      <c r="AB14" s="7">
        <v>0</v>
      </c>
      <c r="AC14" s="8">
        <f t="shared" si="2"/>
        <v>0</v>
      </c>
      <c r="AD14" s="8">
        <v>0</v>
      </c>
      <c r="AE14" s="8">
        <f t="shared" si="3"/>
        <v>0</v>
      </c>
      <c r="AF14" s="8">
        <f t="shared" si="4"/>
        <v>0</v>
      </c>
      <c r="AG14" s="8">
        <v>0</v>
      </c>
      <c r="AH14" s="8">
        <v>0</v>
      </c>
      <c r="AI14" s="8" t="s">
        <v>119</v>
      </c>
      <c r="AJ14" s="8" t="s">
        <v>121</v>
      </c>
      <c r="AL14" s="14" t="s">
        <v>115</v>
      </c>
      <c r="AM14" s="15">
        <v>384</v>
      </c>
      <c r="AN14"/>
      <c r="AQ14" s="1">
        <v>-2966</v>
      </c>
    </row>
    <row r="15" spans="2:43" x14ac:dyDescent="0.25">
      <c r="B15" s="2" t="s">
        <v>87</v>
      </c>
      <c r="C15" s="2" t="s">
        <v>88</v>
      </c>
      <c r="D15" s="2" t="s">
        <v>12</v>
      </c>
      <c r="E15" s="2" t="s">
        <v>10</v>
      </c>
      <c r="F15" s="2">
        <v>2.8000000000000001E-2</v>
      </c>
      <c r="G15" s="3">
        <v>1.4999999999999999E-2</v>
      </c>
      <c r="H15" s="2">
        <v>2400</v>
      </c>
      <c r="I15" s="2">
        <v>1700</v>
      </c>
      <c r="J15" s="2"/>
      <c r="K15" s="2"/>
      <c r="L15" s="2"/>
      <c r="M15" s="2"/>
      <c r="N15" s="8">
        <f t="shared" si="0"/>
        <v>700</v>
      </c>
      <c r="O15" s="2"/>
      <c r="P15" s="2">
        <v>600</v>
      </c>
      <c r="Q15" s="2">
        <v>1800</v>
      </c>
      <c r="R15" s="19">
        <v>700</v>
      </c>
      <c r="S15" s="2"/>
      <c r="T15" s="2"/>
      <c r="U15" s="19"/>
      <c r="V15" s="2"/>
      <c r="W15" s="2"/>
      <c r="X15" s="2">
        <v>300</v>
      </c>
      <c r="Y15" s="2"/>
      <c r="Z15" s="7">
        <f t="shared" si="1"/>
        <v>61.5</v>
      </c>
      <c r="AA15" s="7">
        <v>1000</v>
      </c>
      <c r="AB15" s="7">
        <v>0</v>
      </c>
      <c r="AC15" s="8">
        <f t="shared" si="2"/>
        <v>0</v>
      </c>
      <c r="AD15" s="8">
        <v>0</v>
      </c>
      <c r="AE15" s="8">
        <f t="shared" si="3"/>
        <v>0</v>
      </c>
      <c r="AF15" s="8">
        <f t="shared" si="4"/>
        <v>0</v>
      </c>
      <c r="AG15" s="8">
        <v>0</v>
      </c>
      <c r="AH15" s="8">
        <v>0</v>
      </c>
      <c r="AI15" s="8" t="s">
        <v>119</v>
      </c>
      <c r="AJ15" s="8" t="s">
        <v>121</v>
      </c>
      <c r="AL15" s="14" t="s">
        <v>124</v>
      </c>
      <c r="AM15" s="15">
        <v>14200</v>
      </c>
      <c r="AN15"/>
      <c r="AQ15" s="1">
        <v>2400</v>
      </c>
    </row>
    <row r="16" spans="2:43" hidden="1" x14ac:dyDescent="0.25">
      <c r="B16" s="2" t="s">
        <v>87</v>
      </c>
      <c r="C16" s="2" t="s">
        <v>88</v>
      </c>
      <c r="D16" s="2" t="s">
        <v>13</v>
      </c>
      <c r="E16" s="2" t="s">
        <v>10</v>
      </c>
      <c r="F16" s="2">
        <v>2.8000000000000001E-2</v>
      </c>
      <c r="G16" s="3">
        <v>1.9E-2</v>
      </c>
      <c r="H16" s="2">
        <v>0</v>
      </c>
      <c r="I16" s="2">
        <v>0</v>
      </c>
      <c r="J16" s="2"/>
      <c r="K16" s="2"/>
      <c r="L16" s="2"/>
      <c r="M16" s="2"/>
      <c r="N16" s="8">
        <f t="shared" si="0"/>
        <v>0</v>
      </c>
      <c r="O16" s="2"/>
      <c r="P16" s="2"/>
      <c r="Q16" s="2"/>
      <c r="R16" s="19"/>
      <c r="S16" s="2"/>
      <c r="T16" s="2"/>
      <c r="U16" s="19"/>
      <c r="V16" s="2"/>
      <c r="W16" s="2"/>
      <c r="X16" s="2"/>
      <c r="Y16" s="2"/>
      <c r="Z16" s="7">
        <f t="shared" si="1"/>
        <v>0</v>
      </c>
      <c r="AA16" s="7">
        <v>1000</v>
      </c>
      <c r="AB16" s="7">
        <v>0</v>
      </c>
      <c r="AC16" s="8">
        <f t="shared" si="2"/>
        <v>0</v>
      </c>
      <c r="AD16" s="8">
        <v>0</v>
      </c>
      <c r="AE16" s="8">
        <f t="shared" si="3"/>
        <v>0</v>
      </c>
      <c r="AF16" s="8">
        <f t="shared" si="4"/>
        <v>0</v>
      </c>
      <c r="AG16" s="8">
        <v>0</v>
      </c>
      <c r="AH16" s="8">
        <v>0</v>
      </c>
      <c r="AI16" s="8" t="s">
        <v>119</v>
      </c>
      <c r="AJ16" s="8" t="s">
        <v>121</v>
      </c>
      <c r="AL16"/>
      <c r="AM16"/>
      <c r="AN16"/>
      <c r="AQ16" s="1">
        <v>400</v>
      </c>
    </row>
    <row r="17" spans="2:43" hidden="1" x14ac:dyDescent="0.25">
      <c r="B17" s="2" t="s">
        <v>87</v>
      </c>
      <c r="C17" s="2" t="s">
        <v>88</v>
      </c>
      <c r="D17" s="2" t="s">
        <v>14</v>
      </c>
      <c r="E17" s="2" t="s">
        <v>10</v>
      </c>
      <c r="F17" s="2">
        <v>2.8000000000000001E-2</v>
      </c>
      <c r="G17" s="3">
        <v>2.4E-2</v>
      </c>
      <c r="H17" s="2">
        <v>2100</v>
      </c>
      <c r="I17" s="2">
        <v>500</v>
      </c>
      <c r="J17" s="2"/>
      <c r="K17" s="2"/>
      <c r="L17" s="2"/>
      <c r="M17" s="2"/>
      <c r="N17" s="8">
        <f t="shared" si="0"/>
        <v>0</v>
      </c>
      <c r="O17" s="2">
        <v>500</v>
      </c>
      <c r="P17" s="2"/>
      <c r="Q17" s="2"/>
      <c r="R17" s="19"/>
      <c r="S17" s="2">
        <v>1800</v>
      </c>
      <c r="T17" s="2"/>
      <c r="U17" s="19"/>
      <c r="V17" s="2"/>
      <c r="W17" s="2"/>
      <c r="X17" s="2">
        <v>300</v>
      </c>
      <c r="Y17" s="2"/>
      <c r="Z17" s="7">
        <f t="shared" si="1"/>
        <v>62.4</v>
      </c>
      <c r="AA17" s="7">
        <v>1000</v>
      </c>
      <c r="AB17" s="7">
        <v>0</v>
      </c>
      <c r="AC17" s="8">
        <f t="shared" si="2"/>
        <v>0</v>
      </c>
      <c r="AD17" s="8">
        <v>0</v>
      </c>
      <c r="AE17" s="8">
        <f t="shared" si="3"/>
        <v>0</v>
      </c>
      <c r="AF17" s="8">
        <f t="shared" si="4"/>
        <v>0</v>
      </c>
      <c r="AG17" s="8">
        <v>0</v>
      </c>
      <c r="AH17" s="8">
        <v>0</v>
      </c>
      <c r="AI17" s="8" t="s">
        <v>119</v>
      </c>
      <c r="AJ17" s="8" t="s">
        <v>121</v>
      </c>
      <c r="AL17"/>
      <c r="AM17"/>
      <c r="AN17"/>
      <c r="AQ17" s="1">
        <v>3600</v>
      </c>
    </row>
    <row r="18" spans="2:43" hidden="1" x14ac:dyDescent="0.25">
      <c r="B18" s="2" t="s">
        <v>87</v>
      </c>
      <c r="C18" s="2" t="s">
        <v>88</v>
      </c>
      <c r="D18" s="2" t="s">
        <v>15</v>
      </c>
      <c r="E18" s="2" t="s">
        <v>10</v>
      </c>
      <c r="F18" s="2">
        <v>2.8000000000000001E-2</v>
      </c>
      <c r="G18" s="3">
        <v>1.9E-2</v>
      </c>
      <c r="H18" s="2">
        <v>0</v>
      </c>
      <c r="I18" s="2">
        <v>300</v>
      </c>
      <c r="J18" s="2"/>
      <c r="K18" s="2"/>
      <c r="L18" s="2"/>
      <c r="M18" s="2"/>
      <c r="N18" s="8">
        <f t="shared" si="0"/>
        <v>0</v>
      </c>
      <c r="O18" s="2"/>
      <c r="P18" s="2"/>
      <c r="Q18" s="2"/>
      <c r="R18" s="19"/>
      <c r="S18" s="2"/>
      <c r="T18" s="2">
        <v>300</v>
      </c>
      <c r="U18" s="19"/>
      <c r="V18" s="2"/>
      <c r="W18" s="2"/>
      <c r="X18" s="2"/>
      <c r="Y18" s="2"/>
      <c r="Z18" s="7">
        <f t="shared" si="1"/>
        <v>5.7</v>
      </c>
      <c r="AA18" s="7">
        <v>1000</v>
      </c>
      <c r="AB18" s="7">
        <v>0</v>
      </c>
      <c r="AC18" s="8">
        <f t="shared" si="2"/>
        <v>0</v>
      </c>
      <c r="AD18" s="8">
        <v>0</v>
      </c>
      <c r="AE18" s="8">
        <f t="shared" si="3"/>
        <v>0</v>
      </c>
      <c r="AF18" s="8">
        <f t="shared" si="4"/>
        <v>0</v>
      </c>
      <c r="AG18" s="8">
        <v>0</v>
      </c>
      <c r="AH18" s="8">
        <v>0</v>
      </c>
      <c r="AI18" s="8" t="s">
        <v>119</v>
      </c>
      <c r="AJ18" s="8" t="s">
        <v>121</v>
      </c>
      <c r="AL18"/>
      <c r="AM18"/>
      <c r="AN18"/>
      <c r="AQ18" s="1">
        <v>0</v>
      </c>
    </row>
    <row r="19" spans="2:43" hidden="1" x14ac:dyDescent="0.25">
      <c r="B19" s="2" t="s">
        <v>87</v>
      </c>
      <c r="C19" s="2" t="s">
        <v>88</v>
      </c>
      <c r="D19" s="2" t="s">
        <v>16</v>
      </c>
      <c r="E19" s="2" t="s">
        <v>17</v>
      </c>
      <c r="F19" s="2">
        <v>2.8000000000000001E-2</v>
      </c>
      <c r="G19" s="3">
        <v>8.5999999999999993E-2</v>
      </c>
      <c r="H19" s="2">
        <v>400</v>
      </c>
      <c r="I19" s="2">
        <v>200</v>
      </c>
      <c r="J19" s="2"/>
      <c r="K19" s="2"/>
      <c r="L19" s="2"/>
      <c r="M19" s="2"/>
      <c r="N19" s="8">
        <f t="shared" si="0"/>
        <v>-30</v>
      </c>
      <c r="O19" s="2"/>
      <c r="P19" s="2"/>
      <c r="Q19" s="2">
        <v>210</v>
      </c>
      <c r="R19" s="19"/>
      <c r="S19" s="2"/>
      <c r="T19" s="2"/>
      <c r="U19" s="19">
        <v>420</v>
      </c>
      <c r="V19" s="2"/>
      <c r="W19" s="2"/>
      <c r="X19" s="2"/>
      <c r="Y19" s="2"/>
      <c r="Z19" s="7">
        <f t="shared" si="1"/>
        <v>51.599999999999994</v>
      </c>
      <c r="AA19" s="7">
        <v>100</v>
      </c>
      <c r="AB19" s="7">
        <v>0</v>
      </c>
      <c r="AC19" s="8">
        <f t="shared" si="2"/>
        <v>0</v>
      </c>
      <c r="AD19" s="8">
        <v>0</v>
      </c>
      <c r="AE19" s="8">
        <f t="shared" si="3"/>
        <v>0</v>
      </c>
      <c r="AF19" s="8">
        <f t="shared" si="4"/>
        <v>0</v>
      </c>
      <c r="AG19" s="8">
        <v>0</v>
      </c>
      <c r="AH19" s="8">
        <v>0</v>
      </c>
      <c r="AI19" s="8" t="s">
        <v>119</v>
      </c>
      <c r="AJ19" s="8" t="s">
        <v>121</v>
      </c>
      <c r="AL19"/>
      <c r="AM19"/>
      <c r="AN19"/>
      <c r="AQ19" s="1">
        <v>-55</v>
      </c>
    </row>
    <row r="20" spans="2:43" hidden="1" x14ac:dyDescent="0.25">
      <c r="B20" s="2" t="s">
        <v>87</v>
      </c>
      <c r="C20" s="2" t="s">
        <v>88</v>
      </c>
      <c r="D20" s="2" t="s">
        <v>18</v>
      </c>
      <c r="E20" s="2" t="s">
        <v>17</v>
      </c>
      <c r="F20" s="2">
        <v>2.8000000000000001E-2</v>
      </c>
      <c r="G20" s="3">
        <v>0.11700000000000001</v>
      </c>
      <c r="H20" s="2">
        <v>0</v>
      </c>
      <c r="I20" s="2">
        <v>200</v>
      </c>
      <c r="J20" s="2"/>
      <c r="K20" s="2"/>
      <c r="L20" s="2"/>
      <c r="M20" s="2"/>
      <c r="N20" s="8">
        <f t="shared" si="0"/>
        <v>-11</v>
      </c>
      <c r="O20" s="2">
        <v>100</v>
      </c>
      <c r="P20" s="2">
        <v>111</v>
      </c>
      <c r="Q20" s="2"/>
      <c r="R20" s="19"/>
      <c r="S20" s="2"/>
      <c r="T20" s="2"/>
      <c r="U20" s="19"/>
      <c r="V20" s="2"/>
      <c r="W20" s="2"/>
      <c r="X20" s="2"/>
      <c r="Y20" s="2"/>
      <c r="Z20" s="7">
        <f t="shared" si="1"/>
        <v>23.400000000000002</v>
      </c>
      <c r="AA20" s="7">
        <v>100</v>
      </c>
      <c r="AB20" s="7">
        <v>0</v>
      </c>
      <c r="AC20" s="8">
        <f t="shared" si="2"/>
        <v>0</v>
      </c>
      <c r="AD20" s="8">
        <v>0</v>
      </c>
      <c r="AE20" s="8">
        <f t="shared" si="3"/>
        <v>0</v>
      </c>
      <c r="AF20" s="8">
        <f t="shared" si="4"/>
        <v>0</v>
      </c>
      <c r="AG20" s="8">
        <v>0</v>
      </c>
      <c r="AH20" s="8">
        <v>0</v>
      </c>
      <c r="AI20" s="8" t="s">
        <v>119</v>
      </c>
      <c r="AJ20" s="8" t="s">
        <v>121</v>
      </c>
      <c r="AL20"/>
      <c r="AM20"/>
      <c r="AN20"/>
      <c r="AQ20" s="1">
        <v>0</v>
      </c>
    </row>
    <row r="21" spans="2:43" x14ac:dyDescent="0.25">
      <c r="B21" s="2" t="s">
        <v>87</v>
      </c>
      <c r="C21" s="2" t="s">
        <v>88</v>
      </c>
      <c r="D21" s="2" t="s">
        <v>19</v>
      </c>
      <c r="E21" s="2" t="s">
        <v>17</v>
      </c>
      <c r="F21" s="2">
        <v>2.8000000000000001E-2</v>
      </c>
      <c r="G21" s="3">
        <v>0.129</v>
      </c>
      <c r="H21" s="2">
        <v>600</v>
      </c>
      <c r="I21" s="2">
        <v>100</v>
      </c>
      <c r="J21" s="2"/>
      <c r="K21" s="2"/>
      <c r="L21" s="2"/>
      <c r="M21" s="2"/>
      <c r="N21" s="8">
        <f t="shared" si="0"/>
        <v>265</v>
      </c>
      <c r="O21" s="2"/>
      <c r="P21" s="2"/>
      <c r="Q21" s="2">
        <v>115</v>
      </c>
      <c r="R21" s="19"/>
      <c r="S21" s="2">
        <v>320</v>
      </c>
      <c r="T21" s="2"/>
      <c r="U21" s="19"/>
      <c r="V21" s="2"/>
      <c r="W21" s="2"/>
      <c r="X21" s="2"/>
      <c r="Y21" s="2"/>
      <c r="Z21" s="7">
        <f t="shared" si="1"/>
        <v>90.3</v>
      </c>
      <c r="AA21" s="7">
        <v>100</v>
      </c>
      <c r="AB21" s="7">
        <v>0</v>
      </c>
      <c r="AC21" s="8">
        <f t="shared" si="2"/>
        <v>0</v>
      </c>
      <c r="AD21" s="8">
        <v>0</v>
      </c>
      <c r="AE21" s="8">
        <f t="shared" si="3"/>
        <v>0</v>
      </c>
      <c r="AF21" s="8">
        <f t="shared" si="4"/>
        <v>0</v>
      </c>
      <c r="AG21" s="8">
        <v>0</v>
      </c>
      <c r="AH21" s="8">
        <v>0</v>
      </c>
      <c r="AI21" s="8" t="s">
        <v>119</v>
      </c>
      <c r="AJ21" s="8" t="s">
        <v>121</v>
      </c>
      <c r="AL21"/>
      <c r="AM21"/>
      <c r="AN21"/>
      <c r="AQ21" s="1">
        <v>-25</v>
      </c>
    </row>
    <row r="22" spans="2:43" hidden="1" x14ac:dyDescent="0.25">
      <c r="B22" s="2" t="s">
        <v>87</v>
      </c>
      <c r="C22" s="2" t="s">
        <v>88</v>
      </c>
      <c r="D22" s="2" t="s">
        <v>20</v>
      </c>
      <c r="E22" s="2" t="s">
        <v>17</v>
      </c>
      <c r="F22" s="2">
        <v>2.8000000000000001E-2</v>
      </c>
      <c r="G22" s="3">
        <v>0.11899999999999999</v>
      </c>
      <c r="H22" s="2">
        <v>1200</v>
      </c>
      <c r="I22" s="2">
        <v>0</v>
      </c>
      <c r="J22" s="2"/>
      <c r="K22" s="2"/>
      <c r="L22" s="2"/>
      <c r="M22" s="2"/>
      <c r="N22" s="8">
        <f t="shared" si="0"/>
        <v>-528</v>
      </c>
      <c r="O22" s="2"/>
      <c r="P22" s="2"/>
      <c r="Q22" s="2"/>
      <c r="R22" s="19"/>
      <c r="S22" s="2"/>
      <c r="T22" s="2">
        <v>50</v>
      </c>
      <c r="U22" s="19"/>
      <c r="V22" s="2"/>
      <c r="W22" s="2">
        <v>1200</v>
      </c>
      <c r="X22" s="2">
        <v>478</v>
      </c>
      <c r="Y22" s="2"/>
      <c r="Z22" s="7">
        <f t="shared" si="1"/>
        <v>142.79999999999998</v>
      </c>
      <c r="AA22" s="7">
        <v>100</v>
      </c>
      <c r="AB22" s="7">
        <v>0</v>
      </c>
      <c r="AC22" s="8">
        <f t="shared" si="2"/>
        <v>0</v>
      </c>
      <c r="AD22" s="8">
        <v>0</v>
      </c>
      <c r="AE22" s="8">
        <f t="shared" si="3"/>
        <v>0</v>
      </c>
      <c r="AF22" s="8">
        <f t="shared" si="4"/>
        <v>0</v>
      </c>
      <c r="AG22" s="8">
        <v>0</v>
      </c>
      <c r="AH22" s="8">
        <v>0</v>
      </c>
      <c r="AI22" s="8" t="s">
        <v>119</v>
      </c>
      <c r="AJ22" s="8" t="s">
        <v>121</v>
      </c>
      <c r="AL22"/>
      <c r="AM22"/>
      <c r="AN22"/>
      <c r="AQ22" s="1">
        <v>-250</v>
      </c>
    </row>
    <row r="23" spans="2:43" hidden="1" x14ac:dyDescent="0.25">
      <c r="B23" s="2" t="s">
        <v>87</v>
      </c>
      <c r="C23" s="2" t="s">
        <v>88</v>
      </c>
      <c r="D23" s="2" t="s">
        <v>21</v>
      </c>
      <c r="E23" s="2" t="s">
        <v>17</v>
      </c>
      <c r="F23" s="2">
        <v>2.8000000000000001E-2</v>
      </c>
      <c r="G23" s="3">
        <v>0.127</v>
      </c>
      <c r="H23" s="2">
        <v>700</v>
      </c>
      <c r="I23" s="2">
        <v>0</v>
      </c>
      <c r="J23" s="2"/>
      <c r="K23" s="2"/>
      <c r="L23" s="2"/>
      <c r="M23" s="2"/>
      <c r="N23" s="8">
        <f t="shared" si="0"/>
        <v>-889</v>
      </c>
      <c r="O23" s="2"/>
      <c r="P23" s="2">
        <v>861</v>
      </c>
      <c r="Q23" s="2"/>
      <c r="R23" s="19"/>
      <c r="S23" s="2"/>
      <c r="T23" s="2"/>
      <c r="U23" s="19"/>
      <c r="V23" s="2">
        <v>728</v>
      </c>
      <c r="W23" s="2"/>
      <c r="X23" s="2"/>
      <c r="Y23" s="2"/>
      <c r="Z23" s="7">
        <f t="shared" si="1"/>
        <v>88.9</v>
      </c>
      <c r="AA23" s="7">
        <v>100</v>
      </c>
      <c r="AB23" s="7">
        <v>0</v>
      </c>
      <c r="AC23" s="8">
        <f t="shared" si="2"/>
        <v>0</v>
      </c>
      <c r="AD23" s="8">
        <v>0</v>
      </c>
      <c r="AE23" s="8">
        <f t="shared" si="3"/>
        <v>0</v>
      </c>
      <c r="AF23" s="8">
        <f t="shared" si="4"/>
        <v>0</v>
      </c>
      <c r="AG23" s="8">
        <v>0</v>
      </c>
      <c r="AH23" s="8">
        <v>0</v>
      </c>
      <c r="AI23" s="8" t="s">
        <v>119</v>
      </c>
      <c r="AJ23" s="8" t="s">
        <v>121</v>
      </c>
      <c r="AQ23" s="1">
        <v>0</v>
      </c>
    </row>
    <row r="24" spans="2:43" x14ac:dyDescent="0.25">
      <c r="B24" s="2" t="s">
        <v>87</v>
      </c>
      <c r="C24" s="2" t="s">
        <v>88</v>
      </c>
      <c r="D24" s="2" t="s">
        <v>22</v>
      </c>
      <c r="E24" s="2" t="s">
        <v>17</v>
      </c>
      <c r="F24" s="2">
        <v>2.8000000000000001E-2</v>
      </c>
      <c r="G24" s="3">
        <v>0.114</v>
      </c>
      <c r="H24" s="2">
        <v>1000</v>
      </c>
      <c r="I24" s="2">
        <v>0</v>
      </c>
      <c r="J24" s="2"/>
      <c r="K24" s="2"/>
      <c r="L24" s="2"/>
      <c r="M24" s="2"/>
      <c r="N24" s="8">
        <f t="shared" si="0"/>
        <v>22</v>
      </c>
      <c r="O24" s="2"/>
      <c r="P24" s="2"/>
      <c r="Q24" s="2">
        <v>600</v>
      </c>
      <c r="R24" s="19">
        <v>378</v>
      </c>
      <c r="S24" s="2"/>
      <c r="T24" s="2"/>
      <c r="U24" s="19"/>
      <c r="V24" s="2"/>
      <c r="W24" s="2"/>
      <c r="X24" s="2"/>
      <c r="Y24" s="2"/>
      <c r="Z24" s="7">
        <f t="shared" si="1"/>
        <v>114</v>
      </c>
      <c r="AA24" s="7">
        <v>100</v>
      </c>
      <c r="AB24" s="7">
        <v>0</v>
      </c>
      <c r="AC24" s="8">
        <f t="shared" si="2"/>
        <v>0</v>
      </c>
      <c r="AD24" s="8">
        <v>0</v>
      </c>
      <c r="AE24" s="8">
        <f t="shared" si="3"/>
        <v>0</v>
      </c>
      <c r="AF24" s="8">
        <f t="shared" si="4"/>
        <v>0</v>
      </c>
      <c r="AG24" s="8">
        <v>0</v>
      </c>
      <c r="AH24" s="8">
        <v>0</v>
      </c>
      <c r="AI24" s="8" t="s">
        <v>119</v>
      </c>
      <c r="AJ24" s="8" t="s">
        <v>121</v>
      </c>
      <c r="AQ24" s="1">
        <v>-55</v>
      </c>
    </row>
    <row r="25" spans="2:43" hidden="1" x14ac:dyDescent="0.25">
      <c r="B25" s="2" t="s">
        <v>87</v>
      </c>
      <c r="C25" s="2" t="s">
        <v>88</v>
      </c>
      <c r="D25" s="2" t="s">
        <v>23</v>
      </c>
      <c r="E25" s="2" t="s">
        <v>17</v>
      </c>
      <c r="F25" s="2">
        <v>2.8000000000000001E-2</v>
      </c>
      <c r="G25" s="3">
        <v>6.9000000000000006E-2</v>
      </c>
      <c r="H25" s="2">
        <v>700</v>
      </c>
      <c r="I25" s="2">
        <v>100</v>
      </c>
      <c r="J25" s="2"/>
      <c r="K25" s="2"/>
      <c r="L25" s="2"/>
      <c r="M25" s="2"/>
      <c r="N25" s="8">
        <f t="shared" si="0"/>
        <v>-69</v>
      </c>
      <c r="O25" s="2"/>
      <c r="P25" s="2"/>
      <c r="Q25" s="2">
        <v>120</v>
      </c>
      <c r="R25" s="19"/>
      <c r="S25" s="2">
        <v>200</v>
      </c>
      <c r="T25" s="2">
        <v>549</v>
      </c>
      <c r="U25" s="19"/>
      <c r="V25" s="2"/>
      <c r="W25" s="2"/>
      <c r="X25" s="2"/>
      <c r="Y25" s="2"/>
      <c r="Z25" s="7">
        <f t="shared" si="1"/>
        <v>55.2</v>
      </c>
      <c r="AA25" s="7">
        <v>100</v>
      </c>
      <c r="AB25" s="7">
        <v>0</v>
      </c>
      <c r="AC25" s="8">
        <f t="shared" si="2"/>
        <v>0</v>
      </c>
      <c r="AD25" s="8">
        <v>0</v>
      </c>
      <c r="AE25" s="8">
        <f t="shared" si="3"/>
        <v>0</v>
      </c>
      <c r="AF25" s="8">
        <f t="shared" si="4"/>
        <v>0</v>
      </c>
      <c r="AG25" s="8">
        <v>0</v>
      </c>
      <c r="AH25" s="8">
        <v>0</v>
      </c>
      <c r="AI25" s="8" t="s">
        <v>119</v>
      </c>
      <c r="AJ25" s="8" t="s">
        <v>121</v>
      </c>
      <c r="AQ25" s="1">
        <v>-50</v>
      </c>
    </row>
    <row r="26" spans="2:43" hidden="1" x14ac:dyDescent="0.25">
      <c r="B26" s="2" t="s">
        <v>87</v>
      </c>
      <c r="C26" s="2" t="s">
        <v>88</v>
      </c>
      <c r="D26" s="2" t="s">
        <v>24</v>
      </c>
      <c r="E26" s="2" t="s">
        <v>17</v>
      </c>
      <c r="F26" s="2">
        <v>2.8000000000000001E-2</v>
      </c>
      <c r="G26" s="3">
        <v>0.129</v>
      </c>
      <c r="H26" s="2">
        <v>0</v>
      </c>
      <c r="I26" s="2">
        <v>0</v>
      </c>
      <c r="J26" s="2"/>
      <c r="K26" s="2"/>
      <c r="L26" s="2"/>
      <c r="M26" s="2"/>
      <c r="N26" s="8">
        <f t="shared" si="0"/>
        <v>0</v>
      </c>
      <c r="O26" s="2"/>
      <c r="P26" s="2"/>
      <c r="Q26" s="2"/>
      <c r="R26" s="19"/>
      <c r="S26" s="2"/>
      <c r="T26" s="2"/>
      <c r="U26" s="19"/>
      <c r="V26" s="2"/>
      <c r="W26" s="2"/>
      <c r="X26" s="2"/>
      <c r="Y26" s="2"/>
      <c r="Z26" s="7">
        <f t="shared" si="1"/>
        <v>0</v>
      </c>
      <c r="AA26" s="7">
        <v>100</v>
      </c>
      <c r="AB26" s="7">
        <v>0</v>
      </c>
      <c r="AC26" s="8">
        <f t="shared" si="2"/>
        <v>0</v>
      </c>
      <c r="AD26" s="8">
        <v>0</v>
      </c>
      <c r="AE26" s="8">
        <f t="shared" si="3"/>
        <v>0</v>
      </c>
      <c r="AF26" s="8">
        <f t="shared" si="4"/>
        <v>0</v>
      </c>
      <c r="AG26" s="8">
        <v>0</v>
      </c>
      <c r="AH26" s="8">
        <v>0</v>
      </c>
      <c r="AI26" s="8" t="s">
        <v>119</v>
      </c>
      <c r="AJ26" s="8" t="s">
        <v>121</v>
      </c>
      <c r="AQ26" s="1">
        <v>0</v>
      </c>
    </row>
    <row r="27" spans="2:43" hidden="1" x14ac:dyDescent="0.25">
      <c r="B27" s="2" t="s">
        <v>87</v>
      </c>
      <c r="C27" s="2" t="s">
        <v>88</v>
      </c>
      <c r="D27" s="2" t="s">
        <v>25</v>
      </c>
      <c r="E27" s="2" t="s">
        <v>17</v>
      </c>
      <c r="F27" s="2">
        <v>2.8000000000000001E-2</v>
      </c>
      <c r="G27" s="3">
        <v>7.8E-2</v>
      </c>
      <c r="H27" s="2">
        <v>600</v>
      </c>
      <c r="I27" s="2">
        <v>0</v>
      </c>
      <c r="J27" s="2"/>
      <c r="K27" s="2"/>
      <c r="L27" s="2"/>
      <c r="M27" s="2"/>
      <c r="N27" s="8">
        <f t="shared" si="0"/>
        <v>-638</v>
      </c>
      <c r="O27" s="2"/>
      <c r="P27" s="2"/>
      <c r="Q27" s="2"/>
      <c r="R27" s="19"/>
      <c r="S27" s="2"/>
      <c r="T27" s="2"/>
      <c r="U27" s="19"/>
      <c r="V27" s="2">
        <v>371</v>
      </c>
      <c r="W27" s="2">
        <v>550</v>
      </c>
      <c r="X27" s="2">
        <v>317</v>
      </c>
      <c r="Y27" s="2"/>
      <c r="Z27" s="7">
        <f t="shared" si="1"/>
        <v>46.8</v>
      </c>
      <c r="AA27" s="7">
        <v>100</v>
      </c>
      <c r="AB27" s="7">
        <v>0</v>
      </c>
      <c r="AC27" s="8">
        <f t="shared" si="2"/>
        <v>0</v>
      </c>
      <c r="AD27" s="8">
        <v>0</v>
      </c>
      <c r="AE27" s="8">
        <f t="shared" si="3"/>
        <v>0</v>
      </c>
      <c r="AF27" s="8">
        <f t="shared" si="4"/>
        <v>0</v>
      </c>
      <c r="AG27" s="8">
        <v>0</v>
      </c>
      <c r="AH27" s="8">
        <v>0</v>
      </c>
      <c r="AI27" s="8" t="s">
        <v>119</v>
      </c>
      <c r="AJ27" s="8" t="s">
        <v>121</v>
      </c>
      <c r="AQ27" s="1">
        <v>307</v>
      </c>
    </row>
    <row r="28" spans="2:43" hidden="1" x14ac:dyDescent="0.25">
      <c r="B28" s="2" t="s">
        <v>87</v>
      </c>
      <c r="C28" s="2" t="s">
        <v>88</v>
      </c>
      <c r="D28" s="2" t="s">
        <v>26</v>
      </c>
      <c r="E28" s="2" t="s">
        <v>17</v>
      </c>
      <c r="F28" s="2">
        <v>2.8000000000000001E-2</v>
      </c>
      <c r="G28" s="3">
        <v>0.10100000000000001</v>
      </c>
      <c r="H28" s="2">
        <v>0</v>
      </c>
      <c r="I28" s="2">
        <v>0</v>
      </c>
      <c r="J28" s="2"/>
      <c r="K28" s="2"/>
      <c r="L28" s="2"/>
      <c r="M28" s="2"/>
      <c r="N28" s="8">
        <f t="shared" si="0"/>
        <v>0</v>
      </c>
      <c r="O28" s="2"/>
      <c r="P28" s="2"/>
      <c r="Q28" s="2"/>
      <c r="R28" s="19"/>
      <c r="S28" s="2"/>
      <c r="T28" s="2"/>
      <c r="U28" s="19"/>
      <c r="V28" s="2"/>
      <c r="W28" s="2"/>
      <c r="X28" s="2"/>
      <c r="Y28" s="2"/>
      <c r="Z28" s="7">
        <f t="shared" si="1"/>
        <v>0</v>
      </c>
      <c r="AA28" s="7">
        <v>100</v>
      </c>
      <c r="AB28" s="7">
        <v>0</v>
      </c>
      <c r="AC28" s="8">
        <f t="shared" si="2"/>
        <v>0</v>
      </c>
      <c r="AD28" s="8">
        <v>0</v>
      </c>
      <c r="AE28" s="8">
        <f t="shared" si="3"/>
        <v>0</v>
      </c>
      <c r="AF28" s="8">
        <f t="shared" si="4"/>
        <v>0</v>
      </c>
      <c r="AG28" s="8">
        <v>0</v>
      </c>
      <c r="AH28" s="8">
        <v>0</v>
      </c>
      <c r="AI28" s="8" t="s">
        <v>119</v>
      </c>
      <c r="AJ28" s="8" t="s">
        <v>121</v>
      </c>
      <c r="AQ28" s="1">
        <v>-77</v>
      </c>
    </row>
    <row r="29" spans="2:43" x14ac:dyDescent="0.25">
      <c r="B29" s="2" t="s">
        <v>87</v>
      </c>
      <c r="C29" s="2" t="s">
        <v>88</v>
      </c>
      <c r="D29" s="2" t="s">
        <v>27</v>
      </c>
      <c r="E29" s="2" t="s">
        <v>17</v>
      </c>
      <c r="F29" s="2">
        <v>2.8000000000000001E-2</v>
      </c>
      <c r="G29" s="3">
        <v>7.5999999999999998E-2</v>
      </c>
      <c r="H29" s="2">
        <v>200</v>
      </c>
      <c r="I29" s="2">
        <v>0</v>
      </c>
      <c r="J29" s="2"/>
      <c r="K29" s="2"/>
      <c r="L29" s="2"/>
      <c r="M29" s="2"/>
      <c r="N29" s="8">
        <f t="shared" si="0"/>
        <v>22</v>
      </c>
      <c r="O29" s="2"/>
      <c r="P29" s="2"/>
      <c r="Q29" s="2"/>
      <c r="R29" s="19"/>
      <c r="S29" s="2"/>
      <c r="T29" s="2"/>
      <c r="U29" s="19"/>
      <c r="V29" s="2"/>
      <c r="W29" s="2"/>
      <c r="X29" s="2">
        <v>178</v>
      </c>
      <c r="Y29" s="2"/>
      <c r="Z29" s="7">
        <f t="shared" si="1"/>
        <v>15.2</v>
      </c>
      <c r="AA29" s="7">
        <v>100</v>
      </c>
      <c r="AB29" s="7">
        <v>0</v>
      </c>
      <c r="AC29" s="8">
        <f t="shared" si="2"/>
        <v>0</v>
      </c>
      <c r="AD29" s="8">
        <v>0</v>
      </c>
      <c r="AE29" s="8">
        <f t="shared" si="3"/>
        <v>0</v>
      </c>
      <c r="AF29" s="8">
        <f t="shared" si="4"/>
        <v>0</v>
      </c>
      <c r="AG29" s="8">
        <v>0</v>
      </c>
      <c r="AH29" s="8">
        <v>0</v>
      </c>
      <c r="AI29" s="8" t="s">
        <v>119</v>
      </c>
      <c r="AJ29" s="8" t="s">
        <v>121</v>
      </c>
      <c r="AQ29" s="1">
        <v>300</v>
      </c>
    </row>
    <row r="30" spans="2:43" hidden="1" x14ac:dyDescent="0.25">
      <c r="B30" s="2" t="s">
        <v>87</v>
      </c>
      <c r="C30" s="2" t="s">
        <v>88</v>
      </c>
      <c r="D30" s="2" t="s">
        <v>28</v>
      </c>
      <c r="E30" s="2" t="s">
        <v>17</v>
      </c>
      <c r="F30" s="2">
        <v>2.8000000000000001E-2</v>
      </c>
      <c r="G30" s="3">
        <v>4.2000000000000003E-2</v>
      </c>
      <c r="H30" s="2">
        <v>1200</v>
      </c>
      <c r="I30" s="2">
        <v>200</v>
      </c>
      <c r="J30" s="2"/>
      <c r="K30" s="2"/>
      <c r="L30" s="2"/>
      <c r="M30" s="2"/>
      <c r="N30" s="8">
        <f t="shared" si="0"/>
        <v>-781</v>
      </c>
      <c r="O30" s="2">
        <v>200</v>
      </c>
      <c r="P30" s="2"/>
      <c r="Q30" s="2">
        <v>781</v>
      </c>
      <c r="R30" s="19"/>
      <c r="S30" s="2"/>
      <c r="T30" s="2"/>
      <c r="U30" s="19">
        <v>800</v>
      </c>
      <c r="V30" s="2"/>
      <c r="W30" s="2"/>
      <c r="X30" s="2">
        <v>400</v>
      </c>
      <c r="Y30" s="2"/>
      <c r="Z30" s="7">
        <f t="shared" si="1"/>
        <v>58.800000000000004</v>
      </c>
      <c r="AA30" s="7">
        <v>100</v>
      </c>
      <c r="AB30" s="7">
        <v>0</v>
      </c>
      <c r="AC30" s="8">
        <f t="shared" si="2"/>
        <v>0</v>
      </c>
      <c r="AD30" s="8">
        <v>0</v>
      </c>
      <c r="AE30" s="8">
        <f t="shared" si="3"/>
        <v>0</v>
      </c>
      <c r="AF30" s="8">
        <f t="shared" si="4"/>
        <v>0</v>
      </c>
      <c r="AG30" s="8">
        <v>0</v>
      </c>
      <c r="AH30" s="8">
        <v>0</v>
      </c>
      <c r="AI30" s="8" t="s">
        <v>119</v>
      </c>
      <c r="AJ30" s="8" t="s">
        <v>121</v>
      </c>
      <c r="AQ30" s="1">
        <v>-445</v>
      </c>
    </row>
    <row r="31" spans="2:43" hidden="1" x14ac:dyDescent="0.25">
      <c r="B31" s="2" t="s">
        <v>87</v>
      </c>
      <c r="C31" s="2" t="s">
        <v>88</v>
      </c>
      <c r="D31" s="2" t="s">
        <v>29</v>
      </c>
      <c r="E31" s="2" t="s">
        <v>17</v>
      </c>
      <c r="F31" s="2">
        <v>2.8000000000000001E-2</v>
      </c>
      <c r="G31" s="3">
        <v>0.105</v>
      </c>
      <c r="H31" s="2">
        <v>500</v>
      </c>
      <c r="I31" s="2">
        <v>398</v>
      </c>
      <c r="J31" s="2"/>
      <c r="K31" s="2"/>
      <c r="L31" s="2"/>
      <c r="M31" s="2"/>
      <c r="N31" s="8">
        <f t="shared" si="0"/>
        <v>-14</v>
      </c>
      <c r="O31" s="2"/>
      <c r="P31" s="2">
        <v>300</v>
      </c>
      <c r="Q31" s="2">
        <v>110</v>
      </c>
      <c r="R31" s="19"/>
      <c r="S31" s="2"/>
      <c r="T31" s="2">
        <v>502</v>
      </c>
      <c r="U31" s="19"/>
      <c r="V31" s="2"/>
      <c r="W31" s="2"/>
      <c r="X31" s="2"/>
      <c r="Y31" s="2"/>
      <c r="Z31" s="7">
        <f t="shared" si="1"/>
        <v>94.289999999999992</v>
      </c>
      <c r="AA31" s="7">
        <v>100</v>
      </c>
      <c r="AB31" s="7">
        <v>0</v>
      </c>
      <c r="AC31" s="8">
        <f t="shared" si="2"/>
        <v>0</v>
      </c>
      <c r="AD31" s="8">
        <v>0</v>
      </c>
      <c r="AE31" s="8">
        <f t="shared" si="3"/>
        <v>0</v>
      </c>
      <c r="AF31" s="8">
        <f t="shared" si="4"/>
        <v>0</v>
      </c>
      <c r="AG31" s="8">
        <v>0</v>
      </c>
      <c r="AH31" s="8">
        <v>0</v>
      </c>
      <c r="AI31" s="8" t="s">
        <v>119</v>
      </c>
      <c r="AJ31" s="8" t="s">
        <v>121</v>
      </c>
      <c r="AQ31" s="1">
        <v>-83</v>
      </c>
    </row>
    <row r="32" spans="2:43" hidden="1" x14ac:dyDescent="0.25">
      <c r="B32" s="2" t="s">
        <v>87</v>
      </c>
      <c r="C32" s="2" t="s">
        <v>88</v>
      </c>
      <c r="D32" s="2" t="s">
        <v>30</v>
      </c>
      <c r="E32" s="2" t="s">
        <v>17</v>
      </c>
      <c r="F32" s="2">
        <v>2.8000000000000001E-2</v>
      </c>
      <c r="G32" s="3">
        <v>0.14299999999999999</v>
      </c>
      <c r="H32" s="2">
        <v>200</v>
      </c>
      <c r="I32" s="2">
        <v>300</v>
      </c>
      <c r="J32" s="2"/>
      <c r="K32" s="2"/>
      <c r="L32" s="2"/>
      <c r="M32" s="2"/>
      <c r="N32" s="8">
        <f t="shared" si="0"/>
        <v>-392</v>
      </c>
      <c r="O32" s="2"/>
      <c r="P32" s="2">
        <v>286</v>
      </c>
      <c r="Q32" s="2"/>
      <c r="R32" s="19"/>
      <c r="S32" s="2"/>
      <c r="T32" s="2"/>
      <c r="U32" s="19"/>
      <c r="V32" s="2"/>
      <c r="W32" s="2">
        <v>200</v>
      </c>
      <c r="X32" s="2">
        <v>406</v>
      </c>
      <c r="Y32" s="2"/>
      <c r="Z32" s="7">
        <f t="shared" si="1"/>
        <v>71.5</v>
      </c>
      <c r="AA32" s="7">
        <v>100</v>
      </c>
      <c r="AB32" s="7">
        <v>0</v>
      </c>
      <c r="AC32" s="8">
        <f t="shared" si="2"/>
        <v>0</v>
      </c>
      <c r="AD32" s="8">
        <v>0</v>
      </c>
      <c r="AE32" s="8">
        <f t="shared" si="3"/>
        <v>0</v>
      </c>
      <c r="AF32" s="8">
        <f t="shared" si="4"/>
        <v>0</v>
      </c>
      <c r="AG32" s="8">
        <v>0</v>
      </c>
      <c r="AH32" s="8">
        <v>0</v>
      </c>
      <c r="AI32" s="8" t="s">
        <v>119</v>
      </c>
      <c r="AJ32" s="8" t="s">
        <v>121</v>
      </c>
      <c r="AQ32" s="1">
        <v>0</v>
      </c>
    </row>
    <row r="33" spans="2:43" hidden="1" x14ac:dyDescent="0.25">
      <c r="B33" s="2" t="s">
        <v>87</v>
      </c>
      <c r="C33" s="2" t="s">
        <v>88</v>
      </c>
      <c r="D33" s="2" t="s">
        <v>31</v>
      </c>
      <c r="E33" s="2" t="s">
        <v>17</v>
      </c>
      <c r="F33" s="2">
        <v>2.8000000000000001E-2</v>
      </c>
      <c r="G33" s="3">
        <v>4.5999999999999999E-2</v>
      </c>
      <c r="H33" s="2">
        <v>600</v>
      </c>
      <c r="I33" s="2">
        <v>300</v>
      </c>
      <c r="J33" s="2"/>
      <c r="K33" s="2"/>
      <c r="L33" s="2"/>
      <c r="M33" s="2"/>
      <c r="N33" s="8">
        <f t="shared" si="0"/>
        <v>-50</v>
      </c>
      <c r="O33" s="2"/>
      <c r="P33" s="2"/>
      <c r="Q33" s="2">
        <v>300</v>
      </c>
      <c r="R33" s="19"/>
      <c r="S33" s="2"/>
      <c r="T33" s="2">
        <v>650</v>
      </c>
      <c r="U33" s="19"/>
      <c r="V33" s="2"/>
      <c r="W33" s="2"/>
      <c r="X33" s="2"/>
      <c r="Y33" s="2"/>
      <c r="Z33" s="7">
        <f t="shared" si="1"/>
        <v>41.4</v>
      </c>
      <c r="AA33" s="7">
        <v>100</v>
      </c>
      <c r="AB33" s="7">
        <v>0</v>
      </c>
      <c r="AC33" s="8">
        <f t="shared" si="2"/>
        <v>0</v>
      </c>
      <c r="AD33" s="8">
        <v>0</v>
      </c>
      <c r="AE33" s="8">
        <f t="shared" si="3"/>
        <v>0</v>
      </c>
      <c r="AF33" s="8">
        <f t="shared" si="4"/>
        <v>0</v>
      </c>
      <c r="AG33" s="8">
        <v>0</v>
      </c>
      <c r="AH33" s="8">
        <v>0</v>
      </c>
      <c r="AI33" s="8" t="s">
        <v>119</v>
      </c>
      <c r="AJ33" s="8" t="s">
        <v>121</v>
      </c>
      <c r="AQ33" s="1">
        <v>300</v>
      </c>
    </row>
    <row r="34" spans="2:43" hidden="1" x14ac:dyDescent="0.25">
      <c r="B34" s="2" t="s">
        <v>87</v>
      </c>
      <c r="C34" s="2" t="s">
        <v>88</v>
      </c>
      <c r="D34" s="2" t="s">
        <v>32</v>
      </c>
      <c r="E34" s="2" t="s">
        <v>17</v>
      </c>
      <c r="F34" s="2">
        <v>2.8000000000000001E-2</v>
      </c>
      <c r="G34" s="3">
        <v>0.129</v>
      </c>
      <c r="H34" s="2">
        <v>0</v>
      </c>
      <c r="I34" s="2">
        <v>46</v>
      </c>
      <c r="J34" s="2"/>
      <c r="K34" s="2"/>
      <c r="L34" s="2"/>
      <c r="M34" s="2"/>
      <c r="N34" s="8">
        <f t="shared" si="0"/>
        <v>0</v>
      </c>
      <c r="O34" s="2"/>
      <c r="P34" s="2"/>
      <c r="Q34" s="2">
        <v>46</v>
      </c>
      <c r="R34" s="19"/>
      <c r="S34" s="2"/>
      <c r="T34" s="2"/>
      <c r="U34" s="19"/>
      <c r="V34" s="2"/>
      <c r="W34" s="2"/>
      <c r="X34" s="2"/>
      <c r="Y34" s="2"/>
      <c r="Z34" s="7">
        <f t="shared" si="1"/>
        <v>5.9340000000000002</v>
      </c>
      <c r="AA34" s="7">
        <v>100</v>
      </c>
      <c r="AB34" s="7">
        <v>0</v>
      </c>
      <c r="AC34" s="8">
        <f t="shared" si="2"/>
        <v>0</v>
      </c>
      <c r="AD34" s="8">
        <v>0</v>
      </c>
      <c r="AE34" s="8">
        <f t="shared" si="3"/>
        <v>0</v>
      </c>
      <c r="AF34" s="8">
        <f t="shared" si="4"/>
        <v>0</v>
      </c>
      <c r="AG34" s="8">
        <v>0</v>
      </c>
      <c r="AH34" s="8">
        <v>0</v>
      </c>
      <c r="AI34" s="8" t="s">
        <v>119</v>
      </c>
      <c r="AJ34" s="8" t="s">
        <v>121</v>
      </c>
      <c r="AQ34" s="1">
        <v>500</v>
      </c>
    </row>
    <row r="35" spans="2:43" hidden="1" x14ac:dyDescent="0.25">
      <c r="B35" s="2" t="s">
        <v>87</v>
      </c>
      <c r="C35" s="2" t="s">
        <v>88</v>
      </c>
      <c r="D35" s="2" t="s">
        <v>33</v>
      </c>
      <c r="E35" s="2" t="s">
        <v>17</v>
      </c>
      <c r="F35" s="2">
        <v>2.8000000000000001E-2</v>
      </c>
      <c r="G35" s="3">
        <v>0.13400000000000001</v>
      </c>
      <c r="H35" s="2">
        <v>200</v>
      </c>
      <c r="I35" s="2">
        <v>200</v>
      </c>
      <c r="J35" s="2"/>
      <c r="K35" s="2"/>
      <c r="L35" s="2"/>
      <c r="M35" s="2"/>
      <c r="N35" s="8">
        <f t="shared" si="0"/>
        <v>0</v>
      </c>
      <c r="O35" s="2"/>
      <c r="P35" s="2"/>
      <c r="Q35" s="2">
        <v>400</v>
      </c>
      <c r="R35" s="19"/>
      <c r="S35" s="2"/>
      <c r="T35" s="2"/>
      <c r="U35" s="19"/>
      <c r="V35" s="2"/>
      <c r="W35" s="2"/>
      <c r="X35" s="2"/>
      <c r="Y35" s="2"/>
      <c r="Z35" s="7">
        <f t="shared" si="1"/>
        <v>53.6</v>
      </c>
      <c r="AA35" s="7">
        <v>100</v>
      </c>
      <c r="AB35" s="7">
        <v>0</v>
      </c>
      <c r="AC35" s="8">
        <f t="shared" si="2"/>
        <v>0</v>
      </c>
      <c r="AD35" s="8">
        <v>0</v>
      </c>
      <c r="AE35" s="8">
        <f t="shared" si="3"/>
        <v>0</v>
      </c>
      <c r="AF35" s="8">
        <f t="shared" si="4"/>
        <v>0</v>
      </c>
      <c r="AG35" s="8">
        <v>0</v>
      </c>
      <c r="AH35" s="8">
        <v>0</v>
      </c>
      <c r="AI35" s="8" t="s">
        <v>119</v>
      </c>
      <c r="AJ35" s="8" t="s">
        <v>121</v>
      </c>
      <c r="AQ35" s="1">
        <v>300</v>
      </c>
    </row>
    <row r="36" spans="2:43" x14ac:dyDescent="0.25">
      <c r="B36" s="2" t="s">
        <v>87</v>
      </c>
      <c r="C36" s="2" t="s">
        <v>88</v>
      </c>
      <c r="D36" s="2" t="s">
        <v>34</v>
      </c>
      <c r="E36" s="2" t="s">
        <v>17</v>
      </c>
      <c r="F36" s="2">
        <v>2.8000000000000001E-2</v>
      </c>
      <c r="G36" s="3">
        <v>0.105</v>
      </c>
      <c r="H36" s="2">
        <v>400</v>
      </c>
      <c r="I36" s="2"/>
      <c r="J36" s="2"/>
      <c r="K36" s="2"/>
      <c r="L36" s="2"/>
      <c r="M36" s="2"/>
      <c r="N36" s="8">
        <f t="shared" si="0"/>
        <v>11</v>
      </c>
      <c r="O36" s="2"/>
      <c r="P36" s="2">
        <v>389</v>
      </c>
      <c r="Q36" s="2"/>
      <c r="R36" s="19"/>
      <c r="S36" s="2"/>
      <c r="T36" s="2"/>
      <c r="U36" s="19"/>
      <c r="V36" s="2"/>
      <c r="W36" s="2"/>
      <c r="X36" s="2"/>
      <c r="Y36" s="2"/>
      <c r="Z36" s="7">
        <f t="shared" si="1"/>
        <v>42</v>
      </c>
      <c r="AA36" s="7">
        <v>100</v>
      </c>
      <c r="AB36" s="7">
        <v>0</v>
      </c>
      <c r="AC36" s="8">
        <f t="shared" si="2"/>
        <v>0</v>
      </c>
      <c r="AD36" s="8">
        <v>0</v>
      </c>
      <c r="AE36" s="8">
        <f t="shared" si="3"/>
        <v>0</v>
      </c>
      <c r="AF36" s="8">
        <f t="shared" si="4"/>
        <v>0</v>
      </c>
      <c r="AG36" s="8">
        <v>0</v>
      </c>
      <c r="AH36" s="8">
        <v>0</v>
      </c>
      <c r="AI36" s="8" t="s">
        <v>119</v>
      </c>
      <c r="AJ36" s="8" t="s">
        <v>121</v>
      </c>
      <c r="AQ36" s="1">
        <v>0</v>
      </c>
    </row>
    <row r="37" spans="2:43" hidden="1" x14ac:dyDescent="0.25">
      <c r="B37" s="2" t="s">
        <v>87</v>
      </c>
      <c r="C37" s="2" t="s">
        <v>88</v>
      </c>
      <c r="D37" s="2" t="s">
        <v>35</v>
      </c>
      <c r="E37" s="2" t="s">
        <v>17</v>
      </c>
      <c r="F37" s="2">
        <v>2.8000000000000001E-2</v>
      </c>
      <c r="G37" s="3">
        <v>9.9000000000000005E-2</v>
      </c>
      <c r="H37" s="2">
        <v>200</v>
      </c>
      <c r="I37" s="2">
        <v>400</v>
      </c>
      <c r="J37" s="2"/>
      <c r="K37" s="2"/>
      <c r="L37" s="2"/>
      <c r="M37" s="2"/>
      <c r="N37" s="8">
        <f t="shared" si="0"/>
        <v>-358</v>
      </c>
      <c r="O37" s="2"/>
      <c r="P37" s="2"/>
      <c r="Q37" s="2"/>
      <c r="R37" s="19"/>
      <c r="S37" s="2">
        <v>100</v>
      </c>
      <c r="T37" s="2">
        <v>389</v>
      </c>
      <c r="U37" s="19">
        <v>469</v>
      </c>
      <c r="V37" s="2"/>
      <c r="W37" s="2"/>
      <c r="X37" s="2"/>
      <c r="Y37" s="2"/>
      <c r="Z37" s="7">
        <f t="shared" si="1"/>
        <v>59.400000000000006</v>
      </c>
      <c r="AA37" s="7">
        <v>100</v>
      </c>
      <c r="AB37" s="7">
        <v>0</v>
      </c>
      <c r="AC37" s="8">
        <f t="shared" si="2"/>
        <v>0</v>
      </c>
      <c r="AD37" s="8">
        <v>0</v>
      </c>
      <c r="AE37" s="8">
        <f t="shared" si="3"/>
        <v>0</v>
      </c>
      <c r="AF37" s="8">
        <f t="shared" si="4"/>
        <v>0</v>
      </c>
      <c r="AG37" s="8">
        <v>0</v>
      </c>
      <c r="AH37" s="8">
        <v>0</v>
      </c>
      <c r="AI37" s="8" t="s">
        <v>119</v>
      </c>
      <c r="AJ37" s="8" t="s">
        <v>121</v>
      </c>
      <c r="AQ37" s="1">
        <v>300</v>
      </c>
    </row>
    <row r="38" spans="2:43" hidden="1" x14ac:dyDescent="0.25">
      <c r="B38" s="2" t="s">
        <v>87</v>
      </c>
      <c r="C38" s="2" t="s">
        <v>88</v>
      </c>
      <c r="D38" s="2" t="s">
        <v>36</v>
      </c>
      <c r="E38" s="2" t="s">
        <v>17</v>
      </c>
      <c r="F38" s="2">
        <v>2.8000000000000001E-2</v>
      </c>
      <c r="G38" s="3">
        <v>0.13100000000000001</v>
      </c>
      <c r="H38" s="2">
        <v>0</v>
      </c>
      <c r="I38" s="2">
        <v>0</v>
      </c>
      <c r="J38" s="2"/>
      <c r="K38" s="2"/>
      <c r="L38" s="2"/>
      <c r="M38" s="2"/>
      <c r="N38" s="8">
        <f t="shared" ref="N38:N69" si="5">+H38+I38+J38+K38+L38+M38-SUM(O38:Y38)</f>
        <v>0</v>
      </c>
      <c r="O38" s="2"/>
      <c r="P38" s="2"/>
      <c r="Q38" s="2"/>
      <c r="R38" s="19"/>
      <c r="S38" s="2"/>
      <c r="T38" s="2"/>
      <c r="U38" s="19"/>
      <c r="V38" s="2"/>
      <c r="W38" s="2"/>
      <c r="X38" s="2"/>
      <c r="Y38" s="2"/>
      <c r="Z38" s="7">
        <f t="shared" ref="Z38:Z69" si="6">+G38*SUM(H38:M38)</f>
        <v>0</v>
      </c>
      <c r="AA38" s="7">
        <v>100</v>
      </c>
      <c r="AB38" s="7">
        <v>0</v>
      </c>
      <c r="AC38" s="8">
        <f t="shared" ref="AC38:AC69" si="7">+H38*AB38</f>
        <v>0</v>
      </c>
      <c r="AD38" s="8">
        <v>0</v>
      </c>
      <c r="AE38" s="8">
        <f t="shared" ref="AE38:AE69" si="8">+H38*AD38</f>
        <v>0</v>
      </c>
      <c r="AF38" s="8">
        <f t="shared" si="4"/>
        <v>0</v>
      </c>
      <c r="AG38" s="8">
        <v>0</v>
      </c>
      <c r="AH38" s="8">
        <v>0</v>
      </c>
      <c r="AI38" s="8" t="s">
        <v>119</v>
      </c>
      <c r="AJ38" s="8" t="s">
        <v>121</v>
      </c>
      <c r="AQ38" s="1">
        <v>0</v>
      </c>
    </row>
    <row r="39" spans="2:43" hidden="1" x14ac:dyDescent="0.25">
      <c r="B39" s="2" t="s">
        <v>87</v>
      </c>
      <c r="C39" s="2" t="s">
        <v>88</v>
      </c>
      <c r="D39" s="2" t="s">
        <v>37</v>
      </c>
      <c r="E39" s="2" t="s">
        <v>17</v>
      </c>
      <c r="F39" s="2">
        <v>2.8000000000000001E-2</v>
      </c>
      <c r="G39" s="3">
        <v>9.4E-2</v>
      </c>
      <c r="H39" s="2">
        <v>0</v>
      </c>
      <c r="I39" s="2">
        <v>300</v>
      </c>
      <c r="J39" s="2"/>
      <c r="K39" s="2"/>
      <c r="L39" s="2"/>
      <c r="M39" s="2"/>
      <c r="N39" s="8">
        <f t="shared" si="5"/>
        <v>-10</v>
      </c>
      <c r="O39" s="2">
        <v>310</v>
      </c>
      <c r="P39" s="2"/>
      <c r="Q39" s="2"/>
      <c r="R39" s="19"/>
      <c r="S39" s="2"/>
      <c r="T39" s="2"/>
      <c r="U39" s="19"/>
      <c r="V39" s="2"/>
      <c r="W39" s="2"/>
      <c r="X39" s="2"/>
      <c r="Y39" s="2"/>
      <c r="Z39" s="7">
        <f t="shared" si="6"/>
        <v>28.2</v>
      </c>
      <c r="AA39" s="7">
        <v>100</v>
      </c>
      <c r="AB39" s="7">
        <v>0</v>
      </c>
      <c r="AC39" s="8">
        <f t="shared" si="7"/>
        <v>0</v>
      </c>
      <c r="AD39" s="8">
        <v>0</v>
      </c>
      <c r="AE39" s="8">
        <f t="shared" si="8"/>
        <v>0</v>
      </c>
      <c r="AF39" s="8">
        <f t="shared" si="4"/>
        <v>0</v>
      </c>
      <c r="AG39" s="8">
        <v>0</v>
      </c>
      <c r="AH39" s="8">
        <v>0</v>
      </c>
      <c r="AI39" s="8" t="s">
        <v>119</v>
      </c>
      <c r="AJ39" s="8" t="s">
        <v>121</v>
      </c>
      <c r="AQ39" s="1">
        <v>0</v>
      </c>
    </row>
    <row r="40" spans="2:43" hidden="1" x14ac:dyDescent="0.25">
      <c r="B40" s="2" t="s">
        <v>87</v>
      </c>
      <c r="C40" s="2" t="s">
        <v>88</v>
      </c>
      <c r="D40" s="2" t="s">
        <v>38</v>
      </c>
      <c r="E40" s="2" t="s">
        <v>17</v>
      </c>
      <c r="F40" s="2">
        <v>2.8000000000000001E-2</v>
      </c>
      <c r="G40" s="3">
        <v>0.122</v>
      </c>
      <c r="H40" s="2">
        <v>0</v>
      </c>
      <c r="I40" s="2">
        <v>0</v>
      </c>
      <c r="J40" s="2"/>
      <c r="K40" s="2"/>
      <c r="L40" s="2"/>
      <c r="M40" s="2"/>
      <c r="N40" s="8">
        <f t="shared" si="5"/>
        <v>0</v>
      </c>
      <c r="O40" s="2"/>
      <c r="P40" s="2"/>
      <c r="Q40" s="2"/>
      <c r="R40" s="19"/>
      <c r="S40" s="2"/>
      <c r="T40" s="2"/>
      <c r="U40" s="19"/>
      <c r="V40" s="2"/>
      <c r="W40" s="2"/>
      <c r="X40" s="2"/>
      <c r="Y40" s="2"/>
      <c r="Z40" s="7">
        <f t="shared" si="6"/>
        <v>0</v>
      </c>
      <c r="AA40" s="7">
        <v>100</v>
      </c>
      <c r="AB40" s="7">
        <v>0</v>
      </c>
      <c r="AC40" s="8">
        <f t="shared" si="7"/>
        <v>0</v>
      </c>
      <c r="AD40" s="8">
        <v>0</v>
      </c>
      <c r="AE40" s="8">
        <f t="shared" si="8"/>
        <v>0</v>
      </c>
      <c r="AF40" s="8">
        <f t="shared" si="4"/>
        <v>0</v>
      </c>
      <c r="AG40" s="8">
        <v>0</v>
      </c>
      <c r="AH40" s="8">
        <v>0</v>
      </c>
      <c r="AI40" s="8" t="s">
        <v>119</v>
      </c>
      <c r="AJ40" s="8" t="s">
        <v>121</v>
      </c>
      <c r="AQ40" s="1">
        <v>0</v>
      </c>
    </row>
    <row r="41" spans="2:43" hidden="1" x14ac:dyDescent="0.25">
      <c r="B41" s="2" t="s">
        <v>87</v>
      </c>
      <c r="C41" s="2" t="s">
        <v>88</v>
      </c>
      <c r="D41" s="2" t="s">
        <v>39</v>
      </c>
      <c r="E41" s="2" t="s">
        <v>17</v>
      </c>
      <c r="F41" s="2">
        <v>2.8000000000000001E-2</v>
      </c>
      <c r="G41" s="3">
        <v>0.10100000000000001</v>
      </c>
      <c r="H41" s="2">
        <v>200</v>
      </c>
      <c r="I41" s="2">
        <v>300</v>
      </c>
      <c r="J41" s="2"/>
      <c r="K41" s="2"/>
      <c r="L41" s="2"/>
      <c r="M41" s="2"/>
      <c r="N41" s="8">
        <f t="shared" si="5"/>
        <v>-6</v>
      </c>
      <c r="O41" s="2">
        <v>300</v>
      </c>
      <c r="P41" s="2"/>
      <c r="Q41" s="2"/>
      <c r="R41" s="19"/>
      <c r="S41" s="2"/>
      <c r="T41" s="2"/>
      <c r="U41" s="19"/>
      <c r="V41" s="2"/>
      <c r="W41" s="2"/>
      <c r="X41" s="2">
        <v>206</v>
      </c>
      <c r="Y41" s="2"/>
      <c r="Z41" s="7">
        <f t="shared" si="6"/>
        <v>50.5</v>
      </c>
      <c r="AA41" s="7">
        <v>100</v>
      </c>
      <c r="AB41" s="7">
        <v>0</v>
      </c>
      <c r="AC41" s="8">
        <f t="shared" si="7"/>
        <v>0</v>
      </c>
      <c r="AD41" s="8">
        <v>0</v>
      </c>
      <c r="AE41" s="8">
        <f t="shared" si="8"/>
        <v>0</v>
      </c>
      <c r="AF41" s="8">
        <f t="shared" si="4"/>
        <v>0</v>
      </c>
      <c r="AG41" s="8">
        <v>0</v>
      </c>
      <c r="AH41" s="8">
        <v>0</v>
      </c>
      <c r="AI41" s="8" t="s">
        <v>119</v>
      </c>
      <c r="AJ41" s="8" t="s">
        <v>121</v>
      </c>
      <c r="AQ41" s="1">
        <v>0</v>
      </c>
    </row>
    <row r="42" spans="2:43" hidden="1" x14ac:dyDescent="0.25">
      <c r="B42" s="2" t="s">
        <v>87</v>
      </c>
      <c r="C42" s="2" t="s">
        <v>88</v>
      </c>
      <c r="D42" s="2" t="s">
        <v>40</v>
      </c>
      <c r="E42" s="2" t="s">
        <v>17</v>
      </c>
      <c r="F42" s="2">
        <v>2.8000000000000001E-2</v>
      </c>
      <c r="G42" s="3">
        <v>0.11899999999999999</v>
      </c>
      <c r="H42" s="2">
        <v>0</v>
      </c>
      <c r="I42" s="2">
        <v>200</v>
      </c>
      <c r="J42" s="2"/>
      <c r="K42" s="2"/>
      <c r="L42" s="2"/>
      <c r="M42" s="2"/>
      <c r="N42" s="8">
        <f t="shared" si="5"/>
        <v>0</v>
      </c>
      <c r="O42" s="2">
        <v>200</v>
      </c>
      <c r="P42" s="2"/>
      <c r="Q42" s="2"/>
      <c r="R42" s="19"/>
      <c r="S42" s="2"/>
      <c r="T42" s="2"/>
      <c r="U42" s="19"/>
      <c r="V42" s="2"/>
      <c r="W42" s="2"/>
      <c r="X42" s="2"/>
      <c r="Y42" s="2"/>
      <c r="Z42" s="7">
        <f t="shared" si="6"/>
        <v>23.799999999999997</v>
      </c>
      <c r="AA42" s="7">
        <v>100</v>
      </c>
      <c r="AB42" s="7">
        <v>0</v>
      </c>
      <c r="AC42" s="8">
        <f t="shared" si="7"/>
        <v>0</v>
      </c>
      <c r="AD42" s="8">
        <v>0</v>
      </c>
      <c r="AE42" s="8">
        <f t="shared" si="8"/>
        <v>0</v>
      </c>
      <c r="AF42" s="8">
        <f t="shared" si="4"/>
        <v>0</v>
      </c>
      <c r="AG42" s="8">
        <v>0</v>
      </c>
      <c r="AH42" s="8">
        <v>0</v>
      </c>
      <c r="AI42" s="8" t="s">
        <v>119</v>
      </c>
      <c r="AJ42" s="8" t="s">
        <v>121</v>
      </c>
      <c r="AQ42" s="1">
        <v>0</v>
      </c>
    </row>
    <row r="43" spans="2:43" hidden="1" x14ac:dyDescent="0.25">
      <c r="B43" s="2" t="s">
        <v>87</v>
      </c>
      <c r="C43" s="2" t="s">
        <v>88</v>
      </c>
      <c r="D43" s="2" t="s">
        <v>41</v>
      </c>
      <c r="E43" s="2" t="s">
        <v>17</v>
      </c>
      <c r="F43" s="2">
        <v>2.8000000000000001E-2</v>
      </c>
      <c r="G43" s="3">
        <v>0.121</v>
      </c>
      <c r="H43" s="2">
        <v>200</v>
      </c>
      <c r="I43" s="2">
        <v>0</v>
      </c>
      <c r="J43" s="2"/>
      <c r="K43" s="2"/>
      <c r="L43" s="2"/>
      <c r="M43" s="2"/>
      <c r="N43" s="8">
        <f t="shared" si="5"/>
        <v>-14</v>
      </c>
      <c r="O43" s="2"/>
      <c r="P43" s="2"/>
      <c r="Q43" s="2"/>
      <c r="R43" s="19"/>
      <c r="S43" s="2"/>
      <c r="T43" s="2"/>
      <c r="U43" s="19"/>
      <c r="V43" s="2"/>
      <c r="W43" s="2"/>
      <c r="X43" s="2">
        <v>214</v>
      </c>
      <c r="Y43" s="2"/>
      <c r="Z43" s="7">
        <f t="shared" si="6"/>
        <v>24.2</v>
      </c>
      <c r="AA43" s="7">
        <v>100</v>
      </c>
      <c r="AB43" s="7">
        <v>0</v>
      </c>
      <c r="AC43" s="8">
        <f t="shared" si="7"/>
        <v>0</v>
      </c>
      <c r="AD43" s="8">
        <v>0</v>
      </c>
      <c r="AE43" s="8">
        <f t="shared" si="8"/>
        <v>0</v>
      </c>
      <c r="AF43" s="8">
        <f t="shared" si="4"/>
        <v>0</v>
      </c>
      <c r="AG43" s="8">
        <v>0</v>
      </c>
      <c r="AH43" s="8">
        <v>0</v>
      </c>
      <c r="AI43" s="8" t="s">
        <v>119</v>
      </c>
      <c r="AJ43" s="8" t="s">
        <v>121</v>
      </c>
      <c r="AQ43" s="1">
        <v>0</v>
      </c>
    </row>
    <row r="44" spans="2:43" hidden="1" x14ac:dyDescent="0.25">
      <c r="B44" s="2" t="s">
        <v>87</v>
      </c>
      <c r="C44" s="2" t="s">
        <v>88</v>
      </c>
      <c r="D44" s="2" t="s">
        <v>42</v>
      </c>
      <c r="E44" s="2" t="s">
        <v>17</v>
      </c>
      <c r="F44" s="2">
        <v>2.8000000000000001E-2</v>
      </c>
      <c r="G44" s="3">
        <v>0.127</v>
      </c>
      <c r="H44" s="2">
        <v>200</v>
      </c>
      <c r="I44" s="2">
        <v>200</v>
      </c>
      <c r="J44" s="2"/>
      <c r="K44" s="2"/>
      <c r="L44" s="2"/>
      <c r="M44" s="2"/>
      <c r="N44" s="8">
        <f t="shared" si="5"/>
        <v>-11</v>
      </c>
      <c r="O44" s="2"/>
      <c r="P44" s="2"/>
      <c r="Q44" s="2"/>
      <c r="R44" s="19"/>
      <c r="S44" s="2">
        <v>411</v>
      </c>
      <c r="T44" s="2"/>
      <c r="U44" s="19"/>
      <c r="V44" s="2"/>
      <c r="W44" s="2"/>
      <c r="X44" s="2"/>
      <c r="Y44" s="2"/>
      <c r="Z44" s="7">
        <f t="shared" si="6"/>
        <v>50.8</v>
      </c>
      <c r="AA44" s="7">
        <v>100</v>
      </c>
      <c r="AB44" s="7">
        <v>0</v>
      </c>
      <c r="AC44" s="8">
        <f t="shared" si="7"/>
        <v>0</v>
      </c>
      <c r="AD44" s="8">
        <v>0</v>
      </c>
      <c r="AE44" s="8">
        <f t="shared" si="8"/>
        <v>0</v>
      </c>
      <c r="AF44" s="8">
        <f t="shared" si="4"/>
        <v>0</v>
      </c>
      <c r="AG44" s="8">
        <v>0</v>
      </c>
      <c r="AH44" s="8">
        <v>0</v>
      </c>
      <c r="AI44" s="8" t="s">
        <v>119</v>
      </c>
      <c r="AJ44" s="8" t="s">
        <v>121</v>
      </c>
      <c r="AQ44" s="1">
        <v>0</v>
      </c>
    </row>
    <row r="45" spans="2:43" x14ac:dyDescent="0.25">
      <c r="B45" s="2" t="s">
        <v>87</v>
      </c>
      <c r="C45" s="2" t="s">
        <v>88</v>
      </c>
      <c r="D45" s="2" t="s">
        <v>43</v>
      </c>
      <c r="E45" s="2" t="s">
        <v>17</v>
      </c>
      <c r="F45" s="2">
        <v>2.8000000000000001E-2</v>
      </c>
      <c r="G45" s="3">
        <v>0.10299999999999999</v>
      </c>
      <c r="H45" s="2">
        <v>200</v>
      </c>
      <c r="I45" s="2">
        <v>0</v>
      </c>
      <c r="J45" s="2"/>
      <c r="K45" s="2"/>
      <c r="L45" s="2"/>
      <c r="M45" s="2"/>
      <c r="N45" s="8">
        <f t="shared" si="5"/>
        <v>200</v>
      </c>
      <c r="O45" s="2"/>
      <c r="P45" s="2"/>
      <c r="Q45" s="2"/>
      <c r="R45" s="19"/>
      <c r="S45" s="2"/>
      <c r="T45" s="2"/>
      <c r="U45" s="19"/>
      <c r="V45" s="2"/>
      <c r="W45" s="2"/>
      <c r="X45" s="2"/>
      <c r="Y45" s="2"/>
      <c r="Z45" s="7">
        <f t="shared" si="6"/>
        <v>20.599999999999998</v>
      </c>
      <c r="AA45" s="7">
        <v>100</v>
      </c>
      <c r="AB45" s="7">
        <v>0</v>
      </c>
      <c r="AC45" s="8">
        <f t="shared" si="7"/>
        <v>0</v>
      </c>
      <c r="AD45" s="8">
        <v>0</v>
      </c>
      <c r="AE45" s="8">
        <f t="shared" si="8"/>
        <v>0</v>
      </c>
      <c r="AF45" s="8">
        <f t="shared" si="4"/>
        <v>0</v>
      </c>
      <c r="AG45" s="8">
        <v>0</v>
      </c>
      <c r="AH45" s="8">
        <v>0</v>
      </c>
      <c r="AI45" s="8" t="s">
        <v>119</v>
      </c>
      <c r="AJ45" s="8" t="s">
        <v>121</v>
      </c>
      <c r="AQ45" s="1">
        <v>328</v>
      </c>
    </row>
    <row r="46" spans="2:43" hidden="1" x14ac:dyDescent="0.25">
      <c r="B46" s="2" t="s">
        <v>87</v>
      </c>
      <c r="C46" s="2" t="s">
        <v>88</v>
      </c>
      <c r="D46" s="2" t="s">
        <v>44</v>
      </c>
      <c r="E46" s="2" t="s">
        <v>17</v>
      </c>
      <c r="F46" s="2">
        <v>2.8000000000000001E-2</v>
      </c>
      <c r="G46" s="3">
        <v>0.23799999999999999</v>
      </c>
      <c r="H46" s="2">
        <v>0</v>
      </c>
      <c r="I46" s="2">
        <v>0</v>
      </c>
      <c r="J46" s="2"/>
      <c r="K46" s="2"/>
      <c r="L46" s="2"/>
      <c r="M46" s="2"/>
      <c r="N46" s="8">
        <f t="shared" si="5"/>
        <v>0</v>
      </c>
      <c r="O46" s="2"/>
      <c r="P46" s="2"/>
      <c r="Q46" s="2"/>
      <c r="R46" s="19"/>
      <c r="S46" s="2"/>
      <c r="T46" s="2"/>
      <c r="U46" s="19"/>
      <c r="V46" s="2"/>
      <c r="W46" s="2"/>
      <c r="X46" s="2"/>
      <c r="Y46" s="2"/>
      <c r="Z46" s="7">
        <f t="shared" si="6"/>
        <v>0</v>
      </c>
      <c r="AA46" s="7">
        <v>100</v>
      </c>
      <c r="AB46" s="7">
        <v>0</v>
      </c>
      <c r="AC46" s="8">
        <f t="shared" si="7"/>
        <v>0</v>
      </c>
      <c r="AD46" s="8">
        <v>0</v>
      </c>
      <c r="AE46" s="8">
        <f t="shared" si="8"/>
        <v>0</v>
      </c>
      <c r="AF46" s="8">
        <f t="shared" si="4"/>
        <v>0</v>
      </c>
      <c r="AG46" s="8">
        <v>0</v>
      </c>
      <c r="AH46" s="8">
        <v>0</v>
      </c>
      <c r="AI46" s="8" t="s">
        <v>119</v>
      </c>
      <c r="AJ46" s="8" t="s">
        <v>121</v>
      </c>
      <c r="AQ46" s="1">
        <v>400</v>
      </c>
    </row>
    <row r="47" spans="2:43" hidden="1" x14ac:dyDescent="0.25">
      <c r="B47" s="2" t="s">
        <v>87</v>
      </c>
      <c r="C47" s="2" t="s">
        <v>88</v>
      </c>
      <c r="D47" s="2" t="s">
        <v>45</v>
      </c>
      <c r="E47" s="2" t="s">
        <v>17</v>
      </c>
      <c r="F47" s="2">
        <v>2.8000000000000001E-2</v>
      </c>
      <c r="G47" s="3">
        <v>0.10100000000000001</v>
      </c>
      <c r="H47" s="2">
        <v>1800</v>
      </c>
      <c r="I47" s="2">
        <v>0</v>
      </c>
      <c r="J47" s="2"/>
      <c r="K47" s="2"/>
      <c r="L47" s="2"/>
      <c r="M47" s="2"/>
      <c r="N47" s="8">
        <f t="shared" si="5"/>
        <v>-10</v>
      </c>
      <c r="O47" s="2"/>
      <c r="P47" s="2"/>
      <c r="Q47" s="2">
        <v>450</v>
      </c>
      <c r="R47" s="19"/>
      <c r="S47" s="2">
        <v>1360</v>
      </c>
      <c r="T47" s="2"/>
      <c r="U47" s="19"/>
      <c r="V47" s="2"/>
      <c r="W47" s="2"/>
      <c r="X47" s="2"/>
      <c r="Y47" s="2"/>
      <c r="Z47" s="7">
        <f t="shared" si="6"/>
        <v>181.8</v>
      </c>
      <c r="AA47" s="7">
        <v>100</v>
      </c>
      <c r="AB47" s="7">
        <v>0</v>
      </c>
      <c r="AC47" s="8">
        <f t="shared" si="7"/>
        <v>0</v>
      </c>
      <c r="AD47" s="8">
        <v>0</v>
      </c>
      <c r="AE47" s="8">
        <f t="shared" si="8"/>
        <v>0</v>
      </c>
      <c r="AF47" s="8">
        <f t="shared" si="4"/>
        <v>0</v>
      </c>
      <c r="AG47" s="8">
        <v>0</v>
      </c>
      <c r="AH47" s="8">
        <v>0</v>
      </c>
      <c r="AI47" s="8" t="s">
        <v>119</v>
      </c>
      <c r="AJ47" s="8" t="s">
        <v>121</v>
      </c>
      <c r="AQ47" s="1">
        <v>-1493</v>
      </c>
    </row>
    <row r="48" spans="2:43" x14ac:dyDescent="0.25">
      <c r="B48" s="2" t="s">
        <v>87</v>
      </c>
      <c r="C48" s="2" t="s">
        <v>88</v>
      </c>
      <c r="D48" s="2" t="s">
        <v>46</v>
      </c>
      <c r="E48" s="2" t="s">
        <v>17</v>
      </c>
      <c r="F48" s="2">
        <v>2.8000000000000001E-2</v>
      </c>
      <c r="G48" s="3">
        <v>3.9E-2</v>
      </c>
      <c r="H48" s="2">
        <v>2800</v>
      </c>
      <c r="I48" s="2">
        <v>38</v>
      </c>
      <c r="J48" s="2"/>
      <c r="K48" s="2"/>
      <c r="L48" s="2"/>
      <c r="M48" s="2"/>
      <c r="N48" s="8">
        <f t="shared" si="5"/>
        <v>2195</v>
      </c>
      <c r="O48" s="2"/>
      <c r="P48" s="2"/>
      <c r="Q48" s="2"/>
      <c r="R48" s="19"/>
      <c r="S48" s="2">
        <v>643</v>
      </c>
      <c r="T48" s="2"/>
      <c r="U48" s="19"/>
      <c r="V48" s="2"/>
      <c r="W48" s="2"/>
      <c r="X48" s="2"/>
      <c r="Y48" s="2"/>
      <c r="Z48" s="7">
        <f t="shared" si="6"/>
        <v>110.682</v>
      </c>
      <c r="AA48" s="7">
        <v>100</v>
      </c>
      <c r="AB48" s="7">
        <v>0</v>
      </c>
      <c r="AC48" s="8">
        <f t="shared" si="7"/>
        <v>0</v>
      </c>
      <c r="AD48" s="8">
        <v>0</v>
      </c>
      <c r="AE48" s="8">
        <f t="shared" si="8"/>
        <v>0</v>
      </c>
      <c r="AF48" s="8">
        <f t="shared" si="4"/>
        <v>0</v>
      </c>
      <c r="AG48" s="8">
        <v>0</v>
      </c>
      <c r="AH48" s="8">
        <v>0</v>
      </c>
      <c r="AI48" s="8" t="s">
        <v>119</v>
      </c>
      <c r="AJ48" s="8" t="s">
        <v>121</v>
      </c>
      <c r="AQ48" s="1">
        <v>-66</v>
      </c>
    </row>
    <row r="49" spans="2:43" x14ac:dyDescent="0.25">
      <c r="B49" s="2" t="s">
        <v>87</v>
      </c>
      <c r="C49" s="2" t="s">
        <v>88</v>
      </c>
      <c r="D49" s="2" t="s">
        <v>47</v>
      </c>
      <c r="E49" s="2" t="s">
        <v>48</v>
      </c>
      <c r="F49" s="2">
        <v>3.5000000000000003E-2</v>
      </c>
      <c r="G49" s="3">
        <v>0.14799999999999999</v>
      </c>
      <c r="H49" s="2">
        <v>0</v>
      </c>
      <c r="I49" s="2">
        <v>40</v>
      </c>
      <c r="J49" s="2"/>
      <c r="K49" s="2"/>
      <c r="L49" s="2"/>
      <c r="M49" s="2"/>
      <c r="N49" s="8">
        <f t="shared" si="5"/>
        <v>40</v>
      </c>
      <c r="O49" s="2"/>
      <c r="P49" s="2"/>
      <c r="Q49" s="2"/>
      <c r="R49" s="19"/>
      <c r="S49" s="2"/>
      <c r="T49" s="2"/>
      <c r="U49" s="19"/>
      <c r="V49" s="2"/>
      <c r="W49" s="2"/>
      <c r="X49" s="2"/>
      <c r="Y49" s="2"/>
      <c r="Z49" s="7">
        <f t="shared" si="6"/>
        <v>5.92</v>
      </c>
      <c r="AA49" s="7">
        <v>500</v>
      </c>
      <c r="AB49" s="7">
        <v>0</v>
      </c>
      <c r="AC49" s="8">
        <f t="shared" si="7"/>
        <v>0</v>
      </c>
      <c r="AD49" s="8">
        <v>0</v>
      </c>
      <c r="AE49" s="8">
        <f t="shared" si="8"/>
        <v>0</v>
      </c>
      <c r="AF49" s="8">
        <f t="shared" si="4"/>
        <v>0</v>
      </c>
      <c r="AG49" s="8">
        <v>0</v>
      </c>
      <c r="AH49" s="8">
        <v>0</v>
      </c>
      <c r="AI49" s="8" t="s">
        <v>119</v>
      </c>
      <c r="AJ49" s="8" t="s">
        <v>121</v>
      </c>
      <c r="AQ49" s="1">
        <v>0</v>
      </c>
    </row>
    <row r="50" spans="2:43" x14ac:dyDescent="0.25">
      <c r="B50" s="2" t="s">
        <v>87</v>
      </c>
      <c r="C50" s="2" t="s">
        <v>88</v>
      </c>
      <c r="D50" s="2" t="s">
        <v>49</v>
      </c>
      <c r="E50" s="2" t="s">
        <v>48</v>
      </c>
      <c r="F50" s="2">
        <v>3.5000000000000003E-2</v>
      </c>
      <c r="G50" s="3">
        <v>0.14399999999999999</v>
      </c>
      <c r="H50" s="2">
        <v>0</v>
      </c>
      <c r="I50" s="2">
        <v>65</v>
      </c>
      <c r="J50" s="2"/>
      <c r="K50" s="2"/>
      <c r="L50" s="2"/>
      <c r="M50" s="2"/>
      <c r="N50" s="8">
        <f t="shared" si="5"/>
        <v>65</v>
      </c>
      <c r="O50" s="2"/>
      <c r="P50" s="2"/>
      <c r="Q50" s="2"/>
      <c r="R50" s="19"/>
      <c r="S50" s="2"/>
      <c r="T50" s="2"/>
      <c r="U50" s="19"/>
      <c r="V50" s="2"/>
      <c r="W50" s="2"/>
      <c r="X50" s="2"/>
      <c r="Y50" s="2"/>
      <c r="Z50" s="7">
        <f t="shared" si="6"/>
        <v>9.36</v>
      </c>
      <c r="AA50" s="7">
        <v>500</v>
      </c>
      <c r="AB50" s="7">
        <v>0</v>
      </c>
      <c r="AC50" s="8">
        <f t="shared" si="7"/>
        <v>0</v>
      </c>
      <c r="AD50" s="8">
        <v>0</v>
      </c>
      <c r="AE50" s="8">
        <f t="shared" si="8"/>
        <v>0</v>
      </c>
      <c r="AF50" s="8">
        <f t="shared" si="4"/>
        <v>0</v>
      </c>
      <c r="AG50" s="8">
        <v>0</v>
      </c>
      <c r="AH50" s="8">
        <v>0</v>
      </c>
      <c r="AI50" s="8" t="s">
        <v>119</v>
      </c>
      <c r="AJ50" s="8" t="s">
        <v>121</v>
      </c>
      <c r="AQ50" s="1">
        <v>0</v>
      </c>
    </row>
    <row r="51" spans="2:43" hidden="1" x14ac:dyDescent="0.25">
      <c r="B51" s="2" t="s">
        <v>87</v>
      </c>
      <c r="C51" s="2" t="s">
        <v>88</v>
      </c>
      <c r="D51" s="2" t="s">
        <v>50</v>
      </c>
      <c r="E51" s="2" t="s">
        <v>48</v>
      </c>
      <c r="F51" s="2">
        <v>3.5000000000000003E-2</v>
      </c>
      <c r="G51" s="3">
        <v>5.2999999999999999E-2</v>
      </c>
      <c r="H51" s="2">
        <v>0</v>
      </c>
      <c r="I51" s="2">
        <v>0</v>
      </c>
      <c r="J51" s="2"/>
      <c r="K51" s="2"/>
      <c r="L51" s="2"/>
      <c r="M51" s="2"/>
      <c r="N51" s="8">
        <f t="shared" si="5"/>
        <v>0</v>
      </c>
      <c r="O51" s="2"/>
      <c r="P51" s="2"/>
      <c r="Q51" s="2"/>
      <c r="R51" s="19"/>
      <c r="S51" s="2"/>
      <c r="T51" s="2"/>
      <c r="U51" s="19"/>
      <c r="V51" s="2"/>
      <c r="W51" s="2"/>
      <c r="X51" s="2"/>
      <c r="Y51" s="2"/>
      <c r="Z51" s="7">
        <f t="shared" si="6"/>
        <v>0</v>
      </c>
      <c r="AA51" s="7">
        <v>1000</v>
      </c>
      <c r="AB51" s="7">
        <v>0</v>
      </c>
      <c r="AC51" s="8">
        <f t="shared" si="7"/>
        <v>0</v>
      </c>
      <c r="AD51" s="8">
        <v>0</v>
      </c>
      <c r="AE51" s="8">
        <f t="shared" si="8"/>
        <v>0</v>
      </c>
      <c r="AF51" s="8">
        <f t="shared" si="4"/>
        <v>0</v>
      </c>
      <c r="AG51" s="8">
        <v>0</v>
      </c>
      <c r="AH51" s="8">
        <v>0</v>
      </c>
      <c r="AI51" s="8" t="s">
        <v>119</v>
      </c>
      <c r="AJ51" s="8" t="s">
        <v>121</v>
      </c>
      <c r="AQ51" s="1">
        <v>1200</v>
      </c>
    </row>
    <row r="52" spans="2:43" hidden="1" x14ac:dyDescent="0.25">
      <c r="B52" s="2" t="s">
        <v>87</v>
      </c>
      <c r="C52" s="2" t="s">
        <v>88</v>
      </c>
      <c r="D52" s="2" t="s">
        <v>51</v>
      </c>
      <c r="E52" s="2" t="s">
        <v>48</v>
      </c>
      <c r="F52" s="2">
        <v>3.5000000000000003E-2</v>
      </c>
      <c r="G52" s="3">
        <v>0.13800000000000001</v>
      </c>
      <c r="H52" s="2">
        <v>900</v>
      </c>
      <c r="I52" s="2">
        <v>300</v>
      </c>
      <c r="J52" s="2"/>
      <c r="K52" s="2"/>
      <c r="L52" s="2"/>
      <c r="M52" s="2"/>
      <c r="N52" s="8">
        <f t="shared" si="5"/>
        <v>-79</v>
      </c>
      <c r="O52" s="2"/>
      <c r="P52" s="2"/>
      <c r="Q52" s="2"/>
      <c r="R52" s="19"/>
      <c r="S52" s="2"/>
      <c r="T52" s="2"/>
      <c r="U52" s="19"/>
      <c r="V52" s="2">
        <v>372</v>
      </c>
      <c r="W52" s="2">
        <v>600</v>
      </c>
      <c r="X52" s="2">
        <v>307</v>
      </c>
      <c r="Y52" s="2"/>
      <c r="Z52" s="7">
        <f t="shared" si="6"/>
        <v>165.60000000000002</v>
      </c>
      <c r="AA52" s="7">
        <v>500</v>
      </c>
      <c r="AB52" s="7">
        <v>0</v>
      </c>
      <c r="AC52" s="8">
        <f t="shared" si="7"/>
        <v>0</v>
      </c>
      <c r="AD52" s="8">
        <v>0</v>
      </c>
      <c r="AE52" s="8">
        <f t="shared" si="8"/>
        <v>0</v>
      </c>
      <c r="AF52" s="8">
        <f t="shared" si="4"/>
        <v>0</v>
      </c>
      <c r="AG52" s="8">
        <v>0</v>
      </c>
      <c r="AH52" s="8">
        <v>0</v>
      </c>
      <c r="AI52" s="8" t="s">
        <v>119</v>
      </c>
      <c r="AJ52" s="8" t="s">
        <v>121</v>
      </c>
      <c r="AQ52" s="1">
        <v>0</v>
      </c>
    </row>
    <row r="53" spans="2:43" hidden="1" x14ac:dyDescent="0.25">
      <c r="B53" s="2" t="s">
        <v>87</v>
      </c>
      <c r="C53" s="2" t="s">
        <v>88</v>
      </c>
      <c r="D53" s="2" t="s">
        <v>52</v>
      </c>
      <c r="E53" s="2" t="s">
        <v>48</v>
      </c>
      <c r="F53" s="2">
        <v>3.5000000000000003E-2</v>
      </c>
      <c r="G53" s="3">
        <v>0.11</v>
      </c>
      <c r="H53" s="2">
        <v>200</v>
      </c>
      <c r="I53" s="2">
        <v>1064</v>
      </c>
      <c r="J53" s="2"/>
      <c r="K53" s="2"/>
      <c r="L53" s="2"/>
      <c r="M53" s="2"/>
      <c r="N53" s="8">
        <f t="shared" si="5"/>
        <v>-24</v>
      </c>
      <c r="O53" s="2"/>
      <c r="P53" s="2">
        <v>1138</v>
      </c>
      <c r="Q53" s="2">
        <v>150</v>
      </c>
      <c r="R53" s="19"/>
      <c r="S53" s="2"/>
      <c r="T53" s="2"/>
      <c r="U53" s="19"/>
      <c r="V53" s="2"/>
      <c r="W53" s="2"/>
      <c r="X53" s="2"/>
      <c r="Y53" s="2"/>
      <c r="Z53" s="7">
        <f t="shared" si="6"/>
        <v>139.04</v>
      </c>
      <c r="AA53" s="7">
        <v>500</v>
      </c>
      <c r="AB53" s="7">
        <v>0</v>
      </c>
      <c r="AC53" s="8">
        <f t="shared" si="7"/>
        <v>0</v>
      </c>
      <c r="AD53" s="8">
        <v>0</v>
      </c>
      <c r="AE53" s="8">
        <f t="shared" si="8"/>
        <v>0</v>
      </c>
      <c r="AF53" s="8">
        <f t="shared" si="4"/>
        <v>0</v>
      </c>
      <c r="AG53" s="8">
        <v>0</v>
      </c>
      <c r="AH53" s="8">
        <v>0</v>
      </c>
      <c r="AI53" s="8" t="s">
        <v>119</v>
      </c>
      <c r="AJ53" s="8" t="s">
        <v>121</v>
      </c>
      <c r="AQ53" s="1">
        <v>1000</v>
      </c>
    </row>
    <row r="54" spans="2:43" hidden="1" x14ac:dyDescent="0.25">
      <c r="B54" s="2" t="s">
        <v>87</v>
      </c>
      <c r="C54" s="2" t="s">
        <v>88</v>
      </c>
      <c r="D54" s="2" t="s">
        <v>53</v>
      </c>
      <c r="E54" s="2" t="s">
        <v>54</v>
      </c>
      <c r="F54" s="2">
        <v>4.1000000000000002E-2</v>
      </c>
      <c r="G54" s="3">
        <v>7.3999999999999996E-2</v>
      </c>
      <c r="H54" s="2">
        <v>0</v>
      </c>
      <c r="I54" s="2">
        <v>1165</v>
      </c>
      <c r="J54" s="2"/>
      <c r="K54" s="2"/>
      <c r="L54" s="2"/>
      <c r="M54" s="2"/>
      <c r="N54" s="8">
        <f t="shared" si="5"/>
        <v>-134</v>
      </c>
      <c r="O54" s="2"/>
      <c r="P54" s="2"/>
      <c r="Q54" s="2"/>
      <c r="R54" s="19"/>
      <c r="S54" s="2"/>
      <c r="T54" s="2">
        <v>211</v>
      </c>
      <c r="U54" s="19"/>
      <c r="V54" s="2">
        <v>1088</v>
      </c>
      <c r="W54" s="2"/>
      <c r="X54" s="2"/>
      <c r="Y54" s="2"/>
      <c r="Z54" s="7">
        <f t="shared" si="6"/>
        <v>86.21</v>
      </c>
      <c r="AA54" s="7">
        <v>1000</v>
      </c>
      <c r="AB54" s="7">
        <v>0</v>
      </c>
      <c r="AC54" s="8">
        <f t="shared" si="7"/>
        <v>0</v>
      </c>
      <c r="AD54" s="8">
        <v>0</v>
      </c>
      <c r="AE54" s="8">
        <f t="shared" si="8"/>
        <v>0</v>
      </c>
      <c r="AF54" s="8">
        <f t="shared" si="4"/>
        <v>0</v>
      </c>
      <c r="AG54" s="8">
        <v>0</v>
      </c>
      <c r="AH54" s="8">
        <v>0</v>
      </c>
      <c r="AI54" s="8" t="s">
        <v>119</v>
      </c>
      <c r="AJ54" s="8" t="s">
        <v>121</v>
      </c>
      <c r="AQ54" s="1">
        <v>2800</v>
      </c>
    </row>
    <row r="55" spans="2:43" x14ac:dyDescent="0.25">
      <c r="B55" s="2" t="s">
        <v>87</v>
      </c>
      <c r="C55" s="2" t="s">
        <v>88</v>
      </c>
      <c r="D55" s="2" t="s">
        <v>55</v>
      </c>
      <c r="E55" s="2" t="s">
        <v>54</v>
      </c>
      <c r="F55" s="2">
        <v>4.4999999999999998E-2</v>
      </c>
      <c r="G55" s="3">
        <v>0.46</v>
      </c>
      <c r="H55" s="2">
        <v>400</v>
      </c>
      <c r="I55" s="2">
        <v>996</v>
      </c>
      <c r="J55" s="2"/>
      <c r="K55" s="2"/>
      <c r="L55" s="2"/>
      <c r="M55" s="2"/>
      <c r="N55" s="8">
        <f t="shared" si="5"/>
        <v>252</v>
      </c>
      <c r="O55" s="2">
        <v>550</v>
      </c>
      <c r="P55" s="2">
        <v>228</v>
      </c>
      <c r="Q55" s="2"/>
      <c r="R55" s="19"/>
      <c r="S55" s="2">
        <v>366</v>
      </c>
      <c r="T55" s="2"/>
      <c r="U55" s="19"/>
      <c r="V55" s="2"/>
      <c r="W55" s="2"/>
      <c r="X55" s="2"/>
      <c r="Y55" s="2"/>
      <c r="Z55" s="7">
        <f t="shared" si="6"/>
        <v>642.16000000000008</v>
      </c>
      <c r="AA55" s="7">
        <v>200</v>
      </c>
      <c r="AB55" s="7">
        <v>0</v>
      </c>
      <c r="AC55" s="8">
        <f t="shared" si="7"/>
        <v>0</v>
      </c>
      <c r="AD55" s="8">
        <v>0</v>
      </c>
      <c r="AE55" s="8">
        <f t="shared" si="8"/>
        <v>0</v>
      </c>
      <c r="AF55" s="8">
        <f t="shared" si="4"/>
        <v>0</v>
      </c>
      <c r="AG55" s="8">
        <v>0</v>
      </c>
      <c r="AH55" s="8">
        <v>0</v>
      </c>
      <c r="AI55" s="8" t="s">
        <v>119</v>
      </c>
      <c r="AJ55" s="8" t="s">
        <v>121</v>
      </c>
      <c r="AQ55" s="1">
        <v>1000</v>
      </c>
    </row>
    <row r="56" spans="2:43" hidden="1" x14ac:dyDescent="0.25">
      <c r="B56" s="2" t="s">
        <v>87</v>
      </c>
      <c r="C56" s="2" t="s">
        <v>88</v>
      </c>
      <c r="D56" s="2" t="s">
        <v>56</v>
      </c>
      <c r="E56" s="2" t="s">
        <v>54</v>
      </c>
      <c r="F56" s="2">
        <v>4.4999999999999998E-2</v>
      </c>
      <c r="G56" s="3">
        <v>0.23300000000000001</v>
      </c>
      <c r="H56" s="2">
        <v>2000</v>
      </c>
      <c r="I56" s="2">
        <v>400</v>
      </c>
      <c r="J56" s="2"/>
      <c r="K56" s="2"/>
      <c r="L56" s="2"/>
      <c r="M56" s="2"/>
      <c r="N56" s="8">
        <f t="shared" si="5"/>
        <v>-491</v>
      </c>
      <c r="O56" s="2">
        <v>400</v>
      </c>
      <c r="P56" s="2"/>
      <c r="Q56" s="2"/>
      <c r="R56" s="19">
        <v>380</v>
      </c>
      <c r="S56" s="2">
        <v>1260</v>
      </c>
      <c r="T56" s="2">
        <v>851</v>
      </c>
      <c r="U56" s="19"/>
      <c r="V56" s="2"/>
      <c r="W56" s="2"/>
      <c r="X56" s="2"/>
      <c r="Y56" s="2"/>
      <c r="Z56" s="7">
        <f t="shared" si="6"/>
        <v>559.20000000000005</v>
      </c>
      <c r="AA56" s="7">
        <v>500</v>
      </c>
      <c r="AB56" s="7">
        <v>0</v>
      </c>
      <c r="AC56" s="8">
        <f t="shared" si="7"/>
        <v>0</v>
      </c>
      <c r="AD56" s="8">
        <v>0</v>
      </c>
      <c r="AE56" s="8">
        <f t="shared" si="8"/>
        <v>0</v>
      </c>
      <c r="AF56" s="8">
        <f t="shared" si="4"/>
        <v>0</v>
      </c>
      <c r="AG56" s="8">
        <v>0</v>
      </c>
      <c r="AH56" s="8">
        <v>0</v>
      </c>
      <c r="AI56" s="8" t="s">
        <v>119</v>
      </c>
      <c r="AJ56" s="8" t="s">
        <v>121</v>
      </c>
      <c r="AQ56" s="1">
        <v>416</v>
      </c>
    </row>
    <row r="57" spans="2:43" hidden="1" x14ac:dyDescent="0.25">
      <c r="B57" s="2" t="s">
        <v>87</v>
      </c>
      <c r="C57" s="2" t="s">
        <v>88</v>
      </c>
      <c r="D57" s="2" t="s">
        <v>57</v>
      </c>
      <c r="E57" s="2" t="s">
        <v>54</v>
      </c>
      <c r="F57" s="2">
        <v>4.1000000000000002E-2</v>
      </c>
      <c r="G57" s="3">
        <v>0.19700000000000001</v>
      </c>
      <c r="H57" s="2">
        <v>500</v>
      </c>
      <c r="I57" s="2">
        <v>965</v>
      </c>
      <c r="J57" s="2"/>
      <c r="K57" s="2"/>
      <c r="L57" s="2"/>
      <c r="M57" s="2"/>
      <c r="N57" s="8">
        <f t="shared" si="5"/>
        <v>-20</v>
      </c>
      <c r="O57" s="2"/>
      <c r="P57" s="2"/>
      <c r="Q57" s="2"/>
      <c r="R57" s="19"/>
      <c r="S57" s="2"/>
      <c r="T57" s="2"/>
      <c r="U57" s="19">
        <v>526</v>
      </c>
      <c r="V57" s="2">
        <v>364</v>
      </c>
      <c r="W57" s="2">
        <v>275</v>
      </c>
      <c r="X57" s="2">
        <v>320</v>
      </c>
      <c r="Y57" s="2"/>
      <c r="Z57" s="7">
        <f t="shared" si="6"/>
        <v>288.60500000000002</v>
      </c>
      <c r="AA57" s="7">
        <v>500</v>
      </c>
      <c r="AB57" s="7">
        <v>0</v>
      </c>
      <c r="AC57" s="8">
        <f t="shared" si="7"/>
        <v>0</v>
      </c>
      <c r="AD57" s="8">
        <v>0</v>
      </c>
      <c r="AE57" s="8">
        <f t="shared" si="8"/>
        <v>0</v>
      </c>
      <c r="AF57" s="8">
        <f t="shared" si="4"/>
        <v>0</v>
      </c>
      <c r="AG57" s="8">
        <v>0</v>
      </c>
      <c r="AH57" s="8">
        <v>0</v>
      </c>
      <c r="AI57" s="8" t="s">
        <v>119</v>
      </c>
      <c r="AJ57" s="8" t="s">
        <v>121</v>
      </c>
      <c r="AQ57" s="1">
        <v>2200</v>
      </c>
    </row>
    <row r="58" spans="2:43" hidden="1" x14ac:dyDescent="0.25">
      <c r="B58" s="2" t="s">
        <v>87</v>
      </c>
      <c r="C58" s="2" t="s">
        <v>88</v>
      </c>
      <c r="D58" s="2" t="s">
        <v>58</v>
      </c>
      <c r="E58" s="2" t="s">
        <v>54</v>
      </c>
      <c r="F58" s="2">
        <v>4.4999999999999998E-2</v>
      </c>
      <c r="G58" s="3">
        <v>0.17299999999999999</v>
      </c>
      <c r="H58" s="2">
        <v>1400</v>
      </c>
      <c r="I58" s="2">
        <v>412</v>
      </c>
      <c r="J58" s="2"/>
      <c r="K58" s="2"/>
      <c r="L58" s="2"/>
      <c r="M58" s="2"/>
      <c r="N58" s="8">
        <f t="shared" si="5"/>
        <v>-1052</v>
      </c>
      <c r="O58" s="2"/>
      <c r="P58" s="2">
        <v>300</v>
      </c>
      <c r="Q58" s="2">
        <v>1512</v>
      </c>
      <c r="R58" s="19">
        <v>528</v>
      </c>
      <c r="S58" s="2">
        <v>244</v>
      </c>
      <c r="T58" s="2"/>
      <c r="U58" s="19">
        <v>280</v>
      </c>
      <c r="V58" s="2"/>
      <c r="W58" s="2"/>
      <c r="X58" s="2"/>
      <c r="Y58" s="2"/>
      <c r="Z58" s="7">
        <f t="shared" si="6"/>
        <v>313.476</v>
      </c>
      <c r="AA58" s="7">
        <v>500</v>
      </c>
      <c r="AB58" s="7">
        <v>0</v>
      </c>
      <c r="AC58" s="8">
        <f t="shared" si="7"/>
        <v>0</v>
      </c>
      <c r="AD58" s="8">
        <v>0</v>
      </c>
      <c r="AE58" s="8">
        <f t="shared" si="8"/>
        <v>0</v>
      </c>
      <c r="AF58" s="8">
        <f t="shared" si="4"/>
        <v>0</v>
      </c>
      <c r="AG58" s="8">
        <v>0</v>
      </c>
      <c r="AH58" s="8">
        <v>0</v>
      </c>
      <c r="AI58" s="8" t="s">
        <v>119</v>
      </c>
      <c r="AJ58" s="8" t="s">
        <v>121</v>
      </c>
      <c r="AQ58" s="1">
        <v>1720</v>
      </c>
    </row>
    <row r="59" spans="2:43" ht="14.25" customHeight="1" x14ac:dyDescent="0.25">
      <c r="B59" s="2" t="s">
        <v>87</v>
      </c>
      <c r="C59" s="2" t="s">
        <v>88</v>
      </c>
      <c r="D59" s="2" t="s">
        <v>59</v>
      </c>
      <c r="E59" s="2" t="s">
        <v>60</v>
      </c>
      <c r="F59" s="2">
        <v>3.5000000000000003E-2</v>
      </c>
      <c r="G59" s="3">
        <v>0.29799999999999999</v>
      </c>
      <c r="H59" s="2">
        <v>576</v>
      </c>
      <c r="I59" s="2">
        <v>0</v>
      </c>
      <c r="J59" s="2"/>
      <c r="K59" s="2"/>
      <c r="L59" s="2"/>
      <c r="M59" s="2"/>
      <c r="N59" s="8">
        <f t="shared" si="5"/>
        <v>144</v>
      </c>
      <c r="O59" s="2"/>
      <c r="P59" s="2"/>
      <c r="Q59" s="2"/>
      <c r="R59" s="19">
        <v>288</v>
      </c>
      <c r="S59" s="2">
        <v>144</v>
      </c>
      <c r="T59" s="2"/>
      <c r="U59" s="19"/>
      <c r="V59" s="2"/>
      <c r="W59" s="2"/>
      <c r="X59" s="2"/>
      <c r="Y59" s="2"/>
      <c r="Z59" s="7">
        <f t="shared" si="6"/>
        <v>171.648</v>
      </c>
      <c r="AA59" s="7">
        <v>144</v>
      </c>
      <c r="AB59" s="7">
        <v>0</v>
      </c>
      <c r="AC59" s="8">
        <f t="shared" si="7"/>
        <v>0</v>
      </c>
      <c r="AD59" s="8">
        <v>0</v>
      </c>
      <c r="AE59" s="8">
        <f t="shared" si="8"/>
        <v>0</v>
      </c>
      <c r="AF59" s="8">
        <f t="shared" si="4"/>
        <v>0</v>
      </c>
      <c r="AG59" s="8" t="s">
        <v>110</v>
      </c>
      <c r="AH59" s="8">
        <f t="shared" ref="AH59:AH78" si="9">+SUM(H59:M59)</f>
        <v>576</v>
      </c>
      <c r="AI59" s="8" t="s">
        <v>119</v>
      </c>
      <c r="AJ59" s="8" t="s">
        <v>121</v>
      </c>
      <c r="AQ59" s="1">
        <v>0</v>
      </c>
    </row>
    <row r="60" spans="2:43" hidden="1" x14ac:dyDescent="0.25">
      <c r="B60" s="2" t="s">
        <v>87</v>
      </c>
      <c r="C60" s="2" t="s">
        <v>88</v>
      </c>
      <c r="D60" s="2" t="s">
        <v>61</v>
      </c>
      <c r="E60" s="2" t="s">
        <v>60</v>
      </c>
      <c r="F60" s="2">
        <v>3.5000000000000003E-2</v>
      </c>
      <c r="G60" s="3">
        <v>0.249</v>
      </c>
      <c r="H60" s="2">
        <v>0</v>
      </c>
      <c r="I60" s="2">
        <v>0</v>
      </c>
      <c r="J60" s="2"/>
      <c r="K60" s="2"/>
      <c r="L60" s="2"/>
      <c r="M60" s="2"/>
      <c r="N60" s="8">
        <f t="shared" si="5"/>
        <v>0</v>
      </c>
      <c r="O60" s="2"/>
      <c r="P60" s="2"/>
      <c r="Q60" s="2"/>
      <c r="R60" s="19"/>
      <c r="S60" s="2"/>
      <c r="T60" s="2"/>
      <c r="U60" s="19"/>
      <c r="V60" s="2"/>
      <c r="W60" s="2"/>
      <c r="X60" s="2"/>
      <c r="Y60" s="2"/>
      <c r="Z60" s="7">
        <f t="shared" si="6"/>
        <v>0</v>
      </c>
      <c r="AA60" s="7">
        <v>144</v>
      </c>
      <c r="AB60" s="7">
        <v>1</v>
      </c>
      <c r="AC60" s="8">
        <f t="shared" si="7"/>
        <v>0</v>
      </c>
      <c r="AD60" s="8">
        <v>0</v>
      </c>
      <c r="AE60" s="8">
        <f t="shared" si="8"/>
        <v>0</v>
      </c>
      <c r="AF60" s="8">
        <f t="shared" si="4"/>
        <v>0</v>
      </c>
      <c r="AG60" s="8" t="s">
        <v>111</v>
      </c>
      <c r="AH60" s="8">
        <f t="shared" si="9"/>
        <v>0</v>
      </c>
      <c r="AI60" s="8" t="s">
        <v>119</v>
      </c>
      <c r="AJ60" s="8" t="s">
        <v>121</v>
      </c>
      <c r="AQ60" s="1">
        <v>-576</v>
      </c>
    </row>
    <row r="61" spans="2:43" hidden="1" x14ac:dyDescent="0.25">
      <c r="B61" s="2" t="s">
        <v>87</v>
      </c>
      <c r="C61" s="2" t="s">
        <v>88</v>
      </c>
      <c r="D61" s="2" t="s">
        <v>62</v>
      </c>
      <c r="E61" s="2" t="s">
        <v>60</v>
      </c>
      <c r="F61" s="2">
        <v>3.5000000000000003E-2</v>
      </c>
      <c r="G61" s="3">
        <v>0.253</v>
      </c>
      <c r="H61" s="2">
        <v>0</v>
      </c>
      <c r="I61" s="2">
        <v>0</v>
      </c>
      <c r="J61" s="2"/>
      <c r="K61" s="2"/>
      <c r="L61" s="2"/>
      <c r="M61" s="2"/>
      <c r="N61" s="8">
        <f t="shared" si="5"/>
        <v>-288</v>
      </c>
      <c r="O61" s="2"/>
      <c r="P61" s="2"/>
      <c r="Q61" s="2"/>
      <c r="R61" s="19"/>
      <c r="S61" s="2"/>
      <c r="T61" s="2"/>
      <c r="U61" s="19"/>
      <c r="V61" s="2"/>
      <c r="W61" s="2"/>
      <c r="X61" s="2">
        <v>288</v>
      </c>
      <c r="Y61" s="2"/>
      <c r="Z61" s="7">
        <f t="shared" si="6"/>
        <v>0</v>
      </c>
      <c r="AA61" s="7">
        <v>144</v>
      </c>
      <c r="AB61" s="7">
        <v>1</v>
      </c>
      <c r="AC61" s="8">
        <f t="shared" si="7"/>
        <v>0</v>
      </c>
      <c r="AD61" s="8">
        <v>0</v>
      </c>
      <c r="AE61" s="8">
        <f t="shared" si="8"/>
        <v>0</v>
      </c>
      <c r="AF61" s="8">
        <f t="shared" si="4"/>
        <v>0</v>
      </c>
      <c r="AG61" s="8" t="s">
        <v>111</v>
      </c>
      <c r="AH61" s="8">
        <f t="shared" si="9"/>
        <v>0</v>
      </c>
      <c r="AI61" s="8" t="s">
        <v>119</v>
      </c>
      <c r="AJ61" s="8" t="s">
        <v>121</v>
      </c>
      <c r="AQ61" s="1">
        <v>0</v>
      </c>
    </row>
    <row r="62" spans="2:43" x14ac:dyDescent="0.25">
      <c r="B62" s="2" t="s">
        <v>87</v>
      </c>
      <c r="C62" s="2" t="s">
        <v>88</v>
      </c>
      <c r="D62" s="2" t="s">
        <v>63</v>
      </c>
      <c r="E62" s="2" t="s">
        <v>60</v>
      </c>
      <c r="F62" s="2">
        <v>3.5000000000000003E-2</v>
      </c>
      <c r="G62" s="3">
        <v>0.215</v>
      </c>
      <c r="H62" s="2">
        <v>432</v>
      </c>
      <c r="I62" s="2">
        <v>0</v>
      </c>
      <c r="J62" s="2"/>
      <c r="K62" s="2"/>
      <c r="L62" s="2"/>
      <c r="M62" s="2"/>
      <c r="N62" s="8">
        <f t="shared" si="5"/>
        <v>432</v>
      </c>
      <c r="O62" s="2"/>
      <c r="P62" s="2"/>
      <c r="Q62" s="2"/>
      <c r="R62" s="19"/>
      <c r="S62" s="2"/>
      <c r="T62" s="2"/>
      <c r="U62" s="19"/>
      <c r="V62" s="2"/>
      <c r="W62" s="2"/>
      <c r="X62" s="2"/>
      <c r="Y62" s="2"/>
      <c r="Z62" s="7">
        <f t="shared" si="6"/>
        <v>92.88</v>
      </c>
      <c r="AA62" s="7">
        <v>144</v>
      </c>
      <c r="AB62" s="7">
        <v>1</v>
      </c>
      <c r="AC62" s="8">
        <f t="shared" si="7"/>
        <v>432</v>
      </c>
      <c r="AD62" s="8">
        <v>0</v>
      </c>
      <c r="AE62" s="8">
        <f t="shared" si="8"/>
        <v>0</v>
      </c>
      <c r="AF62" s="8">
        <f t="shared" si="4"/>
        <v>0</v>
      </c>
      <c r="AG62" s="8" t="s">
        <v>111</v>
      </c>
      <c r="AH62" s="8">
        <f t="shared" si="9"/>
        <v>432</v>
      </c>
      <c r="AI62" s="8" t="s">
        <v>119</v>
      </c>
      <c r="AJ62" s="8" t="s">
        <v>121</v>
      </c>
      <c r="AQ62" s="1">
        <v>144</v>
      </c>
    </row>
    <row r="63" spans="2:43" x14ac:dyDescent="0.25">
      <c r="B63" s="2" t="s">
        <v>87</v>
      </c>
      <c r="C63" s="2" t="s">
        <v>88</v>
      </c>
      <c r="D63" s="2" t="s">
        <v>64</v>
      </c>
      <c r="E63" s="2" t="s">
        <v>60</v>
      </c>
      <c r="F63" s="2">
        <v>3.5000000000000003E-2</v>
      </c>
      <c r="G63" s="3">
        <v>0.253</v>
      </c>
      <c r="H63" s="2">
        <v>720</v>
      </c>
      <c r="I63" s="2">
        <v>68</v>
      </c>
      <c r="J63" s="2"/>
      <c r="K63" s="2"/>
      <c r="L63" s="2"/>
      <c r="M63" s="2"/>
      <c r="N63" s="8">
        <f t="shared" si="5"/>
        <v>212</v>
      </c>
      <c r="O63" s="2"/>
      <c r="P63" s="2">
        <v>144</v>
      </c>
      <c r="Q63" s="2"/>
      <c r="R63" s="19"/>
      <c r="S63" s="2">
        <v>432</v>
      </c>
      <c r="T63" s="2"/>
      <c r="U63" s="19"/>
      <c r="V63" s="2"/>
      <c r="W63" s="2"/>
      <c r="X63" s="2"/>
      <c r="Y63" s="2"/>
      <c r="Z63" s="7">
        <f t="shared" si="6"/>
        <v>199.364</v>
      </c>
      <c r="AA63" s="7">
        <v>144</v>
      </c>
      <c r="AB63" s="7">
        <v>1</v>
      </c>
      <c r="AC63" s="8">
        <f t="shared" si="7"/>
        <v>720</v>
      </c>
      <c r="AD63" s="8">
        <v>0</v>
      </c>
      <c r="AE63" s="8">
        <f t="shared" si="8"/>
        <v>0</v>
      </c>
      <c r="AF63" s="8">
        <f t="shared" si="4"/>
        <v>0</v>
      </c>
      <c r="AG63" s="8" t="s">
        <v>111</v>
      </c>
      <c r="AH63" s="8">
        <f t="shared" si="9"/>
        <v>788</v>
      </c>
      <c r="AI63" s="8" t="s">
        <v>119</v>
      </c>
      <c r="AJ63" s="8" t="s">
        <v>121</v>
      </c>
      <c r="AQ63" s="1">
        <v>0</v>
      </c>
    </row>
    <row r="64" spans="2:43" x14ac:dyDescent="0.25">
      <c r="B64" s="2" t="s">
        <v>87</v>
      </c>
      <c r="C64" s="2" t="s">
        <v>88</v>
      </c>
      <c r="D64" s="2" t="s">
        <v>65</v>
      </c>
      <c r="E64" s="2" t="s">
        <v>60</v>
      </c>
      <c r="F64" s="2">
        <v>3.5000000000000003E-2</v>
      </c>
      <c r="G64" s="3">
        <v>0.249</v>
      </c>
      <c r="H64" s="2">
        <v>720</v>
      </c>
      <c r="I64" s="2">
        <v>0</v>
      </c>
      <c r="J64" s="2"/>
      <c r="K64" s="2"/>
      <c r="L64" s="2"/>
      <c r="M64" s="2"/>
      <c r="N64" s="8">
        <f t="shared" si="5"/>
        <v>144</v>
      </c>
      <c r="O64" s="2"/>
      <c r="P64" s="2"/>
      <c r="Q64" s="2">
        <v>576</v>
      </c>
      <c r="R64" s="19"/>
      <c r="S64" s="2"/>
      <c r="T64" s="2"/>
      <c r="U64" s="19"/>
      <c r="V64" s="2"/>
      <c r="W64" s="2"/>
      <c r="X64" s="2"/>
      <c r="Y64" s="2"/>
      <c r="Z64" s="7">
        <f t="shared" si="6"/>
        <v>179.28</v>
      </c>
      <c r="AA64" s="7">
        <v>144</v>
      </c>
      <c r="AB64" s="7">
        <v>1</v>
      </c>
      <c r="AC64" s="8">
        <f t="shared" si="7"/>
        <v>720</v>
      </c>
      <c r="AD64" s="8">
        <v>0</v>
      </c>
      <c r="AE64" s="8">
        <f t="shared" si="8"/>
        <v>0</v>
      </c>
      <c r="AF64" s="8">
        <f t="shared" si="4"/>
        <v>0</v>
      </c>
      <c r="AG64" s="8" t="s">
        <v>111</v>
      </c>
      <c r="AH64" s="8">
        <f t="shared" si="9"/>
        <v>720</v>
      </c>
      <c r="AI64" s="8" t="s">
        <v>119</v>
      </c>
      <c r="AJ64" s="8" t="s">
        <v>121</v>
      </c>
      <c r="AQ64" s="1">
        <v>576</v>
      </c>
    </row>
    <row r="65" spans="2:43" hidden="1" x14ac:dyDescent="0.25">
      <c r="B65" s="2" t="s">
        <v>87</v>
      </c>
      <c r="C65" s="2" t="s">
        <v>88</v>
      </c>
      <c r="D65" s="2" t="s">
        <v>66</v>
      </c>
      <c r="E65" s="2" t="s">
        <v>60</v>
      </c>
      <c r="F65" s="2">
        <v>3.5000000000000003E-2</v>
      </c>
      <c r="G65" s="3">
        <v>0.30299999999999999</v>
      </c>
      <c r="H65" s="2">
        <v>288</v>
      </c>
      <c r="I65" s="2">
        <v>0</v>
      </c>
      <c r="J65" s="2"/>
      <c r="K65" s="2"/>
      <c r="L65" s="2"/>
      <c r="M65" s="2"/>
      <c r="N65" s="8">
        <f t="shared" si="5"/>
        <v>0</v>
      </c>
      <c r="O65" s="2"/>
      <c r="P65" s="2"/>
      <c r="Q65" s="2"/>
      <c r="R65" s="19">
        <v>288</v>
      </c>
      <c r="S65" s="2"/>
      <c r="T65" s="2"/>
      <c r="U65" s="19"/>
      <c r="V65" s="2"/>
      <c r="W65" s="2"/>
      <c r="X65" s="2"/>
      <c r="Y65" s="2"/>
      <c r="Z65" s="7">
        <f t="shared" si="6"/>
        <v>87.263999999999996</v>
      </c>
      <c r="AA65" s="7">
        <v>144</v>
      </c>
      <c r="AB65" s="7">
        <v>0</v>
      </c>
      <c r="AC65" s="8">
        <f t="shared" si="7"/>
        <v>0</v>
      </c>
      <c r="AD65" s="8">
        <v>0</v>
      </c>
      <c r="AE65" s="8">
        <f t="shared" si="8"/>
        <v>0</v>
      </c>
      <c r="AF65" s="8">
        <f t="shared" si="4"/>
        <v>0</v>
      </c>
      <c r="AG65" s="8" t="s">
        <v>110</v>
      </c>
      <c r="AH65" s="8">
        <f t="shared" si="9"/>
        <v>288</v>
      </c>
      <c r="AI65" s="8" t="s">
        <v>119</v>
      </c>
      <c r="AJ65" s="8" t="s">
        <v>121</v>
      </c>
      <c r="AQ65" s="1">
        <v>0</v>
      </c>
    </row>
    <row r="66" spans="2:43" hidden="1" x14ac:dyDescent="0.25">
      <c r="B66" s="2" t="s">
        <v>87</v>
      </c>
      <c r="C66" s="2" t="s">
        <v>88</v>
      </c>
      <c r="D66" s="2" t="s">
        <v>67</v>
      </c>
      <c r="E66" s="2" t="s">
        <v>60</v>
      </c>
      <c r="F66" s="2">
        <v>3.5000000000000003E-2</v>
      </c>
      <c r="G66" s="3">
        <v>0.216</v>
      </c>
      <c r="H66" s="2">
        <v>0</v>
      </c>
      <c r="I66" s="2">
        <v>0</v>
      </c>
      <c r="J66" s="2"/>
      <c r="K66" s="2"/>
      <c r="L66" s="2"/>
      <c r="M66" s="2"/>
      <c r="N66" s="8">
        <f t="shared" si="5"/>
        <v>0</v>
      </c>
      <c r="O66" s="2"/>
      <c r="P66" s="2"/>
      <c r="Q66" s="2"/>
      <c r="R66" s="19"/>
      <c r="S66" s="2"/>
      <c r="T66" s="2"/>
      <c r="U66" s="19"/>
      <c r="V66" s="2"/>
      <c r="W66" s="2"/>
      <c r="X66" s="2"/>
      <c r="Y66" s="2"/>
      <c r="Z66" s="7">
        <f t="shared" si="6"/>
        <v>0</v>
      </c>
      <c r="AA66" s="7">
        <v>144</v>
      </c>
      <c r="AB66" s="7">
        <v>1</v>
      </c>
      <c r="AC66" s="8">
        <f t="shared" si="7"/>
        <v>0</v>
      </c>
      <c r="AD66" s="8">
        <v>0</v>
      </c>
      <c r="AE66" s="8">
        <f t="shared" si="8"/>
        <v>0</v>
      </c>
      <c r="AF66" s="8">
        <f t="shared" si="4"/>
        <v>0</v>
      </c>
      <c r="AG66" s="8" t="s">
        <v>111</v>
      </c>
      <c r="AH66" s="8">
        <f t="shared" si="9"/>
        <v>0</v>
      </c>
      <c r="AI66" s="8" t="s">
        <v>119</v>
      </c>
      <c r="AJ66" s="8" t="s">
        <v>121</v>
      </c>
      <c r="AQ66" s="1">
        <v>0</v>
      </c>
    </row>
    <row r="67" spans="2:43" x14ac:dyDescent="0.25">
      <c r="B67" s="2" t="s">
        <v>87</v>
      </c>
      <c r="C67" s="2" t="s">
        <v>88</v>
      </c>
      <c r="D67" s="2" t="s">
        <v>68</v>
      </c>
      <c r="E67" s="2" t="s">
        <v>60</v>
      </c>
      <c r="F67" s="2">
        <v>3.5000000000000003E-2</v>
      </c>
      <c r="G67" s="3">
        <v>0.28399999999999997</v>
      </c>
      <c r="H67" s="2">
        <v>144</v>
      </c>
      <c r="I67" s="2">
        <v>0</v>
      </c>
      <c r="J67" s="2"/>
      <c r="K67" s="2"/>
      <c r="L67" s="2"/>
      <c r="M67" s="2"/>
      <c r="N67" s="8">
        <f t="shared" si="5"/>
        <v>144</v>
      </c>
      <c r="O67" s="2"/>
      <c r="P67" s="2"/>
      <c r="Q67" s="2"/>
      <c r="R67" s="19"/>
      <c r="S67" s="2"/>
      <c r="T67" s="2"/>
      <c r="U67" s="19"/>
      <c r="V67" s="2"/>
      <c r="W67" s="2"/>
      <c r="X67" s="2"/>
      <c r="Y67" s="2"/>
      <c r="Z67" s="7">
        <f t="shared" si="6"/>
        <v>40.895999999999994</v>
      </c>
      <c r="AA67" s="7">
        <v>144</v>
      </c>
      <c r="AB67" s="7">
        <v>0</v>
      </c>
      <c r="AC67" s="8">
        <f t="shared" si="7"/>
        <v>0</v>
      </c>
      <c r="AD67" s="8">
        <v>0</v>
      </c>
      <c r="AE67" s="8">
        <f t="shared" si="8"/>
        <v>0</v>
      </c>
      <c r="AF67" s="8">
        <f t="shared" si="4"/>
        <v>0</v>
      </c>
      <c r="AG67" s="8" t="s">
        <v>110</v>
      </c>
      <c r="AH67" s="8">
        <f t="shared" si="9"/>
        <v>144</v>
      </c>
      <c r="AI67" s="8" t="s">
        <v>119</v>
      </c>
      <c r="AJ67" s="8" t="s">
        <v>121</v>
      </c>
      <c r="AQ67" s="1">
        <v>0</v>
      </c>
    </row>
    <row r="68" spans="2:43" x14ac:dyDescent="0.25">
      <c r="B68" s="2" t="s">
        <v>87</v>
      </c>
      <c r="C68" s="2" t="s">
        <v>88</v>
      </c>
      <c r="D68" s="2" t="s">
        <v>69</v>
      </c>
      <c r="E68" s="2" t="s">
        <v>60</v>
      </c>
      <c r="F68" s="2">
        <v>3.5000000000000003E-2</v>
      </c>
      <c r="G68" s="3">
        <v>0.252</v>
      </c>
      <c r="H68" s="2">
        <v>720</v>
      </c>
      <c r="I68" s="2">
        <v>144</v>
      </c>
      <c r="J68" s="2"/>
      <c r="K68" s="2"/>
      <c r="L68" s="2"/>
      <c r="M68" s="2"/>
      <c r="N68" s="8">
        <f t="shared" si="5"/>
        <v>144</v>
      </c>
      <c r="O68" s="2"/>
      <c r="P68" s="2"/>
      <c r="Q68" s="2"/>
      <c r="R68" s="19"/>
      <c r="S68" s="2">
        <v>144</v>
      </c>
      <c r="T68" s="2">
        <v>288</v>
      </c>
      <c r="U68" s="19">
        <v>288</v>
      </c>
      <c r="V68" s="2"/>
      <c r="W68" s="2"/>
      <c r="X68" s="2"/>
      <c r="Y68" s="2"/>
      <c r="Z68" s="7">
        <f t="shared" si="6"/>
        <v>217.72800000000001</v>
      </c>
      <c r="AA68" s="7">
        <v>144</v>
      </c>
      <c r="AB68" s="7">
        <v>1</v>
      </c>
      <c r="AC68" s="8">
        <f t="shared" si="7"/>
        <v>720</v>
      </c>
      <c r="AD68" s="8">
        <v>0</v>
      </c>
      <c r="AE68" s="8">
        <f t="shared" si="8"/>
        <v>0</v>
      </c>
      <c r="AF68" s="8">
        <f t="shared" si="4"/>
        <v>0</v>
      </c>
      <c r="AG68" s="8" t="s">
        <v>111</v>
      </c>
      <c r="AH68" s="8">
        <f t="shared" si="9"/>
        <v>864</v>
      </c>
      <c r="AI68" s="8" t="s">
        <v>119</v>
      </c>
      <c r="AJ68" s="8" t="s">
        <v>121</v>
      </c>
      <c r="AQ68" s="1">
        <v>-144</v>
      </c>
    </row>
    <row r="69" spans="2:43" hidden="1" x14ac:dyDescent="0.25">
      <c r="B69" s="2" t="s">
        <v>87</v>
      </c>
      <c r="C69" s="2" t="s">
        <v>88</v>
      </c>
      <c r="D69" s="2" t="s">
        <v>70</v>
      </c>
      <c r="E69" s="2" t="s">
        <v>71</v>
      </c>
      <c r="F69" s="2">
        <v>4.4999999999999998E-2</v>
      </c>
      <c r="G69" s="3">
        <v>0.373</v>
      </c>
      <c r="H69" s="2">
        <v>0</v>
      </c>
      <c r="I69" s="2">
        <v>0</v>
      </c>
      <c r="J69" s="2"/>
      <c r="K69" s="2"/>
      <c r="L69" s="2"/>
      <c r="M69" s="2"/>
      <c r="N69" s="8">
        <f t="shared" si="5"/>
        <v>-128</v>
      </c>
      <c r="O69" s="2"/>
      <c r="P69" s="2">
        <v>128</v>
      </c>
      <c r="Q69" s="2"/>
      <c r="R69" s="19"/>
      <c r="S69" s="2"/>
      <c r="T69" s="2"/>
      <c r="U69" s="19"/>
      <c r="V69" s="2"/>
      <c r="W69" s="2"/>
      <c r="X69" s="2"/>
      <c r="Y69" s="2"/>
      <c r="Z69" s="7">
        <f t="shared" si="6"/>
        <v>0</v>
      </c>
      <c r="AA69" s="7">
        <v>288</v>
      </c>
      <c r="AB69" s="7">
        <v>1</v>
      </c>
      <c r="AC69" s="8">
        <f t="shared" si="7"/>
        <v>0</v>
      </c>
      <c r="AD69" s="8">
        <v>0</v>
      </c>
      <c r="AE69" s="8">
        <f t="shared" si="8"/>
        <v>0</v>
      </c>
      <c r="AF69" s="8">
        <f t="shared" si="4"/>
        <v>0</v>
      </c>
      <c r="AG69" s="8" t="s">
        <v>112</v>
      </c>
      <c r="AH69" s="8">
        <f t="shared" si="9"/>
        <v>0</v>
      </c>
      <c r="AI69" s="8" t="s">
        <v>119</v>
      </c>
      <c r="AJ69" s="8" t="s">
        <v>121</v>
      </c>
      <c r="AQ69" s="1">
        <v>512</v>
      </c>
    </row>
    <row r="70" spans="2:43" hidden="1" x14ac:dyDescent="0.25">
      <c r="B70" s="2" t="s">
        <v>87</v>
      </c>
      <c r="C70" s="2" t="s">
        <v>88</v>
      </c>
      <c r="D70" s="2" t="s">
        <v>72</v>
      </c>
      <c r="E70" s="2" t="s">
        <v>71</v>
      </c>
      <c r="F70" s="2">
        <v>4.1000000000000002E-2</v>
      </c>
      <c r="G70" s="3">
        <v>0.375</v>
      </c>
      <c r="H70" s="2">
        <v>0</v>
      </c>
      <c r="I70" s="2">
        <v>0</v>
      </c>
      <c r="J70" s="2"/>
      <c r="K70" s="2"/>
      <c r="L70" s="2"/>
      <c r="M70" s="2"/>
      <c r="N70" s="8">
        <f t="shared" ref="N70:N78" si="10">+H70+I70+J70+K70+L70+M70-SUM(O70:Y70)</f>
        <v>-144</v>
      </c>
      <c r="O70" s="2"/>
      <c r="P70" s="2"/>
      <c r="Q70" s="2"/>
      <c r="R70" s="19"/>
      <c r="S70" s="2"/>
      <c r="T70" s="2"/>
      <c r="U70" s="19"/>
      <c r="V70" s="2">
        <v>144</v>
      </c>
      <c r="W70" s="2"/>
      <c r="X70" s="2"/>
      <c r="Y70" s="2"/>
      <c r="Z70" s="7">
        <f t="shared" ref="Z70:Z78" si="11">+G70*SUM(H70:M70)</f>
        <v>0</v>
      </c>
      <c r="AA70" s="7">
        <v>288</v>
      </c>
      <c r="AB70" s="7">
        <v>0</v>
      </c>
      <c r="AC70" s="8">
        <f t="shared" ref="AC70:AC78" si="12">+H70*AB70</f>
        <v>0</v>
      </c>
      <c r="AD70" s="8">
        <v>1</v>
      </c>
      <c r="AE70" s="8">
        <f t="shared" ref="AE70:AE78" si="13">+H70*AD70</f>
        <v>0</v>
      </c>
      <c r="AF70" s="8">
        <f t="shared" si="4"/>
        <v>0</v>
      </c>
      <c r="AG70" s="8" t="s">
        <v>113</v>
      </c>
      <c r="AH70" s="8">
        <f t="shared" si="9"/>
        <v>0</v>
      </c>
      <c r="AI70" s="8" t="s">
        <v>119</v>
      </c>
      <c r="AJ70" s="8" t="s">
        <v>121</v>
      </c>
      <c r="AQ70" s="1">
        <v>0</v>
      </c>
    </row>
    <row r="71" spans="2:43" hidden="1" x14ac:dyDescent="0.25">
      <c r="B71" s="2" t="s">
        <v>87</v>
      </c>
      <c r="C71" s="2" t="s">
        <v>88</v>
      </c>
      <c r="D71" s="2" t="s">
        <v>73</v>
      </c>
      <c r="E71" s="2" t="s">
        <v>71</v>
      </c>
      <c r="F71" s="2">
        <v>4.4999999999999998E-2</v>
      </c>
      <c r="G71" s="3">
        <v>0.35599999999999998</v>
      </c>
      <c r="H71" s="2">
        <v>0</v>
      </c>
      <c r="I71" s="2">
        <v>0</v>
      </c>
      <c r="J71" s="2"/>
      <c r="K71" s="2"/>
      <c r="L71" s="2"/>
      <c r="M71" s="2"/>
      <c r="N71" s="8">
        <f t="shared" si="10"/>
        <v>0</v>
      </c>
      <c r="O71" s="2"/>
      <c r="P71" s="2"/>
      <c r="Q71" s="2"/>
      <c r="R71" s="19"/>
      <c r="S71" s="2"/>
      <c r="T71" s="2"/>
      <c r="U71" s="19"/>
      <c r="V71" s="2"/>
      <c r="W71" s="2"/>
      <c r="X71" s="2"/>
      <c r="Y71" s="2"/>
      <c r="Z71" s="7">
        <f t="shared" si="11"/>
        <v>0</v>
      </c>
      <c r="AA71" s="7">
        <v>288</v>
      </c>
      <c r="AB71" s="7">
        <v>1</v>
      </c>
      <c r="AC71" s="8">
        <f t="shared" si="12"/>
        <v>0</v>
      </c>
      <c r="AD71" s="8">
        <v>0</v>
      </c>
      <c r="AE71" s="8">
        <f t="shared" si="13"/>
        <v>0</v>
      </c>
      <c r="AF71" s="8">
        <f t="shared" ref="AF71:AF78" si="14">+AE71*2</f>
        <v>0</v>
      </c>
      <c r="AG71" s="8" t="s">
        <v>112</v>
      </c>
      <c r="AH71" s="8">
        <f t="shared" si="9"/>
        <v>0</v>
      </c>
      <c r="AI71" s="8" t="s">
        <v>119</v>
      </c>
      <c r="AJ71" s="8" t="s">
        <v>121</v>
      </c>
      <c r="AQ71" s="1">
        <v>0</v>
      </c>
    </row>
    <row r="72" spans="2:43" hidden="1" x14ac:dyDescent="0.25">
      <c r="B72" s="2" t="s">
        <v>87</v>
      </c>
      <c r="C72" s="2" t="s">
        <v>88</v>
      </c>
      <c r="D72" s="2" t="s">
        <v>74</v>
      </c>
      <c r="E72" s="2" t="s">
        <v>71</v>
      </c>
      <c r="F72" s="2">
        <v>4.4999999999999998E-2</v>
      </c>
      <c r="G72" s="3">
        <v>0.35199999999999998</v>
      </c>
      <c r="H72" s="2">
        <v>640</v>
      </c>
      <c r="I72" s="2">
        <v>0</v>
      </c>
      <c r="J72" s="2"/>
      <c r="K72" s="2"/>
      <c r="L72" s="2"/>
      <c r="M72" s="2"/>
      <c r="N72" s="8">
        <f t="shared" si="10"/>
        <v>-512</v>
      </c>
      <c r="O72" s="2"/>
      <c r="P72" s="2"/>
      <c r="Q72" s="2"/>
      <c r="R72" s="19"/>
      <c r="S72" s="2">
        <v>256</v>
      </c>
      <c r="T72" s="2">
        <v>128</v>
      </c>
      <c r="U72" s="19">
        <v>512</v>
      </c>
      <c r="V72" s="2">
        <v>128</v>
      </c>
      <c r="W72" s="2"/>
      <c r="X72" s="2">
        <v>128</v>
      </c>
      <c r="Y72" s="2"/>
      <c r="Z72" s="7">
        <f t="shared" si="11"/>
        <v>225.27999999999997</v>
      </c>
      <c r="AA72" s="7">
        <v>288</v>
      </c>
      <c r="AB72" s="7">
        <v>1</v>
      </c>
      <c r="AC72" s="8">
        <f t="shared" si="12"/>
        <v>640</v>
      </c>
      <c r="AD72" s="8">
        <v>0</v>
      </c>
      <c r="AE72" s="8">
        <f t="shared" si="13"/>
        <v>0</v>
      </c>
      <c r="AF72" s="8">
        <f t="shared" si="14"/>
        <v>0</v>
      </c>
      <c r="AG72" s="8" t="s">
        <v>114</v>
      </c>
      <c r="AH72" s="8">
        <f t="shared" si="9"/>
        <v>640</v>
      </c>
      <c r="AI72" s="8" t="s">
        <v>119</v>
      </c>
      <c r="AJ72" s="8" t="s">
        <v>121</v>
      </c>
      <c r="AQ72" s="1">
        <v>0</v>
      </c>
    </row>
    <row r="73" spans="2:43" hidden="1" x14ac:dyDescent="0.25">
      <c r="B73" s="2" t="s">
        <v>87</v>
      </c>
      <c r="C73" s="2" t="s">
        <v>88</v>
      </c>
      <c r="D73" s="2" t="s">
        <v>75</v>
      </c>
      <c r="E73" s="2" t="s">
        <v>71</v>
      </c>
      <c r="F73" s="2">
        <v>4.4999999999999998E-2</v>
      </c>
      <c r="G73" s="3">
        <v>0.35299999999999998</v>
      </c>
      <c r="H73" s="2">
        <v>0</v>
      </c>
      <c r="I73" s="2">
        <v>0</v>
      </c>
      <c r="J73" s="2"/>
      <c r="K73" s="2"/>
      <c r="L73" s="2"/>
      <c r="M73" s="2"/>
      <c r="N73" s="8">
        <f t="shared" si="10"/>
        <v>0</v>
      </c>
      <c r="O73" s="2"/>
      <c r="P73" s="2"/>
      <c r="Q73" s="2"/>
      <c r="R73" s="19"/>
      <c r="S73" s="2"/>
      <c r="T73" s="2"/>
      <c r="U73" s="19"/>
      <c r="V73" s="2"/>
      <c r="W73" s="2"/>
      <c r="X73" s="2"/>
      <c r="Y73" s="2"/>
      <c r="Z73" s="7">
        <f t="shared" si="11"/>
        <v>0</v>
      </c>
      <c r="AA73" s="7">
        <v>288</v>
      </c>
      <c r="AB73" s="7">
        <v>1</v>
      </c>
      <c r="AC73" s="8">
        <f t="shared" si="12"/>
        <v>0</v>
      </c>
      <c r="AD73" s="8">
        <v>0</v>
      </c>
      <c r="AE73" s="8">
        <f t="shared" si="13"/>
        <v>0</v>
      </c>
      <c r="AF73" s="8">
        <f t="shared" si="14"/>
        <v>0</v>
      </c>
      <c r="AG73" s="8" t="s">
        <v>115</v>
      </c>
      <c r="AH73" s="8">
        <f t="shared" si="9"/>
        <v>0</v>
      </c>
      <c r="AI73" s="8" t="s">
        <v>119</v>
      </c>
      <c r="AJ73" s="8" t="s">
        <v>121</v>
      </c>
      <c r="AQ73" s="1">
        <v>0</v>
      </c>
    </row>
    <row r="74" spans="2:43" hidden="1" x14ac:dyDescent="0.25">
      <c r="B74" s="2" t="s">
        <v>87</v>
      </c>
      <c r="C74" s="2" t="s">
        <v>88</v>
      </c>
      <c r="D74" s="2" t="s">
        <v>76</v>
      </c>
      <c r="E74" s="2" t="s">
        <v>71</v>
      </c>
      <c r="F74" s="2">
        <v>4.4999999999999998E-2</v>
      </c>
      <c r="G74" s="3">
        <v>0.35599999999999998</v>
      </c>
      <c r="H74" s="2">
        <v>0</v>
      </c>
      <c r="I74" s="2">
        <v>0</v>
      </c>
      <c r="J74" s="2"/>
      <c r="K74" s="2"/>
      <c r="L74" s="2"/>
      <c r="M74" s="2"/>
      <c r="N74" s="8">
        <f t="shared" si="10"/>
        <v>0</v>
      </c>
      <c r="O74" s="2"/>
      <c r="P74" s="2"/>
      <c r="Q74" s="2"/>
      <c r="R74" s="19"/>
      <c r="S74" s="2"/>
      <c r="T74" s="2"/>
      <c r="U74" s="19"/>
      <c r="V74" s="2"/>
      <c r="W74" s="2"/>
      <c r="X74" s="2"/>
      <c r="Y74" s="2"/>
      <c r="Z74" s="7">
        <f t="shared" si="11"/>
        <v>0</v>
      </c>
      <c r="AA74" s="7">
        <v>288</v>
      </c>
      <c r="AB74" s="7">
        <v>1</v>
      </c>
      <c r="AC74" s="8">
        <f t="shared" si="12"/>
        <v>0</v>
      </c>
      <c r="AD74" s="8">
        <v>0</v>
      </c>
      <c r="AE74" s="8">
        <f t="shared" si="13"/>
        <v>0</v>
      </c>
      <c r="AF74" s="8">
        <f t="shared" si="14"/>
        <v>0</v>
      </c>
      <c r="AG74" s="8" t="s">
        <v>115</v>
      </c>
      <c r="AH74" s="8">
        <f t="shared" si="9"/>
        <v>0</v>
      </c>
      <c r="AI74" s="8" t="s">
        <v>119</v>
      </c>
      <c r="AJ74" s="8" t="s">
        <v>121</v>
      </c>
      <c r="AQ74" s="1">
        <v>0</v>
      </c>
    </row>
    <row r="75" spans="2:43" hidden="1" x14ac:dyDescent="0.25">
      <c r="B75" s="2" t="s">
        <v>87</v>
      </c>
      <c r="C75" s="2" t="s">
        <v>88</v>
      </c>
      <c r="D75" s="2" t="s">
        <v>77</v>
      </c>
      <c r="E75" s="2" t="s">
        <v>71</v>
      </c>
      <c r="F75" s="2">
        <v>4.1000000000000002E-2</v>
      </c>
      <c r="G75" s="3">
        <v>0.441</v>
      </c>
      <c r="H75" s="2">
        <v>128</v>
      </c>
      <c r="I75" s="2">
        <v>0</v>
      </c>
      <c r="J75" s="2"/>
      <c r="K75" s="2"/>
      <c r="L75" s="2"/>
      <c r="M75" s="2"/>
      <c r="N75" s="8">
        <f t="shared" si="10"/>
        <v>0</v>
      </c>
      <c r="O75" s="2"/>
      <c r="P75" s="2"/>
      <c r="Q75" s="2"/>
      <c r="R75" s="19"/>
      <c r="S75" s="2"/>
      <c r="T75" s="2"/>
      <c r="U75" s="19"/>
      <c r="V75" s="2">
        <v>128</v>
      </c>
      <c r="W75" s="2"/>
      <c r="X75" s="2"/>
      <c r="Y75" s="2"/>
      <c r="Z75" s="7">
        <f t="shared" si="11"/>
        <v>56.448</v>
      </c>
      <c r="AA75" s="7">
        <v>288</v>
      </c>
      <c r="AB75" s="7">
        <v>0</v>
      </c>
      <c r="AC75" s="8">
        <f t="shared" si="12"/>
        <v>0</v>
      </c>
      <c r="AD75" s="8">
        <v>0</v>
      </c>
      <c r="AE75" s="8">
        <f t="shared" si="13"/>
        <v>0</v>
      </c>
      <c r="AF75" s="8">
        <f t="shared" si="14"/>
        <v>0</v>
      </c>
      <c r="AG75" s="8" t="s">
        <v>116</v>
      </c>
      <c r="AH75" s="8">
        <f t="shared" si="9"/>
        <v>128</v>
      </c>
      <c r="AI75" s="8" t="s">
        <v>119</v>
      </c>
      <c r="AJ75" s="8" t="s">
        <v>121</v>
      </c>
      <c r="AQ75" s="1">
        <v>0</v>
      </c>
    </row>
    <row r="76" spans="2:43" hidden="1" x14ac:dyDescent="0.25">
      <c r="B76" s="2" t="s">
        <v>87</v>
      </c>
      <c r="C76" s="2" t="s">
        <v>88</v>
      </c>
      <c r="D76" s="2" t="s">
        <v>78</v>
      </c>
      <c r="E76" s="2" t="s">
        <v>71</v>
      </c>
      <c r="F76" s="2">
        <v>4.4999999999999998E-2</v>
      </c>
      <c r="G76" s="3">
        <v>0.374</v>
      </c>
      <c r="H76" s="2">
        <v>128</v>
      </c>
      <c r="I76" s="2">
        <v>128</v>
      </c>
      <c r="J76" s="2"/>
      <c r="K76" s="2"/>
      <c r="L76" s="2"/>
      <c r="M76" s="2"/>
      <c r="N76" s="8">
        <f t="shared" si="10"/>
        <v>0</v>
      </c>
      <c r="O76" s="2"/>
      <c r="P76" s="2">
        <v>128</v>
      </c>
      <c r="Q76" s="2"/>
      <c r="R76" s="19"/>
      <c r="S76" s="2"/>
      <c r="T76" s="2"/>
      <c r="U76" s="19"/>
      <c r="V76" s="2"/>
      <c r="W76" s="2"/>
      <c r="X76" s="2">
        <v>128</v>
      </c>
      <c r="Y76" s="2"/>
      <c r="Z76" s="7">
        <f t="shared" si="11"/>
        <v>95.744</v>
      </c>
      <c r="AA76" s="7">
        <v>288</v>
      </c>
      <c r="AB76" s="7">
        <v>1</v>
      </c>
      <c r="AC76" s="8">
        <f t="shared" si="12"/>
        <v>128</v>
      </c>
      <c r="AD76" s="8">
        <v>0</v>
      </c>
      <c r="AE76" s="8">
        <f t="shared" si="13"/>
        <v>0</v>
      </c>
      <c r="AF76" s="8">
        <f t="shared" si="14"/>
        <v>0</v>
      </c>
      <c r="AG76" s="8" t="s">
        <v>112</v>
      </c>
      <c r="AH76" s="8">
        <f t="shared" si="9"/>
        <v>256</v>
      </c>
      <c r="AI76" s="8" t="s">
        <v>119</v>
      </c>
      <c r="AJ76" s="8" t="s">
        <v>121</v>
      </c>
      <c r="AQ76" s="1">
        <v>128</v>
      </c>
    </row>
    <row r="77" spans="2:43" hidden="1" x14ac:dyDescent="0.25">
      <c r="B77" s="2" t="s">
        <v>87</v>
      </c>
      <c r="C77" s="2" t="s">
        <v>88</v>
      </c>
      <c r="D77" s="2" t="s">
        <v>79</v>
      </c>
      <c r="E77" s="2" t="s">
        <v>71</v>
      </c>
      <c r="F77" s="2">
        <v>4.1000000000000002E-2</v>
      </c>
      <c r="G77" s="3">
        <v>0.41599999999999998</v>
      </c>
      <c r="H77" s="2">
        <v>0</v>
      </c>
      <c r="I77" s="2">
        <v>0</v>
      </c>
      <c r="J77" s="2"/>
      <c r="K77" s="2"/>
      <c r="L77" s="2"/>
      <c r="M77" s="2"/>
      <c r="N77" s="8">
        <f t="shared" si="10"/>
        <v>0</v>
      </c>
      <c r="O77" s="2"/>
      <c r="P77" s="2"/>
      <c r="Q77" s="2"/>
      <c r="R77" s="19"/>
      <c r="S77" s="2"/>
      <c r="T77" s="2"/>
      <c r="U77" s="19"/>
      <c r="V77" s="2"/>
      <c r="W77" s="2"/>
      <c r="X77" s="2"/>
      <c r="Y77" s="2"/>
      <c r="Z77" s="7">
        <f t="shared" si="11"/>
        <v>0</v>
      </c>
      <c r="AA77" s="7">
        <v>288</v>
      </c>
      <c r="AB77" s="7">
        <v>0</v>
      </c>
      <c r="AC77" s="8">
        <f t="shared" si="12"/>
        <v>0</v>
      </c>
      <c r="AD77" s="8">
        <v>1</v>
      </c>
      <c r="AE77" s="8">
        <f t="shared" si="13"/>
        <v>0</v>
      </c>
      <c r="AF77" s="8">
        <f t="shared" si="14"/>
        <v>0</v>
      </c>
      <c r="AG77" s="8" t="s">
        <v>117</v>
      </c>
      <c r="AH77" s="8">
        <f t="shared" si="9"/>
        <v>0</v>
      </c>
      <c r="AI77" s="8" t="s">
        <v>119</v>
      </c>
      <c r="AJ77" s="8" t="s">
        <v>121</v>
      </c>
      <c r="AQ77" s="1">
        <v>0</v>
      </c>
    </row>
    <row r="78" spans="2:43" hidden="1" x14ac:dyDescent="0.25">
      <c r="B78" s="2" t="s">
        <v>87</v>
      </c>
      <c r="C78" s="2" t="s">
        <v>88</v>
      </c>
      <c r="D78" s="2" t="s">
        <v>80</v>
      </c>
      <c r="E78" s="2" t="s">
        <v>71</v>
      </c>
      <c r="F78" s="2">
        <v>4.4999999999999998E-2</v>
      </c>
      <c r="G78" s="3">
        <v>0.39500000000000002</v>
      </c>
      <c r="H78" s="2">
        <v>0</v>
      </c>
      <c r="I78" s="2">
        <v>0</v>
      </c>
      <c r="J78" s="2"/>
      <c r="K78" s="2"/>
      <c r="L78" s="2"/>
      <c r="M78" s="2"/>
      <c r="N78" s="8">
        <f t="shared" si="10"/>
        <v>0</v>
      </c>
      <c r="O78" s="2"/>
      <c r="P78" s="2"/>
      <c r="Q78" s="2"/>
      <c r="R78" s="19"/>
      <c r="S78" s="2"/>
      <c r="T78" s="2"/>
      <c r="U78" s="19"/>
      <c r="V78" s="2"/>
      <c r="W78" s="2"/>
      <c r="X78" s="2"/>
      <c r="Y78" s="2"/>
      <c r="Z78" s="7">
        <f t="shared" si="11"/>
        <v>0</v>
      </c>
      <c r="AA78" s="7">
        <v>288</v>
      </c>
      <c r="AB78" s="7">
        <v>1</v>
      </c>
      <c r="AC78" s="8">
        <f t="shared" si="12"/>
        <v>0</v>
      </c>
      <c r="AD78" s="8">
        <v>0</v>
      </c>
      <c r="AE78" s="8">
        <f t="shared" si="13"/>
        <v>0</v>
      </c>
      <c r="AF78" s="8">
        <f t="shared" si="14"/>
        <v>0</v>
      </c>
      <c r="AG78" s="8" t="s">
        <v>112</v>
      </c>
      <c r="AH78" s="8">
        <f t="shared" si="9"/>
        <v>0</v>
      </c>
      <c r="AI78" s="8" t="s">
        <v>119</v>
      </c>
      <c r="AJ78" s="8" t="s">
        <v>121</v>
      </c>
      <c r="AQ78" s="1">
        <v>0</v>
      </c>
    </row>
    <row r="79" spans="2:43" x14ac:dyDescent="0.25">
      <c r="G79" s="4" t="s">
        <v>102</v>
      </c>
      <c r="H79" s="9">
        <f>SUM(H6:H78)</f>
        <v>38796</v>
      </c>
      <c r="I79" s="9">
        <f t="shared" ref="I79:M79" si="15">SUM(I6:I78)</f>
        <v>21515</v>
      </c>
      <c r="J79" s="9">
        <f t="shared" si="15"/>
        <v>0</v>
      </c>
      <c r="K79" s="9">
        <f t="shared" si="15"/>
        <v>0</v>
      </c>
      <c r="L79" s="9">
        <f t="shared" si="15"/>
        <v>0</v>
      </c>
      <c r="M79" s="9">
        <f t="shared" si="15"/>
        <v>0</v>
      </c>
      <c r="N79" s="13">
        <f>SUM(N6:N78)</f>
        <v>4770</v>
      </c>
      <c r="O79" s="9">
        <f t="shared" ref="O79:AF79" si="16">SUM(O6:O78)</f>
        <v>2760</v>
      </c>
      <c r="P79" s="9">
        <f t="shared" si="16"/>
        <v>5883</v>
      </c>
      <c r="Q79" s="9">
        <f t="shared" si="16"/>
        <v>7170</v>
      </c>
      <c r="R79" s="9">
        <f t="shared" si="16"/>
        <v>4612</v>
      </c>
      <c r="S79" s="9">
        <f t="shared" si="16"/>
        <v>7680</v>
      </c>
      <c r="T79" s="9">
        <f t="shared" si="16"/>
        <v>7918</v>
      </c>
      <c r="U79" s="9">
        <f t="shared" si="16"/>
        <v>5095</v>
      </c>
      <c r="V79" s="9">
        <f t="shared" si="16"/>
        <v>7628</v>
      </c>
      <c r="W79" s="9">
        <f t="shared" si="16"/>
        <v>2825</v>
      </c>
      <c r="X79" s="9">
        <f t="shared" si="16"/>
        <v>3970</v>
      </c>
      <c r="Y79" s="9">
        <f t="shared" si="16"/>
        <v>0</v>
      </c>
      <c r="Z79" s="9">
        <f t="shared" si="16"/>
        <v>5822.9469999999992</v>
      </c>
      <c r="AA79" s="9"/>
      <c r="AB79" s="10">
        <f t="shared" si="16"/>
        <v>14</v>
      </c>
      <c r="AC79" s="11">
        <f t="shared" si="16"/>
        <v>3360</v>
      </c>
      <c r="AD79" s="11">
        <f t="shared" si="16"/>
        <v>2</v>
      </c>
      <c r="AE79" s="11">
        <f t="shared" si="16"/>
        <v>0</v>
      </c>
      <c r="AF79" s="11">
        <f t="shared" si="16"/>
        <v>0</v>
      </c>
      <c r="AH79" s="11">
        <f>SUM(AH6:AH78)</f>
        <v>4836</v>
      </c>
    </row>
    <row r="80" spans="2:43" hidden="1" x14ac:dyDescent="0.25">
      <c r="G80" s="4" t="s">
        <v>108</v>
      </c>
      <c r="H80" s="91">
        <f>+H79+I79+J79+K79+L79+M79</f>
        <v>60311</v>
      </c>
      <c r="I80" s="91"/>
      <c r="J80" s="91"/>
      <c r="K80" s="91"/>
      <c r="L80" s="91"/>
      <c r="M80" s="91"/>
      <c r="O80" s="108">
        <f>+O79+P79</f>
        <v>8643</v>
      </c>
      <c r="P80" s="86"/>
      <c r="Q80" s="108">
        <f>+Q79+R79</f>
        <v>11782</v>
      </c>
      <c r="R80" s="86"/>
      <c r="S80" s="108">
        <f>+S79+T79</f>
        <v>15598</v>
      </c>
      <c r="T80" s="86"/>
      <c r="U80" s="108">
        <f t="shared" ref="U80" si="17">+U79+V79</f>
        <v>12723</v>
      </c>
      <c r="V80" s="86"/>
      <c r="W80" s="108">
        <f>+W79+X79</f>
        <v>6795</v>
      </c>
      <c r="X80" s="86"/>
      <c r="Y80" s="12">
        <f>+Y79</f>
        <v>0</v>
      </c>
    </row>
    <row r="81" spans="1:13" x14ac:dyDescent="0.25">
      <c r="H81" s="1">
        <v>0</v>
      </c>
      <c r="I81" s="1">
        <f>SUM(I13:I78)</f>
        <v>11729</v>
      </c>
      <c r="J81" s="1">
        <f>SUM(J13:J78)</f>
        <v>0</v>
      </c>
      <c r="K81" s="1">
        <f t="shared" ref="K81:M81" si="18">SUM(K13:K78)</f>
        <v>0</v>
      </c>
      <c r="L81" s="1">
        <f t="shared" si="18"/>
        <v>0</v>
      </c>
      <c r="M81" s="1">
        <f t="shared" si="18"/>
        <v>0</v>
      </c>
    </row>
    <row r="83" spans="1:13" x14ac:dyDescent="0.25">
      <c r="C83" s="2" t="s">
        <v>143</v>
      </c>
      <c r="D83" s="2" t="s">
        <v>144</v>
      </c>
      <c r="E83" s="2" t="s">
        <v>145</v>
      </c>
    </row>
    <row r="84" spans="1:13" x14ac:dyDescent="0.25">
      <c r="B84" s="2" t="s">
        <v>138</v>
      </c>
      <c r="C84" s="8">
        <v>45025</v>
      </c>
      <c r="D84" s="2">
        <f>+C84/5</f>
        <v>9005</v>
      </c>
      <c r="E84" s="2">
        <f>+D84/2</f>
        <v>4502.5</v>
      </c>
    </row>
    <row r="85" spans="1:13" x14ac:dyDescent="0.25">
      <c r="B85" s="2" t="s">
        <v>142</v>
      </c>
      <c r="C85" s="8">
        <v>5692</v>
      </c>
    </row>
    <row r="86" spans="1:13" x14ac:dyDescent="0.25">
      <c r="B86" s="2" t="s">
        <v>139</v>
      </c>
      <c r="C86" s="2">
        <f>+C84-C85</f>
        <v>39333</v>
      </c>
    </row>
    <row r="87" spans="1:13" x14ac:dyDescent="0.25">
      <c r="B87" s="2" t="s">
        <v>136</v>
      </c>
      <c r="C87" s="25">
        <f>+C86/C84</f>
        <v>0.8735813436979456</v>
      </c>
    </row>
    <row r="88" spans="1:13" x14ac:dyDescent="0.25">
      <c r="B88" s="2" t="s">
        <v>137</v>
      </c>
      <c r="C88" s="25">
        <f>+C85/C84</f>
        <v>0.12641865630205443</v>
      </c>
    </row>
    <row r="91" spans="1:13" x14ac:dyDescent="0.25">
      <c r="A91" s="83" t="s">
        <v>171</v>
      </c>
      <c r="B91" s="84"/>
      <c r="C91" s="84"/>
      <c r="D91" s="84"/>
      <c r="E91" s="84"/>
      <c r="F91" s="85"/>
    </row>
    <row r="92" spans="1:13" x14ac:dyDescent="0.25">
      <c r="A92" s="86" t="s">
        <v>174</v>
      </c>
      <c r="B92" s="44">
        <v>46251</v>
      </c>
      <c r="C92" s="44">
        <v>46252</v>
      </c>
      <c r="D92" s="44">
        <v>46253</v>
      </c>
      <c r="E92" s="44">
        <v>46254</v>
      </c>
      <c r="F92" s="44">
        <v>46255</v>
      </c>
    </row>
    <row r="93" spans="1:13" x14ac:dyDescent="0.25">
      <c r="A93" s="86"/>
      <c r="B93" s="45" t="s">
        <v>148</v>
      </c>
      <c r="C93" s="4" t="s">
        <v>149</v>
      </c>
      <c r="D93" s="4" t="s">
        <v>150</v>
      </c>
      <c r="E93" s="4" t="s">
        <v>151</v>
      </c>
      <c r="F93" s="4" t="s">
        <v>160</v>
      </c>
    </row>
    <row r="94" spans="1:13" x14ac:dyDescent="0.25">
      <c r="A94" s="11" t="s">
        <v>153</v>
      </c>
      <c r="B94" s="35">
        <v>0.17</v>
      </c>
      <c r="C94" s="35">
        <v>0.37</v>
      </c>
      <c r="D94" s="35">
        <v>0.62</v>
      </c>
      <c r="E94" s="35">
        <v>0.78</v>
      </c>
      <c r="F94" s="35">
        <v>0.87</v>
      </c>
    </row>
    <row r="95" spans="1:13" x14ac:dyDescent="0.25">
      <c r="A95" s="11" t="s">
        <v>154</v>
      </c>
      <c r="B95" s="35">
        <v>0.83</v>
      </c>
      <c r="C95" s="35">
        <v>0.63</v>
      </c>
      <c r="D95" s="35">
        <v>0.38</v>
      </c>
      <c r="E95" s="35">
        <v>0.22</v>
      </c>
      <c r="F95" s="35">
        <v>0.13</v>
      </c>
    </row>
  </sheetData>
  <autoFilter ref="B5:AJ80" xr:uid="{00000000-0009-0000-0000-000006000000}">
    <filterColumn colId="12">
      <customFilters>
        <customFilter operator="greaterThan" val="1"/>
      </customFilters>
    </filterColumn>
  </autoFilter>
  <mergeCells count="16">
    <mergeCell ref="Q4:R4"/>
    <mergeCell ref="S4:T4"/>
    <mergeCell ref="W4:X4"/>
    <mergeCell ref="H80:M80"/>
    <mergeCell ref="O80:P80"/>
    <mergeCell ref="Q80:R80"/>
    <mergeCell ref="S80:T80"/>
    <mergeCell ref="U80:V80"/>
    <mergeCell ref="W80:X80"/>
    <mergeCell ref="U4:V4"/>
    <mergeCell ref="I4:M4"/>
    <mergeCell ref="A92:A93"/>
    <mergeCell ref="A91:F91"/>
    <mergeCell ref="C2:D2"/>
    <mergeCell ref="B3:B4"/>
    <mergeCell ref="O4:P4"/>
  </mergeCells>
  <pageMargins left="0.70866141732283472" right="0.70866141732283472" top="0.74803149606299213" bottom="0.74803149606299213" header="0.31496062992125984" footer="0.31496062992125984"/>
  <pageSetup paperSize="9" scale="22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pageSetUpPr fitToPage="1"/>
  </sheetPr>
  <dimension ref="C2:O52"/>
  <sheetViews>
    <sheetView view="pageBreakPreview" zoomScaleNormal="100" zoomScaleSheetLayoutView="100" workbookViewId="0">
      <selection activeCell="H16" sqref="H16"/>
    </sheetView>
  </sheetViews>
  <sheetFormatPr baseColWidth="10" defaultColWidth="8.7109375" defaultRowHeight="15" x14ac:dyDescent="0.25"/>
  <cols>
    <col min="1" max="3" width="8.7109375" style="1"/>
    <col min="4" max="4" width="10.140625" style="1" customWidth="1"/>
    <col min="5" max="5" width="16.140625" style="1" customWidth="1"/>
    <col min="6" max="6" width="18.140625" style="1" customWidth="1"/>
    <col min="7" max="7" width="11" style="1" customWidth="1"/>
    <col min="8" max="8" width="10.28515625" style="1" customWidth="1"/>
    <col min="9" max="10" width="7.5703125" style="1" bestFit="1" customWidth="1"/>
    <col min="11" max="11" width="9.7109375" style="1" customWidth="1"/>
    <col min="12" max="12" width="15.85546875" style="1" customWidth="1"/>
    <col min="13" max="13" width="18.140625" style="1" customWidth="1"/>
    <col min="14" max="14" width="16" style="1" customWidth="1"/>
    <col min="15" max="15" width="10.5703125" style="1" customWidth="1"/>
    <col min="16" max="16384" width="8.7109375" style="1"/>
  </cols>
  <sheetData>
    <row r="2" spans="4:15" x14ac:dyDescent="0.25">
      <c r="E2" s="128" t="s">
        <v>128</v>
      </c>
      <c r="F2" s="128"/>
      <c r="G2" s="128"/>
      <c r="H2" s="128"/>
      <c r="I2" s="128"/>
      <c r="J2" s="128"/>
      <c r="K2" s="128"/>
      <c r="L2" s="128"/>
      <c r="M2" s="128"/>
      <c r="N2" s="128"/>
    </row>
    <row r="3" spans="4:15" x14ac:dyDescent="0.25">
      <c r="E3" s="128"/>
      <c r="F3" s="128"/>
      <c r="G3" s="128"/>
      <c r="H3" s="128"/>
      <c r="I3" s="128"/>
      <c r="J3" s="128"/>
      <c r="K3" s="128"/>
      <c r="L3" s="128"/>
      <c r="M3" s="128"/>
      <c r="N3" s="128"/>
    </row>
    <row r="4" spans="4:15" x14ac:dyDescent="0.25">
      <c r="E4" s="128"/>
      <c r="F4" s="128"/>
      <c r="G4" s="128"/>
      <c r="H4" s="128"/>
      <c r="I4" s="128"/>
      <c r="J4" s="128"/>
      <c r="K4" s="128"/>
      <c r="L4" s="128"/>
      <c r="M4" s="128"/>
      <c r="N4" s="128"/>
    </row>
    <row r="5" spans="4:15" ht="15.75" thickBot="1" x14ac:dyDescent="0.3"/>
    <row r="6" spans="4:15" ht="42.6" customHeight="1" thickBot="1" x14ac:dyDescent="0.3">
      <c r="D6" s="129" t="s">
        <v>129</v>
      </c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1"/>
    </row>
    <row r="8" spans="4:15" x14ac:dyDescent="0.25">
      <c r="D8" s="4" t="s">
        <v>0</v>
      </c>
      <c r="E8" s="4" t="s">
        <v>86</v>
      </c>
      <c r="F8" s="4" t="s">
        <v>89</v>
      </c>
      <c r="G8" s="4" t="s">
        <v>81</v>
      </c>
      <c r="H8" s="4" t="s">
        <v>130</v>
      </c>
      <c r="K8" s="4" t="s">
        <v>0</v>
      </c>
      <c r="L8" s="4" t="s">
        <v>86</v>
      </c>
      <c r="M8" s="4" t="s">
        <v>89</v>
      </c>
      <c r="N8" s="4" t="s">
        <v>81</v>
      </c>
      <c r="O8" s="4" t="s">
        <v>130</v>
      </c>
    </row>
    <row r="9" spans="4:15" x14ac:dyDescent="0.25">
      <c r="D9" s="2" t="s">
        <v>87</v>
      </c>
      <c r="E9" s="2" t="s">
        <v>88</v>
      </c>
      <c r="F9" s="2" t="s">
        <v>39</v>
      </c>
      <c r="G9" s="22" t="s">
        <v>17</v>
      </c>
      <c r="H9" s="2"/>
      <c r="K9" s="2" t="s">
        <v>87</v>
      </c>
      <c r="L9" s="2" t="s">
        <v>88</v>
      </c>
      <c r="M9" s="2" t="s">
        <v>7</v>
      </c>
      <c r="N9" s="22" t="s">
        <v>2</v>
      </c>
      <c r="O9" s="2"/>
    </row>
    <row r="10" spans="4:15" x14ac:dyDescent="0.25">
      <c r="D10" s="2" t="s">
        <v>87</v>
      </c>
      <c r="E10" s="2" t="s">
        <v>88</v>
      </c>
      <c r="F10" s="2" t="s">
        <v>43</v>
      </c>
      <c r="G10" s="22" t="s">
        <v>17</v>
      </c>
      <c r="H10" s="2">
        <v>1000</v>
      </c>
      <c r="K10" s="2" t="s">
        <v>87</v>
      </c>
      <c r="L10" s="2" t="s">
        <v>88</v>
      </c>
      <c r="M10" s="2" t="s">
        <v>6</v>
      </c>
      <c r="N10" s="22" t="s">
        <v>2</v>
      </c>
      <c r="O10" s="2"/>
    </row>
    <row r="11" spans="4:15" x14ac:dyDescent="0.25">
      <c r="D11" s="2" t="s">
        <v>87</v>
      </c>
      <c r="E11" s="2" t="s">
        <v>88</v>
      </c>
      <c r="F11" s="2" t="s">
        <v>27</v>
      </c>
      <c r="G11" s="22" t="s">
        <v>17</v>
      </c>
      <c r="H11" s="2"/>
      <c r="K11" s="2" t="s">
        <v>87</v>
      </c>
      <c r="L11" s="2" t="s">
        <v>88</v>
      </c>
      <c r="M11" s="2" t="s">
        <v>4</v>
      </c>
      <c r="N11" s="22" t="s">
        <v>2</v>
      </c>
      <c r="O11" s="2"/>
    </row>
    <row r="12" spans="4:15" x14ac:dyDescent="0.25">
      <c r="D12" s="2" t="s">
        <v>87</v>
      </c>
      <c r="E12" s="2" t="s">
        <v>88</v>
      </c>
      <c r="F12" s="2" t="s">
        <v>42</v>
      </c>
      <c r="G12" s="22" t="s">
        <v>17</v>
      </c>
      <c r="H12" s="2"/>
      <c r="K12" s="2" t="s">
        <v>87</v>
      </c>
      <c r="L12" s="2" t="s">
        <v>88</v>
      </c>
      <c r="M12" s="2" t="s">
        <v>1</v>
      </c>
      <c r="N12" s="22" t="s">
        <v>2</v>
      </c>
      <c r="O12" s="2"/>
    </row>
    <row r="13" spans="4:15" x14ac:dyDescent="0.25">
      <c r="D13" s="2" t="s">
        <v>87</v>
      </c>
      <c r="E13" s="2" t="s">
        <v>88</v>
      </c>
      <c r="F13" s="2" t="s">
        <v>40</v>
      </c>
      <c r="G13" s="22" t="s">
        <v>17</v>
      </c>
      <c r="H13" s="2"/>
      <c r="K13" s="2" t="s">
        <v>87</v>
      </c>
      <c r="L13" s="2" t="s">
        <v>88</v>
      </c>
      <c r="M13" s="2" t="s">
        <v>8</v>
      </c>
      <c r="N13" s="22" t="s">
        <v>2</v>
      </c>
      <c r="O13" s="2"/>
    </row>
    <row r="14" spans="4:15" x14ac:dyDescent="0.25">
      <c r="D14" s="2" t="s">
        <v>87</v>
      </c>
      <c r="E14" s="2" t="s">
        <v>88</v>
      </c>
      <c r="F14" s="2" t="s">
        <v>44</v>
      </c>
      <c r="G14" s="22" t="s">
        <v>17</v>
      </c>
      <c r="H14" s="2"/>
      <c r="K14" s="2" t="s">
        <v>87</v>
      </c>
      <c r="L14" s="2" t="s">
        <v>88</v>
      </c>
      <c r="M14" s="2" t="s">
        <v>5</v>
      </c>
      <c r="N14" s="22" t="s">
        <v>2</v>
      </c>
      <c r="O14" s="2"/>
    </row>
    <row r="15" spans="4:15" x14ac:dyDescent="0.25">
      <c r="D15" s="2" t="s">
        <v>87</v>
      </c>
      <c r="E15" s="2" t="s">
        <v>88</v>
      </c>
      <c r="F15" s="2" t="s">
        <v>24</v>
      </c>
      <c r="G15" s="22" t="s">
        <v>17</v>
      </c>
      <c r="H15" s="2"/>
      <c r="K15" s="2" t="s">
        <v>87</v>
      </c>
      <c r="L15" s="2" t="s">
        <v>88</v>
      </c>
      <c r="M15" s="2" t="s">
        <v>3</v>
      </c>
      <c r="N15" s="22" t="s">
        <v>2</v>
      </c>
      <c r="O15" s="2"/>
    </row>
    <row r="16" spans="4:15" x14ac:dyDescent="0.25">
      <c r="D16" s="2" t="s">
        <v>87</v>
      </c>
      <c r="E16" s="2" t="s">
        <v>88</v>
      </c>
      <c r="F16" s="2" t="s">
        <v>30</v>
      </c>
      <c r="G16" s="22" t="s">
        <v>17</v>
      </c>
      <c r="H16" s="2"/>
    </row>
    <row r="17" spans="3:15" x14ac:dyDescent="0.25">
      <c r="D17" s="2" t="s">
        <v>87</v>
      </c>
      <c r="E17" s="2" t="s">
        <v>88</v>
      </c>
      <c r="F17" s="2" t="s">
        <v>31</v>
      </c>
      <c r="G17" s="22" t="s">
        <v>17</v>
      </c>
      <c r="H17" s="2"/>
      <c r="K17" s="2" t="s">
        <v>87</v>
      </c>
      <c r="L17" s="2" t="s">
        <v>88</v>
      </c>
      <c r="M17" s="2" t="s">
        <v>47</v>
      </c>
      <c r="N17" s="22" t="s">
        <v>48</v>
      </c>
      <c r="O17" s="2"/>
    </row>
    <row r="18" spans="3:15" x14ac:dyDescent="0.25">
      <c r="D18" s="2" t="s">
        <v>87</v>
      </c>
      <c r="E18" s="2" t="s">
        <v>88</v>
      </c>
      <c r="F18" s="2" t="s">
        <v>22</v>
      </c>
      <c r="G18" s="22" t="s">
        <v>17</v>
      </c>
      <c r="H18" s="2"/>
      <c r="K18" s="2" t="s">
        <v>87</v>
      </c>
      <c r="L18" s="2" t="s">
        <v>88</v>
      </c>
      <c r="M18" s="2" t="s">
        <v>50</v>
      </c>
      <c r="N18" s="22" t="s">
        <v>48</v>
      </c>
      <c r="O18" s="2"/>
    </row>
    <row r="19" spans="3:15" x14ac:dyDescent="0.25">
      <c r="D19" s="2" t="s">
        <v>87</v>
      </c>
      <c r="E19" s="2" t="s">
        <v>88</v>
      </c>
      <c r="F19" s="2" t="s">
        <v>41</v>
      </c>
      <c r="G19" s="22" t="s">
        <v>17</v>
      </c>
      <c r="H19" s="2"/>
      <c r="K19" s="2" t="s">
        <v>87</v>
      </c>
      <c r="L19" s="2" t="s">
        <v>88</v>
      </c>
      <c r="M19" s="2" t="s">
        <v>49</v>
      </c>
      <c r="N19" s="22" t="s">
        <v>48</v>
      </c>
      <c r="O19" s="2"/>
    </row>
    <row r="20" spans="3:15" x14ac:dyDescent="0.25">
      <c r="D20" s="2" t="s">
        <v>87</v>
      </c>
      <c r="E20" s="2" t="s">
        <v>88</v>
      </c>
      <c r="F20" s="2" t="s">
        <v>26</v>
      </c>
      <c r="G20" s="22" t="s">
        <v>17</v>
      </c>
      <c r="H20" s="2"/>
      <c r="K20" s="2" t="s">
        <v>87</v>
      </c>
      <c r="L20" s="2" t="s">
        <v>88</v>
      </c>
      <c r="M20" s="2" t="s">
        <v>52</v>
      </c>
      <c r="N20" s="22" t="s">
        <v>48</v>
      </c>
      <c r="O20" s="2"/>
    </row>
    <row r="21" spans="3:15" x14ac:dyDescent="0.25">
      <c r="D21" s="2" t="s">
        <v>87</v>
      </c>
      <c r="E21" s="2" t="s">
        <v>88</v>
      </c>
      <c r="F21" s="2" t="s">
        <v>36</v>
      </c>
      <c r="G21" s="22" t="s">
        <v>17</v>
      </c>
      <c r="H21" s="2"/>
      <c r="K21" s="2" t="s">
        <v>87</v>
      </c>
      <c r="L21" s="2" t="s">
        <v>88</v>
      </c>
      <c r="M21" s="2" t="s">
        <v>51</v>
      </c>
      <c r="N21" s="22" t="s">
        <v>48</v>
      </c>
      <c r="O21" s="2"/>
    </row>
    <row r="22" spans="3:15" x14ac:dyDescent="0.25">
      <c r="D22" s="2" t="s">
        <v>87</v>
      </c>
      <c r="E22" s="2" t="s">
        <v>88</v>
      </c>
      <c r="F22" s="2" t="s">
        <v>16</v>
      </c>
      <c r="G22" s="22" t="s">
        <v>17</v>
      </c>
      <c r="H22" s="2"/>
      <c r="K22" s="2" t="s">
        <v>87</v>
      </c>
      <c r="L22" s="2" t="s">
        <v>88</v>
      </c>
      <c r="M22" s="2" t="s">
        <v>57</v>
      </c>
      <c r="N22" s="22" t="s">
        <v>54</v>
      </c>
      <c r="O22" s="2"/>
    </row>
    <row r="23" spans="3:15" x14ac:dyDescent="0.25">
      <c r="C23" s="17"/>
      <c r="D23" s="2" t="s">
        <v>87</v>
      </c>
      <c r="E23" s="2" t="s">
        <v>88</v>
      </c>
      <c r="F23" s="2" t="s">
        <v>29</v>
      </c>
      <c r="G23" s="22" t="s">
        <v>17</v>
      </c>
      <c r="H23" s="2"/>
      <c r="I23" s="17"/>
      <c r="K23" s="2" t="s">
        <v>87</v>
      </c>
      <c r="L23" s="2" t="s">
        <v>88</v>
      </c>
      <c r="M23" s="2" t="s">
        <v>53</v>
      </c>
      <c r="N23" s="22" t="s">
        <v>54</v>
      </c>
      <c r="O23" s="2"/>
    </row>
    <row r="24" spans="3:15" x14ac:dyDescent="0.25">
      <c r="D24" s="2" t="s">
        <v>87</v>
      </c>
      <c r="E24" s="2" t="s">
        <v>88</v>
      </c>
      <c r="F24" s="2" t="s">
        <v>45</v>
      </c>
      <c r="G24" s="22" t="s">
        <v>17</v>
      </c>
      <c r="H24" s="2"/>
      <c r="K24" s="2" t="s">
        <v>87</v>
      </c>
      <c r="L24" s="2" t="s">
        <v>88</v>
      </c>
      <c r="M24" s="2" t="s">
        <v>55</v>
      </c>
      <c r="N24" s="22" t="s">
        <v>54</v>
      </c>
      <c r="O24" s="2"/>
    </row>
    <row r="25" spans="3:15" x14ac:dyDescent="0.25">
      <c r="D25" s="2" t="s">
        <v>87</v>
      </c>
      <c r="E25" s="2" t="s">
        <v>88</v>
      </c>
      <c r="F25" s="2" t="s">
        <v>34</v>
      </c>
      <c r="G25" s="22" t="s">
        <v>17</v>
      </c>
      <c r="H25" s="2"/>
      <c r="K25" s="2" t="s">
        <v>87</v>
      </c>
      <c r="L25" s="2" t="s">
        <v>88</v>
      </c>
      <c r="M25" s="2" t="s">
        <v>56</v>
      </c>
      <c r="N25" s="22" t="s">
        <v>54</v>
      </c>
      <c r="O25" s="2"/>
    </row>
    <row r="26" spans="3:15" x14ac:dyDescent="0.25">
      <c r="D26" s="2" t="s">
        <v>87</v>
      </c>
      <c r="E26" s="2" t="s">
        <v>88</v>
      </c>
      <c r="F26" s="2" t="s">
        <v>35</v>
      </c>
      <c r="G26" s="22" t="s">
        <v>17</v>
      </c>
      <c r="H26" s="2"/>
      <c r="K26" s="2" t="s">
        <v>87</v>
      </c>
      <c r="L26" s="2" t="s">
        <v>88</v>
      </c>
      <c r="M26" s="2" t="s">
        <v>58</v>
      </c>
      <c r="N26" s="22" t="s">
        <v>54</v>
      </c>
      <c r="O26" s="2"/>
    </row>
    <row r="27" spans="3:15" x14ac:dyDescent="0.25">
      <c r="D27" s="2" t="s">
        <v>87</v>
      </c>
      <c r="E27" s="2" t="s">
        <v>88</v>
      </c>
      <c r="F27" s="2" t="s">
        <v>18</v>
      </c>
      <c r="G27" s="22" t="s">
        <v>17</v>
      </c>
      <c r="H27" s="2"/>
    </row>
    <row r="28" spans="3:15" x14ac:dyDescent="0.25">
      <c r="D28" s="2" t="s">
        <v>87</v>
      </c>
      <c r="E28" s="2" t="s">
        <v>88</v>
      </c>
      <c r="F28" s="2" t="s">
        <v>25</v>
      </c>
      <c r="G28" s="22" t="s">
        <v>17</v>
      </c>
      <c r="H28" s="2"/>
      <c r="K28" s="2" t="s">
        <v>87</v>
      </c>
      <c r="L28" s="2" t="s">
        <v>88</v>
      </c>
      <c r="M28" s="2" t="s">
        <v>59</v>
      </c>
      <c r="N28" s="22" t="s">
        <v>60</v>
      </c>
      <c r="O28" s="2"/>
    </row>
    <row r="29" spans="3:15" x14ac:dyDescent="0.25">
      <c r="D29" s="2" t="s">
        <v>87</v>
      </c>
      <c r="E29" s="2" t="s">
        <v>88</v>
      </c>
      <c r="F29" s="2" t="s">
        <v>23</v>
      </c>
      <c r="G29" s="22" t="s">
        <v>17</v>
      </c>
      <c r="H29" s="2"/>
      <c r="K29" s="2" t="s">
        <v>87</v>
      </c>
      <c r="L29" s="2" t="s">
        <v>88</v>
      </c>
      <c r="M29" s="2" t="s">
        <v>66</v>
      </c>
      <c r="N29" s="22" t="s">
        <v>60</v>
      </c>
      <c r="O29" s="2"/>
    </row>
    <row r="30" spans="3:15" x14ac:dyDescent="0.25">
      <c r="D30" s="2" t="s">
        <v>87</v>
      </c>
      <c r="E30" s="2" t="s">
        <v>88</v>
      </c>
      <c r="F30" s="2" t="s">
        <v>46</v>
      </c>
      <c r="G30" s="22" t="s">
        <v>17</v>
      </c>
      <c r="H30" s="2"/>
      <c r="K30" s="2" t="s">
        <v>87</v>
      </c>
      <c r="L30" s="2" t="s">
        <v>88</v>
      </c>
      <c r="M30" s="2" t="s">
        <v>68</v>
      </c>
      <c r="N30" s="22" t="s">
        <v>60</v>
      </c>
      <c r="O30" s="2"/>
    </row>
    <row r="31" spans="3:15" x14ac:dyDescent="0.25">
      <c r="D31" s="2" t="s">
        <v>87</v>
      </c>
      <c r="E31" s="2" t="s">
        <v>88</v>
      </c>
      <c r="F31" s="2" t="s">
        <v>38</v>
      </c>
      <c r="G31" s="22" t="s">
        <v>17</v>
      </c>
      <c r="H31" s="2"/>
      <c r="K31" s="2" t="s">
        <v>87</v>
      </c>
      <c r="L31" s="2" t="s">
        <v>88</v>
      </c>
      <c r="M31" s="2" t="s">
        <v>62</v>
      </c>
      <c r="N31" s="22" t="s">
        <v>60</v>
      </c>
      <c r="O31" s="2"/>
    </row>
    <row r="32" spans="3:15" x14ac:dyDescent="0.25">
      <c r="D32" s="2" t="s">
        <v>87</v>
      </c>
      <c r="E32" s="2" t="s">
        <v>88</v>
      </c>
      <c r="F32" s="2" t="s">
        <v>21</v>
      </c>
      <c r="G32" s="22" t="s">
        <v>17</v>
      </c>
      <c r="H32" s="2"/>
      <c r="K32" s="2" t="s">
        <v>87</v>
      </c>
      <c r="L32" s="2" t="s">
        <v>88</v>
      </c>
      <c r="M32" s="2" t="s">
        <v>63</v>
      </c>
      <c r="N32" s="22" t="s">
        <v>60</v>
      </c>
      <c r="O32" s="2"/>
    </row>
    <row r="33" spans="4:15" x14ac:dyDescent="0.25">
      <c r="D33" s="2" t="s">
        <v>87</v>
      </c>
      <c r="E33" s="2" t="s">
        <v>88</v>
      </c>
      <c r="F33" s="2" t="s">
        <v>32</v>
      </c>
      <c r="G33" s="22" t="s">
        <v>17</v>
      </c>
      <c r="H33" s="2"/>
      <c r="K33" s="2" t="s">
        <v>87</v>
      </c>
      <c r="L33" s="2" t="s">
        <v>88</v>
      </c>
      <c r="M33" s="2" t="s">
        <v>67</v>
      </c>
      <c r="N33" s="22" t="s">
        <v>60</v>
      </c>
      <c r="O33" s="2"/>
    </row>
    <row r="34" spans="4:15" x14ac:dyDescent="0.25">
      <c r="D34" s="2" t="s">
        <v>87</v>
      </c>
      <c r="E34" s="2" t="s">
        <v>88</v>
      </c>
      <c r="F34" s="2" t="s">
        <v>19</v>
      </c>
      <c r="G34" s="22" t="s">
        <v>17</v>
      </c>
      <c r="H34" s="2">
        <v>1535</v>
      </c>
      <c r="K34" s="2" t="s">
        <v>87</v>
      </c>
      <c r="L34" s="2" t="s">
        <v>88</v>
      </c>
      <c r="M34" s="2" t="s">
        <v>65</v>
      </c>
      <c r="N34" s="22" t="s">
        <v>60</v>
      </c>
      <c r="O34" s="2"/>
    </row>
    <row r="35" spans="4:15" x14ac:dyDescent="0.25">
      <c r="D35" s="2" t="s">
        <v>87</v>
      </c>
      <c r="E35" s="2" t="s">
        <v>88</v>
      </c>
      <c r="F35" s="2" t="s">
        <v>28</v>
      </c>
      <c r="G35" s="22" t="s">
        <v>17</v>
      </c>
      <c r="H35" s="2"/>
      <c r="K35" s="2" t="s">
        <v>87</v>
      </c>
      <c r="L35" s="2" t="s">
        <v>88</v>
      </c>
      <c r="M35" s="2" t="s">
        <v>61</v>
      </c>
      <c r="N35" s="22" t="s">
        <v>60</v>
      </c>
      <c r="O35" s="2"/>
    </row>
    <row r="36" spans="4:15" x14ac:dyDescent="0.25">
      <c r="D36" s="2" t="s">
        <v>87</v>
      </c>
      <c r="E36" s="2" t="s">
        <v>88</v>
      </c>
      <c r="F36" s="2" t="s">
        <v>37</v>
      </c>
      <c r="G36" s="22" t="s">
        <v>17</v>
      </c>
      <c r="H36" s="2"/>
      <c r="K36" s="2" t="s">
        <v>87</v>
      </c>
      <c r="L36" s="2" t="s">
        <v>88</v>
      </c>
      <c r="M36" s="2" t="s">
        <v>64</v>
      </c>
      <c r="N36" s="22" t="s">
        <v>60</v>
      </c>
      <c r="O36" s="2"/>
    </row>
    <row r="37" spans="4:15" x14ac:dyDescent="0.25">
      <c r="D37" s="2" t="s">
        <v>87</v>
      </c>
      <c r="E37" s="2" t="s">
        <v>88</v>
      </c>
      <c r="F37" s="2" t="s">
        <v>20</v>
      </c>
      <c r="G37" s="22" t="s">
        <v>17</v>
      </c>
      <c r="H37" s="2"/>
      <c r="K37" s="2" t="s">
        <v>87</v>
      </c>
      <c r="L37" s="2" t="s">
        <v>88</v>
      </c>
      <c r="M37" s="2" t="s">
        <v>69</v>
      </c>
      <c r="N37" s="22" t="s">
        <v>60</v>
      </c>
      <c r="O37" s="2"/>
    </row>
    <row r="38" spans="4:15" x14ac:dyDescent="0.25">
      <c r="D38" s="2" t="s">
        <v>87</v>
      </c>
      <c r="E38" s="2" t="s">
        <v>88</v>
      </c>
      <c r="F38" s="2" t="s">
        <v>33</v>
      </c>
      <c r="G38" s="22" t="s">
        <v>17</v>
      </c>
      <c r="H38" s="2"/>
      <c r="K38" s="2" t="s">
        <v>87</v>
      </c>
      <c r="L38" s="2" t="s">
        <v>88</v>
      </c>
      <c r="M38" s="2" t="s">
        <v>72</v>
      </c>
      <c r="N38" s="22" t="s">
        <v>71</v>
      </c>
      <c r="O38" s="2"/>
    </row>
    <row r="39" spans="4:15" x14ac:dyDescent="0.25">
      <c r="K39" s="2" t="s">
        <v>87</v>
      </c>
      <c r="L39" s="2" t="s">
        <v>88</v>
      </c>
      <c r="M39" s="2" t="s">
        <v>79</v>
      </c>
      <c r="N39" s="22" t="s">
        <v>71</v>
      </c>
      <c r="O39" s="2"/>
    </row>
    <row r="40" spans="4:15" x14ac:dyDescent="0.25">
      <c r="D40" s="2" t="s">
        <v>87</v>
      </c>
      <c r="E40" s="2" t="s">
        <v>88</v>
      </c>
      <c r="F40" s="2" t="s">
        <v>9</v>
      </c>
      <c r="G40" s="22" t="s">
        <v>10</v>
      </c>
      <c r="H40" s="2"/>
      <c r="K40" s="2" t="s">
        <v>87</v>
      </c>
      <c r="L40" s="2" t="s">
        <v>88</v>
      </c>
      <c r="M40" s="2" t="s">
        <v>77</v>
      </c>
      <c r="N40" s="22" t="s">
        <v>71</v>
      </c>
      <c r="O40" s="2"/>
    </row>
    <row r="41" spans="4:15" x14ac:dyDescent="0.25">
      <c r="D41" s="2" t="s">
        <v>87</v>
      </c>
      <c r="E41" s="2" t="s">
        <v>88</v>
      </c>
      <c r="F41" s="2" t="s">
        <v>12</v>
      </c>
      <c r="G41" s="22" t="s">
        <v>10</v>
      </c>
      <c r="H41" s="2"/>
      <c r="K41" s="2" t="s">
        <v>87</v>
      </c>
      <c r="L41" s="2" t="s">
        <v>88</v>
      </c>
      <c r="M41" s="2" t="s">
        <v>80</v>
      </c>
      <c r="N41" s="22" t="s">
        <v>71</v>
      </c>
      <c r="O41" s="2"/>
    </row>
    <row r="42" spans="4:15" x14ac:dyDescent="0.25">
      <c r="D42" s="2" t="s">
        <v>87</v>
      </c>
      <c r="E42" s="2" t="s">
        <v>88</v>
      </c>
      <c r="F42" s="2" t="s">
        <v>13</v>
      </c>
      <c r="G42" s="22" t="s">
        <v>10</v>
      </c>
      <c r="H42" s="2"/>
      <c r="K42" s="2" t="s">
        <v>87</v>
      </c>
      <c r="L42" s="2" t="s">
        <v>88</v>
      </c>
      <c r="M42" s="2" t="s">
        <v>73</v>
      </c>
      <c r="N42" s="22" t="s">
        <v>71</v>
      </c>
      <c r="O42" s="2"/>
    </row>
    <row r="43" spans="4:15" x14ac:dyDescent="0.25">
      <c r="D43" s="2" t="s">
        <v>87</v>
      </c>
      <c r="E43" s="2" t="s">
        <v>88</v>
      </c>
      <c r="F43" s="2" t="s">
        <v>11</v>
      </c>
      <c r="G43" s="22" t="s">
        <v>10</v>
      </c>
      <c r="H43" s="2"/>
      <c r="K43" s="2" t="s">
        <v>87</v>
      </c>
      <c r="L43" s="2" t="s">
        <v>88</v>
      </c>
      <c r="M43" s="2" t="s">
        <v>76</v>
      </c>
      <c r="N43" s="22" t="s">
        <v>71</v>
      </c>
      <c r="O43" s="2"/>
    </row>
    <row r="44" spans="4:15" x14ac:dyDescent="0.25">
      <c r="D44" s="2" t="s">
        <v>87</v>
      </c>
      <c r="E44" s="2" t="s">
        <v>88</v>
      </c>
      <c r="F44" s="2" t="s">
        <v>15</v>
      </c>
      <c r="G44" s="22" t="s">
        <v>10</v>
      </c>
      <c r="H44" s="2"/>
      <c r="K44" s="2" t="s">
        <v>87</v>
      </c>
      <c r="L44" s="2" t="s">
        <v>88</v>
      </c>
      <c r="M44" s="2" t="s">
        <v>70</v>
      </c>
      <c r="N44" s="22" t="s">
        <v>71</v>
      </c>
      <c r="O44" s="2"/>
    </row>
    <row r="45" spans="4:15" x14ac:dyDescent="0.25">
      <c r="D45" s="2" t="s">
        <v>87</v>
      </c>
      <c r="E45" s="2" t="s">
        <v>88</v>
      </c>
      <c r="F45" s="2" t="s">
        <v>14</v>
      </c>
      <c r="G45" s="22" t="s">
        <v>10</v>
      </c>
      <c r="H45" s="2"/>
      <c r="K45" s="2" t="s">
        <v>87</v>
      </c>
      <c r="L45" s="2" t="s">
        <v>88</v>
      </c>
      <c r="M45" s="2" t="s">
        <v>78</v>
      </c>
      <c r="N45" s="22" t="s">
        <v>71</v>
      </c>
      <c r="O45" s="2"/>
    </row>
    <row r="46" spans="4:15" x14ac:dyDescent="0.25">
      <c r="K46" s="2" t="s">
        <v>87</v>
      </c>
      <c r="L46" s="2" t="s">
        <v>88</v>
      </c>
      <c r="M46" s="2" t="s">
        <v>74</v>
      </c>
      <c r="N46" s="22" t="s">
        <v>71</v>
      </c>
      <c r="O46" s="2"/>
    </row>
    <row r="47" spans="4:15" x14ac:dyDescent="0.25">
      <c r="K47" s="2" t="s">
        <v>87</v>
      </c>
      <c r="L47" s="2" t="s">
        <v>88</v>
      </c>
      <c r="M47" s="2" t="s">
        <v>75</v>
      </c>
      <c r="N47" s="22" t="s">
        <v>71</v>
      </c>
      <c r="O47" s="2"/>
    </row>
    <row r="52" spans="4:15" ht="15.75" thickBot="1" x14ac:dyDescent="0.3">
      <c r="D52" s="23" t="s">
        <v>131</v>
      </c>
      <c r="E52" s="106"/>
      <c r="F52" s="106"/>
      <c r="G52" s="23" t="s">
        <v>132</v>
      </c>
      <c r="H52" s="106"/>
      <c r="I52" s="106"/>
      <c r="J52" s="23" t="s">
        <v>133</v>
      </c>
      <c r="K52" s="106"/>
      <c r="L52" s="106"/>
      <c r="M52" s="23" t="s">
        <v>134</v>
      </c>
      <c r="N52" s="107"/>
      <c r="O52" s="107"/>
    </row>
  </sheetData>
  <sortState xmlns:xlrd2="http://schemas.microsoft.com/office/spreadsheetml/2017/richdata2" ref="D9:H38">
    <sortCondition ref="F11:F38"/>
  </sortState>
  <mergeCells count="6">
    <mergeCell ref="E2:N4"/>
    <mergeCell ref="D6:O6"/>
    <mergeCell ref="E52:F52"/>
    <mergeCell ref="H52:I52"/>
    <mergeCell ref="K52:L52"/>
    <mergeCell ref="N52:O52"/>
  </mergeCells>
  <pageMargins left="0.7" right="0.7" top="0.75" bottom="0.75" header="0.3" footer="0.3"/>
  <pageSetup scale="1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pageSetUpPr fitToPage="1"/>
  </sheetPr>
  <dimension ref="A1:AQ94"/>
  <sheetViews>
    <sheetView zoomScale="80" zoomScaleNormal="85" workbookViewId="0">
      <pane xSplit="14" topLeftCell="S1" activePane="topRight" state="frozen"/>
      <selection activeCell="B2" sqref="B2"/>
      <selection pane="topRight" activeCell="V7" sqref="V7"/>
    </sheetView>
  </sheetViews>
  <sheetFormatPr baseColWidth="10" defaultColWidth="8.7109375" defaultRowHeight="15" x14ac:dyDescent="0.25"/>
  <cols>
    <col min="1" max="1" width="8.7109375" style="1"/>
    <col min="2" max="2" width="17.7109375" style="1" bestFit="1" customWidth="1"/>
    <col min="3" max="3" width="14.42578125" style="1" bestFit="1" customWidth="1"/>
    <col min="4" max="4" width="19.140625" style="1" customWidth="1"/>
    <col min="5" max="5" width="14.5703125" style="1" bestFit="1" customWidth="1"/>
    <col min="6" max="6" width="17.7109375" style="1" bestFit="1" customWidth="1"/>
    <col min="7" max="7" width="14.85546875" style="1" hidden="1" customWidth="1"/>
    <col min="8" max="8" width="10.7109375" style="1" customWidth="1"/>
    <col min="9" max="9" width="10.140625" style="1" customWidth="1"/>
    <col min="10" max="10" width="12.28515625" style="1" hidden="1" customWidth="1"/>
    <col min="11" max="11" width="10" style="1" hidden="1" customWidth="1"/>
    <col min="12" max="12" width="9" style="1" hidden="1" customWidth="1"/>
    <col min="13" max="13" width="5.5703125" style="1" hidden="1" customWidth="1"/>
    <col min="14" max="14" width="10.140625" style="1" bestFit="1" customWidth="1"/>
    <col min="15" max="16" width="9.140625" style="1" bestFit="1" customWidth="1"/>
    <col min="17" max="27" width="8.7109375" style="1"/>
    <col min="28" max="28" width="8.7109375" style="1" customWidth="1"/>
    <col min="29" max="29" width="8.7109375" style="1"/>
    <col min="30" max="30" width="0" style="1" hidden="1" customWidth="1"/>
    <col min="31" max="32" width="8.7109375" style="1"/>
    <col min="33" max="33" width="10" style="1" bestFit="1" customWidth="1"/>
    <col min="34" max="34" width="10" style="1" customWidth="1"/>
    <col min="35" max="35" width="13" style="1" bestFit="1" customWidth="1"/>
    <col min="36" max="36" width="11.5703125" style="1" bestFit="1" customWidth="1"/>
    <col min="37" max="37" width="8.7109375" style="1"/>
    <col min="38" max="38" width="12.85546875" style="1" customWidth="1"/>
    <col min="39" max="39" width="16.5703125" style="1" customWidth="1"/>
    <col min="40" max="16384" width="8.7109375" style="1"/>
  </cols>
  <sheetData>
    <row r="1" spans="2:43" x14ac:dyDescent="0.25">
      <c r="R1" s="17"/>
      <c r="U1" s="17"/>
    </row>
    <row r="2" spans="2:43" x14ac:dyDescent="0.25">
      <c r="B2" s="4" t="s">
        <v>99</v>
      </c>
      <c r="C2" s="88" t="s">
        <v>100</v>
      </c>
      <c r="D2" s="88"/>
      <c r="R2" s="17"/>
      <c r="U2" s="17"/>
    </row>
    <row r="3" spans="2:43" x14ac:dyDescent="0.25">
      <c r="B3" s="89">
        <f ca="1">TODAY()</f>
        <v>46309</v>
      </c>
      <c r="C3" s="4" t="s">
        <v>97</v>
      </c>
      <c r="D3" s="2" t="s">
        <v>127</v>
      </c>
      <c r="H3" s="4" t="s">
        <v>84</v>
      </c>
      <c r="R3" s="17"/>
      <c r="U3" s="17"/>
    </row>
    <row r="4" spans="2:43" x14ac:dyDescent="0.25">
      <c r="B4" s="89"/>
      <c r="C4" s="4" t="s">
        <v>98</v>
      </c>
      <c r="D4" s="2"/>
      <c r="H4" s="4" t="s">
        <v>85</v>
      </c>
      <c r="I4" s="90" t="s">
        <v>146</v>
      </c>
      <c r="J4" s="90"/>
      <c r="K4" s="90"/>
      <c r="L4" s="90"/>
      <c r="M4" s="90"/>
      <c r="O4" s="87">
        <v>46258</v>
      </c>
      <c r="P4" s="87"/>
      <c r="Q4" s="87">
        <v>46259</v>
      </c>
      <c r="R4" s="87"/>
      <c r="S4" s="87">
        <v>46260</v>
      </c>
      <c r="T4" s="87"/>
      <c r="U4" s="87">
        <v>46261</v>
      </c>
      <c r="V4" s="87"/>
      <c r="W4" s="87">
        <v>46262</v>
      </c>
      <c r="X4" s="87"/>
      <c r="Y4" s="6" t="s">
        <v>92</v>
      </c>
    </row>
    <row r="5" spans="2:43" x14ac:dyDescent="0.25">
      <c r="B5" s="4" t="s">
        <v>0</v>
      </c>
      <c r="C5" s="4" t="s">
        <v>86</v>
      </c>
      <c r="D5" s="4" t="s">
        <v>89</v>
      </c>
      <c r="E5" s="4" t="s">
        <v>81</v>
      </c>
      <c r="F5" s="4" t="s">
        <v>82</v>
      </c>
      <c r="G5" s="4" t="s">
        <v>83</v>
      </c>
      <c r="H5" s="5">
        <v>35</v>
      </c>
      <c r="I5" s="4" t="s">
        <v>176</v>
      </c>
      <c r="J5" s="4" t="s">
        <v>91</v>
      </c>
      <c r="K5" s="4" t="s">
        <v>93</v>
      </c>
      <c r="L5" s="4" t="s">
        <v>94</v>
      </c>
      <c r="M5" s="4" t="s">
        <v>95</v>
      </c>
      <c r="N5" s="4" t="s">
        <v>96</v>
      </c>
      <c r="O5" s="4" t="s">
        <v>97</v>
      </c>
      <c r="P5" s="4" t="s">
        <v>98</v>
      </c>
      <c r="Q5" s="4" t="s">
        <v>97</v>
      </c>
      <c r="R5" s="18" t="s">
        <v>98</v>
      </c>
      <c r="S5" s="4" t="s">
        <v>97</v>
      </c>
      <c r="T5" s="4" t="s">
        <v>98</v>
      </c>
      <c r="U5" s="18" t="s">
        <v>97</v>
      </c>
      <c r="V5" s="4" t="s">
        <v>98</v>
      </c>
      <c r="W5" s="4" t="s">
        <v>97</v>
      </c>
      <c r="X5" s="4" t="s">
        <v>98</v>
      </c>
      <c r="Y5" s="4" t="s">
        <v>104</v>
      </c>
      <c r="Z5" s="4" t="s">
        <v>90</v>
      </c>
      <c r="AA5" s="4" t="s">
        <v>126</v>
      </c>
      <c r="AB5" s="4" t="s">
        <v>105</v>
      </c>
      <c r="AC5" s="4" t="s">
        <v>105</v>
      </c>
      <c r="AD5" s="4" t="s">
        <v>106</v>
      </c>
      <c r="AE5" s="4" t="s">
        <v>106</v>
      </c>
      <c r="AF5" s="4" t="s">
        <v>107</v>
      </c>
      <c r="AG5" s="4" t="s">
        <v>109</v>
      </c>
      <c r="AH5" s="4" t="s">
        <v>122</v>
      </c>
      <c r="AI5" s="4" t="s">
        <v>118</v>
      </c>
      <c r="AJ5" s="4" t="s">
        <v>120</v>
      </c>
      <c r="AL5" s="15" t="s">
        <v>123</v>
      </c>
      <c r="AM5" s="15" t="s">
        <v>125</v>
      </c>
      <c r="AN5"/>
    </row>
    <row r="6" spans="2:43" x14ac:dyDescent="0.25">
      <c r="B6" s="2" t="s">
        <v>87</v>
      </c>
      <c r="C6" s="2" t="s">
        <v>88</v>
      </c>
      <c r="D6" s="2" t="s">
        <v>1</v>
      </c>
      <c r="E6" s="2" t="s">
        <v>2</v>
      </c>
      <c r="F6" s="2">
        <v>0.42</v>
      </c>
      <c r="G6" s="3">
        <v>0.02</v>
      </c>
      <c r="H6" s="2">
        <v>5000</v>
      </c>
      <c r="I6" s="2">
        <v>3265</v>
      </c>
      <c r="J6" s="2"/>
      <c r="K6" s="2"/>
      <c r="L6" s="2"/>
      <c r="M6" s="2"/>
      <c r="N6" s="8">
        <f t="shared" ref="N6:N37" si="0">+H6+I6+J6+K6+L6+M6-SUM(O6:Y6)</f>
        <v>4750</v>
      </c>
      <c r="O6" s="2"/>
      <c r="P6" s="2">
        <v>1250</v>
      </c>
      <c r="Q6" s="2"/>
      <c r="R6" s="19"/>
      <c r="S6" s="2">
        <v>2265</v>
      </c>
      <c r="T6" s="2"/>
      <c r="U6" s="19"/>
      <c r="V6" s="2"/>
      <c r="W6" s="2"/>
      <c r="X6" s="2"/>
      <c r="Y6" s="2"/>
      <c r="Z6" s="7">
        <f t="shared" ref="Z6:Z37" si="1">+G6*SUM(H6:M6)</f>
        <v>165.3</v>
      </c>
      <c r="AA6" s="7">
        <v>1000</v>
      </c>
      <c r="AB6" s="7">
        <v>0</v>
      </c>
      <c r="AC6" s="8">
        <f t="shared" ref="AC6:AC37" si="2">+H6*AB6</f>
        <v>0</v>
      </c>
      <c r="AD6" s="8">
        <v>0</v>
      </c>
      <c r="AE6" s="8">
        <f t="shared" ref="AE6:AE37" si="3">+H6*AD6</f>
        <v>0</v>
      </c>
      <c r="AF6" s="8">
        <f>+AE6*2</f>
        <v>0</v>
      </c>
      <c r="AG6" s="8">
        <v>0</v>
      </c>
      <c r="AH6" s="8">
        <v>0</v>
      </c>
      <c r="AI6" s="8" t="s">
        <v>119</v>
      </c>
      <c r="AJ6" s="8" t="s">
        <v>121</v>
      </c>
      <c r="AL6" s="14">
        <v>0</v>
      </c>
      <c r="AM6" s="15">
        <v>0</v>
      </c>
      <c r="AN6"/>
      <c r="AQ6" s="1">
        <v>5600</v>
      </c>
    </row>
    <row r="7" spans="2:43" x14ac:dyDescent="0.25">
      <c r="B7" s="2" t="s">
        <v>87</v>
      </c>
      <c r="C7" s="2" t="s">
        <v>88</v>
      </c>
      <c r="D7" s="2" t="s">
        <v>3</v>
      </c>
      <c r="E7" s="2" t="s">
        <v>2</v>
      </c>
      <c r="F7" s="2">
        <v>0.42</v>
      </c>
      <c r="G7" s="3">
        <v>3.1E-2</v>
      </c>
      <c r="H7" s="2">
        <v>2000</v>
      </c>
      <c r="I7" s="2">
        <v>2218</v>
      </c>
      <c r="J7" s="2"/>
      <c r="K7" s="2"/>
      <c r="L7" s="2"/>
      <c r="M7" s="2"/>
      <c r="N7" s="8">
        <f t="shared" si="0"/>
        <v>1866</v>
      </c>
      <c r="O7" s="2"/>
      <c r="P7" s="2">
        <v>1200</v>
      </c>
      <c r="Q7" s="2"/>
      <c r="R7" s="19"/>
      <c r="S7" s="2">
        <v>700</v>
      </c>
      <c r="T7" s="2"/>
      <c r="U7" s="19"/>
      <c r="V7" s="2">
        <v>452</v>
      </c>
      <c r="W7" s="2"/>
      <c r="X7" s="2"/>
      <c r="Y7" s="2"/>
      <c r="Z7" s="7">
        <f t="shared" si="1"/>
        <v>130.75800000000001</v>
      </c>
      <c r="AA7" s="7">
        <v>1000</v>
      </c>
      <c r="AB7" s="7">
        <v>0</v>
      </c>
      <c r="AC7" s="8">
        <f t="shared" si="2"/>
        <v>0</v>
      </c>
      <c r="AD7" s="8">
        <v>0</v>
      </c>
      <c r="AE7" s="8">
        <f t="shared" si="3"/>
        <v>0</v>
      </c>
      <c r="AF7" s="8">
        <f t="shared" ref="AF7:AF70" si="4">+AE7*2</f>
        <v>0</v>
      </c>
      <c r="AG7" s="8">
        <v>0</v>
      </c>
      <c r="AH7" s="8">
        <v>0</v>
      </c>
      <c r="AI7" s="8" t="s">
        <v>119</v>
      </c>
      <c r="AJ7" s="8" t="s">
        <v>121</v>
      </c>
      <c r="AL7" s="14" t="s">
        <v>117</v>
      </c>
      <c r="AM7" s="15">
        <v>128</v>
      </c>
      <c r="AN7"/>
      <c r="AQ7" s="1">
        <v>4338</v>
      </c>
    </row>
    <row r="8" spans="2:43" ht="14.45" customHeight="1" x14ac:dyDescent="0.25">
      <c r="B8" s="2" t="s">
        <v>87</v>
      </c>
      <c r="C8" s="2" t="s">
        <v>88</v>
      </c>
      <c r="D8" s="2" t="s">
        <v>4</v>
      </c>
      <c r="E8" s="2" t="s">
        <v>2</v>
      </c>
      <c r="F8" s="2">
        <v>0.42</v>
      </c>
      <c r="G8" s="3">
        <v>3.3000000000000002E-2</v>
      </c>
      <c r="H8" s="2">
        <v>1000</v>
      </c>
      <c r="I8" s="2">
        <v>112</v>
      </c>
      <c r="J8" s="2"/>
      <c r="K8" s="2"/>
      <c r="L8" s="2"/>
      <c r="M8" s="2"/>
      <c r="N8" s="8">
        <f t="shared" si="0"/>
        <v>-448</v>
      </c>
      <c r="O8" s="2"/>
      <c r="P8" s="2"/>
      <c r="Q8" s="2"/>
      <c r="R8" s="19"/>
      <c r="S8" s="2">
        <v>560</v>
      </c>
      <c r="T8" s="2"/>
      <c r="U8" s="19"/>
      <c r="V8" s="2">
        <v>1000</v>
      </c>
      <c r="W8" s="2"/>
      <c r="X8" s="2"/>
      <c r="Y8" s="2"/>
      <c r="Z8" s="7">
        <f t="shared" si="1"/>
        <v>36.696000000000005</v>
      </c>
      <c r="AA8" s="7">
        <v>1000</v>
      </c>
      <c r="AB8" s="7">
        <v>0</v>
      </c>
      <c r="AC8" s="8">
        <f t="shared" si="2"/>
        <v>0</v>
      </c>
      <c r="AD8" s="8">
        <v>0</v>
      </c>
      <c r="AE8" s="8">
        <f t="shared" si="3"/>
        <v>0</v>
      </c>
      <c r="AF8" s="8">
        <f t="shared" si="4"/>
        <v>0</v>
      </c>
      <c r="AG8" s="8">
        <v>0</v>
      </c>
      <c r="AH8" s="8">
        <v>0</v>
      </c>
      <c r="AI8" s="8" t="s">
        <v>119</v>
      </c>
      <c r="AJ8" s="8" t="s">
        <v>121</v>
      </c>
      <c r="AL8" s="14" t="s">
        <v>113</v>
      </c>
      <c r="AM8" s="15">
        <v>0</v>
      </c>
      <c r="AN8"/>
      <c r="AQ8" s="1">
        <v>1300</v>
      </c>
    </row>
    <row r="9" spans="2:43" ht="14.45" customHeight="1" x14ac:dyDescent="0.25">
      <c r="B9" s="2" t="s">
        <v>87</v>
      </c>
      <c r="C9" s="2" t="s">
        <v>88</v>
      </c>
      <c r="D9" s="2" t="s">
        <v>5</v>
      </c>
      <c r="E9" s="2" t="s">
        <v>2</v>
      </c>
      <c r="F9" s="2">
        <v>0.42</v>
      </c>
      <c r="G9" s="3">
        <v>1.9E-2</v>
      </c>
      <c r="H9" s="2">
        <v>700</v>
      </c>
      <c r="I9" s="2"/>
      <c r="J9" s="2"/>
      <c r="K9" s="2"/>
      <c r="L9" s="2"/>
      <c r="M9" s="2"/>
      <c r="N9" s="8">
        <f t="shared" si="0"/>
        <v>0</v>
      </c>
      <c r="O9" s="2"/>
      <c r="P9" s="2"/>
      <c r="Q9" s="2"/>
      <c r="R9" s="19"/>
      <c r="S9" s="2"/>
      <c r="T9" s="2"/>
      <c r="U9" s="19"/>
      <c r="V9" s="2">
        <v>700</v>
      </c>
      <c r="W9" s="2"/>
      <c r="X9" s="2"/>
      <c r="Y9" s="2"/>
      <c r="Z9" s="7">
        <f t="shared" si="1"/>
        <v>13.299999999999999</v>
      </c>
      <c r="AA9" s="7">
        <v>1000</v>
      </c>
      <c r="AB9" s="7">
        <v>0</v>
      </c>
      <c r="AC9" s="8">
        <f t="shared" si="2"/>
        <v>0</v>
      </c>
      <c r="AD9" s="8">
        <v>0</v>
      </c>
      <c r="AE9" s="8">
        <f t="shared" si="3"/>
        <v>0</v>
      </c>
      <c r="AF9" s="8">
        <f t="shared" si="4"/>
        <v>0</v>
      </c>
      <c r="AG9" s="8">
        <v>0</v>
      </c>
      <c r="AH9" s="8">
        <v>0</v>
      </c>
      <c r="AI9" s="8" t="s">
        <v>119</v>
      </c>
      <c r="AJ9" s="8" t="s">
        <v>121</v>
      </c>
      <c r="AL9" s="14" t="s">
        <v>110</v>
      </c>
      <c r="AM9" s="15">
        <v>864</v>
      </c>
      <c r="AN9"/>
      <c r="AQ9" s="1">
        <v>0</v>
      </c>
    </row>
    <row r="10" spans="2:43" x14ac:dyDescent="0.25">
      <c r="B10" s="2" t="s">
        <v>87</v>
      </c>
      <c r="C10" s="2" t="s">
        <v>88</v>
      </c>
      <c r="D10" s="2" t="s">
        <v>6</v>
      </c>
      <c r="E10" s="2" t="s">
        <v>2</v>
      </c>
      <c r="F10" s="2">
        <v>0.42</v>
      </c>
      <c r="G10" s="3">
        <v>0.03</v>
      </c>
      <c r="H10" s="2">
        <v>400</v>
      </c>
      <c r="I10" s="2"/>
      <c r="J10" s="2"/>
      <c r="K10" s="2"/>
      <c r="L10" s="2"/>
      <c r="M10" s="2"/>
      <c r="N10" s="8">
        <f t="shared" si="0"/>
        <v>400</v>
      </c>
      <c r="O10" s="2"/>
      <c r="P10" s="2"/>
      <c r="Q10" s="2"/>
      <c r="R10" s="19"/>
      <c r="S10" s="2"/>
      <c r="T10" s="2"/>
      <c r="U10" s="19"/>
      <c r="V10" s="2"/>
      <c r="W10" s="2"/>
      <c r="X10" s="2"/>
      <c r="Y10" s="2"/>
      <c r="Z10" s="7">
        <f t="shared" si="1"/>
        <v>12</v>
      </c>
      <c r="AA10" s="7">
        <v>1000</v>
      </c>
      <c r="AB10" s="7">
        <v>0</v>
      </c>
      <c r="AC10" s="8">
        <f t="shared" si="2"/>
        <v>0</v>
      </c>
      <c r="AD10" s="8">
        <v>0</v>
      </c>
      <c r="AE10" s="8">
        <f t="shared" si="3"/>
        <v>0</v>
      </c>
      <c r="AF10" s="8">
        <f t="shared" si="4"/>
        <v>0</v>
      </c>
      <c r="AG10" s="8">
        <v>0</v>
      </c>
      <c r="AH10" s="8">
        <v>0</v>
      </c>
      <c r="AI10" s="8" t="s">
        <v>119</v>
      </c>
      <c r="AJ10" s="8" t="s">
        <v>121</v>
      </c>
      <c r="AL10" s="14" t="s">
        <v>116</v>
      </c>
      <c r="AM10" s="15">
        <v>0</v>
      </c>
      <c r="AN10"/>
      <c r="AQ10" s="1">
        <v>1000</v>
      </c>
    </row>
    <row r="11" spans="2:43" x14ac:dyDescent="0.25">
      <c r="B11" s="2" t="s">
        <v>87</v>
      </c>
      <c r="C11" s="2" t="s">
        <v>88</v>
      </c>
      <c r="D11" s="2" t="s">
        <v>7</v>
      </c>
      <c r="E11" s="2" t="s">
        <v>2</v>
      </c>
      <c r="F11" s="2">
        <v>0.42</v>
      </c>
      <c r="G11" s="3">
        <v>2.1999999999999999E-2</v>
      </c>
      <c r="H11" s="2">
        <v>1100</v>
      </c>
      <c r="I11" s="2">
        <v>753</v>
      </c>
      <c r="J11" s="2"/>
      <c r="K11" s="2"/>
      <c r="L11" s="2"/>
      <c r="M11" s="2"/>
      <c r="N11" s="8">
        <f t="shared" si="0"/>
        <v>353</v>
      </c>
      <c r="O11" s="2"/>
      <c r="P11" s="2"/>
      <c r="Q11" s="2"/>
      <c r="R11" s="19"/>
      <c r="S11" s="2">
        <v>600</v>
      </c>
      <c r="T11" s="2"/>
      <c r="U11" s="19"/>
      <c r="V11" s="2"/>
      <c r="W11" s="2">
        <v>900</v>
      </c>
      <c r="X11" s="2"/>
      <c r="Y11" s="2"/>
      <c r="Z11" s="7">
        <f t="shared" si="1"/>
        <v>40.765999999999998</v>
      </c>
      <c r="AA11" s="7">
        <v>1000</v>
      </c>
      <c r="AB11" s="7">
        <v>0</v>
      </c>
      <c r="AC11" s="8">
        <f t="shared" si="2"/>
        <v>0</v>
      </c>
      <c r="AD11" s="8">
        <v>0</v>
      </c>
      <c r="AE11" s="8">
        <f t="shared" si="3"/>
        <v>0</v>
      </c>
      <c r="AF11" s="8">
        <f t="shared" si="4"/>
        <v>0</v>
      </c>
      <c r="AG11" s="8">
        <v>0</v>
      </c>
      <c r="AH11" s="8">
        <v>0</v>
      </c>
      <c r="AI11" s="8" t="s">
        <v>119</v>
      </c>
      <c r="AJ11" s="8" t="s">
        <v>121</v>
      </c>
      <c r="AL11" s="14" t="s">
        <v>111</v>
      </c>
      <c r="AM11" s="15">
        <v>7704</v>
      </c>
      <c r="AN11"/>
      <c r="AQ11" s="1">
        <v>1707</v>
      </c>
    </row>
    <row r="12" spans="2:43" x14ac:dyDescent="0.25">
      <c r="B12" s="2" t="s">
        <v>87</v>
      </c>
      <c r="C12" s="2" t="s">
        <v>88</v>
      </c>
      <c r="D12" s="2" t="s">
        <v>8</v>
      </c>
      <c r="E12" s="2" t="s">
        <v>2</v>
      </c>
      <c r="F12" s="2">
        <v>0.42</v>
      </c>
      <c r="G12" s="3">
        <v>2.3E-2</v>
      </c>
      <c r="H12" s="2">
        <v>400</v>
      </c>
      <c r="I12" s="2"/>
      <c r="J12" s="2"/>
      <c r="K12" s="2"/>
      <c r="L12" s="2"/>
      <c r="M12" s="2"/>
      <c r="N12" s="8">
        <f t="shared" si="0"/>
        <v>400</v>
      </c>
      <c r="O12" s="2"/>
      <c r="P12" s="2"/>
      <c r="Q12" s="2"/>
      <c r="R12" s="19"/>
      <c r="S12" s="2"/>
      <c r="T12" s="2"/>
      <c r="U12" s="19"/>
      <c r="V12" s="2"/>
      <c r="W12" s="2"/>
      <c r="X12" s="2"/>
      <c r="Y12" s="2"/>
      <c r="Z12" s="7">
        <f t="shared" si="1"/>
        <v>9.1999999999999993</v>
      </c>
      <c r="AA12" s="7">
        <v>1000</v>
      </c>
      <c r="AB12" s="7">
        <v>0</v>
      </c>
      <c r="AC12" s="8">
        <f t="shared" si="2"/>
        <v>0</v>
      </c>
      <c r="AD12" s="8">
        <v>0</v>
      </c>
      <c r="AE12" s="8">
        <f t="shared" si="3"/>
        <v>0</v>
      </c>
      <c r="AF12" s="8">
        <f t="shared" si="4"/>
        <v>0</v>
      </c>
      <c r="AG12" s="8">
        <v>0</v>
      </c>
      <c r="AH12" s="8">
        <v>0</v>
      </c>
      <c r="AI12" s="8" t="s">
        <v>119</v>
      </c>
      <c r="AJ12" s="8" t="s">
        <v>121</v>
      </c>
      <c r="AL12" s="14" t="s">
        <v>112</v>
      </c>
      <c r="AM12" s="15">
        <v>3840</v>
      </c>
      <c r="AN12"/>
      <c r="AQ12" s="1">
        <v>0</v>
      </c>
    </row>
    <row r="13" spans="2:43" x14ac:dyDescent="0.25">
      <c r="B13" s="2" t="s">
        <v>87</v>
      </c>
      <c r="C13" s="2" t="s">
        <v>88</v>
      </c>
      <c r="D13" s="2" t="s">
        <v>9</v>
      </c>
      <c r="E13" s="2" t="s">
        <v>10</v>
      </c>
      <c r="F13" s="2">
        <v>2.8000000000000001E-2</v>
      </c>
      <c r="G13" s="3">
        <v>5.7000000000000002E-2</v>
      </c>
      <c r="H13" s="2">
        <v>5100</v>
      </c>
      <c r="I13" s="2">
        <v>500</v>
      </c>
      <c r="J13" s="2"/>
      <c r="K13" s="2"/>
      <c r="L13" s="2"/>
      <c r="M13" s="2"/>
      <c r="N13" s="8">
        <f t="shared" si="0"/>
        <v>2200</v>
      </c>
      <c r="O13" s="2">
        <v>500</v>
      </c>
      <c r="P13" s="2"/>
      <c r="Q13" s="2">
        <v>100</v>
      </c>
      <c r="R13" s="19"/>
      <c r="S13" s="2">
        <v>1100</v>
      </c>
      <c r="T13" s="2">
        <v>900</v>
      </c>
      <c r="U13" s="19"/>
      <c r="V13" s="2">
        <v>800</v>
      </c>
      <c r="W13" s="2"/>
      <c r="X13" s="2"/>
      <c r="Y13" s="2"/>
      <c r="Z13" s="7">
        <f t="shared" si="1"/>
        <v>319.2</v>
      </c>
      <c r="AA13" s="7">
        <v>1000</v>
      </c>
      <c r="AB13" s="7">
        <v>0</v>
      </c>
      <c r="AC13" s="8">
        <f t="shared" si="2"/>
        <v>0</v>
      </c>
      <c r="AD13" s="8">
        <v>0</v>
      </c>
      <c r="AE13" s="8">
        <f t="shared" si="3"/>
        <v>0</v>
      </c>
      <c r="AF13" s="8">
        <f t="shared" si="4"/>
        <v>0</v>
      </c>
      <c r="AG13" s="8">
        <v>0</v>
      </c>
      <c r="AH13" s="8">
        <v>0</v>
      </c>
      <c r="AI13" s="8" t="s">
        <v>119</v>
      </c>
      <c r="AJ13" s="8" t="s">
        <v>121</v>
      </c>
      <c r="AL13" s="14" t="s">
        <v>114</v>
      </c>
      <c r="AM13" s="15">
        <v>1280</v>
      </c>
      <c r="AN13"/>
      <c r="AQ13" s="1">
        <v>-3900</v>
      </c>
    </row>
    <row r="14" spans="2:43" ht="14.45" customHeight="1" x14ac:dyDescent="0.25">
      <c r="B14" s="2" t="s">
        <v>87</v>
      </c>
      <c r="C14" s="2" t="s">
        <v>88</v>
      </c>
      <c r="D14" s="2" t="s">
        <v>11</v>
      </c>
      <c r="E14" s="2" t="s">
        <v>10</v>
      </c>
      <c r="F14" s="2">
        <v>2.8000000000000001E-2</v>
      </c>
      <c r="G14" s="3">
        <v>4.3999999999999997E-2</v>
      </c>
      <c r="H14" s="2">
        <v>3500</v>
      </c>
      <c r="I14" s="2">
        <v>200</v>
      </c>
      <c r="J14" s="2"/>
      <c r="K14" s="2"/>
      <c r="L14" s="2"/>
      <c r="M14" s="2"/>
      <c r="N14" s="8">
        <f t="shared" si="0"/>
        <v>0</v>
      </c>
      <c r="O14" s="2">
        <v>1000</v>
      </c>
      <c r="P14" s="2">
        <v>1100</v>
      </c>
      <c r="Q14" s="2"/>
      <c r="R14" s="19">
        <v>1400</v>
      </c>
      <c r="S14" s="2"/>
      <c r="T14" s="2"/>
      <c r="U14" s="19">
        <v>200</v>
      </c>
      <c r="V14" s="2"/>
      <c r="W14" s="2"/>
      <c r="X14" s="2"/>
      <c r="Y14" s="2"/>
      <c r="Z14" s="7">
        <f t="shared" si="1"/>
        <v>162.79999999999998</v>
      </c>
      <c r="AA14" s="7">
        <v>1000</v>
      </c>
      <c r="AB14" s="7">
        <v>0</v>
      </c>
      <c r="AC14" s="8">
        <f t="shared" si="2"/>
        <v>0</v>
      </c>
      <c r="AD14" s="8">
        <v>0</v>
      </c>
      <c r="AE14" s="8">
        <f t="shared" si="3"/>
        <v>0</v>
      </c>
      <c r="AF14" s="8">
        <f t="shared" si="4"/>
        <v>0</v>
      </c>
      <c r="AG14" s="8">
        <v>0</v>
      </c>
      <c r="AH14" s="8">
        <v>0</v>
      </c>
      <c r="AI14" s="8" t="s">
        <v>119</v>
      </c>
      <c r="AJ14" s="8" t="s">
        <v>121</v>
      </c>
      <c r="AL14" s="14" t="s">
        <v>115</v>
      </c>
      <c r="AM14" s="15">
        <v>384</v>
      </c>
      <c r="AN14"/>
      <c r="AQ14" s="1">
        <v>-2966</v>
      </c>
    </row>
    <row r="15" spans="2:43" x14ac:dyDescent="0.25">
      <c r="B15" s="2" t="s">
        <v>87</v>
      </c>
      <c r="C15" s="2" t="s">
        <v>88</v>
      </c>
      <c r="D15" s="2" t="s">
        <v>12</v>
      </c>
      <c r="E15" s="2" t="s">
        <v>10</v>
      </c>
      <c r="F15" s="2">
        <v>2.8000000000000001E-2</v>
      </c>
      <c r="G15" s="3">
        <v>1.4999999999999999E-2</v>
      </c>
      <c r="H15" s="2">
        <v>2500</v>
      </c>
      <c r="I15" s="2">
        <v>700</v>
      </c>
      <c r="J15" s="2"/>
      <c r="K15" s="2"/>
      <c r="L15" s="2"/>
      <c r="M15" s="2"/>
      <c r="N15" s="8">
        <f t="shared" si="0"/>
        <v>300</v>
      </c>
      <c r="O15" s="2">
        <v>1600</v>
      </c>
      <c r="P15" s="2"/>
      <c r="Q15" s="2"/>
      <c r="R15" s="19"/>
      <c r="S15" s="2"/>
      <c r="T15" s="2"/>
      <c r="U15" s="19"/>
      <c r="V15" s="2"/>
      <c r="W15" s="2"/>
      <c r="X15" s="2">
        <v>1300</v>
      </c>
      <c r="Y15" s="2"/>
      <c r="Z15" s="7">
        <f t="shared" si="1"/>
        <v>48</v>
      </c>
      <c r="AA15" s="7">
        <v>1000</v>
      </c>
      <c r="AB15" s="7">
        <v>0</v>
      </c>
      <c r="AC15" s="8">
        <f t="shared" si="2"/>
        <v>0</v>
      </c>
      <c r="AD15" s="8">
        <v>0</v>
      </c>
      <c r="AE15" s="8">
        <f t="shared" si="3"/>
        <v>0</v>
      </c>
      <c r="AF15" s="8">
        <f t="shared" si="4"/>
        <v>0</v>
      </c>
      <c r="AG15" s="8">
        <v>0</v>
      </c>
      <c r="AH15" s="8">
        <v>0</v>
      </c>
      <c r="AI15" s="8" t="s">
        <v>119</v>
      </c>
      <c r="AJ15" s="8" t="s">
        <v>121</v>
      </c>
      <c r="AL15" s="14" t="s">
        <v>124</v>
      </c>
      <c r="AM15" s="15">
        <v>14200</v>
      </c>
      <c r="AN15"/>
      <c r="AQ15" s="1">
        <v>2400</v>
      </c>
    </row>
    <row r="16" spans="2:43" x14ac:dyDescent="0.25">
      <c r="B16" s="2" t="s">
        <v>87</v>
      </c>
      <c r="C16" s="2" t="s">
        <v>88</v>
      </c>
      <c r="D16" s="2" t="s">
        <v>13</v>
      </c>
      <c r="E16" s="2" t="s">
        <v>10</v>
      </c>
      <c r="F16" s="2">
        <v>2.8000000000000001E-2</v>
      </c>
      <c r="G16" s="3">
        <v>1.9E-2</v>
      </c>
      <c r="H16" s="2">
        <v>500</v>
      </c>
      <c r="I16" s="2"/>
      <c r="J16" s="2"/>
      <c r="K16" s="2"/>
      <c r="L16" s="2"/>
      <c r="M16" s="2"/>
      <c r="N16" s="8">
        <f t="shared" si="0"/>
        <v>500</v>
      </c>
      <c r="O16" s="2"/>
      <c r="P16" s="2"/>
      <c r="Q16" s="2"/>
      <c r="R16" s="19"/>
      <c r="S16" s="2"/>
      <c r="T16" s="2"/>
      <c r="U16" s="19"/>
      <c r="V16" s="2"/>
      <c r="W16" s="2"/>
      <c r="X16" s="2"/>
      <c r="Y16" s="2"/>
      <c r="Z16" s="7">
        <f t="shared" si="1"/>
        <v>9.5</v>
      </c>
      <c r="AA16" s="7">
        <v>1000</v>
      </c>
      <c r="AB16" s="7">
        <v>0</v>
      </c>
      <c r="AC16" s="8">
        <f t="shared" si="2"/>
        <v>0</v>
      </c>
      <c r="AD16" s="8">
        <v>0</v>
      </c>
      <c r="AE16" s="8">
        <f t="shared" si="3"/>
        <v>0</v>
      </c>
      <c r="AF16" s="8">
        <f t="shared" si="4"/>
        <v>0</v>
      </c>
      <c r="AG16" s="8">
        <v>0</v>
      </c>
      <c r="AH16" s="8">
        <v>0</v>
      </c>
      <c r="AI16" s="8" t="s">
        <v>119</v>
      </c>
      <c r="AJ16" s="8" t="s">
        <v>121</v>
      </c>
      <c r="AL16"/>
      <c r="AM16"/>
      <c r="AN16"/>
      <c r="AQ16" s="1">
        <v>400</v>
      </c>
    </row>
    <row r="17" spans="2:43" ht="14.45" customHeight="1" x14ac:dyDescent="0.25">
      <c r="B17" s="2" t="s">
        <v>87</v>
      </c>
      <c r="C17" s="2" t="s">
        <v>88</v>
      </c>
      <c r="D17" s="2" t="s">
        <v>14</v>
      </c>
      <c r="E17" s="2" t="s">
        <v>10</v>
      </c>
      <c r="F17" s="2">
        <v>2.8000000000000001E-2</v>
      </c>
      <c r="G17" s="3">
        <v>2.4E-2</v>
      </c>
      <c r="H17" s="2">
        <v>2200</v>
      </c>
      <c r="I17" s="2"/>
      <c r="J17" s="2"/>
      <c r="K17" s="2"/>
      <c r="L17" s="2"/>
      <c r="M17" s="2"/>
      <c r="N17" s="8">
        <f t="shared" si="0"/>
        <v>0</v>
      </c>
      <c r="O17" s="2">
        <v>200</v>
      </c>
      <c r="P17" s="2"/>
      <c r="Q17" s="2">
        <v>1600</v>
      </c>
      <c r="R17" s="19"/>
      <c r="S17" s="2"/>
      <c r="T17" s="2"/>
      <c r="U17" s="19">
        <v>400</v>
      </c>
      <c r="V17" s="2"/>
      <c r="W17" s="2"/>
      <c r="X17" s="2"/>
      <c r="Y17" s="2"/>
      <c r="Z17" s="7">
        <f t="shared" si="1"/>
        <v>52.800000000000004</v>
      </c>
      <c r="AA17" s="7">
        <v>1000</v>
      </c>
      <c r="AB17" s="7">
        <v>0</v>
      </c>
      <c r="AC17" s="8">
        <f t="shared" si="2"/>
        <v>0</v>
      </c>
      <c r="AD17" s="8">
        <v>0</v>
      </c>
      <c r="AE17" s="8">
        <f t="shared" si="3"/>
        <v>0</v>
      </c>
      <c r="AF17" s="8">
        <f t="shared" si="4"/>
        <v>0</v>
      </c>
      <c r="AG17" s="8">
        <v>0</v>
      </c>
      <c r="AH17" s="8">
        <v>0</v>
      </c>
      <c r="AI17" s="8" t="s">
        <v>119</v>
      </c>
      <c r="AJ17" s="8" t="s">
        <v>121</v>
      </c>
      <c r="AL17"/>
      <c r="AM17"/>
      <c r="AN17"/>
      <c r="AQ17" s="1">
        <v>3600</v>
      </c>
    </row>
    <row r="18" spans="2:43" x14ac:dyDescent="0.25">
      <c r="B18" s="2" t="s">
        <v>87</v>
      </c>
      <c r="C18" s="2" t="s">
        <v>88</v>
      </c>
      <c r="D18" s="2" t="s">
        <v>15</v>
      </c>
      <c r="E18" s="2" t="s">
        <v>10</v>
      </c>
      <c r="F18" s="2">
        <v>2.8000000000000001E-2</v>
      </c>
      <c r="G18" s="3">
        <v>1.9E-2</v>
      </c>
      <c r="H18" s="2">
        <v>700</v>
      </c>
      <c r="I18" s="2"/>
      <c r="J18" s="2"/>
      <c r="K18" s="2"/>
      <c r="L18" s="2"/>
      <c r="M18" s="2"/>
      <c r="N18" s="8">
        <f t="shared" si="0"/>
        <v>700</v>
      </c>
      <c r="O18" s="2"/>
      <c r="P18" s="2"/>
      <c r="Q18" s="2"/>
      <c r="R18" s="19"/>
      <c r="S18" s="2"/>
      <c r="T18" s="2"/>
      <c r="U18" s="19"/>
      <c r="V18" s="2"/>
      <c r="W18" s="2"/>
      <c r="X18" s="2"/>
      <c r="Y18" s="2"/>
      <c r="Z18" s="7">
        <f t="shared" si="1"/>
        <v>13.299999999999999</v>
      </c>
      <c r="AA18" s="7">
        <v>1000</v>
      </c>
      <c r="AB18" s="7">
        <v>0</v>
      </c>
      <c r="AC18" s="8">
        <f t="shared" si="2"/>
        <v>0</v>
      </c>
      <c r="AD18" s="8">
        <v>0</v>
      </c>
      <c r="AE18" s="8">
        <f t="shared" si="3"/>
        <v>0</v>
      </c>
      <c r="AF18" s="8">
        <f t="shared" si="4"/>
        <v>0</v>
      </c>
      <c r="AG18" s="8">
        <v>0</v>
      </c>
      <c r="AH18" s="8">
        <v>0</v>
      </c>
      <c r="AI18" s="8" t="s">
        <v>119</v>
      </c>
      <c r="AJ18" s="8" t="s">
        <v>121</v>
      </c>
      <c r="AL18"/>
      <c r="AM18"/>
      <c r="AN18"/>
      <c r="AQ18" s="1">
        <v>0</v>
      </c>
    </row>
    <row r="19" spans="2:43" ht="14.45" customHeight="1" x14ac:dyDescent="0.25">
      <c r="B19" s="2" t="s">
        <v>87</v>
      </c>
      <c r="C19" s="2" t="s">
        <v>88</v>
      </c>
      <c r="D19" s="2" t="s">
        <v>16</v>
      </c>
      <c r="E19" s="2" t="s">
        <v>17</v>
      </c>
      <c r="F19" s="2">
        <v>2.8000000000000001E-2</v>
      </c>
      <c r="G19" s="3">
        <v>8.5999999999999993E-2</v>
      </c>
      <c r="H19" s="2">
        <v>0</v>
      </c>
      <c r="I19" s="2"/>
      <c r="J19" s="2"/>
      <c r="K19" s="2"/>
      <c r="L19" s="2"/>
      <c r="M19" s="2"/>
      <c r="N19" s="8">
        <f t="shared" si="0"/>
        <v>0</v>
      </c>
      <c r="O19" s="2"/>
      <c r="P19" s="2"/>
      <c r="Q19" s="2"/>
      <c r="R19" s="19"/>
      <c r="S19" s="2"/>
      <c r="T19" s="2"/>
      <c r="U19" s="19"/>
      <c r="V19" s="2"/>
      <c r="W19" s="2"/>
      <c r="X19" s="2"/>
      <c r="Y19" s="2"/>
      <c r="Z19" s="7">
        <f t="shared" si="1"/>
        <v>0</v>
      </c>
      <c r="AA19" s="7">
        <v>100</v>
      </c>
      <c r="AB19" s="7">
        <v>0</v>
      </c>
      <c r="AC19" s="8">
        <f t="shared" si="2"/>
        <v>0</v>
      </c>
      <c r="AD19" s="8">
        <v>0</v>
      </c>
      <c r="AE19" s="8">
        <f t="shared" si="3"/>
        <v>0</v>
      </c>
      <c r="AF19" s="8">
        <f t="shared" si="4"/>
        <v>0</v>
      </c>
      <c r="AG19" s="8">
        <v>0</v>
      </c>
      <c r="AH19" s="8">
        <v>0</v>
      </c>
      <c r="AI19" s="8" t="s">
        <v>119</v>
      </c>
      <c r="AJ19" s="8" t="s">
        <v>121</v>
      </c>
      <c r="AL19"/>
      <c r="AM19"/>
      <c r="AN19"/>
      <c r="AQ19" s="1">
        <v>-55</v>
      </c>
    </row>
    <row r="20" spans="2:43" ht="14.45" customHeight="1" x14ac:dyDescent="0.25">
      <c r="B20" s="2" t="s">
        <v>87</v>
      </c>
      <c r="C20" s="2" t="s">
        <v>88</v>
      </c>
      <c r="D20" s="2" t="s">
        <v>18</v>
      </c>
      <c r="E20" s="2" t="s">
        <v>17</v>
      </c>
      <c r="F20" s="2">
        <v>2.8000000000000001E-2</v>
      </c>
      <c r="G20" s="3">
        <v>0.11700000000000001</v>
      </c>
      <c r="H20" s="2">
        <v>0</v>
      </c>
      <c r="I20" s="2"/>
      <c r="J20" s="2"/>
      <c r="K20" s="2"/>
      <c r="L20" s="2"/>
      <c r="M20" s="2"/>
      <c r="N20" s="8">
        <f t="shared" si="0"/>
        <v>0</v>
      </c>
      <c r="O20" s="2"/>
      <c r="P20" s="2"/>
      <c r="Q20" s="2"/>
      <c r="R20" s="19"/>
      <c r="S20" s="2"/>
      <c r="T20" s="2"/>
      <c r="U20" s="19"/>
      <c r="V20" s="2"/>
      <c r="W20" s="2"/>
      <c r="X20" s="2"/>
      <c r="Y20" s="2"/>
      <c r="Z20" s="7">
        <f t="shared" si="1"/>
        <v>0</v>
      </c>
      <c r="AA20" s="7">
        <v>100</v>
      </c>
      <c r="AB20" s="7">
        <v>0</v>
      </c>
      <c r="AC20" s="8">
        <f t="shared" si="2"/>
        <v>0</v>
      </c>
      <c r="AD20" s="8">
        <v>0</v>
      </c>
      <c r="AE20" s="8">
        <f t="shared" si="3"/>
        <v>0</v>
      </c>
      <c r="AF20" s="8">
        <f t="shared" si="4"/>
        <v>0</v>
      </c>
      <c r="AG20" s="8">
        <v>0</v>
      </c>
      <c r="AH20" s="8">
        <v>0</v>
      </c>
      <c r="AI20" s="8" t="s">
        <v>119</v>
      </c>
      <c r="AJ20" s="8" t="s">
        <v>121</v>
      </c>
      <c r="AL20"/>
      <c r="AM20"/>
      <c r="AN20"/>
      <c r="AQ20" s="1">
        <v>0</v>
      </c>
    </row>
    <row r="21" spans="2:43" ht="14.45" customHeight="1" x14ac:dyDescent="0.25">
      <c r="B21" s="2" t="s">
        <v>87</v>
      </c>
      <c r="C21" s="2" t="s">
        <v>88</v>
      </c>
      <c r="D21" s="2" t="s">
        <v>19</v>
      </c>
      <c r="E21" s="2" t="s">
        <v>17</v>
      </c>
      <c r="F21" s="2">
        <v>2.8000000000000001E-2</v>
      </c>
      <c r="G21" s="3">
        <v>0.129</v>
      </c>
      <c r="H21" s="2">
        <v>1200</v>
      </c>
      <c r="I21" s="2">
        <v>265</v>
      </c>
      <c r="J21" s="2"/>
      <c r="K21" s="2"/>
      <c r="L21" s="2"/>
      <c r="M21" s="2"/>
      <c r="N21" s="8">
        <f t="shared" si="0"/>
        <v>-70</v>
      </c>
      <c r="O21" s="2"/>
      <c r="P21" s="2"/>
      <c r="Q21" s="2">
        <v>1535</v>
      </c>
      <c r="R21" s="19"/>
      <c r="S21" s="2"/>
      <c r="T21" s="2"/>
      <c r="U21" s="19"/>
      <c r="V21" s="2"/>
      <c r="W21" s="2"/>
      <c r="X21" s="2"/>
      <c r="Y21" s="2"/>
      <c r="Z21" s="7">
        <f t="shared" si="1"/>
        <v>188.98500000000001</v>
      </c>
      <c r="AA21" s="7">
        <v>100</v>
      </c>
      <c r="AB21" s="7">
        <v>0</v>
      </c>
      <c r="AC21" s="8">
        <f t="shared" si="2"/>
        <v>0</v>
      </c>
      <c r="AD21" s="8">
        <v>0</v>
      </c>
      <c r="AE21" s="8">
        <f t="shared" si="3"/>
        <v>0</v>
      </c>
      <c r="AF21" s="8">
        <f t="shared" si="4"/>
        <v>0</v>
      </c>
      <c r="AG21" s="8">
        <v>0</v>
      </c>
      <c r="AH21" s="8">
        <v>0</v>
      </c>
      <c r="AI21" s="8" t="s">
        <v>119</v>
      </c>
      <c r="AJ21" s="8" t="s">
        <v>121</v>
      </c>
      <c r="AL21"/>
      <c r="AM21"/>
      <c r="AN21"/>
      <c r="AQ21" s="1">
        <v>-25</v>
      </c>
    </row>
    <row r="22" spans="2:43" x14ac:dyDescent="0.25">
      <c r="B22" s="2" t="s">
        <v>87</v>
      </c>
      <c r="C22" s="2" t="s">
        <v>88</v>
      </c>
      <c r="D22" s="2" t="s">
        <v>20</v>
      </c>
      <c r="E22" s="2" t="s">
        <v>17</v>
      </c>
      <c r="F22" s="2">
        <v>2.8000000000000001E-2</v>
      </c>
      <c r="G22" s="3">
        <v>0.11899999999999999</v>
      </c>
      <c r="H22" s="2">
        <v>600</v>
      </c>
      <c r="I22" s="2"/>
      <c r="J22" s="2"/>
      <c r="K22" s="2"/>
      <c r="L22" s="2"/>
      <c r="M22" s="2"/>
      <c r="N22" s="8">
        <f t="shared" si="0"/>
        <v>425</v>
      </c>
      <c r="O22" s="2">
        <v>175</v>
      </c>
      <c r="P22" s="2"/>
      <c r="Q22" s="2"/>
      <c r="R22" s="19"/>
      <c r="S22" s="2"/>
      <c r="T22" s="2"/>
      <c r="U22" s="19"/>
      <c r="V22" s="2"/>
      <c r="W22" s="2"/>
      <c r="X22" s="2"/>
      <c r="Y22" s="2"/>
      <c r="Z22" s="7">
        <f t="shared" si="1"/>
        <v>71.399999999999991</v>
      </c>
      <c r="AA22" s="7">
        <v>100</v>
      </c>
      <c r="AB22" s="7">
        <v>0</v>
      </c>
      <c r="AC22" s="8">
        <f t="shared" si="2"/>
        <v>0</v>
      </c>
      <c r="AD22" s="8">
        <v>0</v>
      </c>
      <c r="AE22" s="8">
        <f t="shared" si="3"/>
        <v>0</v>
      </c>
      <c r="AF22" s="8">
        <f t="shared" si="4"/>
        <v>0</v>
      </c>
      <c r="AG22" s="8">
        <v>0</v>
      </c>
      <c r="AH22" s="8">
        <v>0</v>
      </c>
      <c r="AI22" s="8" t="s">
        <v>119</v>
      </c>
      <c r="AJ22" s="8" t="s">
        <v>121</v>
      </c>
      <c r="AL22"/>
      <c r="AM22"/>
      <c r="AN22"/>
      <c r="AQ22" s="1">
        <v>-250</v>
      </c>
    </row>
    <row r="23" spans="2:43" ht="14.45" customHeight="1" x14ac:dyDescent="0.25">
      <c r="B23" s="2" t="s">
        <v>87</v>
      </c>
      <c r="C23" s="2" t="s">
        <v>88</v>
      </c>
      <c r="D23" s="2" t="s">
        <v>21</v>
      </c>
      <c r="E23" s="2" t="s">
        <v>17</v>
      </c>
      <c r="F23" s="2">
        <v>2.8000000000000001E-2</v>
      </c>
      <c r="G23" s="3">
        <v>0.127</v>
      </c>
      <c r="H23" s="2">
        <v>1200</v>
      </c>
      <c r="I23" s="2"/>
      <c r="J23" s="2"/>
      <c r="K23" s="2"/>
      <c r="L23" s="2"/>
      <c r="M23" s="2"/>
      <c r="N23" s="8">
        <f t="shared" si="0"/>
        <v>0</v>
      </c>
      <c r="O23" s="2"/>
      <c r="P23" s="2"/>
      <c r="Q23" s="2"/>
      <c r="R23" s="19"/>
      <c r="S23" s="2"/>
      <c r="T23" s="2"/>
      <c r="U23" s="19"/>
      <c r="V23" s="2">
        <v>1200</v>
      </c>
      <c r="W23" s="2"/>
      <c r="X23" s="2"/>
      <c r="Y23" s="2"/>
      <c r="Z23" s="7">
        <f t="shared" si="1"/>
        <v>152.4</v>
      </c>
      <c r="AA23" s="7">
        <v>100</v>
      </c>
      <c r="AB23" s="7">
        <v>0</v>
      </c>
      <c r="AC23" s="8">
        <f t="shared" si="2"/>
        <v>0</v>
      </c>
      <c r="AD23" s="8">
        <v>0</v>
      </c>
      <c r="AE23" s="8">
        <f t="shared" si="3"/>
        <v>0</v>
      </c>
      <c r="AF23" s="8">
        <f t="shared" si="4"/>
        <v>0</v>
      </c>
      <c r="AG23" s="8">
        <v>0</v>
      </c>
      <c r="AH23" s="8">
        <v>0</v>
      </c>
      <c r="AI23" s="8" t="s">
        <v>119</v>
      </c>
      <c r="AJ23" s="8" t="s">
        <v>121</v>
      </c>
      <c r="AQ23" s="1">
        <v>0</v>
      </c>
    </row>
    <row r="24" spans="2:43" ht="14.45" customHeight="1" x14ac:dyDescent="0.25">
      <c r="B24" s="2" t="s">
        <v>87</v>
      </c>
      <c r="C24" s="2" t="s">
        <v>88</v>
      </c>
      <c r="D24" s="2" t="s">
        <v>22</v>
      </c>
      <c r="E24" s="2" t="s">
        <v>17</v>
      </c>
      <c r="F24" s="2">
        <v>2.8000000000000001E-2</v>
      </c>
      <c r="G24" s="3">
        <v>0.114</v>
      </c>
      <c r="H24" s="2">
        <v>1200</v>
      </c>
      <c r="I24" s="2">
        <v>22</v>
      </c>
      <c r="J24" s="2"/>
      <c r="K24" s="2"/>
      <c r="L24" s="2"/>
      <c r="M24" s="2"/>
      <c r="N24" s="8">
        <f t="shared" si="0"/>
        <v>-612</v>
      </c>
      <c r="O24" s="2"/>
      <c r="P24" s="2"/>
      <c r="Q24" s="2"/>
      <c r="R24" s="19"/>
      <c r="S24" s="2">
        <v>990</v>
      </c>
      <c r="T24" s="2">
        <v>822</v>
      </c>
      <c r="U24" s="19"/>
      <c r="V24" s="2"/>
      <c r="W24" s="2"/>
      <c r="X24" s="2"/>
      <c r="Y24" s="2">
        <v>22</v>
      </c>
      <c r="Z24" s="7">
        <f t="shared" si="1"/>
        <v>139.30799999999999</v>
      </c>
      <c r="AA24" s="7">
        <v>100</v>
      </c>
      <c r="AB24" s="7">
        <v>0</v>
      </c>
      <c r="AC24" s="8">
        <f t="shared" si="2"/>
        <v>0</v>
      </c>
      <c r="AD24" s="8">
        <v>0</v>
      </c>
      <c r="AE24" s="8">
        <f t="shared" si="3"/>
        <v>0</v>
      </c>
      <c r="AF24" s="8">
        <f t="shared" si="4"/>
        <v>0</v>
      </c>
      <c r="AG24" s="8">
        <v>0</v>
      </c>
      <c r="AH24" s="8">
        <v>0</v>
      </c>
      <c r="AI24" s="8" t="s">
        <v>119</v>
      </c>
      <c r="AJ24" s="8" t="s">
        <v>121</v>
      </c>
      <c r="AQ24" s="1">
        <v>-55</v>
      </c>
    </row>
    <row r="25" spans="2:43" x14ac:dyDescent="0.25">
      <c r="B25" s="2" t="s">
        <v>87</v>
      </c>
      <c r="C25" s="2" t="s">
        <v>88</v>
      </c>
      <c r="D25" s="2" t="s">
        <v>23</v>
      </c>
      <c r="E25" s="2" t="s">
        <v>17</v>
      </c>
      <c r="F25" s="2">
        <v>2.8000000000000001E-2</v>
      </c>
      <c r="G25" s="3">
        <v>6.9000000000000006E-2</v>
      </c>
      <c r="H25" s="2">
        <v>1200</v>
      </c>
      <c r="I25" s="2"/>
      <c r="J25" s="2"/>
      <c r="K25" s="2"/>
      <c r="L25" s="2"/>
      <c r="M25" s="2"/>
      <c r="N25" s="8">
        <f t="shared" si="0"/>
        <v>20</v>
      </c>
      <c r="O25" s="2"/>
      <c r="P25" s="2">
        <v>1180</v>
      </c>
      <c r="Q25" s="2"/>
      <c r="R25" s="19"/>
      <c r="S25" s="2"/>
      <c r="T25" s="2"/>
      <c r="U25" s="19"/>
      <c r="V25" s="2"/>
      <c r="W25" s="2"/>
      <c r="X25" s="2"/>
      <c r="Y25" s="2"/>
      <c r="Z25" s="7">
        <f t="shared" si="1"/>
        <v>82.800000000000011</v>
      </c>
      <c r="AA25" s="7">
        <v>100</v>
      </c>
      <c r="AB25" s="7">
        <v>0</v>
      </c>
      <c r="AC25" s="8">
        <f t="shared" si="2"/>
        <v>0</v>
      </c>
      <c r="AD25" s="8">
        <v>0</v>
      </c>
      <c r="AE25" s="8">
        <f t="shared" si="3"/>
        <v>0</v>
      </c>
      <c r="AF25" s="8">
        <f t="shared" si="4"/>
        <v>0</v>
      </c>
      <c r="AG25" s="8">
        <v>0</v>
      </c>
      <c r="AH25" s="8">
        <v>0</v>
      </c>
      <c r="AI25" s="8" t="s">
        <v>119</v>
      </c>
      <c r="AJ25" s="8" t="s">
        <v>121</v>
      </c>
      <c r="AQ25" s="1">
        <v>-50</v>
      </c>
    </row>
    <row r="26" spans="2:43" ht="14.45" customHeight="1" x14ac:dyDescent="0.25">
      <c r="B26" s="2" t="s">
        <v>87</v>
      </c>
      <c r="C26" s="2" t="s">
        <v>88</v>
      </c>
      <c r="D26" s="2" t="s">
        <v>24</v>
      </c>
      <c r="E26" s="2" t="s">
        <v>17</v>
      </c>
      <c r="F26" s="2">
        <v>2.8000000000000001E-2</v>
      </c>
      <c r="G26" s="3">
        <v>0.129</v>
      </c>
      <c r="H26" s="2">
        <v>1200</v>
      </c>
      <c r="I26" s="2"/>
      <c r="J26" s="2"/>
      <c r="K26" s="2"/>
      <c r="L26" s="2"/>
      <c r="M26" s="2"/>
      <c r="N26" s="8">
        <f t="shared" si="0"/>
        <v>0</v>
      </c>
      <c r="O26" s="2"/>
      <c r="P26" s="2"/>
      <c r="Q26" s="2"/>
      <c r="R26" s="19">
        <v>1200</v>
      </c>
      <c r="S26" s="2"/>
      <c r="T26" s="2"/>
      <c r="U26" s="19"/>
      <c r="V26" s="2"/>
      <c r="W26" s="2"/>
      <c r="X26" s="2"/>
      <c r="Y26" s="2"/>
      <c r="Z26" s="7">
        <f t="shared" si="1"/>
        <v>154.80000000000001</v>
      </c>
      <c r="AA26" s="7">
        <v>100</v>
      </c>
      <c r="AB26" s="7">
        <v>0</v>
      </c>
      <c r="AC26" s="8">
        <f t="shared" si="2"/>
        <v>0</v>
      </c>
      <c r="AD26" s="8">
        <v>0</v>
      </c>
      <c r="AE26" s="8">
        <f t="shared" si="3"/>
        <v>0</v>
      </c>
      <c r="AF26" s="8">
        <f t="shared" si="4"/>
        <v>0</v>
      </c>
      <c r="AG26" s="8">
        <v>0</v>
      </c>
      <c r="AH26" s="8">
        <v>0</v>
      </c>
      <c r="AI26" s="8" t="s">
        <v>119</v>
      </c>
      <c r="AJ26" s="8" t="s">
        <v>121</v>
      </c>
      <c r="AQ26" s="1">
        <v>0</v>
      </c>
    </row>
    <row r="27" spans="2:43" ht="14.45" customHeight="1" x14ac:dyDescent="0.25">
      <c r="B27" s="2" t="s">
        <v>87</v>
      </c>
      <c r="C27" s="2" t="s">
        <v>88</v>
      </c>
      <c r="D27" s="2" t="s">
        <v>25</v>
      </c>
      <c r="E27" s="2" t="s">
        <v>17</v>
      </c>
      <c r="F27" s="2">
        <v>2.8000000000000001E-2</v>
      </c>
      <c r="G27" s="3">
        <v>7.8E-2</v>
      </c>
      <c r="H27" s="2">
        <v>600</v>
      </c>
      <c r="I27" s="2"/>
      <c r="J27" s="2"/>
      <c r="K27" s="2"/>
      <c r="L27" s="2"/>
      <c r="M27" s="2"/>
      <c r="N27" s="8">
        <f t="shared" si="0"/>
        <v>-28</v>
      </c>
      <c r="O27" s="2"/>
      <c r="P27" s="2"/>
      <c r="Q27" s="2"/>
      <c r="R27" s="19"/>
      <c r="S27" s="2"/>
      <c r="T27" s="2"/>
      <c r="U27" s="19"/>
      <c r="V27" s="2">
        <v>250</v>
      </c>
      <c r="W27" s="2">
        <v>378</v>
      </c>
      <c r="X27" s="2"/>
      <c r="Y27" s="2"/>
      <c r="Z27" s="7">
        <f t="shared" si="1"/>
        <v>46.8</v>
      </c>
      <c r="AA27" s="7">
        <v>100</v>
      </c>
      <c r="AB27" s="7">
        <v>0</v>
      </c>
      <c r="AC27" s="8">
        <f t="shared" si="2"/>
        <v>0</v>
      </c>
      <c r="AD27" s="8">
        <v>0</v>
      </c>
      <c r="AE27" s="8">
        <f t="shared" si="3"/>
        <v>0</v>
      </c>
      <c r="AF27" s="8">
        <f t="shared" si="4"/>
        <v>0</v>
      </c>
      <c r="AG27" s="8">
        <v>0</v>
      </c>
      <c r="AH27" s="8">
        <v>0</v>
      </c>
      <c r="AI27" s="8" t="s">
        <v>119</v>
      </c>
      <c r="AJ27" s="8" t="s">
        <v>121</v>
      </c>
      <c r="AQ27" s="1">
        <v>307</v>
      </c>
    </row>
    <row r="28" spans="2:43" ht="14.45" customHeight="1" x14ac:dyDescent="0.25">
      <c r="B28" s="2" t="s">
        <v>87</v>
      </c>
      <c r="C28" s="2" t="s">
        <v>88</v>
      </c>
      <c r="D28" s="2" t="s">
        <v>26</v>
      </c>
      <c r="E28" s="2" t="s">
        <v>17</v>
      </c>
      <c r="F28" s="2">
        <v>2.8000000000000001E-2</v>
      </c>
      <c r="G28" s="3">
        <v>0.10100000000000001</v>
      </c>
      <c r="H28" s="2">
        <v>0</v>
      </c>
      <c r="I28" s="2"/>
      <c r="J28" s="2"/>
      <c r="K28" s="2"/>
      <c r="L28" s="2"/>
      <c r="M28" s="2"/>
      <c r="N28" s="8">
        <f t="shared" si="0"/>
        <v>0</v>
      </c>
      <c r="O28" s="2"/>
      <c r="P28" s="2"/>
      <c r="Q28" s="2"/>
      <c r="R28" s="19"/>
      <c r="S28" s="2"/>
      <c r="T28" s="2"/>
      <c r="U28" s="19"/>
      <c r="V28" s="2"/>
      <c r="W28" s="2"/>
      <c r="X28" s="2"/>
      <c r="Y28" s="2"/>
      <c r="Z28" s="7">
        <f t="shared" si="1"/>
        <v>0</v>
      </c>
      <c r="AA28" s="7">
        <v>100</v>
      </c>
      <c r="AB28" s="7">
        <v>0</v>
      </c>
      <c r="AC28" s="8">
        <f t="shared" si="2"/>
        <v>0</v>
      </c>
      <c r="AD28" s="8">
        <v>0</v>
      </c>
      <c r="AE28" s="8">
        <f t="shared" si="3"/>
        <v>0</v>
      </c>
      <c r="AF28" s="8">
        <f t="shared" si="4"/>
        <v>0</v>
      </c>
      <c r="AG28" s="8">
        <v>0</v>
      </c>
      <c r="AH28" s="8">
        <v>0</v>
      </c>
      <c r="AI28" s="8" t="s">
        <v>119</v>
      </c>
      <c r="AJ28" s="8" t="s">
        <v>121</v>
      </c>
      <c r="AQ28" s="1">
        <v>-77</v>
      </c>
    </row>
    <row r="29" spans="2:43" ht="14.45" customHeight="1" x14ac:dyDescent="0.25">
      <c r="B29" s="2" t="s">
        <v>87</v>
      </c>
      <c r="C29" s="2" t="s">
        <v>88</v>
      </c>
      <c r="D29" s="2" t="s">
        <v>27</v>
      </c>
      <c r="E29" s="2" t="s">
        <v>17</v>
      </c>
      <c r="F29" s="2">
        <v>2.8000000000000001E-2</v>
      </c>
      <c r="G29" s="3">
        <v>7.5999999999999998E-2</v>
      </c>
      <c r="H29" s="2">
        <v>0</v>
      </c>
      <c r="I29" s="2">
        <v>22</v>
      </c>
      <c r="J29" s="2"/>
      <c r="K29" s="2"/>
      <c r="L29" s="2"/>
      <c r="M29" s="2"/>
      <c r="N29" s="8">
        <f t="shared" si="0"/>
        <v>-275</v>
      </c>
      <c r="O29" s="2">
        <v>217</v>
      </c>
      <c r="P29" s="2"/>
      <c r="Q29" s="2"/>
      <c r="R29" s="19"/>
      <c r="S29" s="2"/>
      <c r="T29" s="2">
        <v>80</v>
      </c>
      <c r="U29" s="19"/>
      <c r="V29" s="2"/>
      <c r="W29" s="2"/>
      <c r="X29" s="2"/>
      <c r="Y29" s="2"/>
      <c r="Z29" s="7">
        <f t="shared" si="1"/>
        <v>1.6719999999999999</v>
      </c>
      <c r="AA29" s="7">
        <v>100</v>
      </c>
      <c r="AB29" s="7">
        <v>0</v>
      </c>
      <c r="AC29" s="8">
        <f t="shared" si="2"/>
        <v>0</v>
      </c>
      <c r="AD29" s="8">
        <v>0</v>
      </c>
      <c r="AE29" s="8">
        <f t="shared" si="3"/>
        <v>0</v>
      </c>
      <c r="AF29" s="8">
        <f t="shared" si="4"/>
        <v>0</v>
      </c>
      <c r="AG29" s="8">
        <v>0</v>
      </c>
      <c r="AH29" s="8">
        <v>0</v>
      </c>
      <c r="AI29" s="8" t="s">
        <v>119</v>
      </c>
      <c r="AJ29" s="8" t="s">
        <v>121</v>
      </c>
      <c r="AQ29" s="1">
        <v>300</v>
      </c>
    </row>
    <row r="30" spans="2:43" ht="14.45" customHeight="1" x14ac:dyDescent="0.25">
      <c r="B30" s="2" t="s">
        <v>87</v>
      </c>
      <c r="C30" s="2" t="s">
        <v>88</v>
      </c>
      <c r="D30" s="2" t="s">
        <v>28</v>
      </c>
      <c r="E30" s="2" t="s">
        <v>17</v>
      </c>
      <c r="F30" s="2">
        <v>2.8000000000000001E-2</v>
      </c>
      <c r="G30" s="3">
        <v>4.2000000000000003E-2</v>
      </c>
      <c r="H30" s="2">
        <v>1200</v>
      </c>
      <c r="I30" s="2"/>
      <c r="J30" s="2"/>
      <c r="K30" s="2"/>
      <c r="L30" s="2"/>
      <c r="M30" s="2"/>
      <c r="N30" s="8">
        <f t="shared" si="0"/>
        <v>0</v>
      </c>
      <c r="O30" s="2"/>
      <c r="P30" s="2"/>
      <c r="Q30" s="2"/>
      <c r="R30" s="19"/>
      <c r="S30" s="2">
        <v>500</v>
      </c>
      <c r="T30" s="2"/>
      <c r="U30" s="19">
        <v>700</v>
      </c>
      <c r="V30" s="2"/>
      <c r="W30" s="2"/>
      <c r="X30" s="2"/>
      <c r="Y30" s="2"/>
      <c r="Z30" s="7">
        <f t="shared" si="1"/>
        <v>50.400000000000006</v>
      </c>
      <c r="AA30" s="7">
        <v>100</v>
      </c>
      <c r="AB30" s="7">
        <v>0</v>
      </c>
      <c r="AC30" s="8">
        <f t="shared" si="2"/>
        <v>0</v>
      </c>
      <c r="AD30" s="8">
        <v>0</v>
      </c>
      <c r="AE30" s="8">
        <f t="shared" si="3"/>
        <v>0</v>
      </c>
      <c r="AF30" s="8">
        <f t="shared" si="4"/>
        <v>0</v>
      </c>
      <c r="AG30" s="8">
        <v>0</v>
      </c>
      <c r="AH30" s="8">
        <v>0</v>
      </c>
      <c r="AI30" s="8" t="s">
        <v>119</v>
      </c>
      <c r="AJ30" s="8" t="s">
        <v>121</v>
      </c>
      <c r="AQ30" s="1">
        <v>-445</v>
      </c>
    </row>
    <row r="31" spans="2:43" ht="14.45" customHeight="1" x14ac:dyDescent="0.25">
      <c r="B31" s="2" t="s">
        <v>87</v>
      </c>
      <c r="C31" s="2" t="s">
        <v>88</v>
      </c>
      <c r="D31" s="2" t="s">
        <v>29</v>
      </c>
      <c r="E31" s="2" t="s">
        <v>17</v>
      </c>
      <c r="F31" s="2">
        <v>2.8000000000000001E-2</v>
      </c>
      <c r="G31" s="3">
        <v>0.105</v>
      </c>
      <c r="H31" s="2">
        <v>600</v>
      </c>
      <c r="I31" s="2"/>
      <c r="J31" s="2"/>
      <c r="K31" s="2"/>
      <c r="L31" s="2"/>
      <c r="M31" s="2"/>
      <c r="N31" s="8">
        <f t="shared" si="0"/>
        <v>-8</v>
      </c>
      <c r="O31" s="2"/>
      <c r="P31" s="2"/>
      <c r="Q31" s="2"/>
      <c r="R31" s="19"/>
      <c r="S31" s="2"/>
      <c r="T31" s="2"/>
      <c r="U31" s="19"/>
      <c r="V31" s="2"/>
      <c r="W31" s="2">
        <v>608</v>
      </c>
      <c r="X31" s="2"/>
      <c r="Y31" s="2"/>
      <c r="Z31" s="7">
        <f t="shared" si="1"/>
        <v>63</v>
      </c>
      <c r="AA31" s="7">
        <v>100</v>
      </c>
      <c r="AB31" s="7">
        <v>0</v>
      </c>
      <c r="AC31" s="8">
        <f t="shared" si="2"/>
        <v>0</v>
      </c>
      <c r="AD31" s="8">
        <v>0</v>
      </c>
      <c r="AE31" s="8">
        <f t="shared" si="3"/>
        <v>0</v>
      </c>
      <c r="AF31" s="8">
        <f t="shared" si="4"/>
        <v>0</v>
      </c>
      <c r="AG31" s="8">
        <v>0</v>
      </c>
      <c r="AH31" s="8">
        <v>0</v>
      </c>
      <c r="AI31" s="8" t="s">
        <v>119</v>
      </c>
      <c r="AJ31" s="8" t="s">
        <v>121</v>
      </c>
      <c r="AQ31" s="1">
        <v>-83</v>
      </c>
    </row>
    <row r="32" spans="2:43" ht="14.45" customHeight="1" x14ac:dyDescent="0.25">
      <c r="B32" s="2" t="s">
        <v>87</v>
      </c>
      <c r="C32" s="2" t="s">
        <v>88</v>
      </c>
      <c r="D32" s="2" t="s">
        <v>30</v>
      </c>
      <c r="E32" s="2" t="s">
        <v>17</v>
      </c>
      <c r="F32" s="2">
        <v>2.8000000000000001E-2</v>
      </c>
      <c r="G32" s="3">
        <v>0.14299999999999999</v>
      </c>
      <c r="H32" s="2">
        <v>0</v>
      </c>
      <c r="I32" s="2"/>
      <c r="J32" s="2"/>
      <c r="K32" s="2"/>
      <c r="L32" s="2"/>
      <c r="M32" s="2"/>
      <c r="N32" s="8">
        <f t="shared" si="0"/>
        <v>0</v>
      </c>
      <c r="O32" s="2"/>
      <c r="P32" s="2"/>
      <c r="Q32" s="2"/>
      <c r="R32" s="19"/>
      <c r="S32" s="2"/>
      <c r="T32" s="2"/>
      <c r="U32" s="19"/>
      <c r="V32" s="2"/>
      <c r="W32" s="2"/>
      <c r="X32" s="2"/>
      <c r="Y32" s="2"/>
      <c r="Z32" s="7">
        <f t="shared" si="1"/>
        <v>0</v>
      </c>
      <c r="AA32" s="7">
        <v>100</v>
      </c>
      <c r="AB32" s="7">
        <v>0</v>
      </c>
      <c r="AC32" s="8">
        <f t="shared" si="2"/>
        <v>0</v>
      </c>
      <c r="AD32" s="8">
        <v>0</v>
      </c>
      <c r="AE32" s="8">
        <f t="shared" si="3"/>
        <v>0</v>
      </c>
      <c r="AF32" s="8">
        <f t="shared" si="4"/>
        <v>0</v>
      </c>
      <c r="AG32" s="8">
        <v>0</v>
      </c>
      <c r="AH32" s="8">
        <v>0</v>
      </c>
      <c r="AI32" s="8" t="s">
        <v>119</v>
      </c>
      <c r="AJ32" s="8" t="s">
        <v>121</v>
      </c>
      <c r="AQ32" s="1">
        <v>0</v>
      </c>
    </row>
    <row r="33" spans="2:43" ht="14.45" customHeight="1" x14ac:dyDescent="0.25">
      <c r="B33" s="2" t="s">
        <v>87</v>
      </c>
      <c r="C33" s="2" t="s">
        <v>88</v>
      </c>
      <c r="D33" s="2" t="s">
        <v>31</v>
      </c>
      <c r="E33" s="2" t="s">
        <v>17</v>
      </c>
      <c r="F33" s="2">
        <v>2.8000000000000001E-2</v>
      </c>
      <c r="G33" s="3">
        <v>4.5999999999999999E-2</v>
      </c>
      <c r="H33" s="2">
        <v>1200</v>
      </c>
      <c r="I33" s="2"/>
      <c r="J33" s="2"/>
      <c r="K33" s="2"/>
      <c r="L33" s="2"/>
      <c r="M33" s="2"/>
      <c r="N33" s="8">
        <f t="shared" si="0"/>
        <v>-1160</v>
      </c>
      <c r="O33" s="2"/>
      <c r="P33" s="2">
        <v>800</v>
      </c>
      <c r="Q33" s="2">
        <v>400</v>
      </c>
      <c r="R33" s="19"/>
      <c r="S33" s="2"/>
      <c r="T33" s="2"/>
      <c r="U33" s="19"/>
      <c r="V33" s="2"/>
      <c r="W33" s="2"/>
      <c r="X33" s="2">
        <v>1160</v>
      </c>
      <c r="Y33" s="2"/>
      <c r="Z33" s="7">
        <f t="shared" si="1"/>
        <v>55.199999999999996</v>
      </c>
      <c r="AA33" s="7">
        <v>100</v>
      </c>
      <c r="AB33" s="7">
        <v>0</v>
      </c>
      <c r="AC33" s="8">
        <f t="shared" si="2"/>
        <v>0</v>
      </c>
      <c r="AD33" s="8">
        <v>0</v>
      </c>
      <c r="AE33" s="8">
        <f t="shared" si="3"/>
        <v>0</v>
      </c>
      <c r="AF33" s="8">
        <f t="shared" si="4"/>
        <v>0</v>
      </c>
      <c r="AG33" s="8">
        <v>0</v>
      </c>
      <c r="AH33" s="8">
        <v>0</v>
      </c>
      <c r="AI33" s="8" t="s">
        <v>119</v>
      </c>
      <c r="AJ33" s="8" t="s">
        <v>121</v>
      </c>
      <c r="AQ33" s="1">
        <v>300</v>
      </c>
    </row>
    <row r="34" spans="2:43" ht="14.45" customHeight="1" x14ac:dyDescent="0.25">
      <c r="B34" s="2" t="s">
        <v>87</v>
      </c>
      <c r="C34" s="2" t="s">
        <v>88</v>
      </c>
      <c r="D34" s="2" t="s">
        <v>32</v>
      </c>
      <c r="E34" s="2" t="s">
        <v>17</v>
      </c>
      <c r="F34" s="2">
        <v>2.8000000000000001E-2</v>
      </c>
      <c r="G34" s="3">
        <v>0.129</v>
      </c>
      <c r="H34" s="2">
        <v>600</v>
      </c>
      <c r="I34" s="2"/>
      <c r="J34" s="2"/>
      <c r="K34" s="2"/>
      <c r="L34" s="2"/>
      <c r="M34" s="2"/>
      <c r="N34" s="8">
        <f t="shared" si="0"/>
        <v>0</v>
      </c>
      <c r="O34" s="2"/>
      <c r="P34" s="2"/>
      <c r="Q34" s="2"/>
      <c r="R34" s="19"/>
      <c r="S34" s="2"/>
      <c r="T34" s="2"/>
      <c r="U34" s="19"/>
      <c r="V34" s="2"/>
      <c r="W34" s="2"/>
      <c r="X34" s="2">
        <v>600</v>
      </c>
      <c r="Y34" s="2"/>
      <c r="Z34" s="7">
        <f t="shared" si="1"/>
        <v>77.400000000000006</v>
      </c>
      <c r="AA34" s="7">
        <v>100</v>
      </c>
      <c r="AB34" s="7">
        <v>0</v>
      </c>
      <c r="AC34" s="8">
        <f t="shared" si="2"/>
        <v>0</v>
      </c>
      <c r="AD34" s="8">
        <v>0</v>
      </c>
      <c r="AE34" s="8">
        <f t="shared" si="3"/>
        <v>0</v>
      </c>
      <c r="AF34" s="8">
        <f t="shared" si="4"/>
        <v>0</v>
      </c>
      <c r="AG34" s="8">
        <v>0</v>
      </c>
      <c r="AH34" s="8">
        <v>0</v>
      </c>
      <c r="AI34" s="8" t="s">
        <v>119</v>
      </c>
      <c r="AJ34" s="8" t="s">
        <v>121</v>
      </c>
      <c r="AQ34" s="1">
        <v>500</v>
      </c>
    </row>
    <row r="35" spans="2:43" x14ac:dyDescent="0.25">
      <c r="B35" s="2" t="s">
        <v>87</v>
      </c>
      <c r="C35" s="2" t="s">
        <v>88</v>
      </c>
      <c r="D35" s="2" t="s">
        <v>33</v>
      </c>
      <c r="E35" s="2" t="s">
        <v>17</v>
      </c>
      <c r="F35" s="2">
        <v>2.8000000000000001E-2</v>
      </c>
      <c r="G35" s="3">
        <v>0.13400000000000001</v>
      </c>
      <c r="H35" s="2">
        <v>600</v>
      </c>
      <c r="I35" s="2"/>
      <c r="J35" s="2"/>
      <c r="K35" s="2"/>
      <c r="L35" s="2"/>
      <c r="M35" s="2"/>
      <c r="N35" s="8">
        <f t="shared" si="0"/>
        <v>600</v>
      </c>
      <c r="O35" s="2"/>
      <c r="P35" s="2"/>
      <c r="Q35" s="2"/>
      <c r="R35" s="19"/>
      <c r="S35" s="2"/>
      <c r="T35" s="2"/>
      <c r="U35" s="19"/>
      <c r="V35" s="2"/>
      <c r="W35" s="2"/>
      <c r="X35" s="2"/>
      <c r="Y35" s="2"/>
      <c r="Z35" s="7">
        <f t="shared" si="1"/>
        <v>80.400000000000006</v>
      </c>
      <c r="AA35" s="7">
        <v>100</v>
      </c>
      <c r="AB35" s="7">
        <v>0</v>
      </c>
      <c r="AC35" s="8">
        <f t="shared" si="2"/>
        <v>0</v>
      </c>
      <c r="AD35" s="8">
        <v>0</v>
      </c>
      <c r="AE35" s="8">
        <f t="shared" si="3"/>
        <v>0</v>
      </c>
      <c r="AF35" s="8">
        <f t="shared" si="4"/>
        <v>0</v>
      </c>
      <c r="AG35" s="8">
        <v>0</v>
      </c>
      <c r="AH35" s="8">
        <v>0</v>
      </c>
      <c r="AI35" s="8" t="s">
        <v>119</v>
      </c>
      <c r="AJ35" s="8" t="s">
        <v>121</v>
      </c>
      <c r="AQ35" s="1">
        <v>300</v>
      </c>
    </row>
    <row r="36" spans="2:43" ht="14.45" customHeight="1" x14ac:dyDescent="0.25">
      <c r="B36" s="2" t="s">
        <v>87</v>
      </c>
      <c r="C36" s="2" t="s">
        <v>88</v>
      </c>
      <c r="D36" s="2" t="s">
        <v>34</v>
      </c>
      <c r="E36" s="2" t="s">
        <v>17</v>
      </c>
      <c r="F36" s="2">
        <v>2.8000000000000001E-2</v>
      </c>
      <c r="G36" s="3">
        <v>0.105</v>
      </c>
      <c r="H36" s="2">
        <v>600</v>
      </c>
      <c r="I36" s="2">
        <v>11</v>
      </c>
      <c r="J36" s="2"/>
      <c r="K36" s="2"/>
      <c r="L36" s="2"/>
      <c r="M36" s="2"/>
      <c r="N36" s="8">
        <f t="shared" si="0"/>
        <v>-401</v>
      </c>
      <c r="O36" s="2">
        <v>405</v>
      </c>
      <c r="P36" s="2"/>
      <c r="Q36" s="2"/>
      <c r="R36" s="19"/>
      <c r="S36" s="2"/>
      <c r="T36" s="2">
        <v>596</v>
      </c>
      <c r="U36" s="19"/>
      <c r="V36" s="2"/>
      <c r="W36" s="2"/>
      <c r="X36" s="2"/>
      <c r="Y36" s="2">
        <v>11</v>
      </c>
      <c r="Z36" s="7">
        <f t="shared" si="1"/>
        <v>64.155000000000001</v>
      </c>
      <c r="AA36" s="7">
        <v>100</v>
      </c>
      <c r="AB36" s="7">
        <v>0</v>
      </c>
      <c r="AC36" s="8">
        <f t="shared" si="2"/>
        <v>0</v>
      </c>
      <c r="AD36" s="8">
        <v>0</v>
      </c>
      <c r="AE36" s="8">
        <f t="shared" si="3"/>
        <v>0</v>
      </c>
      <c r="AF36" s="8">
        <f t="shared" si="4"/>
        <v>0</v>
      </c>
      <c r="AG36" s="8">
        <v>0</v>
      </c>
      <c r="AH36" s="8">
        <v>0</v>
      </c>
      <c r="AI36" s="8" t="s">
        <v>119</v>
      </c>
      <c r="AJ36" s="8" t="s">
        <v>121</v>
      </c>
      <c r="AQ36" s="1">
        <v>0</v>
      </c>
    </row>
    <row r="37" spans="2:43" x14ac:dyDescent="0.25">
      <c r="B37" s="2" t="s">
        <v>87</v>
      </c>
      <c r="C37" s="2" t="s">
        <v>88</v>
      </c>
      <c r="D37" s="2" t="s">
        <v>35</v>
      </c>
      <c r="E37" s="2" t="s">
        <v>17</v>
      </c>
      <c r="F37" s="2">
        <v>2.8000000000000001E-2</v>
      </c>
      <c r="G37" s="3">
        <v>9.9000000000000005E-2</v>
      </c>
      <c r="H37" s="2">
        <v>600</v>
      </c>
      <c r="I37" s="2"/>
      <c r="J37" s="2"/>
      <c r="K37" s="2"/>
      <c r="L37" s="2"/>
      <c r="M37" s="2"/>
      <c r="N37" s="8">
        <f t="shared" si="0"/>
        <v>600</v>
      </c>
      <c r="O37" s="2"/>
      <c r="P37" s="2"/>
      <c r="Q37" s="2"/>
      <c r="R37" s="19"/>
      <c r="S37" s="2"/>
      <c r="T37" s="2"/>
      <c r="U37" s="19"/>
      <c r="V37" s="2"/>
      <c r="W37" s="2"/>
      <c r="X37" s="2"/>
      <c r="Y37" s="2"/>
      <c r="Z37" s="7">
        <f t="shared" si="1"/>
        <v>59.400000000000006</v>
      </c>
      <c r="AA37" s="7">
        <v>100</v>
      </c>
      <c r="AB37" s="7">
        <v>0</v>
      </c>
      <c r="AC37" s="8">
        <f t="shared" si="2"/>
        <v>0</v>
      </c>
      <c r="AD37" s="8">
        <v>0</v>
      </c>
      <c r="AE37" s="8">
        <f t="shared" si="3"/>
        <v>0</v>
      </c>
      <c r="AF37" s="8">
        <f t="shared" si="4"/>
        <v>0</v>
      </c>
      <c r="AG37" s="8">
        <v>0</v>
      </c>
      <c r="AH37" s="8">
        <v>0</v>
      </c>
      <c r="AI37" s="8" t="s">
        <v>119</v>
      </c>
      <c r="AJ37" s="8" t="s">
        <v>121</v>
      </c>
      <c r="AQ37" s="1">
        <v>300</v>
      </c>
    </row>
    <row r="38" spans="2:43" x14ac:dyDescent="0.25">
      <c r="B38" s="2" t="s">
        <v>87</v>
      </c>
      <c r="C38" s="2" t="s">
        <v>88</v>
      </c>
      <c r="D38" s="2" t="s">
        <v>36</v>
      </c>
      <c r="E38" s="2" t="s">
        <v>17</v>
      </c>
      <c r="F38" s="2">
        <v>2.8000000000000001E-2</v>
      </c>
      <c r="G38" s="3">
        <v>0.13100000000000001</v>
      </c>
      <c r="H38" s="2">
        <v>600</v>
      </c>
      <c r="I38" s="2"/>
      <c r="J38" s="2"/>
      <c r="K38" s="2"/>
      <c r="L38" s="2"/>
      <c r="M38" s="2"/>
      <c r="N38" s="8">
        <f t="shared" ref="N38:N69" si="5">+H38+I38+J38+K38+L38+M38-SUM(O38:Y38)</f>
        <v>600</v>
      </c>
      <c r="O38" s="2"/>
      <c r="P38" s="2"/>
      <c r="Q38" s="2"/>
      <c r="R38" s="19"/>
      <c r="S38" s="2"/>
      <c r="T38" s="2"/>
      <c r="U38" s="19"/>
      <c r="V38" s="2"/>
      <c r="W38" s="2"/>
      <c r="X38" s="2"/>
      <c r="Y38" s="2"/>
      <c r="Z38" s="7">
        <f t="shared" ref="Z38:Z69" si="6">+G38*SUM(H38:M38)</f>
        <v>78.600000000000009</v>
      </c>
      <c r="AA38" s="7">
        <v>100</v>
      </c>
      <c r="AB38" s="7">
        <v>0</v>
      </c>
      <c r="AC38" s="8">
        <f t="shared" ref="AC38:AC69" si="7">+H38*AB38</f>
        <v>0</v>
      </c>
      <c r="AD38" s="8">
        <v>0</v>
      </c>
      <c r="AE38" s="8">
        <f t="shared" ref="AE38:AE69" si="8">+H38*AD38</f>
        <v>0</v>
      </c>
      <c r="AF38" s="8">
        <f t="shared" si="4"/>
        <v>0</v>
      </c>
      <c r="AG38" s="8">
        <v>0</v>
      </c>
      <c r="AH38" s="8">
        <v>0</v>
      </c>
      <c r="AI38" s="8" t="s">
        <v>119</v>
      </c>
      <c r="AJ38" s="8" t="s">
        <v>121</v>
      </c>
      <c r="AQ38" s="1">
        <v>0</v>
      </c>
    </row>
    <row r="39" spans="2:43" ht="14.45" customHeight="1" x14ac:dyDescent="0.25">
      <c r="B39" s="2" t="s">
        <v>87</v>
      </c>
      <c r="C39" s="2" t="s">
        <v>88</v>
      </c>
      <c r="D39" s="2" t="s">
        <v>37</v>
      </c>
      <c r="E39" s="2" t="s">
        <v>17</v>
      </c>
      <c r="F39" s="2">
        <v>2.8000000000000001E-2</v>
      </c>
      <c r="G39" s="3">
        <v>9.4E-2</v>
      </c>
      <c r="H39" s="2">
        <v>600</v>
      </c>
      <c r="I39" s="2"/>
      <c r="J39" s="2"/>
      <c r="K39" s="2"/>
      <c r="L39" s="2"/>
      <c r="M39" s="2"/>
      <c r="N39" s="8">
        <f t="shared" si="5"/>
        <v>0</v>
      </c>
      <c r="O39" s="2"/>
      <c r="P39" s="2"/>
      <c r="Q39" s="2"/>
      <c r="R39" s="19"/>
      <c r="S39" s="2"/>
      <c r="T39" s="2"/>
      <c r="U39" s="19">
        <v>600</v>
      </c>
      <c r="V39" s="2"/>
      <c r="W39" s="2"/>
      <c r="X39" s="2"/>
      <c r="Y39" s="2"/>
      <c r="Z39" s="7">
        <f t="shared" si="6"/>
        <v>56.4</v>
      </c>
      <c r="AA39" s="7">
        <v>100</v>
      </c>
      <c r="AB39" s="7">
        <v>0</v>
      </c>
      <c r="AC39" s="8">
        <f t="shared" si="7"/>
        <v>0</v>
      </c>
      <c r="AD39" s="8">
        <v>0</v>
      </c>
      <c r="AE39" s="8">
        <f t="shared" si="8"/>
        <v>0</v>
      </c>
      <c r="AF39" s="8">
        <f t="shared" si="4"/>
        <v>0</v>
      </c>
      <c r="AG39" s="8">
        <v>0</v>
      </c>
      <c r="AH39" s="8">
        <v>0</v>
      </c>
      <c r="AI39" s="8" t="s">
        <v>119</v>
      </c>
      <c r="AJ39" s="8" t="s">
        <v>121</v>
      </c>
      <c r="AQ39" s="1">
        <v>0</v>
      </c>
    </row>
    <row r="40" spans="2:43" ht="14.45" customHeight="1" x14ac:dyDescent="0.25">
      <c r="B40" s="2" t="s">
        <v>87</v>
      </c>
      <c r="C40" s="2" t="s">
        <v>88</v>
      </c>
      <c r="D40" s="2" t="s">
        <v>38</v>
      </c>
      <c r="E40" s="2" t="s">
        <v>17</v>
      </c>
      <c r="F40" s="2">
        <v>2.8000000000000001E-2</v>
      </c>
      <c r="G40" s="3">
        <v>0.122</v>
      </c>
      <c r="H40" s="2">
        <v>0</v>
      </c>
      <c r="I40" s="2"/>
      <c r="J40" s="2"/>
      <c r="K40" s="2"/>
      <c r="L40" s="2"/>
      <c r="M40" s="2"/>
      <c r="N40" s="8">
        <f t="shared" si="5"/>
        <v>0</v>
      </c>
      <c r="O40" s="2"/>
      <c r="P40" s="2"/>
      <c r="Q40" s="2"/>
      <c r="R40" s="19"/>
      <c r="S40" s="2"/>
      <c r="T40" s="2"/>
      <c r="U40" s="19"/>
      <c r="V40" s="2"/>
      <c r="W40" s="2"/>
      <c r="X40" s="2"/>
      <c r="Y40" s="2"/>
      <c r="Z40" s="7">
        <f t="shared" si="6"/>
        <v>0</v>
      </c>
      <c r="AA40" s="7">
        <v>100</v>
      </c>
      <c r="AB40" s="7">
        <v>0</v>
      </c>
      <c r="AC40" s="8">
        <f t="shared" si="7"/>
        <v>0</v>
      </c>
      <c r="AD40" s="8">
        <v>0</v>
      </c>
      <c r="AE40" s="8">
        <f t="shared" si="8"/>
        <v>0</v>
      </c>
      <c r="AF40" s="8">
        <f t="shared" si="4"/>
        <v>0</v>
      </c>
      <c r="AG40" s="8">
        <v>0</v>
      </c>
      <c r="AH40" s="8">
        <v>0</v>
      </c>
      <c r="AI40" s="8" t="s">
        <v>119</v>
      </c>
      <c r="AJ40" s="8" t="s">
        <v>121</v>
      </c>
      <c r="AQ40" s="1">
        <v>0</v>
      </c>
    </row>
    <row r="41" spans="2:43" x14ac:dyDescent="0.25">
      <c r="B41" s="2" t="s">
        <v>87</v>
      </c>
      <c r="C41" s="2" t="s">
        <v>88</v>
      </c>
      <c r="D41" s="2" t="s">
        <v>39</v>
      </c>
      <c r="E41" s="2" t="s">
        <v>17</v>
      </c>
      <c r="F41" s="2">
        <v>2.8000000000000001E-2</v>
      </c>
      <c r="G41" s="3">
        <v>0.10100000000000001</v>
      </c>
      <c r="H41" s="2">
        <v>600</v>
      </c>
      <c r="I41" s="2"/>
      <c r="J41" s="2"/>
      <c r="K41" s="2"/>
      <c r="L41" s="2"/>
      <c r="M41" s="2"/>
      <c r="N41" s="8">
        <f t="shared" si="5"/>
        <v>600</v>
      </c>
      <c r="O41" s="2"/>
      <c r="P41" s="2"/>
      <c r="Q41" s="2"/>
      <c r="R41" s="19"/>
      <c r="S41" s="2"/>
      <c r="T41" s="2"/>
      <c r="U41" s="19"/>
      <c r="V41" s="2"/>
      <c r="W41" s="2"/>
      <c r="X41" s="2"/>
      <c r="Y41" s="2"/>
      <c r="Z41" s="7">
        <f t="shared" si="6"/>
        <v>60.6</v>
      </c>
      <c r="AA41" s="7">
        <v>100</v>
      </c>
      <c r="AB41" s="7">
        <v>0</v>
      </c>
      <c r="AC41" s="8">
        <f t="shared" si="7"/>
        <v>0</v>
      </c>
      <c r="AD41" s="8">
        <v>0</v>
      </c>
      <c r="AE41" s="8">
        <f t="shared" si="8"/>
        <v>0</v>
      </c>
      <c r="AF41" s="8">
        <f t="shared" si="4"/>
        <v>0</v>
      </c>
      <c r="AG41" s="8">
        <v>0</v>
      </c>
      <c r="AH41" s="8">
        <v>0</v>
      </c>
      <c r="AI41" s="8" t="s">
        <v>119</v>
      </c>
      <c r="AJ41" s="8" t="s">
        <v>121</v>
      </c>
      <c r="AQ41" s="1">
        <v>0</v>
      </c>
    </row>
    <row r="42" spans="2:43" ht="14.45" customHeight="1" x14ac:dyDescent="0.25">
      <c r="B42" s="2" t="s">
        <v>87</v>
      </c>
      <c r="C42" s="2" t="s">
        <v>88</v>
      </c>
      <c r="D42" s="2" t="s">
        <v>40</v>
      </c>
      <c r="E42" s="2" t="s">
        <v>17</v>
      </c>
      <c r="F42" s="2">
        <v>2.8000000000000001E-2</v>
      </c>
      <c r="G42" s="3">
        <v>0.11899999999999999</v>
      </c>
      <c r="H42" s="2">
        <v>0</v>
      </c>
      <c r="I42" s="2"/>
      <c r="J42" s="2"/>
      <c r="K42" s="2"/>
      <c r="L42" s="2"/>
      <c r="M42" s="2"/>
      <c r="N42" s="8">
        <f t="shared" si="5"/>
        <v>0</v>
      </c>
      <c r="O42" s="2"/>
      <c r="P42" s="2"/>
      <c r="Q42" s="2"/>
      <c r="R42" s="19"/>
      <c r="S42" s="2"/>
      <c r="T42" s="2"/>
      <c r="U42" s="19"/>
      <c r="V42" s="2"/>
      <c r="W42" s="2"/>
      <c r="X42" s="2"/>
      <c r="Y42" s="2"/>
      <c r="Z42" s="7">
        <f t="shared" si="6"/>
        <v>0</v>
      </c>
      <c r="AA42" s="7">
        <v>100</v>
      </c>
      <c r="AB42" s="7">
        <v>0</v>
      </c>
      <c r="AC42" s="8">
        <f t="shared" si="7"/>
        <v>0</v>
      </c>
      <c r="AD42" s="8">
        <v>0</v>
      </c>
      <c r="AE42" s="8">
        <f t="shared" si="8"/>
        <v>0</v>
      </c>
      <c r="AF42" s="8">
        <f t="shared" si="4"/>
        <v>0</v>
      </c>
      <c r="AG42" s="8">
        <v>0</v>
      </c>
      <c r="AH42" s="8">
        <v>0</v>
      </c>
      <c r="AI42" s="8" t="s">
        <v>119</v>
      </c>
      <c r="AJ42" s="8" t="s">
        <v>121</v>
      </c>
      <c r="AQ42" s="1">
        <v>0</v>
      </c>
    </row>
    <row r="43" spans="2:43" x14ac:dyDescent="0.25">
      <c r="B43" s="2" t="s">
        <v>87</v>
      </c>
      <c r="C43" s="2" t="s">
        <v>88</v>
      </c>
      <c r="D43" s="2" t="s">
        <v>41</v>
      </c>
      <c r="E43" s="2" t="s">
        <v>17</v>
      </c>
      <c r="F43" s="2">
        <v>2.8000000000000001E-2</v>
      </c>
      <c r="G43" s="3">
        <v>0.121</v>
      </c>
      <c r="H43" s="2">
        <v>600</v>
      </c>
      <c r="I43" s="2"/>
      <c r="J43" s="2"/>
      <c r="K43" s="2"/>
      <c r="L43" s="2"/>
      <c r="M43" s="2"/>
      <c r="N43" s="8">
        <f t="shared" si="5"/>
        <v>600</v>
      </c>
      <c r="O43" s="2"/>
      <c r="P43" s="2"/>
      <c r="Q43" s="2"/>
      <c r="R43" s="19"/>
      <c r="S43" s="2"/>
      <c r="T43" s="2"/>
      <c r="U43" s="19"/>
      <c r="V43" s="2"/>
      <c r="W43" s="2"/>
      <c r="X43" s="2"/>
      <c r="Y43" s="2"/>
      <c r="Z43" s="7">
        <f t="shared" si="6"/>
        <v>72.599999999999994</v>
      </c>
      <c r="AA43" s="7">
        <v>100</v>
      </c>
      <c r="AB43" s="7">
        <v>0</v>
      </c>
      <c r="AC43" s="8">
        <f t="shared" si="7"/>
        <v>0</v>
      </c>
      <c r="AD43" s="8">
        <v>0</v>
      </c>
      <c r="AE43" s="8">
        <f t="shared" si="8"/>
        <v>0</v>
      </c>
      <c r="AF43" s="8">
        <f t="shared" si="4"/>
        <v>0</v>
      </c>
      <c r="AG43" s="8">
        <v>0</v>
      </c>
      <c r="AH43" s="8">
        <v>0</v>
      </c>
      <c r="AI43" s="8" t="s">
        <v>119</v>
      </c>
      <c r="AJ43" s="8" t="s">
        <v>121</v>
      </c>
      <c r="AQ43" s="1">
        <v>0</v>
      </c>
    </row>
    <row r="44" spans="2:43" x14ac:dyDescent="0.25">
      <c r="B44" s="2" t="s">
        <v>87</v>
      </c>
      <c r="C44" s="2" t="s">
        <v>88</v>
      </c>
      <c r="D44" s="2" t="s">
        <v>42</v>
      </c>
      <c r="E44" s="2" t="s">
        <v>17</v>
      </c>
      <c r="F44" s="2">
        <v>2.8000000000000001E-2</v>
      </c>
      <c r="G44" s="3">
        <v>0.127</v>
      </c>
      <c r="H44" s="2">
        <v>600</v>
      </c>
      <c r="I44" s="2"/>
      <c r="J44" s="2"/>
      <c r="K44" s="2"/>
      <c r="L44" s="2"/>
      <c r="M44" s="2"/>
      <c r="N44" s="8">
        <f t="shared" si="5"/>
        <v>600</v>
      </c>
      <c r="O44" s="2"/>
      <c r="P44" s="2"/>
      <c r="Q44" s="2"/>
      <c r="R44" s="19"/>
      <c r="S44" s="2"/>
      <c r="T44" s="2"/>
      <c r="U44" s="19"/>
      <c r="V44" s="2"/>
      <c r="W44" s="2"/>
      <c r="X44" s="2"/>
      <c r="Y44" s="2"/>
      <c r="Z44" s="7">
        <f t="shared" si="6"/>
        <v>76.2</v>
      </c>
      <c r="AA44" s="7">
        <v>100</v>
      </c>
      <c r="AB44" s="7">
        <v>0</v>
      </c>
      <c r="AC44" s="8">
        <f t="shared" si="7"/>
        <v>0</v>
      </c>
      <c r="AD44" s="8">
        <v>0</v>
      </c>
      <c r="AE44" s="8">
        <f t="shared" si="8"/>
        <v>0</v>
      </c>
      <c r="AF44" s="8">
        <f t="shared" si="4"/>
        <v>0</v>
      </c>
      <c r="AG44" s="8">
        <v>0</v>
      </c>
      <c r="AH44" s="8">
        <v>0</v>
      </c>
      <c r="AI44" s="8" t="s">
        <v>119</v>
      </c>
      <c r="AJ44" s="8" t="s">
        <v>121</v>
      </c>
      <c r="AQ44" s="1">
        <v>0</v>
      </c>
    </row>
    <row r="45" spans="2:43" ht="14.45" customHeight="1" x14ac:dyDescent="0.25">
      <c r="B45" s="2" t="s">
        <v>87</v>
      </c>
      <c r="C45" s="2" t="s">
        <v>88</v>
      </c>
      <c r="D45" s="2" t="s">
        <v>43</v>
      </c>
      <c r="E45" s="2" t="s">
        <v>17</v>
      </c>
      <c r="F45" s="2">
        <v>2.8000000000000001E-2</v>
      </c>
      <c r="G45" s="3">
        <v>0.10299999999999999</v>
      </c>
      <c r="H45" s="2">
        <v>1200</v>
      </c>
      <c r="I45" s="2">
        <v>200</v>
      </c>
      <c r="J45" s="2"/>
      <c r="K45" s="2"/>
      <c r="L45" s="2"/>
      <c r="M45" s="2"/>
      <c r="N45" s="8">
        <f t="shared" si="5"/>
        <v>0</v>
      </c>
      <c r="O45" s="2"/>
      <c r="P45" s="2">
        <v>183</v>
      </c>
      <c r="Q45" s="2"/>
      <c r="R45" s="19"/>
      <c r="S45" s="2">
        <v>1000</v>
      </c>
      <c r="T45" s="2">
        <v>200</v>
      </c>
      <c r="U45" s="19"/>
      <c r="V45" s="2"/>
      <c r="W45" s="2"/>
      <c r="X45" s="2"/>
      <c r="Y45" s="2">
        <v>17</v>
      </c>
      <c r="Z45" s="7">
        <f t="shared" si="6"/>
        <v>144.19999999999999</v>
      </c>
      <c r="AA45" s="7">
        <v>100</v>
      </c>
      <c r="AB45" s="7">
        <v>0</v>
      </c>
      <c r="AC45" s="8">
        <f t="shared" si="7"/>
        <v>0</v>
      </c>
      <c r="AD45" s="8">
        <v>0</v>
      </c>
      <c r="AE45" s="8">
        <f t="shared" si="8"/>
        <v>0</v>
      </c>
      <c r="AF45" s="8">
        <f t="shared" si="4"/>
        <v>0</v>
      </c>
      <c r="AG45" s="8">
        <v>0</v>
      </c>
      <c r="AH45" s="8">
        <v>0</v>
      </c>
      <c r="AI45" s="8" t="s">
        <v>119</v>
      </c>
      <c r="AJ45" s="8" t="s">
        <v>121</v>
      </c>
      <c r="AQ45" s="1">
        <v>328</v>
      </c>
    </row>
    <row r="46" spans="2:43" ht="14.45" customHeight="1" x14ac:dyDescent="0.25">
      <c r="B46" s="2" t="s">
        <v>87</v>
      </c>
      <c r="C46" s="2" t="s">
        <v>88</v>
      </c>
      <c r="D46" s="2" t="s">
        <v>44</v>
      </c>
      <c r="E46" s="2" t="s">
        <v>17</v>
      </c>
      <c r="F46" s="2">
        <v>2.8000000000000001E-2</v>
      </c>
      <c r="G46" s="3">
        <v>0.23799999999999999</v>
      </c>
      <c r="H46" s="2">
        <v>0</v>
      </c>
      <c r="I46" s="2"/>
      <c r="J46" s="2"/>
      <c r="K46" s="2"/>
      <c r="L46" s="2"/>
      <c r="M46" s="2"/>
      <c r="N46" s="8">
        <f t="shared" si="5"/>
        <v>0</v>
      </c>
      <c r="O46" s="2"/>
      <c r="P46" s="2"/>
      <c r="Q46" s="2"/>
      <c r="R46" s="19"/>
      <c r="S46" s="2"/>
      <c r="T46" s="2"/>
      <c r="U46" s="19"/>
      <c r="V46" s="2"/>
      <c r="W46" s="2"/>
      <c r="X46" s="2"/>
      <c r="Y46" s="2"/>
      <c r="Z46" s="7">
        <f t="shared" si="6"/>
        <v>0</v>
      </c>
      <c r="AA46" s="7">
        <v>100</v>
      </c>
      <c r="AB46" s="7">
        <v>0</v>
      </c>
      <c r="AC46" s="8">
        <f t="shared" si="7"/>
        <v>0</v>
      </c>
      <c r="AD46" s="8">
        <v>0</v>
      </c>
      <c r="AE46" s="8">
        <f t="shared" si="8"/>
        <v>0</v>
      </c>
      <c r="AF46" s="8">
        <f t="shared" si="4"/>
        <v>0</v>
      </c>
      <c r="AG46" s="8">
        <v>0</v>
      </c>
      <c r="AH46" s="8">
        <v>0</v>
      </c>
      <c r="AI46" s="8" t="s">
        <v>119</v>
      </c>
      <c r="AJ46" s="8" t="s">
        <v>121</v>
      </c>
      <c r="AQ46" s="1">
        <v>400</v>
      </c>
    </row>
    <row r="47" spans="2:43" ht="14.45" customHeight="1" x14ac:dyDescent="0.25">
      <c r="B47" s="2" t="s">
        <v>87</v>
      </c>
      <c r="C47" s="2" t="s">
        <v>88</v>
      </c>
      <c r="D47" s="2" t="s">
        <v>45</v>
      </c>
      <c r="E47" s="2" t="s">
        <v>17</v>
      </c>
      <c r="F47" s="2">
        <v>2.8000000000000001E-2</v>
      </c>
      <c r="G47" s="3">
        <v>0.10100000000000001</v>
      </c>
      <c r="H47" s="2">
        <v>0</v>
      </c>
      <c r="I47" s="2"/>
      <c r="J47" s="2"/>
      <c r="K47" s="2"/>
      <c r="L47" s="2"/>
      <c r="M47" s="2"/>
      <c r="N47" s="8">
        <f t="shared" si="5"/>
        <v>0</v>
      </c>
      <c r="O47" s="2"/>
      <c r="P47" s="2"/>
      <c r="Q47" s="2"/>
      <c r="R47" s="19"/>
      <c r="S47" s="2"/>
      <c r="T47" s="2"/>
      <c r="U47" s="19"/>
      <c r="V47" s="2"/>
      <c r="W47" s="2"/>
      <c r="X47" s="2"/>
      <c r="Y47" s="2"/>
      <c r="Z47" s="7">
        <f t="shared" si="6"/>
        <v>0</v>
      </c>
      <c r="AA47" s="7">
        <v>100</v>
      </c>
      <c r="AB47" s="7">
        <v>0</v>
      </c>
      <c r="AC47" s="8">
        <f t="shared" si="7"/>
        <v>0</v>
      </c>
      <c r="AD47" s="8">
        <v>0</v>
      </c>
      <c r="AE47" s="8">
        <f t="shared" si="8"/>
        <v>0</v>
      </c>
      <c r="AF47" s="8">
        <f t="shared" si="4"/>
        <v>0</v>
      </c>
      <c r="AG47" s="8">
        <v>0</v>
      </c>
      <c r="AH47" s="8">
        <v>0</v>
      </c>
      <c r="AI47" s="8" t="s">
        <v>119</v>
      </c>
      <c r="AJ47" s="8" t="s">
        <v>121</v>
      </c>
      <c r="AQ47" s="1">
        <v>-1493</v>
      </c>
    </row>
    <row r="48" spans="2:43" ht="14.45" customHeight="1" x14ac:dyDescent="0.25">
      <c r="B48" s="2" t="s">
        <v>87</v>
      </c>
      <c r="C48" s="2" t="s">
        <v>88</v>
      </c>
      <c r="D48" s="2" t="s">
        <v>46</v>
      </c>
      <c r="E48" s="2" t="s">
        <v>17</v>
      </c>
      <c r="F48" s="2">
        <v>2.8000000000000001E-2</v>
      </c>
      <c r="G48" s="3">
        <v>3.9E-2</v>
      </c>
      <c r="H48" s="2">
        <v>3600</v>
      </c>
      <c r="I48" s="2">
        <v>2195</v>
      </c>
      <c r="J48" s="2"/>
      <c r="K48" s="2"/>
      <c r="L48" s="2"/>
      <c r="M48" s="2"/>
      <c r="N48" s="8">
        <f t="shared" si="5"/>
        <v>-100</v>
      </c>
      <c r="O48" s="2">
        <v>2000</v>
      </c>
      <c r="P48" s="2">
        <v>1300</v>
      </c>
      <c r="Q48" s="2">
        <v>400</v>
      </c>
      <c r="R48" s="19">
        <v>1300</v>
      </c>
      <c r="S48" s="2">
        <v>800</v>
      </c>
      <c r="T48" s="2"/>
      <c r="U48" s="19"/>
      <c r="V48" s="2"/>
      <c r="W48" s="2"/>
      <c r="X48" s="2"/>
      <c r="Y48" s="2">
        <v>95</v>
      </c>
      <c r="Z48" s="7">
        <f t="shared" si="6"/>
        <v>226.005</v>
      </c>
      <c r="AA48" s="7">
        <v>100</v>
      </c>
      <c r="AB48" s="7">
        <v>0</v>
      </c>
      <c r="AC48" s="8">
        <f t="shared" si="7"/>
        <v>0</v>
      </c>
      <c r="AD48" s="8">
        <v>0</v>
      </c>
      <c r="AE48" s="8">
        <f t="shared" si="8"/>
        <v>0</v>
      </c>
      <c r="AF48" s="8">
        <f t="shared" si="4"/>
        <v>0</v>
      </c>
      <c r="AG48" s="8">
        <v>0</v>
      </c>
      <c r="AH48" s="8">
        <v>0</v>
      </c>
      <c r="AI48" s="8" t="s">
        <v>119</v>
      </c>
      <c r="AJ48" s="8" t="s">
        <v>121</v>
      </c>
      <c r="AQ48" s="1">
        <v>-66</v>
      </c>
    </row>
    <row r="49" spans="2:43" ht="14.45" customHeight="1" x14ac:dyDescent="0.25">
      <c r="B49" s="2" t="s">
        <v>87</v>
      </c>
      <c r="C49" s="2" t="s">
        <v>88</v>
      </c>
      <c r="D49" s="2" t="s">
        <v>47</v>
      </c>
      <c r="E49" s="2" t="s">
        <v>48</v>
      </c>
      <c r="F49" s="2">
        <v>3.5000000000000003E-2</v>
      </c>
      <c r="G49" s="3">
        <v>0.14799999999999999</v>
      </c>
      <c r="H49" s="2">
        <v>0</v>
      </c>
      <c r="I49" s="2">
        <v>40</v>
      </c>
      <c r="J49" s="2"/>
      <c r="K49" s="2"/>
      <c r="L49" s="2"/>
      <c r="M49" s="2"/>
      <c r="N49" s="8">
        <f t="shared" si="5"/>
        <v>0</v>
      </c>
      <c r="O49" s="2"/>
      <c r="P49" s="2"/>
      <c r="Q49" s="2"/>
      <c r="R49" s="19"/>
      <c r="S49" s="2"/>
      <c r="T49" s="2"/>
      <c r="U49" s="19"/>
      <c r="V49" s="2"/>
      <c r="W49" s="2"/>
      <c r="X49" s="2"/>
      <c r="Y49" s="2">
        <v>40</v>
      </c>
      <c r="Z49" s="7">
        <f t="shared" si="6"/>
        <v>5.92</v>
      </c>
      <c r="AA49" s="7">
        <v>500</v>
      </c>
      <c r="AB49" s="7">
        <v>0</v>
      </c>
      <c r="AC49" s="8">
        <f t="shared" si="7"/>
        <v>0</v>
      </c>
      <c r="AD49" s="8">
        <v>0</v>
      </c>
      <c r="AE49" s="8">
        <f t="shared" si="8"/>
        <v>0</v>
      </c>
      <c r="AF49" s="8">
        <f t="shared" si="4"/>
        <v>0</v>
      </c>
      <c r="AG49" s="8">
        <v>0</v>
      </c>
      <c r="AH49" s="8">
        <v>0</v>
      </c>
      <c r="AI49" s="8" t="s">
        <v>119</v>
      </c>
      <c r="AJ49" s="8" t="s">
        <v>121</v>
      </c>
      <c r="AQ49" s="1">
        <v>0</v>
      </c>
    </row>
    <row r="50" spans="2:43" x14ac:dyDescent="0.25">
      <c r="B50" s="2" t="s">
        <v>87</v>
      </c>
      <c r="C50" s="2" t="s">
        <v>88</v>
      </c>
      <c r="D50" s="2" t="s">
        <v>49</v>
      </c>
      <c r="E50" s="2" t="s">
        <v>48</v>
      </c>
      <c r="F50" s="2">
        <v>3.5000000000000003E-2</v>
      </c>
      <c r="G50" s="3">
        <v>0.14399999999999999</v>
      </c>
      <c r="H50" s="2">
        <v>1000</v>
      </c>
      <c r="I50" s="2">
        <v>65</v>
      </c>
      <c r="J50" s="2"/>
      <c r="K50" s="2"/>
      <c r="L50" s="2"/>
      <c r="M50" s="2"/>
      <c r="N50" s="8">
        <f t="shared" si="5"/>
        <v>1065</v>
      </c>
      <c r="O50" s="2"/>
      <c r="P50" s="2"/>
      <c r="Q50" s="2"/>
      <c r="R50" s="19"/>
      <c r="S50" s="2"/>
      <c r="T50" s="2"/>
      <c r="U50" s="19"/>
      <c r="V50" s="2"/>
      <c r="W50" s="2"/>
      <c r="X50" s="2"/>
      <c r="Y50" s="2"/>
      <c r="Z50" s="7">
        <f t="shared" si="6"/>
        <v>153.35999999999999</v>
      </c>
      <c r="AA50" s="7">
        <v>500</v>
      </c>
      <c r="AB50" s="7">
        <v>0</v>
      </c>
      <c r="AC50" s="8">
        <f t="shared" si="7"/>
        <v>0</v>
      </c>
      <c r="AD50" s="8">
        <v>0</v>
      </c>
      <c r="AE50" s="8">
        <f t="shared" si="8"/>
        <v>0</v>
      </c>
      <c r="AF50" s="8">
        <f t="shared" si="4"/>
        <v>0</v>
      </c>
      <c r="AG50" s="8">
        <v>0</v>
      </c>
      <c r="AH50" s="8">
        <v>0</v>
      </c>
      <c r="AI50" s="8" t="s">
        <v>119</v>
      </c>
      <c r="AJ50" s="8" t="s">
        <v>121</v>
      </c>
      <c r="AQ50" s="1">
        <v>0</v>
      </c>
    </row>
    <row r="51" spans="2:43" ht="14.45" customHeight="1" x14ac:dyDescent="0.25">
      <c r="B51" s="2" t="s">
        <v>87</v>
      </c>
      <c r="C51" s="2" t="s">
        <v>88</v>
      </c>
      <c r="D51" s="2" t="s">
        <v>50</v>
      </c>
      <c r="E51" s="2" t="s">
        <v>48</v>
      </c>
      <c r="F51" s="2">
        <v>3.5000000000000003E-2</v>
      </c>
      <c r="G51" s="3">
        <v>5.2999999999999999E-2</v>
      </c>
      <c r="H51" s="2">
        <v>1700</v>
      </c>
      <c r="I51" s="2"/>
      <c r="J51" s="2"/>
      <c r="K51" s="2"/>
      <c r="L51" s="2"/>
      <c r="M51" s="2"/>
      <c r="N51" s="8">
        <f t="shared" si="5"/>
        <v>-600</v>
      </c>
      <c r="O51" s="2"/>
      <c r="P51" s="2"/>
      <c r="Q51" s="2"/>
      <c r="R51" s="19"/>
      <c r="S51" s="2"/>
      <c r="T51" s="2"/>
      <c r="U51" s="19"/>
      <c r="V51" s="2"/>
      <c r="W51" s="2"/>
      <c r="X51" s="2">
        <v>2300</v>
      </c>
      <c r="Y51" s="2"/>
      <c r="Z51" s="7">
        <f t="shared" si="6"/>
        <v>90.1</v>
      </c>
      <c r="AA51" s="7">
        <v>1000</v>
      </c>
      <c r="AB51" s="7">
        <v>0</v>
      </c>
      <c r="AC51" s="8">
        <f t="shared" si="7"/>
        <v>0</v>
      </c>
      <c r="AD51" s="8">
        <v>0</v>
      </c>
      <c r="AE51" s="8">
        <f t="shared" si="8"/>
        <v>0</v>
      </c>
      <c r="AF51" s="8">
        <f t="shared" si="4"/>
        <v>0</v>
      </c>
      <c r="AG51" s="8">
        <v>0</v>
      </c>
      <c r="AH51" s="8">
        <v>0</v>
      </c>
      <c r="AI51" s="8" t="s">
        <v>119</v>
      </c>
      <c r="AJ51" s="8" t="s">
        <v>121</v>
      </c>
      <c r="AQ51" s="1">
        <v>1200</v>
      </c>
    </row>
    <row r="52" spans="2:43" ht="14.45" customHeight="1" x14ac:dyDescent="0.25">
      <c r="B52" s="2" t="s">
        <v>87</v>
      </c>
      <c r="C52" s="2" t="s">
        <v>88</v>
      </c>
      <c r="D52" s="2" t="s">
        <v>51</v>
      </c>
      <c r="E52" s="2" t="s">
        <v>48</v>
      </c>
      <c r="F52" s="2">
        <v>3.5000000000000003E-2</v>
      </c>
      <c r="G52" s="3">
        <v>0.13800000000000001</v>
      </c>
      <c r="H52" s="2">
        <v>0</v>
      </c>
      <c r="I52" s="2"/>
      <c r="J52" s="2"/>
      <c r="K52" s="2"/>
      <c r="L52" s="2"/>
      <c r="M52" s="2"/>
      <c r="N52" s="8">
        <f t="shared" si="5"/>
        <v>0</v>
      </c>
      <c r="O52" s="2"/>
      <c r="P52" s="2"/>
      <c r="Q52" s="2"/>
      <c r="R52" s="19"/>
      <c r="S52" s="2"/>
      <c r="T52" s="2"/>
      <c r="U52" s="19"/>
      <c r="V52" s="2"/>
      <c r="W52" s="2"/>
      <c r="X52" s="2"/>
      <c r="Y52" s="2"/>
      <c r="Z52" s="7">
        <f t="shared" si="6"/>
        <v>0</v>
      </c>
      <c r="AA52" s="7">
        <v>500</v>
      </c>
      <c r="AB52" s="7">
        <v>0</v>
      </c>
      <c r="AC52" s="8">
        <f t="shared" si="7"/>
        <v>0</v>
      </c>
      <c r="AD52" s="8">
        <v>0</v>
      </c>
      <c r="AE52" s="8">
        <f t="shared" si="8"/>
        <v>0</v>
      </c>
      <c r="AF52" s="8">
        <f t="shared" si="4"/>
        <v>0</v>
      </c>
      <c r="AG52" s="8">
        <v>0</v>
      </c>
      <c r="AH52" s="8">
        <v>0</v>
      </c>
      <c r="AI52" s="8" t="s">
        <v>119</v>
      </c>
      <c r="AJ52" s="8" t="s">
        <v>121</v>
      </c>
      <c r="AQ52" s="1">
        <v>0</v>
      </c>
    </row>
    <row r="53" spans="2:43" x14ac:dyDescent="0.25">
      <c r="B53" s="2" t="s">
        <v>87</v>
      </c>
      <c r="C53" s="2" t="s">
        <v>88</v>
      </c>
      <c r="D53" s="2" t="s">
        <v>52</v>
      </c>
      <c r="E53" s="2" t="s">
        <v>48</v>
      </c>
      <c r="F53" s="2">
        <v>3.5000000000000003E-2</v>
      </c>
      <c r="G53" s="3">
        <v>0.11</v>
      </c>
      <c r="H53" s="2">
        <v>1900</v>
      </c>
      <c r="I53" s="2"/>
      <c r="J53" s="2"/>
      <c r="K53" s="2"/>
      <c r="L53" s="2"/>
      <c r="M53" s="2"/>
      <c r="N53" s="8">
        <f t="shared" si="5"/>
        <v>1900</v>
      </c>
      <c r="O53" s="2"/>
      <c r="P53" s="2"/>
      <c r="Q53" s="2"/>
      <c r="R53" s="19"/>
      <c r="S53" s="2"/>
      <c r="T53" s="2"/>
      <c r="U53" s="19"/>
      <c r="V53" s="2"/>
      <c r="W53" s="2"/>
      <c r="X53" s="2"/>
      <c r="Y53" s="2"/>
      <c r="Z53" s="7">
        <f t="shared" si="6"/>
        <v>209</v>
      </c>
      <c r="AA53" s="7">
        <v>500</v>
      </c>
      <c r="AB53" s="7">
        <v>0</v>
      </c>
      <c r="AC53" s="8">
        <f t="shared" si="7"/>
        <v>0</v>
      </c>
      <c r="AD53" s="8">
        <v>0</v>
      </c>
      <c r="AE53" s="8">
        <f t="shared" si="8"/>
        <v>0</v>
      </c>
      <c r="AF53" s="8">
        <f t="shared" si="4"/>
        <v>0</v>
      </c>
      <c r="AG53" s="8">
        <v>0</v>
      </c>
      <c r="AH53" s="8">
        <v>0</v>
      </c>
      <c r="AI53" s="8" t="s">
        <v>119</v>
      </c>
      <c r="AJ53" s="8" t="s">
        <v>121</v>
      </c>
      <c r="AQ53" s="1">
        <v>1000</v>
      </c>
    </row>
    <row r="54" spans="2:43" x14ac:dyDescent="0.25">
      <c r="B54" s="2" t="s">
        <v>87</v>
      </c>
      <c r="C54" s="2" t="s">
        <v>88</v>
      </c>
      <c r="D54" s="2" t="s">
        <v>53</v>
      </c>
      <c r="E54" s="2" t="s">
        <v>54</v>
      </c>
      <c r="F54" s="2">
        <v>4.1000000000000002E-2</v>
      </c>
      <c r="G54" s="3">
        <v>7.3999999999999996E-2</v>
      </c>
      <c r="H54" s="2">
        <v>900</v>
      </c>
      <c r="I54" s="2"/>
      <c r="J54" s="2"/>
      <c r="K54" s="2"/>
      <c r="L54" s="2"/>
      <c r="M54" s="2"/>
      <c r="N54" s="8">
        <f t="shared" si="5"/>
        <v>600</v>
      </c>
      <c r="O54" s="2"/>
      <c r="P54" s="2"/>
      <c r="Q54" s="2">
        <v>300</v>
      </c>
      <c r="R54" s="19"/>
      <c r="S54" s="2"/>
      <c r="T54" s="2"/>
      <c r="U54" s="19"/>
      <c r="V54" s="2"/>
      <c r="W54" s="2"/>
      <c r="X54" s="2"/>
      <c r="Y54" s="2"/>
      <c r="Z54" s="7">
        <f t="shared" si="6"/>
        <v>66.599999999999994</v>
      </c>
      <c r="AA54" s="7">
        <v>1000</v>
      </c>
      <c r="AB54" s="7">
        <v>0</v>
      </c>
      <c r="AC54" s="8">
        <f t="shared" si="7"/>
        <v>0</v>
      </c>
      <c r="AD54" s="8">
        <v>0</v>
      </c>
      <c r="AE54" s="8">
        <f t="shared" si="8"/>
        <v>0</v>
      </c>
      <c r="AF54" s="8">
        <f t="shared" si="4"/>
        <v>0</v>
      </c>
      <c r="AG54" s="8">
        <v>0</v>
      </c>
      <c r="AH54" s="8">
        <v>0</v>
      </c>
      <c r="AI54" s="8" t="s">
        <v>119</v>
      </c>
      <c r="AJ54" s="8" t="s">
        <v>121</v>
      </c>
      <c r="AQ54" s="1">
        <v>2800</v>
      </c>
    </row>
    <row r="55" spans="2:43" ht="14.45" customHeight="1" x14ac:dyDescent="0.25">
      <c r="B55" s="2" t="s">
        <v>87</v>
      </c>
      <c r="C55" s="2" t="s">
        <v>88</v>
      </c>
      <c r="D55" s="2" t="s">
        <v>55</v>
      </c>
      <c r="E55" s="2" t="s">
        <v>54</v>
      </c>
      <c r="F55" s="2">
        <v>4.4999999999999998E-2</v>
      </c>
      <c r="G55" s="3">
        <v>0.46</v>
      </c>
      <c r="H55" s="2">
        <v>500</v>
      </c>
      <c r="I55" s="2">
        <v>252</v>
      </c>
      <c r="J55" s="2"/>
      <c r="K55" s="2"/>
      <c r="L55" s="2"/>
      <c r="M55" s="2"/>
      <c r="N55" s="8">
        <f t="shared" si="5"/>
        <v>-44</v>
      </c>
      <c r="O55" s="2">
        <v>233</v>
      </c>
      <c r="P55" s="2"/>
      <c r="Q55" s="2"/>
      <c r="R55" s="19"/>
      <c r="S55" s="2"/>
      <c r="T55" s="2"/>
      <c r="U55" s="19">
        <v>300</v>
      </c>
      <c r="V55" s="2">
        <v>263</v>
      </c>
      <c r="W55" s="2"/>
      <c r="X55" s="2"/>
      <c r="Y55" s="2"/>
      <c r="Z55" s="7">
        <f t="shared" si="6"/>
        <v>345.92</v>
      </c>
      <c r="AA55" s="7">
        <v>200</v>
      </c>
      <c r="AB55" s="7">
        <v>0</v>
      </c>
      <c r="AC55" s="8">
        <f t="shared" si="7"/>
        <v>0</v>
      </c>
      <c r="AD55" s="8">
        <v>0</v>
      </c>
      <c r="AE55" s="8">
        <f t="shared" si="8"/>
        <v>0</v>
      </c>
      <c r="AF55" s="8">
        <f t="shared" si="4"/>
        <v>0</v>
      </c>
      <c r="AG55" s="8">
        <v>0</v>
      </c>
      <c r="AH55" s="8">
        <v>0</v>
      </c>
      <c r="AI55" s="8" t="s">
        <v>119</v>
      </c>
      <c r="AJ55" s="8" t="s">
        <v>121</v>
      </c>
      <c r="AQ55" s="1">
        <v>1000</v>
      </c>
    </row>
    <row r="56" spans="2:43" ht="14.45" customHeight="1" x14ac:dyDescent="0.25">
      <c r="B56" s="2" t="s">
        <v>87</v>
      </c>
      <c r="C56" s="2" t="s">
        <v>88</v>
      </c>
      <c r="D56" s="2" t="s">
        <v>56</v>
      </c>
      <c r="E56" s="2" t="s">
        <v>54</v>
      </c>
      <c r="F56" s="2">
        <v>4.4999999999999998E-2</v>
      </c>
      <c r="G56" s="3">
        <v>0.23300000000000001</v>
      </c>
      <c r="H56" s="2">
        <v>1900</v>
      </c>
      <c r="I56" s="2"/>
      <c r="J56" s="2"/>
      <c r="K56" s="2"/>
      <c r="L56" s="2"/>
      <c r="M56" s="2"/>
      <c r="N56" s="8">
        <f t="shared" si="5"/>
        <v>-27</v>
      </c>
      <c r="O56" s="2"/>
      <c r="P56" s="2"/>
      <c r="Q56" s="2">
        <v>1000</v>
      </c>
      <c r="R56" s="19">
        <v>610</v>
      </c>
      <c r="S56" s="2"/>
      <c r="T56" s="2">
        <v>317</v>
      </c>
      <c r="U56" s="19"/>
      <c r="V56" s="2"/>
      <c r="W56" s="2"/>
      <c r="X56" s="2"/>
      <c r="Y56" s="2"/>
      <c r="Z56" s="7">
        <f t="shared" si="6"/>
        <v>442.70000000000005</v>
      </c>
      <c r="AA56" s="7">
        <v>500</v>
      </c>
      <c r="AB56" s="7">
        <v>0</v>
      </c>
      <c r="AC56" s="8">
        <f t="shared" si="7"/>
        <v>0</v>
      </c>
      <c r="AD56" s="8">
        <v>0</v>
      </c>
      <c r="AE56" s="8">
        <f t="shared" si="8"/>
        <v>0</v>
      </c>
      <c r="AF56" s="8">
        <f t="shared" si="4"/>
        <v>0</v>
      </c>
      <c r="AG56" s="8">
        <v>0</v>
      </c>
      <c r="AH56" s="8">
        <v>0</v>
      </c>
      <c r="AI56" s="8" t="s">
        <v>119</v>
      </c>
      <c r="AJ56" s="8" t="s">
        <v>121</v>
      </c>
      <c r="AQ56" s="1">
        <v>416</v>
      </c>
    </row>
    <row r="57" spans="2:43" x14ac:dyDescent="0.25">
      <c r="B57" s="2" t="s">
        <v>87</v>
      </c>
      <c r="C57" s="2" t="s">
        <v>88</v>
      </c>
      <c r="D57" s="2" t="s">
        <v>57</v>
      </c>
      <c r="E57" s="2" t="s">
        <v>54</v>
      </c>
      <c r="F57" s="2">
        <v>4.1000000000000002E-2</v>
      </c>
      <c r="G57" s="3">
        <v>0.19700000000000001</v>
      </c>
      <c r="H57" s="2">
        <v>2700</v>
      </c>
      <c r="I57" s="2"/>
      <c r="J57" s="2"/>
      <c r="K57" s="2"/>
      <c r="L57" s="2"/>
      <c r="M57" s="2"/>
      <c r="N57" s="8">
        <f t="shared" si="5"/>
        <v>2320</v>
      </c>
      <c r="O57" s="2"/>
      <c r="P57" s="2"/>
      <c r="Q57" s="2"/>
      <c r="R57" s="19"/>
      <c r="S57" s="2"/>
      <c r="T57" s="2">
        <v>275</v>
      </c>
      <c r="U57" s="19"/>
      <c r="V57" s="2">
        <v>105</v>
      </c>
      <c r="W57" s="2"/>
      <c r="X57" s="2"/>
      <c r="Y57" s="2"/>
      <c r="Z57" s="7">
        <f t="shared" si="6"/>
        <v>531.9</v>
      </c>
      <c r="AA57" s="7">
        <v>500</v>
      </c>
      <c r="AB57" s="7">
        <v>0</v>
      </c>
      <c r="AC57" s="8">
        <f t="shared" si="7"/>
        <v>0</v>
      </c>
      <c r="AD57" s="8">
        <v>0</v>
      </c>
      <c r="AE57" s="8">
        <f t="shared" si="8"/>
        <v>0</v>
      </c>
      <c r="AF57" s="8">
        <f t="shared" si="4"/>
        <v>0</v>
      </c>
      <c r="AG57" s="8">
        <v>0</v>
      </c>
      <c r="AH57" s="8">
        <v>0</v>
      </c>
      <c r="AI57" s="8" t="s">
        <v>119</v>
      </c>
      <c r="AJ57" s="8" t="s">
        <v>121</v>
      </c>
      <c r="AQ57" s="1">
        <v>2200</v>
      </c>
    </row>
    <row r="58" spans="2:43" ht="14.45" customHeight="1" x14ac:dyDescent="0.25">
      <c r="B58" s="2" t="s">
        <v>87</v>
      </c>
      <c r="C58" s="2" t="s">
        <v>88</v>
      </c>
      <c r="D58" s="2" t="s">
        <v>58</v>
      </c>
      <c r="E58" s="2" t="s">
        <v>54</v>
      </c>
      <c r="F58" s="2">
        <v>4.4999999999999998E-2</v>
      </c>
      <c r="G58" s="3">
        <v>0.17299999999999999</v>
      </c>
      <c r="H58" s="2">
        <v>1000</v>
      </c>
      <c r="I58" s="2"/>
      <c r="J58" s="2"/>
      <c r="K58" s="2"/>
      <c r="L58" s="2"/>
      <c r="M58" s="2"/>
      <c r="N58" s="8">
        <f t="shared" si="5"/>
        <v>-5</v>
      </c>
      <c r="O58" s="2"/>
      <c r="P58" s="2">
        <v>750</v>
      </c>
      <c r="Q58" s="2">
        <v>100</v>
      </c>
      <c r="R58" s="19"/>
      <c r="S58" s="2">
        <v>155</v>
      </c>
      <c r="T58" s="2"/>
      <c r="U58" s="19"/>
      <c r="V58" s="2"/>
      <c r="W58" s="2"/>
      <c r="X58" s="2"/>
      <c r="Y58" s="2"/>
      <c r="Z58" s="7">
        <f t="shared" si="6"/>
        <v>173</v>
      </c>
      <c r="AA58" s="7">
        <v>500</v>
      </c>
      <c r="AB58" s="7">
        <v>0</v>
      </c>
      <c r="AC58" s="8">
        <f t="shared" si="7"/>
        <v>0</v>
      </c>
      <c r="AD58" s="8">
        <v>0</v>
      </c>
      <c r="AE58" s="8">
        <f t="shared" si="8"/>
        <v>0</v>
      </c>
      <c r="AF58" s="8">
        <f t="shared" si="4"/>
        <v>0</v>
      </c>
      <c r="AG58" s="8">
        <v>0</v>
      </c>
      <c r="AH58" s="8">
        <v>0</v>
      </c>
      <c r="AI58" s="8" t="s">
        <v>119</v>
      </c>
      <c r="AJ58" s="8" t="s">
        <v>121</v>
      </c>
      <c r="AQ58" s="1">
        <v>1720</v>
      </c>
    </row>
    <row r="59" spans="2:43" ht="14.25" customHeight="1" x14ac:dyDescent="0.25">
      <c r="B59" s="2" t="s">
        <v>87</v>
      </c>
      <c r="C59" s="2" t="s">
        <v>88</v>
      </c>
      <c r="D59" s="2" t="s">
        <v>59</v>
      </c>
      <c r="E59" s="2" t="s">
        <v>60</v>
      </c>
      <c r="F59" s="2">
        <v>3.5000000000000003E-2</v>
      </c>
      <c r="G59" s="3">
        <v>0.29799999999999999</v>
      </c>
      <c r="H59" s="2">
        <v>576</v>
      </c>
      <c r="I59" s="2">
        <v>144</v>
      </c>
      <c r="J59" s="2"/>
      <c r="K59" s="2"/>
      <c r="L59" s="2"/>
      <c r="M59" s="2"/>
      <c r="N59" s="8">
        <f t="shared" si="5"/>
        <v>0</v>
      </c>
      <c r="O59" s="2"/>
      <c r="P59" s="2"/>
      <c r="Q59" s="2"/>
      <c r="R59" s="19">
        <v>144</v>
      </c>
      <c r="S59" s="2">
        <v>144</v>
      </c>
      <c r="T59" s="2">
        <v>288</v>
      </c>
      <c r="U59" s="19">
        <v>144</v>
      </c>
      <c r="V59" s="2"/>
      <c r="W59" s="2"/>
      <c r="X59" s="2"/>
      <c r="Y59" s="2"/>
      <c r="Z59" s="7">
        <f t="shared" si="6"/>
        <v>214.56</v>
      </c>
      <c r="AA59" s="7">
        <v>144</v>
      </c>
      <c r="AB59" s="7">
        <v>0</v>
      </c>
      <c r="AC59" s="8">
        <f t="shared" si="7"/>
        <v>0</v>
      </c>
      <c r="AD59" s="8">
        <v>0</v>
      </c>
      <c r="AE59" s="8">
        <f t="shared" si="8"/>
        <v>0</v>
      </c>
      <c r="AF59" s="8">
        <f t="shared" si="4"/>
        <v>0</v>
      </c>
      <c r="AG59" s="8" t="s">
        <v>110</v>
      </c>
      <c r="AH59" s="8">
        <f t="shared" ref="AH59:AH78" si="9">+SUM(H59:M59)</f>
        <v>720</v>
      </c>
      <c r="AI59" s="8" t="s">
        <v>119</v>
      </c>
      <c r="AJ59" s="8" t="s">
        <v>121</v>
      </c>
      <c r="AQ59" s="1">
        <v>0</v>
      </c>
    </row>
    <row r="60" spans="2:43" ht="14.45" customHeight="1" x14ac:dyDescent="0.25">
      <c r="B60" s="2" t="s">
        <v>87</v>
      </c>
      <c r="C60" s="2" t="s">
        <v>88</v>
      </c>
      <c r="D60" s="2" t="s">
        <v>61</v>
      </c>
      <c r="E60" s="2" t="s">
        <v>60</v>
      </c>
      <c r="F60" s="2">
        <v>3.5000000000000003E-2</v>
      </c>
      <c r="G60" s="3">
        <v>0.249</v>
      </c>
      <c r="H60" s="2">
        <v>0</v>
      </c>
      <c r="I60" s="2"/>
      <c r="J60" s="2"/>
      <c r="K60" s="2"/>
      <c r="L60" s="2"/>
      <c r="M60" s="2"/>
      <c r="N60" s="8">
        <f t="shared" si="5"/>
        <v>-288</v>
      </c>
      <c r="O60" s="2"/>
      <c r="P60" s="2"/>
      <c r="Q60" s="2"/>
      <c r="R60" s="19"/>
      <c r="S60" s="2"/>
      <c r="T60" s="2">
        <v>144</v>
      </c>
      <c r="U60" s="19"/>
      <c r="V60" s="2"/>
      <c r="W60" s="2"/>
      <c r="X60" s="2">
        <v>144</v>
      </c>
      <c r="Y60" s="2"/>
      <c r="Z60" s="7">
        <f t="shared" si="6"/>
        <v>0</v>
      </c>
      <c r="AA60" s="7">
        <v>144</v>
      </c>
      <c r="AB60" s="7">
        <v>1</v>
      </c>
      <c r="AC60" s="8">
        <f t="shared" si="7"/>
        <v>0</v>
      </c>
      <c r="AD60" s="8">
        <v>0</v>
      </c>
      <c r="AE60" s="8">
        <f t="shared" si="8"/>
        <v>0</v>
      </c>
      <c r="AF60" s="8">
        <f t="shared" si="4"/>
        <v>0</v>
      </c>
      <c r="AG60" s="8" t="s">
        <v>111</v>
      </c>
      <c r="AH60" s="8">
        <f t="shared" si="9"/>
        <v>0</v>
      </c>
      <c r="AI60" s="8" t="s">
        <v>119</v>
      </c>
      <c r="AJ60" s="8" t="s">
        <v>121</v>
      </c>
      <c r="AQ60" s="1">
        <v>-576</v>
      </c>
    </row>
    <row r="61" spans="2:43" ht="14.45" customHeight="1" x14ac:dyDescent="0.25">
      <c r="B61" s="2" t="s">
        <v>87</v>
      </c>
      <c r="C61" s="2" t="s">
        <v>88</v>
      </c>
      <c r="D61" s="2" t="s">
        <v>62</v>
      </c>
      <c r="E61" s="2" t="s">
        <v>60</v>
      </c>
      <c r="F61" s="2">
        <v>3.5000000000000003E-2</v>
      </c>
      <c r="G61" s="3">
        <v>0.253</v>
      </c>
      <c r="H61" s="2">
        <v>0</v>
      </c>
      <c r="I61" s="2"/>
      <c r="J61" s="2"/>
      <c r="K61" s="2"/>
      <c r="L61" s="2"/>
      <c r="M61" s="2"/>
      <c r="N61" s="8">
        <f t="shared" si="5"/>
        <v>0</v>
      </c>
      <c r="O61" s="2"/>
      <c r="P61" s="2"/>
      <c r="Q61" s="2"/>
      <c r="R61" s="19"/>
      <c r="S61" s="2"/>
      <c r="T61" s="2"/>
      <c r="U61" s="19"/>
      <c r="V61" s="2"/>
      <c r="W61" s="2"/>
      <c r="X61" s="2"/>
      <c r="Y61" s="2"/>
      <c r="Z61" s="7">
        <f t="shared" si="6"/>
        <v>0</v>
      </c>
      <c r="AA61" s="7">
        <v>144</v>
      </c>
      <c r="AB61" s="7">
        <v>1</v>
      </c>
      <c r="AC61" s="8">
        <f t="shared" si="7"/>
        <v>0</v>
      </c>
      <c r="AD61" s="8">
        <v>0</v>
      </c>
      <c r="AE61" s="8">
        <f t="shared" si="8"/>
        <v>0</v>
      </c>
      <c r="AF61" s="8">
        <f t="shared" si="4"/>
        <v>0</v>
      </c>
      <c r="AG61" s="8" t="s">
        <v>111</v>
      </c>
      <c r="AH61" s="8">
        <f t="shared" si="9"/>
        <v>0</v>
      </c>
      <c r="AI61" s="8" t="s">
        <v>119</v>
      </c>
      <c r="AJ61" s="8" t="s">
        <v>121</v>
      </c>
      <c r="AQ61" s="1">
        <v>0</v>
      </c>
    </row>
    <row r="62" spans="2:43" x14ac:dyDescent="0.25">
      <c r="B62" s="2" t="s">
        <v>87</v>
      </c>
      <c r="C62" s="2" t="s">
        <v>88</v>
      </c>
      <c r="D62" s="2" t="s">
        <v>63</v>
      </c>
      <c r="E62" s="2" t="s">
        <v>60</v>
      </c>
      <c r="F62" s="2">
        <v>3.5000000000000003E-2</v>
      </c>
      <c r="G62" s="3">
        <v>0.215</v>
      </c>
      <c r="H62" s="2">
        <v>432</v>
      </c>
      <c r="I62" s="2">
        <v>432</v>
      </c>
      <c r="J62" s="2"/>
      <c r="K62" s="2"/>
      <c r="L62" s="2"/>
      <c r="M62" s="2"/>
      <c r="N62" s="8">
        <f t="shared" si="5"/>
        <v>144</v>
      </c>
      <c r="O62" s="2"/>
      <c r="P62" s="2"/>
      <c r="Q62" s="2">
        <v>288</v>
      </c>
      <c r="R62" s="19">
        <v>288</v>
      </c>
      <c r="S62" s="2">
        <v>144</v>
      </c>
      <c r="T62" s="2"/>
      <c r="U62" s="19"/>
      <c r="V62" s="2"/>
      <c r="W62" s="2"/>
      <c r="X62" s="2"/>
      <c r="Y62" s="2"/>
      <c r="Z62" s="7">
        <f t="shared" si="6"/>
        <v>185.76</v>
      </c>
      <c r="AA62" s="7">
        <v>144</v>
      </c>
      <c r="AB62" s="7">
        <v>1</v>
      </c>
      <c r="AC62" s="8">
        <f t="shared" si="7"/>
        <v>432</v>
      </c>
      <c r="AD62" s="8">
        <v>0</v>
      </c>
      <c r="AE62" s="8">
        <f t="shared" si="8"/>
        <v>0</v>
      </c>
      <c r="AF62" s="8">
        <f t="shared" si="4"/>
        <v>0</v>
      </c>
      <c r="AG62" s="8" t="s">
        <v>111</v>
      </c>
      <c r="AH62" s="8">
        <f t="shared" si="9"/>
        <v>864</v>
      </c>
      <c r="AI62" s="8" t="s">
        <v>119</v>
      </c>
      <c r="AJ62" s="8" t="s">
        <v>121</v>
      </c>
      <c r="AQ62" s="1">
        <v>144</v>
      </c>
    </row>
    <row r="63" spans="2:43" ht="14.45" customHeight="1" x14ac:dyDescent="0.25">
      <c r="B63" s="2" t="s">
        <v>87</v>
      </c>
      <c r="C63" s="2" t="s">
        <v>88</v>
      </c>
      <c r="D63" s="2" t="s">
        <v>64</v>
      </c>
      <c r="E63" s="2" t="s">
        <v>60</v>
      </c>
      <c r="F63" s="2">
        <v>3.5000000000000003E-2</v>
      </c>
      <c r="G63" s="3">
        <v>0.253</v>
      </c>
      <c r="H63" s="2">
        <v>864</v>
      </c>
      <c r="I63" s="2">
        <v>212</v>
      </c>
      <c r="J63" s="2"/>
      <c r="K63" s="2"/>
      <c r="L63" s="2"/>
      <c r="M63" s="2"/>
      <c r="N63" s="8">
        <f t="shared" si="5"/>
        <v>-76</v>
      </c>
      <c r="O63" s="2"/>
      <c r="P63" s="2"/>
      <c r="Q63" s="2"/>
      <c r="R63" s="19"/>
      <c r="S63" s="2">
        <v>288</v>
      </c>
      <c r="T63" s="2">
        <v>144</v>
      </c>
      <c r="U63" s="19">
        <v>288</v>
      </c>
      <c r="V63" s="2">
        <v>288</v>
      </c>
      <c r="W63" s="2">
        <v>144</v>
      </c>
      <c r="X63" s="2"/>
      <c r="Y63" s="2"/>
      <c r="Z63" s="7">
        <f t="shared" si="6"/>
        <v>272.22800000000001</v>
      </c>
      <c r="AA63" s="7">
        <v>144</v>
      </c>
      <c r="AB63" s="7">
        <v>1</v>
      </c>
      <c r="AC63" s="8">
        <f t="shared" si="7"/>
        <v>864</v>
      </c>
      <c r="AD63" s="8">
        <v>0</v>
      </c>
      <c r="AE63" s="8">
        <f t="shared" si="8"/>
        <v>0</v>
      </c>
      <c r="AF63" s="8">
        <f t="shared" si="4"/>
        <v>0</v>
      </c>
      <c r="AG63" s="8" t="s">
        <v>111</v>
      </c>
      <c r="AH63" s="8">
        <f t="shared" si="9"/>
        <v>1076</v>
      </c>
      <c r="AI63" s="8" t="s">
        <v>119</v>
      </c>
      <c r="AJ63" s="8" t="s">
        <v>121</v>
      </c>
      <c r="AQ63" s="1">
        <v>0</v>
      </c>
    </row>
    <row r="64" spans="2:43" ht="14.45" customHeight="1" x14ac:dyDescent="0.25">
      <c r="B64" s="2" t="s">
        <v>87</v>
      </c>
      <c r="C64" s="2" t="s">
        <v>88</v>
      </c>
      <c r="D64" s="2" t="s">
        <v>65</v>
      </c>
      <c r="E64" s="2" t="s">
        <v>60</v>
      </c>
      <c r="F64" s="2">
        <v>3.5000000000000003E-2</v>
      </c>
      <c r="G64" s="3">
        <v>0.249</v>
      </c>
      <c r="H64" s="2">
        <v>288</v>
      </c>
      <c r="I64" s="2">
        <v>144</v>
      </c>
      <c r="J64" s="2"/>
      <c r="K64" s="2"/>
      <c r="L64" s="2"/>
      <c r="M64" s="2"/>
      <c r="N64" s="8">
        <f t="shared" si="5"/>
        <v>-144</v>
      </c>
      <c r="O64" s="2"/>
      <c r="P64" s="2"/>
      <c r="Q64" s="2"/>
      <c r="R64" s="19"/>
      <c r="S64" s="2"/>
      <c r="T64" s="2"/>
      <c r="U64" s="19">
        <v>144</v>
      </c>
      <c r="V64" s="2">
        <v>144</v>
      </c>
      <c r="W64" s="2">
        <v>144</v>
      </c>
      <c r="X64" s="2">
        <v>144</v>
      </c>
      <c r="Y64" s="2"/>
      <c r="Z64" s="7">
        <f t="shared" si="6"/>
        <v>107.568</v>
      </c>
      <c r="AA64" s="7">
        <v>144</v>
      </c>
      <c r="AB64" s="7">
        <v>1</v>
      </c>
      <c r="AC64" s="8">
        <f t="shared" si="7"/>
        <v>288</v>
      </c>
      <c r="AD64" s="8">
        <v>0</v>
      </c>
      <c r="AE64" s="8">
        <f t="shared" si="8"/>
        <v>0</v>
      </c>
      <c r="AF64" s="8">
        <f t="shared" si="4"/>
        <v>0</v>
      </c>
      <c r="AG64" s="8" t="s">
        <v>111</v>
      </c>
      <c r="AH64" s="8">
        <f t="shared" si="9"/>
        <v>432</v>
      </c>
      <c r="AI64" s="8" t="s">
        <v>119</v>
      </c>
      <c r="AJ64" s="8" t="s">
        <v>121</v>
      </c>
      <c r="AQ64" s="1">
        <v>576</v>
      </c>
    </row>
    <row r="65" spans="2:43" ht="14.45" customHeight="1" x14ac:dyDescent="0.25">
      <c r="B65" s="2" t="s">
        <v>87</v>
      </c>
      <c r="C65" s="2" t="s">
        <v>88</v>
      </c>
      <c r="D65" s="2" t="s">
        <v>66</v>
      </c>
      <c r="E65" s="2" t="s">
        <v>60</v>
      </c>
      <c r="F65" s="2">
        <v>3.5000000000000003E-2</v>
      </c>
      <c r="G65" s="3">
        <v>0.30299999999999999</v>
      </c>
      <c r="H65" s="2">
        <v>0</v>
      </c>
      <c r="I65" s="2"/>
      <c r="J65" s="2"/>
      <c r="K65" s="2"/>
      <c r="L65" s="2"/>
      <c r="M65" s="2"/>
      <c r="N65" s="8">
        <f t="shared" si="5"/>
        <v>0</v>
      </c>
      <c r="O65" s="2"/>
      <c r="P65" s="2"/>
      <c r="Q65" s="2"/>
      <c r="R65" s="19"/>
      <c r="S65" s="2"/>
      <c r="T65" s="2"/>
      <c r="U65" s="19"/>
      <c r="V65" s="2"/>
      <c r="W65" s="2"/>
      <c r="X65" s="2"/>
      <c r="Y65" s="2"/>
      <c r="Z65" s="7">
        <f t="shared" si="6"/>
        <v>0</v>
      </c>
      <c r="AA65" s="7">
        <v>144</v>
      </c>
      <c r="AB65" s="7">
        <v>0</v>
      </c>
      <c r="AC65" s="8">
        <f t="shared" si="7"/>
        <v>0</v>
      </c>
      <c r="AD65" s="8">
        <v>0</v>
      </c>
      <c r="AE65" s="8">
        <f t="shared" si="8"/>
        <v>0</v>
      </c>
      <c r="AF65" s="8">
        <f t="shared" si="4"/>
        <v>0</v>
      </c>
      <c r="AG65" s="8" t="s">
        <v>110</v>
      </c>
      <c r="AH65" s="8">
        <f t="shared" si="9"/>
        <v>0</v>
      </c>
      <c r="AI65" s="8" t="s">
        <v>119</v>
      </c>
      <c r="AJ65" s="8" t="s">
        <v>121</v>
      </c>
      <c r="AQ65" s="1">
        <v>0</v>
      </c>
    </row>
    <row r="66" spans="2:43" x14ac:dyDescent="0.25">
      <c r="B66" s="2" t="s">
        <v>87</v>
      </c>
      <c r="C66" s="2" t="s">
        <v>88</v>
      </c>
      <c r="D66" s="2" t="s">
        <v>67</v>
      </c>
      <c r="E66" s="2" t="s">
        <v>60</v>
      </c>
      <c r="F66" s="2">
        <v>3.5000000000000003E-2</v>
      </c>
      <c r="G66" s="3">
        <v>0.216</v>
      </c>
      <c r="H66" s="2">
        <v>288</v>
      </c>
      <c r="I66" s="2"/>
      <c r="J66" s="2"/>
      <c r="K66" s="2"/>
      <c r="L66" s="2"/>
      <c r="M66" s="2"/>
      <c r="N66" s="8">
        <f t="shared" si="5"/>
        <v>144</v>
      </c>
      <c r="O66" s="2"/>
      <c r="P66" s="2"/>
      <c r="Q66" s="2">
        <v>144</v>
      </c>
      <c r="R66" s="19"/>
      <c r="S66" s="2"/>
      <c r="T66" s="2"/>
      <c r="U66" s="19"/>
      <c r="V66" s="2"/>
      <c r="W66" s="2"/>
      <c r="X66" s="2"/>
      <c r="Y66" s="2"/>
      <c r="Z66" s="7">
        <f t="shared" si="6"/>
        <v>62.207999999999998</v>
      </c>
      <c r="AA66" s="7">
        <v>144</v>
      </c>
      <c r="AB66" s="7">
        <v>1</v>
      </c>
      <c r="AC66" s="8">
        <f t="shared" si="7"/>
        <v>288</v>
      </c>
      <c r="AD66" s="8">
        <v>0</v>
      </c>
      <c r="AE66" s="8">
        <f t="shared" si="8"/>
        <v>0</v>
      </c>
      <c r="AF66" s="8">
        <f t="shared" si="4"/>
        <v>0</v>
      </c>
      <c r="AG66" s="8" t="s">
        <v>111</v>
      </c>
      <c r="AH66" s="8">
        <f t="shared" si="9"/>
        <v>288</v>
      </c>
      <c r="AI66" s="8" t="s">
        <v>119</v>
      </c>
      <c r="AJ66" s="8" t="s">
        <v>121</v>
      </c>
      <c r="AQ66" s="1">
        <v>0</v>
      </c>
    </row>
    <row r="67" spans="2:43" ht="14.45" customHeight="1" x14ac:dyDescent="0.25">
      <c r="B67" s="2" t="s">
        <v>87</v>
      </c>
      <c r="C67" s="2" t="s">
        <v>88</v>
      </c>
      <c r="D67" s="2" t="s">
        <v>68</v>
      </c>
      <c r="E67" s="2" t="s">
        <v>60</v>
      </c>
      <c r="F67" s="2">
        <v>3.5000000000000003E-2</v>
      </c>
      <c r="G67" s="3">
        <v>0.28399999999999997</v>
      </c>
      <c r="H67" s="2">
        <v>0</v>
      </c>
      <c r="I67" s="2">
        <v>144</v>
      </c>
      <c r="J67" s="2"/>
      <c r="K67" s="2"/>
      <c r="L67" s="2"/>
      <c r="M67" s="2"/>
      <c r="N67" s="8">
        <f t="shared" si="5"/>
        <v>-144</v>
      </c>
      <c r="O67" s="2"/>
      <c r="P67" s="2"/>
      <c r="Q67" s="2"/>
      <c r="R67" s="19"/>
      <c r="S67" s="2"/>
      <c r="T67" s="2">
        <v>288</v>
      </c>
      <c r="U67" s="19"/>
      <c r="V67" s="2"/>
      <c r="W67" s="2"/>
      <c r="X67" s="2"/>
      <c r="Y67" s="2"/>
      <c r="Z67" s="7">
        <f t="shared" si="6"/>
        <v>40.895999999999994</v>
      </c>
      <c r="AA67" s="7">
        <v>144</v>
      </c>
      <c r="AB67" s="7">
        <v>0</v>
      </c>
      <c r="AC67" s="8">
        <f t="shared" si="7"/>
        <v>0</v>
      </c>
      <c r="AD67" s="8">
        <v>0</v>
      </c>
      <c r="AE67" s="8">
        <f t="shared" si="8"/>
        <v>0</v>
      </c>
      <c r="AF67" s="8">
        <f t="shared" si="4"/>
        <v>0</v>
      </c>
      <c r="AG67" s="8" t="s">
        <v>110</v>
      </c>
      <c r="AH67" s="8">
        <f t="shared" si="9"/>
        <v>144</v>
      </c>
      <c r="AI67" s="8" t="s">
        <v>119</v>
      </c>
      <c r="AJ67" s="8" t="s">
        <v>121</v>
      </c>
      <c r="AQ67" s="1">
        <v>0</v>
      </c>
    </row>
    <row r="68" spans="2:43" x14ac:dyDescent="0.25">
      <c r="B68" s="2" t="s">
        <v>87</v>
      </c>
      <c r="C68" s="2" t="s">
        <v>88</v>
      </c>
      <c r="D68" s="2" t="s">
        <v>69</v>
      </c>
      <c r="E68" s="2" t="s">
        <v>60</v>
      </c>
      <c r="F68" s="2">
        <v>3.5000000000000003E-2</v>
      </c>
      <c r="G68" s="3">
        <v>0.252</v>
      </c>
      <c r="H68" s="2">
        <v>864</v>
      </c>
      <c r="I68" s="2">
        <v>144</v>
      </c>
      <c r="J68" s="2"/>
      <c r="K68" s="2"/>
      <c r="L68" s="2"/>
      <c r="M68" s="2"/>
      <c r="N68" s="8">
        <f t="shared" si="5"/>
        <v>144</v>
      </c>
      <c r="O68" s="2"/>
      <c r="P68" s="2"/>
      <c r="Q68" s="2"/>
      <c r="R68" s="19"/>
      <c r="S68" s="2"/>
      <c r="T68" s="2"/>
      <c r="U68" s="19"/>
      <c r="V68" s="2"/>
      <c r="W68" s="2">
        <v>720</v>
      </c>
      <c r="X68" s="2">
        <v>144</v>
      </c>
      <c r="Y68" s="2"/>
      <c r="Z68" s="7">
        <f t="shared" si="6"/>
        <v>254.01599999999999</v>
      </c>
      <c r="AA68" s="7">
        <v>144</v>
      </c>
      <c r="AB68" s="7">
        <v>1</v>
      </c>
      <c r="AC68" s="8">
        <f t="shared" si="7"/>
        <v>864</v>
      </c>
      <c r="AD68" s="8">
        <v>0</v>
      </c>
      <c r="AE68" s="8">
        <f t="shared" si="8"/>
        <v>0</v>
      </c>
      <c r="AF68" s="8">
        <f t="shared" si="4"/>
        <v>0</v>
      </c>
      <c r="AG68" s="8" t="s">
        <v>111</v>
      </c>
      <c r="AH68" s="8">
        <f t="shared" si="9"/>
        <v>1008</v>
      </c>
      <c r="AI68" s="8" t="s">
        <v>119</v>
      </c>
      <c r="AJ68" s="8" t="s">
        <v>121</v>
      </c>
      <c r="AQ68" s="1">
        <v>-144</v>
      </c>
    </row>
    <row r="69" spans="2:43" ht="14.45" customHeight="1" x14ac:dyDescent="0.25">
      <c r="B69" s="2" t="s">
        <v>87</v>
      </c>
      <c r="C69" s="2" t="s">
        <v>88</v>
      </c>
      <c r="D69" s="2" t="s">
        <v>70</v>
      </c>
      <c r="E69" s="2" t="s">
        <v>71</v>
      </c>
      <c r="F69" s="2">
        <v>4.4999999999999998E-2</v>
      </c>
      <c r="G69" s="3">
        <v>0.373</v>
      </c>
      <c r="H69" s="2">
        <v>0</v>
      </c>
      <c r="I69" s="2"/>
      <c r="J69" s="2"/>
      <c r="K69" s="2"/>
      <c r="L69" s="2"/>
      <c r="M69" s="2"/>
      <c r="N69" s="8">
        <f t="shared" si="5"/>
        <v>-46</v>
      </c>
      <c r="O69" s="2"/>
      <c r="P69" s="2"/>
      <c r="Q69" s="2"/>
      <c r="R69" s="19"/>
      <c r="S69" s="2"/>
      <c r="T69" s="2"/>
      <c r="U69" s="19"/>
      <c r="V69" s="2"/>
      <c r="W69" s="2">
        <v>46</v>
      </c>
      <c r="X69" s="2"/>
      <c r="Y69" s="2"/>
      <c r="Z69" s="7">
        <f t="shared" si="6"/>
        <v>0</v>
      </c>
      <c r="AA69" s="7">
        <v>288</v>
      </c>
      <c r="AB69" s="7">
        <v>1</v>
      </c>
      <c r="AC69" s="8">
        <f t="shared" si="7"/>
        <v>0</v>
      </c>
      <c r="AD69" s="8">
        <v>0</v>
      </c>
      <c r="AE69" s="8">
        <f t="shared" si="8"/>
        <v>0</v>
      </c>
      <c r="AF69" s="8">
        <f t="shared" si="4"/>
        <v>0</v>
      </c>
      <c r="AG69" s="8" t="s">
        <v>112</v>
      </c>
      <c r="AH69" s="8">
        <f t="shared" si="9"/>
        <v>0</v>
      </c>
      <c r="AI69" s="8" t="s">
        <v>119</v>
      </c>
      <c r="AJ69" s="8" t="s">
        <v>121</v>
      </c>
      <c r="AQ69" s="1">
        <v>512</v>
      </c>
    </row>
    <row r="70" spans="2:43" ht="14.45" customHeight="1" x14ac:dyDescent="0.25">
      <c r="B70" s="2" t="s">
        <v>87</v>
      </c>
      <c r="C70" s="2" t="s">
        <v>88</v>
      </c>
      <c r="D70" s="2" t="s">
        <v>72</v>
      </c>
      <c r="E70" s="2" t="s">
        <v>71</v>
      </c>
      <c r="F70" s="2">
        <v>4.1000000000000002E-2</v>
      </c>
      <c r="G70" s="3">
        <v>0.375</v>
      </c>
      <c r="H70" s="2">
        <v>0</v>
      </c>
      <c r="I70" s="2"/>
      <c r="J70" s="2"/>
      <c r="K70" s="2"/>
      <c r="L70" s="2"/>
      <c r="M70" s="2"/>
      <c r="N70" s="8">
        <f t="shared" ref="N70:N78" si="10">+H70+I70+J70+K70+L70+M70-SUM(O70:Y70)</f>
        <v>-100</v>
      </c>
      <c r="O70" s="2"/>
      <c r="P70" s="2"/>
      <c r="Q70" s="2"/>
      <c r="R70" s="19"/>
      <c r="S70" s="2"/>
      <c r="T70" s="2"/>
      <c r="U70" s="19"/>
      <c r="V70" s="2">
        <v>100</v>
      </c>
      <c r="W70" s="2"/>
      <c r="X70" s="2"/>
      <c r="Y70" s="2"/>
      <c r="Z70" s="7">
        <f t="shared" ref="Z70:Z78" si="11">+G70*SUM(H70:M70)</f>
        <v>0</v>
      </c>
      <c r="AA70" s="7">
        <v>288</v>
      </c>
      <c r="AB70" s="7">
        <v>0</v>
      </c>
      <c r="AC70" s="8">
        <f t="shared" ref="AC70:AC78" si="12">+H70*AB70</f>
        <v>0</v>
      </c>
      <c r="AD70" s="8">
        <v>1</v>
      </c>
      <c r="AE70" s="8">
        <f t="shared" ref="AE70:AE78" si="13">+H70*AD70</f>
        <v>0</v>
      </c>
      <c r="AF70" s="8">
        <f t="shared" si="4"/>
        <v>0</v>
      </c>
      <c r="AG70" s="8" t="s">
        <v>113</v>
      </c>
      <c r="AH70" s="8">
        <f t="shared" si="9"/>
        <v>0</v>
      </c>
      <c r="AI70" s="8" t="s">
        <v>119</v>
      </c>
      <c r="AJ70" s="8" t="s">
        <v>121</v>
      </c>
      <c r="AQ70" s="1">
        <v>0</v>
      </c>
    </row>
    <row r="71" spans="2:43" ht="14.45" customHeight="1" x14ac:dyDescent="0.25">
      <c r="B71" s="2" t="s">
        <v>87</v>
      </c>
      <c r="C71" s="2" t="s">
        <v>88</v>
      </c>
      <c r="D71" s="2" t="s">
        <v>73</v>
      </c>
      <c r="E71" s="2" t="s">
        <v>71</v>
      </c>
      <c r="F71" s="2">
        <v>4.4999999999999998E-2</v>
      </c>
      <c r="G71" s="3">
        <v>0.35599999999999998</v>
      </c>
      <c r="H71" s="2">
        <v>0</v>
      </c>
      <c r="I71" s="2"/>
      <c r="J71" s="2"/>
      <c r="K71" s="2"/>
      <c r="L71" s="2"/>
      <c r="M71" s="2"/>
      <c r="N71" s="8">
        <f t="shared" si="10"/>
        <v>-108</v>
      </c>
      <c r="O71" s="2"/>
      <c r="P71" s="2"/>
      <c r="Q71" s="2"/>
      <c r="R71" s="19"/>
      <c r="S71" s="2"/>
      <c r="T71" s="2"/>
      <c r="U71" s="19"/>
      <c r="V71" s="2"/>
      <c r="W71" s="2">
        <v>108</v>
      </c>
      <c r="X71" s="2"/>
      <c r="Y71" s="2"/>
      <c r="Z71" s="7">
        <f t="shared" si="11"/>
        <v>0</v>
      </c>
      <c r="AA71" s="7">
        <v>288</v>
      </c>
      <c r="AB71" s="7">
        <v>1</v>
      </c>
      <c r="AC71" s="8">
        <f t="shared" si="12"/>
        <v>0</v>
      </c>
      <c r="AD71" s="8">
        <v>0</v>
      </c>
      <c r="AE71" s="8">
        <f t="shared" si="13"/>
        <v>0</v>
      </c>
      <c r="AF71" s="8">
        <f t="shared" ref="AF71:AF78" si="14">+AE71*2</f>
        <v>0</v>
      </c>
      <c r="AG71" s="8" t="s">
        <v>112</v>
      </c>
      <c r="AH71" s="8">
        <f t="shared" si="9"/>
        <v>0</v>
      </c>
      <c r="AI71" s="8" t="s">
        <v>119</v>
      </c>
      <c r="AJ71" s="8" t="s">
        <v>121</v>
      </c>
      <c r="AQ71" s="1">
        <v>0</v>
      </c>
    </row>
    <row r="72" spans="2:43" ht="14.45" customHeight="1" x14ac:dyDescent="0.25">
      <c r="B72" s="2" t="s">
        <v>87</v>
      </c>
      <c r="C72" s="2" t="s">
        <v>88</v>
      </c>
      <c r="D72" s="2" t="s">
        <v>74</v>
      </c>
      <c r="E72" s="2" t="s">
        <v>71</v>
      </c>
      <c r="F72" s="2">
        <v>4.4999999999999998E-2</v>
      </c>
      <c r="G72" s="3">
        <v>0.35199999999999998</v>
      </c>
      <c r="H72" s="2">
        <v>384</v>
      </c>
      <c r="I72" s="2"/>
      <c r="J72" s="2"/>
      <c r="K72" s="2"/>
      <c r="L72" s="2"/>
      <c r="M72" s="2"/>
      <c r="N72" s="8">
        <f t="shared" si="10"/>
        <v>-128</v>
      </c>
      <c r="O72" s="2"/>
      <c r="P72" s="2">
        <v>128</v>
      </c>
      <c r="Q72" s="2">
        <v>256</v>
      </c>
      <c r="R72" s="19"/>
      <c r="S72" s="2"/>
      <c r="T72" s="2"/>
      <c r="U72" s="19"/>
      <c r="V72" s="2">
        <v>128</v>
      </c>
      <c r="W72" s="2"/>
      <c r="X72" s="2"/>
      <c r="Y72" s="2"/>
      <c r="Z72" s="7">
        <f t="shared" si="11"/>
        <v>135.16800000000001</v>
      </c>
      <c r="AA72" s="7">
        <v>288</v>
      </c>
      <c r="AB72" s="7">
        <v>1</v>
      </c>
      <c r="AC72" s="8">
        <f t="shared" si="12"/>
        <v>384</v>
      </c>
      <c r="AD72" s="8">
        <v>0</v>
      </c>
      <c r="AE72" s="8">
        <f t="shared" si="13"/>
        <v>0</v>
      </c>
      <c r="AF72" s="8">
        <f t="shared" si="14"/>
        <v>0</v>
      </c>
      <c r="AG72" s="8" t="s">
        <v>114</v>
      </c>
      <c r="AH72" s="8">
        <f t="shared" si="9"/>
        <v>384</v>
      </c>
      <c r="AI72" s="8" t="s">
        <v>119</v>
      </c>
      <c r="AJ72" s="8" t="s">
        <v>121</v>
      </c>
      <c r="AQ72" s="1">
        <v>0</v>
      </c>
    </row>
    <row r="73" spans="2:43" ht="14.45" customHeight="1" x14ac:dyDescent="0.25">
      <c r="B73" s="2" t="s">
        <v>87</v>
      </c>
      <c r="C73" s="2" t="s">
        <v>88</v>
      </c>
      <c r="D73" s="2" t="s">
        <v>75</v>
      </c>
      <c r="E73" s="2" t="s">
        <v>71</v>
      </c>
      <c r="F73" s="2">
        <v>4.4999999999999998E-2</v>
      </c>
      <c r="G73" s="3">
        <v>0.35299999999999998</v>
      </c>
      <c r="H73" s="2">
        <v>0</v>
      </c>
      <c r="I73" s="2"/>
      <c r="J73" s="2"/>
      <c r="K73" s="2"/>
      <c r="L73" s="2"/>
      <c r="M73" s="2"/>
      <c r="N73" s="8">
        <f t="shared" si="10"/>
        <v>0</v>
      </c>
      <c r="O73" s="2"/>
      <c r="P73" s="2"/>
      <c r="Q73" s="2"/>
      <c r="R73" s="19"/>
      <c r="S73" s="2"/>
      <c r="T73" s="2"/>
      <c r="U73" s="19"/>
      <c r="V73" s="2"/>
      <c r="W73" s="2"/>
      <c r="X73" s="2"/>
      <c r="Y73" s="2"/>
      <c r="Z73" s="7">
        <f t="shared" si="11"/>
        <v>0</v>
      </c>
      <c r="AA73" s="7">
        <v>288</v>
      </c>
      <c r="AB73" s="7">
        <v>1</v>
      </c>
      <c r="AC73" s="8">
        <f t="shared" si="12"/>
        <v>0</v>
      </c>
      <c r="AD73" s="8">
        <v>0</v>
      </c>
      <c r="AE73" s="8">
        <f t="shared" si="13"/>
        <v>0</v>
      </c>
      <c r="AF73" s="8">
        <f t="shared" si="14"/>
        <v>0</v>
      </c>
      <c r="AG73" s="8" t="s">
        <v>115</v>
      </c>
      <c r="AH73" s="8">
        <f t="shared" si="9"/>
        <v>0</v>
      </c>
      <c r="AI73" s="8" t="s">
        <v>119</v>
      </c>
      <c r="AJ73" s="8" t="s">
        <v>121</v>
      </c>
      <c r="AQ73" s="1">
        <v>0</v>
      </c>
    </row>
    <row r="74" spans="2:43" ht="14.45" customHeight="1" x14ac:dyDescent="0.25">
      <c r="B74" s="2" t="s">
        <v>87</v>
      </c>
      <c r="C74" s="2" t="s">
        <v>88</v>
      </c>
      <c r="D74" s="2" t="s">
        <v>76</v>
      </c>
      <c r="E74" s="2" t="s">
        <v>71</v>
      </c>
      <c r="F74" s="2">
        <v>4.4999999999999998E-2</v>
      </c>
      <c r="G74" s="3">
        <v>0.35599999999999998</v>
      </c>
      <c r="H74" s="2">
        <v>128</v>
      </c>
      <c r="I74" s="2"/>
      <c r="J74" s="2"/>
      <c r="K74" s="2"/>
      <c r="L74" s="2"/>
      <c r="M74" s="2"/>
      <c r="N74" s="8">
        <f t="shared" si="10"/>
        <v>0</v>
      </c>
      <c r="O74" s="2"/>
      <c r="P74" s="2"/>
      <c r="Q74" s="2"/>
      <c r="R74" s="19"/>
      <c r="S74" s="2"/>
      <c r="T74" s="2"/>
      <c r="U74" s="19">
        <v>128</v>
      </c>
      <c r="V74" s="2"/>
      <c r="W74" s="2"/>
      <c r="X74" s="2"/>
      <c r="Y74" s="2"/>
      <c r="Z74" s="7">
        <f t="shared" si="11"/>
        <v>45.567999999999998</v>
      </c>
      <c r="AA74" s="7">
        <v>288</v>
      </c>
      <c r="AB74" s="7">
        <v>1</v>
      </c>
      <c r="AC74" s="8">
        <f t="shared" si="12"/>
        <v>128</v>
      </c>
      <c r="AD74" s="8">
        <v>0</v>
      </c>
      <c r="AE74" s="8">
        <f t="shared" si="13"/>
        <v>0</v>
      </c>
      <c r="AF74" s="8">
        <f t="shared" si="14"/>
        <v>0</v>
      </c>
      <c r="AG74" s="8" t="s">
        <v>115</v>
      </c>
      <c r="AH74" s="8">
        <f t="shared" si="9"/>
        <v>128</v>
      </c>
      <c r="AI74" s="8" t="s">
        <v>119</v>
      </c>
      <c r="AJ74" s="8" t="s">
        <v>121</v>
      </c>
      <c r="AQ74" s="1">
        <v>0</v>
      </c>
    </row>
    <row r="75" spans="2:43" ht="14.45" customHeight="1" x14ac:dyDescent="0.25">
      <c r="B75" s="2" t="s">
        <v>87</v>
      </c>
      <c r="C75" s="2" t="s">
        <v>88</v>
      </c>
      <c r="D75" s="2" t="s">
        <v>77</v>
      </c>
      <c r="E75" s="2" t="s">
        <v>71</v>
      </c>
      <c r="F75" s="2">
        <v>4.1000000000000002E-2</v>
      </c>
      <c r="G75" s="3">
        <v>0.441</v>
      </c>
      <c r="H75" s="2">
        <v>128</v>
      </c>
      <c r="I75" s="2"/>
      <c r="J75" s="2"/>
      <c r="K75" s="2"/>
      <c r="L75" s="2"/>
      <c r="M75" s="2"/>
      <c r="N75" s="8">
        <f t="shared" si="10"/>
        <v>-128</v>
      </c>
      <c r="O75" s="2"/>
      <c r="P75" s="2"/>
      <c r="Q75" s="2"/>
      <c r="R75" s="19">
        <v>128</v>
      </c>
      <c r="S75" s="2">
        <v>128</v>
      </c>
      <c r="T75" s="2"/>
      <c r="U75" s="19"/>
      <c r="V75" s="2"/>
      <c r="W75" s="2"/>
      <c r="X75" s="2"/>
      <c r="Y75" s="2"/>
      <c r="Z75" s="7">
        <f t="shared" si="11"/>
        <v>56.448</v>
      </c>
      <c r="AA75" s="7">
        <v>288</v>
      </c>
      <c r="AB75" s="7">
        <v>0</v>
      </c>
      <c r="AC75" s="8">
        <f t="shared" si="12"/>
        <v>0</v>
      </c>
      <c r="AD75" s="8">
        <v>0</v>
      </c>
      <c r="AE75" s="8">
        <f t="shared" si="13"/>
        <v>0</v>
      </c>
      <c r="AF75" s="8">
        <f t="shared" si="14"/>
        <v>0</v>
      </c>
      <c r="AG75" s="8" t="s">
        <v>116</v>
      </c>
      <c r="AH75" s="8">
        <f t="shared" si="9"/>
        <v>128</v>
      </c>
      <c r="AI75" s="8" t="s">
        <v>119</v>
      </c>
      <c r="AJ75" s="8" t="s">
        <v>121</v>
      </c>
      <c r="AQ75" s="1">
        <v>0</v>
      </c>
    </row>
    <row r="76" spans="2:43" ht="14.45" customHeight="1" x14ac:dyDescent="0.25">
      <c r="B76" s="2" t="s">
        <v>87</v>
      </c>
      <c r="C76" s="2" t="s">
        <v>88</v>
      </c>
      <c r="D76" s="2" t="s">
        <v>78</v>
      </c>
      <c r="E76" s="2" t="s">
        <v>71</v>
      </c>
      <c r="F76" s="2">
        <v>4.4999999999999998E-2</v>
      </c>
      <c r="G76" s="3">
        <v>0.374</v>
      </c>
      <c r="H76" s="2">
        <v>128</v>
      </c>
      <c r="I76" s="2"/>
      <c r="J76" s="2"/>
      <c r="K76" s="2"/>
      <c r="L76" s="2"/>
      <c r="M76" s="2"/>
      <c r="N76" s="8">
        <f t="shared" si="10"/>
        <v>-147</v>
      </c>
      <c r="O76" s="2"/>
      <c r="P76" s="2"/>
      <c r="Q76" s="2"/>
      <c r="R76" s="19"/>
      <c r="S76" s="2"/>
      <c r="T76" s="2"/>
      <c r="U76" s="19">
        <v>128</v>
      </c>
      <c r="V76" s="2"/>
      <c r="W76" s="2">
        <v>47</v>
      </c>
      <c r="X76" s="2">
        <v>100</v>
      </c>
      <c r="Y76" s="2"/>
      <c r="Z76" s="7">
        <f t="shared" si="11"/>
        <v>47.872</v>
      </c>
      <c r="AA76" s="7">
        <v>288</v>
      </c>
      <c r="AB76" s="7">
        <v>1</v>
      </c>
      <c r="AC76" s="8">
        <f t="shared" si="12"/>
        <v>128</v>
      </c>
      <c r="AD76" s="8">
        <v>0</v>
      </c>
      <c r="AE76" s="8">
        <f t="shared" si="13"/>
        <v>0</v>
      </c>
      <c r="AF76" s="8">
        <f t="shared" si="14"/>
        <v>0</v>
      </c>
      <c r="AG76" s="8" t="s">
        <v>112</v>
      </c>
      <c r="AH76" s="8">
        <f t="shared" si="9"/>
        <v>128</v>
      </c>
      <c r="AI76" s="8" t="s">
        <v>119</v>
      </c>
      <c r="AJ76" s="8" t="s">
        <v>121</v>
      </c>
      <c r="AQ76" s="1">
        <v>128</v>
      </c>
    </row>
    <row r="77" spans="2:43" ht="14.45" customHeight="1" x14ac:dyDescent="0.25">
      <c r="B77" s="2" t="s">
        <v>87</v>
      </c>
      <c r="C77" s="2" t="s">
        <v>88</v>
      </c>
      <c r="D77" s="2" t="s">
        <v>79</v>
      </c>
      <c r="E77" s="2" t="s">
        <v>71</v>
      </c>
      <c r="F77" s="2">
        <v>4.1000000000000002E-2</v>
      </c>
      <c r="G77" s="3">
        <v>0.41599999999999998</v>
      </c>
      <c r="H77" s="2">
        <v>0</v>
      </c>
      <c r="I77" s="2"/>
      <c r="J77" s="2"/>
      <c r="K77" s="2"/>
      <c r="L77" s="2"/>
      <c r="M77" s="2"/>
      <c r="N77" s="8">
        <f t="shared" si="10"/>
        <v>0</v>
      </c>
      <c r="O77" s="2"/>
      <c r="P77" s="2"/>
      <c r="Q77" s="2"/>
      <c r="R77" s="19"/>
      <c r="S77" s="2"/>
      <c r="T77" s="2"/>
      <c r="U77" s="19"/>
      <c r="V77" s="2"/>
      <c r="W77" s="2"/>
      <c r="X77" s="2"/>
      <c r="Y77" s="2"/>
      <c r="Z77" s="7">
        <f t="shared" si="11"/>
        <v>0</v>
      </c>
      <c r="AA77" s="7">
        <v>288</v>
      </c>
      <c r="AB77" s="7">
        <v>0</v>
      </c>
      <c r="AC77" s="8">
        <f t="shared" si="12"/>
        <v>0</v>
      </c>
      <c r="AD77" s="8">
        <v>1</v>
      </c>
      <c r="AE77" s="8">
        <f t="shared" si="13"/>
        <v>0</v>
      </c>
      <c r="AF77" s="8">
        <f t="shared" si="14"/>
        <v>0</v>
      </c>
      <c r="AG77" s="8" t="s">
        <v>117</v>
      </c>
      <c r="AH77" s="8">
        <f t="shared" si="9"/>
        <v>0</v>
      </c>
      <c r="AI77" s="8" t="s">
        <v>119</v>
      </c>
      <c r="AJ77" s="8" t="s">
        <v>121</v>
      </c>
      <c r="AQ77" s="1">
        <v>0</v>
      </c>
    </row>
    <row r="78" spans="2:43" ht="14.45" customHeight="1" x14ac:dyDescent="0.25">
      <c r="B78" s="2" t="s">
        <v>87</v>
      </c>
      <c r="C78" s="2" t="s">
        <v>88</v>
      </c>
      <c r="D78" s="2" t="s">
        <v>80</v>
      </c>
      <c r="E78" s="2" t="s">
        <v>71</v>
      </c>
      <c r="F78" s="2">
        <v>4.4999999999999998E-2</v>
      </c>
      <c r="G78" s="3">
        <v>0.39500000000000002</v>
      </c>
      <c r="H78" s="2">
        <v>384</v>
      </c>
      <c r="I78" s="2"/>
      <c r="J78" s="2"/>
      <c r="K78" s="2"/>
      <c r="L78" s="2"/>
      <c r="M78" s="2"/>
      <c r="N78" s="8">
        <f t="shared" si="10"/>
        <v>-128</v>
      </c>
      <c r="O78" s="2"/>
      <c r="P78" s="2">
        <v>384</v>
      </c>
      <c r="Q78" s="2">
        <v>128</v>
      </c>
      <c r="R78" s="19"/>
      <c r="S78" s="2"/>
      <c r="T78" s="2"/>
      <c r="U78" s="19"/>
      <c r="V78" s="2"/>
      <c r="W78" s="2"/>
      <c r="X78" s="2"/>
      <c r="Y78" s="2"/>
      <c r="Z78" s="7">
        <f t="shared" si="11"/>
        <v>151.68</v>
      </c>
      <c r="AA78" s="7">
        <v>288</v>
      </c>
      <c r="AB78" s="7">
        <v>1</v>
      </c>
      <c r="AC78" s="8">
        <f t="shared" si="12"/>
        <v>384</v>
      </c>
      <c r="AD78" s="8">
        <v>0</v>
      </c>
      <c r="AE78" s="8">
        <f t="shared" si="13"/>
        <v>0</v>
      </c>
      <c r="AF78" s="8">
        <f t="shared" si="14"/>
        <v>0</v>
      </c>
      <c r="AG78" s="8" t="s">
        <v>112</v>
      </c>
      <c r="AH78" s="8">
        <f t="shared" si="9"/>
        <v>384</v>
      </c>
      <c r="AI78" s="8" t="s">
        <v>119</v>
      </c>
      <c r="AJ78" s="8" t="s">
        <v>121</v>
      </c>
      <c r="AQ78" s="1">
        <v>0</v>
      </c>
    </row>
    <row r="79" spans="2:43" x14ac:dyDescent="0.25">
      <c r="G79" s="4" t="s">
        <v>102</v>
      </c>
      <c r="H79" s="9">
        <f>SUM(H6:H78)</f>
        <v>61564</v>
      </c>
      <c r="I79" s="9">
        <f t="shared" ref="I79:M79" si="15">SUM(I6:I78)</f>
        <v>12040</v>
      </c>
      <c r="J79" s="9">
        <f t="shared" si="15"/>
        <v>0</v>
      </c>
      <c r="K79" s="9">
        <f t="shared" si="15"/>
        <v>0</v>
      </c>
      <c r="L79" s="9">
        <f t="shared" si="15"/>
        <v>0</v>
      </c>
      <c r="M79" s="9">
        <f t="shared" si="15"/>
        <v>0</v>
      </c>
      <c r="N79" s="13">
        <f>SUM(N6:N78)</f>
        <v>16616</v>
      </c>
      <c r="O79" s="9">
        <f t="shared" ref="O79:AF79" si="16">SUM(O6:O78)</f>
        <v>6330</v>
      </c>
      <c r="P79" s="9">
        <f t="shared" si="16"/>
        <v>8275</v>
      </c>
      <c r="Q79" s="9">
        <f t="shared" si="16"/>
        <v>6251</v>
      </c>
      <c r="R79" s="9">
        <f t="shared" si="16"/>
        <v>5070</v>
      </c>
      <c r="S79" s="9">
        <f t="shared" si="16"/>
        <v>9374</v>
      </c>
      <c r="T79" s="9">
        <f t="shared" si="16"/>
        <v>4054</v>
      </c>
      <c r="U79" s="9">
        <f t="shared" si="16"/>
        <v>3032</v>
      </c>
      <c r="V79" s="9">
        <f t="shared" si="16"/>
        <v>5430</v>
      </c>
      <c r="W79" s="9">
        <f t="shared" si="16"/>
        <v>3095</v>
      </c>
      <c r="X79" s="9">
        <f t="shared" si="16"/>
        <v>5892</v>
      </c>
      <c r="Y79" s="9">
        <f t="shared" si="16"/>
        <v>185</v>
      </c>
      <c r="Z79" s="9">
        <f t="shared" si="16"/>
        <v>6608.8170000000009</v>
      </c>
      <c r="AA79" s="9"/>
      <c r="AB79" s="10">
        <f t="shared" si="16"/>
        <v>14</v>
      </c>
      <c r="AC79" s="11">
        <f t="shared" si="16"/>
        <v>3760</v>
      </c>
      <c r="AD79" s="11">
        <f t="shared" si="16"/>
        <v>2</v>
      </c>
      <c r="AE79" s="11">
        <f t="shared" si="16"/>
        <v>0</v>
      </c>
      <c r="AF79" s="11">
        <f t="shared" si="16"/>
        <v>0</v>
      </c>
      <c r="AH79" s="11">
        <f>SUM(AH6:AH78)</f>
        <v>5684</v>
      </c>
    </row>
    <row r="80" spans="2:43" ht="14.45" customHeight="1" x14ac:dyDescent="0.25">
      <c r="G80" s="4" t="s">
        <v>108</v>
      </c>
      <c r="H80" s="91">
        <f>+H79+I79+J79+K79+L79+M79</f>
        <v>73604</v>
      </c>
      <c r="I80" s="91"/>
      <c r="J80" s="91"/>
      <c r="K80" s="91"/>
      <c r="L80" s="91"/>
      <c r="M80" s="91"/>
      <c r="O80" s="108">
        <f>+O79+P79</f>
        <v>14605</v>
      </c>
      <c r="P80" s="86"/>
      <c r="Q80" s="108">
        <f>+Q79+R79</f>
        <v>11321</v>
      </c>
      <c r="R80" s="86"/>
      <c r="S80" s="108">
        <f>+S79+T79</f>
        <v>13428</v>
      </c>
      <c r="T80" s="86"/>
      <c r="U80" s="108">
        <f t="shared" ref="U80" si="17">+U79+V79</f>
        <v>8462</v>
      </c>
      <c r="V80" s="86"/>
      <c r="W80" s="108">
        <f>+W79+X79</f>
        <v>8987</v>
      </c>
      <c r="X80" s="86"/>
      <c r="Y80" s="12">
        <f>+Y79</f>
        <v>185</v>
      </c>
    </row>
    <row r="81" spans="1:13" x14ac:dyDescent="0.25">
      <c r="H81" s="1">
        <v>0</v>
      </c>
      <c r="I81" s="1">
        <f>SUM(I13:I78)</f>
        <v>5692</v>
      </c>
      <c r="J81" s="1">
        <f>SUM(J13:J78)</f>
        <v>0</v>
      </c>
      <c r="K81" s="1">
        <f t="shared" ref="K81:M81" si="18">SUM(K13:K78)</f>
        <v>0</v>
      </c>
      <c r="L81" s="1">
        <f t="shared" si="18"/>
        <v>0</v>
      </c>
      <c r="M81" s="1">
        <f t="shared" si="18"/>
        <v>0</v>
      </c>
    </row>
    <row r="83" spans="1:13" x14ac:dyDescent="0.25">
      <c r="C83" s="2" t="s">
        <v>143</v>
      </c>
      <c r="D83" s="2" t="s">
        <v>144</v>
      </c>
      <c r="E83" s="2" t="s">
        <v>145</v>
      </c>
    </row>
    <row r="84" spans="1:13" x14ac:dyDescent="0.25">
      <c r="B84" s="2" t="s">
        <v>138</v>
      </c>
      <c r="C84" s="8">
        <v>50964</v>
      </c>
      <c r="D84" s="2">
        <f>+C84/5</f>
        <v>10192.799999999999</v>
      </c>
      <c r="E84" s="2">
        <f>+D84/2</f>
        <v>5096.3999999999996</v>
      </c>
    </row>
    <row r="85" spans="1:13" x14ac:dyDescent="0.25">
      <c r="B85" s="2" t="s">
        <v>142</v>
      </c>
      <c r="C85" s="8">
        <v>14062</v>
      </c>
    </row>
    <row r="86" spans="1:13" x14ac:dyDescent="0.25">
      <c r="B86" s="2" t="s">
        <v>139</v>
      </c>
      <c r="C86" s="2">
        <f>+C84-C85</f>
        <v>36902</v>
      </c>
    </row>
    <row r="87" spans="1:13" x14ac:dyDescent="0.25">
      <c r="B87" s="2" t="s">
        <v>136</v>
      </c>
      <c r="C87" s="25">
        <f>+C86/C84</f>
        <v>0.72407974256337804</v>
      </c>
    </row>
    <row r="88" spans="1:13" x14ac:dyDescent="0.25">
      <c r="B88" s="2" t="s">
        <v>137</v>
      </c>
      <c r="C88" s="25">
        <f>+C85/C84</f>
        <v>0.27592025743662191</v>
      </c>
    </row>
    <row r="90" spans="1:13" x14ac:dyDescent="0.25">
      <c r="A90" s="83" t="s">
        <v>171</v>
      </c>
      <c r="B90" s="84"/>
      <c r="C90" s="84"/>
      <c r="D90" s="84"/>
      <c r="E90" s="84"/>
      <c r="F90" s="85"/>
    </row>
    <row r="91" spans="1:13" x14ac:dyDescent="0.25">
      <c r="A91" s="86" t="s">
        <v>175</v>
      </c>
      <c r="B91" s="44">
        <v>46258</v>
      </c>
      <c r="C91" s="44">
        <v>46259</v>
      </c>
      <c r="D91" s="44">
        <v>46260</v>
      </c>
      <c r="E91" s="44">
        <v>46261</v>
      </c>
      <c r="F91" s="44">
        <v>46262</v>
      </c>
    </row>
    <row r="92" spans="1:13" x14ac:dyDescent="0.25">
      <c r="A92" s="86"/>
      <c r="B92" s="45" t="s">
        <v>148</v>
      </c>
      <c r="C92" s="4" t="s">
        <v>149</v>
      </c>
      <c r="D92" s="4" t="s">
        <v>150</v>
      </c>
      <c r="E92" s="4" t="s">
        <v>151</v>
      </c>
      <c r="F92" s="4" t="s">
        <v>160</v>
      </c>
    </row>
    <row r="93" spans="1:13" x14ac:dyDescent="0.25">
      <c r="A93" s="11" t="s">
        <v>153</v>
      </c>
      <c r="B93" s="35">
        <v>0.13</v>
      </c>
      <c r="C93" s="35">
        <v>0.34</v>
      </c>
      <c r="D93" s="35">
        <v>0.5</v>
      </c>
      <c r="E93" s="35">
        <v>0.61</v>
      </c>
      <c r="F93" s="35">
        <v>0.72</v>
      </c>
    </row>
    <row r="94" spans="1:13" x14ac:dyDescent="0.25">
      <c r="A94" s="11" t="s">
        <v>154</v>
      </c>
      <c r="B94" s="35">
        <v>0.87</v>
      </c>
      <c r="C94" s="35">
        <v>0.66</v>
      </c>
      <c r="D94" s="35">
        <v>0.5</v>
      </c>
      <c r="E94" s="35">
        <v>0.39</v>
      </c>
      <c r="F94" s="35">
        <v>0.28000000000000003</v>
      </c>
    </row>
  </sheetData>
  <autoFilter ref="B5:AJ80" xr:uid="{00000000-0009-0000-0000-000008000000}"/>
  <mergeCells count="16">
    <mergeCell ref="Q4:R4"/>
    <mergeCell ref="S4:T4"/>
    <mergeCell ref="W4:X4"/>
    <mergeCell ref="H80:M80"/>
    <mergeCell ref="O80:P80"/>
    <mergeCell ref="Q80:R80"/>
    <mergeCell ref="S80:T80"/>
    <mergeCell ref="U80:V80"/>
    <mergeCell ref="W80:X80"/>
    <mergeCell ref="U4:V4"/>
    <mergeCell ref="I4:M4"/>
    <mergeCell ref="A90:F90"/>
    <mergeCell ref="A91:A92"/>
    <mergeCell ref="C2:D2"/>
    <mergeCell ref="B3:B4"/>
    <mergeCell ref="O4:P4"/>
  </mergeCells>
  <pageMargins left="0.70866141732283472" right="0.70866141732283472" top="0.74803149606299213" bottom="0.74803149606299213" header="0.31496062992125984" footer="0.31496062992125984"/>
  <pageSetup paperSize="9" scale="22" orientation="portrait"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 filterMode="1">
    <pageSetUpPr fitToPage="1"/>
  </sheetPr>
  <dimension ref="A1:AQ94"/>
  <sheetViews>
    <sheetView zoomScale="80" zoomScaleNormal="85" workbookViewId="0">
      <pane xSplit="14" topLeftCell="O1" activePane="topRight" state="frozen"/>
      <selection activeCell="B2" sqref="B2"/>
      <selection pane="topRight" activeCell="A90" sqref="A90:F94"/>
    </sheetView>
  </sheetViews>
  <sheetFormatPr baseColWidth="10" defaultColWidth="8.7109375" defaultRowHeight="15" x14ac:dyDescent="0.25"/>
  <cols>
    <col min="1" max="1" width="10.140625" style="1" bestFit="1" customWidth="1"/>
    <col min="2" max="2" width="17.7109375" style="1" bestFit="1" customWidth="1"/>
    <col min="3" max="3" width="14.42578125" style="1" bestFit="1" customWidth="1"/>
    <col min="4" max="4" width="19.140625" style="1" customWidth="1"/>
    <col min="5" max="5" width="14.5703125" style="1" bestFit="1" customWidth="1"/>
    <col min="6" max="6" width="19.7109375" style="1" customWidth="1"/>
    <col min="7" max="7" width="15.42578125" style="1" bestFit="1" customWidth="1"/>
    <col min="8" max="8" width="10.7109375" style="1" customWidth="1"/>
    <col min="9" max="9" width="10.140625" style="1" customWidth="1"/>
    <col min="10" max="10" width="12.28515625" style="1" hidden="1" customWidth="1"/>
    <col min="11" max="11" width="10" style="1" hidden="1" customWidth="1"/>
    <col min="12" max="12" width="9" style="1" hidden="1" customWidth="1"/>
    <col min="13" max="13" width="5.5703125" style="1" hidden="1" customWidth="1"/>
    <col min="14" max="14" width="10.140625" style="1" bestFit="1" customWidth="1"/>
    <col min="15" max="16" width="9.140625" style="1" bestFit="1" customWidth="1"/>
    <col min="17" max="27" width="8.7109375" style="1"/>
    <col min="28" max="28" width="8.7109375" style="1" customWidth="1"/>
    <col min="29" max="29" width="8.7109375" style="1"/>
    <col min="30" max="30" width="0" style="1" hidden="1" customWidth="1"/>
    <col min="31" max="32" width="8.7109375" style="1"/>
    <col min="33" max="33" width="10" style="1" bestFit="1" customWidth="1"/>
    <col min="34" max="34" width="10" style="1" customWidth="1"/>
    <col min="35" max="35" width="13" style="1" bestFit="1" customWidth="1"/>
    <col min="36" max="36" width="11.5703125" style="1" bestFit="1" customWidth="1"/>
    <col min="37" max="37" width="8.7109375" style="1"/>
    <col min="38" max="38" width="12.85546875" style="1" customWidth="1"/>
    <col min="39" max="39" width="16.5703125" style="1" customWidth="1"/>
    <col min="40" max="16384" width="8.7109375" style="1"/>
  </cols>
  <sheetData>
    <row r="1" spans="1:43" x14ac:dyDescent="0.25">
      <c r="R1" s="17"/>
      <c r="U1" s="17"/>
    </row>
    <row r="2" spans="1:43" x14ac:dyDescent="0.25">
      <c r="B2" s="4" t="s">
        <v>99</v>
      </c>
      <c r="C2" s="88" t="s">
        <v>100</v>
      </c>
      <c r="D2" s="88"/>
      <c r="R2" s="17"/>
      <c r="U2" s="17"/>
    </row>
    <row r="3" spans="1:43" x14ac:dyDescent="0.25">
      <c r="B3" s="89">
        <f ca="1">TODAY()</f>
        <v>46309</v>
      </c>
      <c r="C3" s="4" t="s">
        <v>97</v>
      </c>
      <c r="D3" s="2" t="s">
        <v>127</v>
      </c>
      <c r="H3" s="4" t="s">
        <v>84</v>
      </c>
      <c r="R3" s="17"/>
      <c r="U3" s="17"/>
    </row>
    <row r="4" spans="1:43" x14ac:dyDescent="0.25">
      <c r="B4" s="89"/>
      <c r="C4" s="4" t="s">
        <v>98</v>
      </c>
      <c r="D4" s="2"/>
      <c r="H4" s="4" t="s">
        <v>85</v>
      </c>
      <c r="I4" s="90" t="s">
        <v>146</v>
      </c>
      <c r="J4" s="90"/>
      <c r="K4" s="90"/>
      <c r="L4" s="90"/>
      <c r="M4" s="90"/>
      <c r="O4" s="87">
        <v>46265</v>
      </c>
      <c r="P4" s="87"/>
      <c r="Q4" s="87">
        <v>46266</v>
      </c>
      <c r="R4" s="87"/>
      <c r="S4" s="87">
        <v>46267</v>
      </c>
      <c r="T4" s="87"/>
      <c r="U4" s="87">
        <v>46268</v>
      </c>
      <c r="V4" s="87"/>
      <c r="W4" s="87">
        <v>46269</v>
      </c>
      <c r="X4" s="87"/>
      <c r="Y4" s="6" t="s">
        <v>92</v>
      </c>
    </row>
    <row r="5" spans="1:43" x14ac:dyDescent="0.25">
      <c r="B5" s="4" t="s">
        <v>0</v>
      </c>
      <c r="C5" s="4" t="s">
        <v>86</v>
      </c>
      <c r="D5" s="4" t="s">
        <v>89</v>
      </c>
      <c r="E5" s="4" t="s">
        <v>81</v>
      </c>
      <c r="F5" s="4" t="s">
        <v>82</v>
      </c>
      <c r="G5" s="4" t="s">
        <v>83</v>
      </c>
      <c r="H5" s="5">
        <v>36</v>
      </c>
      <c r="I5" s="4" t="s">
        <v>177</v>
      </c>
      <c r="J5" s="4" t="s">
        <v>91</v>
      </c>
      <c r="K5" s="4" t="s">
        <v>93</v>
      </c>
      <c r="L5" s="4" t="s">
        <v>94</v>
      </c>
      <c r="M5" s="4" t="s">
        <v>95</v>
      </c>
      <c r="N5" s="4" t="s">
        <v>96</v>
      </c>
      <c r="O5" s="4" t="s">
        <v>97</v>
      </c>
      <c r="P5" s="4" t="s">
        <v>98</v>
      </c>
      <c r="Q5" s="4" t="s">
        <v>97</v>
      </c>
      <c r="R5" s="18" t="s">
        <v>98</v>
      </c>
      <c r="S5" s="4" t="s">
        <v>97</v>
      </c>
      <c r="T5" s="4" t="s">
        <v>98</v>
      </c>
      <c r="U5" s="18" t="s">
        <v>97</v>
      </c>
      <c r="V5" s="4" t="s">
        <v>98</v>
      </c>
      <c r="W5" s="4" t="s">
        <v>97</v>
      </c>
      <c r="X5" s="4" t="s">
        <v>98</v>
      </c>
      <c r="Y5" s="4" t="s">
        <v>104</v>
      </c>
      <c r="Z5" s="4" t="s">
        <v>90</v>
      </c>
      <c r="AA5" s="4" t="s">
        <v>126</v>
      </c>
      <c r="AB5" s="4" t="s">
        <v>105</v>
      </c>
      <c r="AC5" s="4" t="s">
        <v>105</v>
      </c>
      <c r="AD5" s="4" t="s">
        <v>106</v>
      </c>
      <c r="AE5" s="4" t="s">
        <v>106</v>
      </c>
      <c r="AF5" s="4" t="s">
        <v>107</v>
      </c>
      <c r="AG5" s="4" t="s">
        <v>109</v>
      </c>
      <c r="AH5" s="4" t="s">
        <v>122</v>
      </c>
      <c r="AI5" s="4" t="s">
        <v>118</v>
      </c>
      <c r="AJ5" s="4" t="s">
        <v>120</v>
      </c>
      <c r="AL5" s="15" t="s">
        <v>123</v>
      </c>
      <c r="AM5" s="15" t="s">
        <v>125</v>
      </c>
      <c r="AN5"/>
    </row>
    <row r="6" spans="1:43" x14ac:dyDescent="0.25">
      <c r="B6" s="2" t="s">
        <v>87</v>
      </c>
      <c r="C6" s="2" t="s">
        <v>88</v>
      </c>
      <c r="D6" s="2" t="s">
        <v>1</v>
      </c>
      <c r="E6" s="2" t="s">
        <v>2</v>
      </c>
      <c r="F6" s="2">
        <v>0.42</v>
      </c>
      <c r="G6" s="3">
        <v>0.02</v>
      </c>
      <c r="H6" s="2">
        <v>6100</v>
      </c>
      <c r="I6" s="2">
        <v>4750</v>
      </c>
      <c r="J6" s="2"/>
      <c r="K6" s="2"/>
      <c r="L6" s="2"/>
      <c r="M6" s="2"/>
      <c r="N6" s="8">
        <f t="shared" ref="N6:N37" si="0">+H6+I6+J6+K6+L6+M6-SUM(O6:Y6)</f>
        <v>3930</v>
      </c>
      <c r="O6" s="2"/>
      <c r="P6" s="2">
        <v>2170</v>
      </c>
      <c r="Q6" s="2"/>
      <c r="R6" s="19"/>
      <c r="S6" s="2"/>
      <c r="T6" s="2"/>
      <c r="U6" s="19"/>
      <c r="V6" s="2"/>
      <c r="W6" s="2"/>
      <c r="X6" s="2"/>
      <c r="Y6" s="2">
        <v>4750</v>
      </c>
      <c r="Z6" s="7">
        <f t="shared" ref="Z6:Z37" si="1">+G6*SUM(H6:M6)</f>
        <v>217</v>
      </c>
      <c r="AA6" s="7">
        <v>1000</v>
      </c>
      <c r="AB6" s="7">
        <v>0</v>
      </c>
      <c r="AC6" s="8">
        <f t="shared" ref="AC6:AC37" si="2">+H6*AB6</f>
        <v>0</v>
      </c>
      <c r="AD6" s="8">
        <v>0</v>
      </c>
      <c r="AE6" s="8">
        <f t="shared" ref="AE6:AE37" si="3">+H6*AD6</f>
        <v>0</v>
      </c>
      <c r="AF6" s="8">
        <f>+AE6*2</f>
        <v>0</v>
      </c>
      <c r="AG6" s="8">
        <v>0</v>
      </c>
      <c r="AH6" s="8">
        <v>0</v>
      </c>
      <c r="AI6" s="8" t="s">
        <v>119</v>
      </c>
      <c r="AJ6" s="8" t="s">
        <v>121</v>
      </c>
      <c r="AL6" s="14">
        <v>0</v>
      </c>
      <c r="AM6" s="15">
        <v>0</v>
      </c>
      <c r="AN6"/>
      <c r="AQ6" s="1">
        <v>5600</v>
      </c>
    </row>
    <row r="7" spans="1:43" x14ac:dyDescent="0.25">
      <c r="B7" s="2" t="s">
        <v>87</v>
      </c>
      <c r="C7" s="2" t="s">
        <v>88</v>
      </c>
      <c r="D7" s="2" t="s">
        <v>3</v>
      </c>
      <c r="E7" s="2" t="s">
        <v>2</v>
      </c>
      <c r="F7" s="2">
        <v>0.42</v>
      </c>
      <c r="G7" s="3">
        <v>3.1E-2</v>
      </c>
      <c r="H7" s="2">
        <v>2700</v>
      </c>
      <c r="I7" s="2">
        <v>1866</v>
      </c>
      <c r="J7" s="2"/>
      <c r="K7" s="2"/>
      <c r="L7" s="2"/>
      <c r="M7" s="2"/>
      <c r="N7" s="8">
        <f t="shared" si="0"/>
        <v>1500</v>
      </c>
      <c r="O7" s="2"/>
      <c r="P7" s="2"/>
      <c r="Q7" s="2"/>
      <c r="R7" s="19">
        <v>1200</v>
      </c>
      <c r="S7" s="2"/>
      <c r="T7" s="2"/>
      <c r="U7" s="19"/>
      <c r="V7" s="2"/>
      <c r="W7" s="2"/>
      <c r="X7" s="2"/>
      <c r="Y7" s="2">
        <v>1866</v>
      </c>
      <c r="Z7" s="7">
        <f t="shared" si="1"/>
        <v>141.54599999999999</v>
      </c>
      <c r="AA7" s="7">
        <v>1000</v>
      </c>
      <c r="AB7" s="7">
        <v>0</v>
      </c>
      <c r="AC7" s="8">
        <f t="shared" si="2"/>
        <v>0</v>
      </c>
      <c r="AD7" s="8">
        <v>0</v>
      </c>
      <c r="AE7" s="8">
        <f t="shared" si="3"/>
        <v>0</v>
      </c>
      <c r="AF7" s="8">
        <f t="shared" ref="AF7:AF70" si="4">+AE7*2</f>
        <v>0</v>
      </c>
      <c r="AG7" s="8">
        <v>0</v>
      </c>
      <c r="AH7" s="8">
        <v>0</v>
      </c>
      <c r="AI7" s="8" t="s">
        <v>119</v>
      </c>
      <c r="AJ7" s="8" t="s">
        <v>121</v>
      </c>
      <c r="AL7" s="14" t="s">
        <v>117</v>
      </c>
      <c r="AM7" s="15">
        <v>128</v>
      </c>
      <c r="AN7"/>
      <c r="AQ7" s="1">
        <v>4338</v>
      </c>
    </row>
    <row r="8" spans="1:43" x14ac:dyDescent="0.25">
      <c r="B8" s="2" t="s">
        <v>87</v>
      </c>
      <c r="C8" s="2" t="s">
        <v>88</v>
      </c>
      <c r="D8" s="2" t="s">
        <v>4</v>
      </c>
      <c r="E8" s="2" t="s">
        <v>2</v>
      </c>
      <c r="F8" s="2">
        <v>0.42</v>
      </c>
      <c r="G8" s="3">
        <v>3.3000000000000002E-2</v>
      </c>
      <c r="H8" s="2">
        <v>1700</v>
      </c>
      <c r="I8" s="2">
        <v>0</v>
      </c>
      <c r="J8" s="2"/>
      <c r="K8" s="2"/>
      <c r="L8" s="2"/>
      <c r="M8" s="2"/>
      <c r="N8" s="8">
        <f t="shared" si="0"/>
        <v>538</v>
      </c>
      <c r="O8" s="2"/>
      <c r="P8" s="2"/>
      <c r="Q8" s="2"/>
      <c r="R8" s="19"/>
      <c r="S8" s="2"/>
      <c r="T8" s="2">
        <v>1162</v>
      </c>
      <c r="U8" s="19"/>
      <c r="V8" s="2"/>
      <c r="W8" s="2"/>
      <c r="X8" s="2"/>
      <c r="Y8" s="2"/>
      <c r="Z8" s="7">
        <f t="shared" si="1"/>
        <v>56.1</v>
      </c>
      <c r="AA8" s="7">
        <v>1000</v>
      </c>
      <c r="AB8" s="7">
        <v>0</v>
      </c>
      <c r="AC8" s="8">
        <f t="shared" si="2"/>
        <v>0</v>
      </c>
      <c r="AD8" s="8">
        <v>0</v>
      </c>
      <c r="AE8" s="8">
        <f t="shared" si="3"/>
        <v>0</v>
      </c>
      <c r="AF8" s="8">
        <f t="shared" si="4"/>
        <v>0</v>
      </c>
      <c r="AG8" s="8">
        <v>0</v>
      </c>
      <c r="AH8" s="8">
        <v>0</v>
      </c>
      <c r="AI8" s="8" t="s">
        <v>119</v>
      </c>
      <c r="AJ8" s="8" t="s">
        <v>121</v>
      </c>
      <c r="AL8" s="14" t="s">
        <v>113</v>
      </c>
      <c r="AM8" s="15">
        <v>0</v>
      </c>
      <c r="AN8"/>
      <c r="AQ8" s="1">
        <v>1300</v>
      </c>
    </row>
    <row r="9" spans="1:43" hidden="1" x14ac:dyDescent="0.25">
      <c r="B9" s="2" t="s">
        <v>87</v>
      </c>
      <c r="C9" s="2" t="s">
        <v>88</v>
      </c>
      <c r="D9" s="2" t="s">
        <v>5</v>
      </c>
      <c r="E9" s="2" t="s">
        <v>2</v>
      </c>
      <c r="F9" s="2">
        <v>0.42</v>
      </c>
      <c r="G9" s="3">
        <v>1.9E-2</v>
      </c>
      <c r="H9" s="2">
        <v>0</v>
      </c>
      <c r="I9" s="2">
        <v>0</v>
      </c>
      <c r="J9" s="2"/>
      <c r="K9" s="2"/>
      <c r="L9" s="2"/>
      <c r="M9" s="2"/>
      <c r="N9" s="8">
        <f t="shared" si="0"/>
        <v>0</v>
      </c>
      <c r="O9" s="2"/>
      <c r="P9" s="2"/>
      <c r="Q9" s="2"/>
      <c r="R9" s="19"/>
      <c r="S9" s="2"/>
      <c r="T9" s="2"/>
      <c r="U9" s="19"/>
      <c r="V9" s="2"/>
      <c r="W9" s="2"/>
      <c r="X9" s="2"/>
      <c r="Y9" s="2"/>
      <c r="Z9" s="7">
        <f t="shared" si="1"/>
        <v>0</v>
      </c>
      <c r="AA9" s="7">
        <v>1000</v>
      </c>
      <c r="AB9" s="7">
        <v>0</v>
      </c>
      <c r="AC9" s="8">
        <f t="shared" si="2"/>
        <v>0</v>
      </c>
      <c r="AD9" s="8">
        <v>0</v>
      </c>
      <c r="AE9" s="8">
        <f t="shared" si="3"/>
        <v>0</v>
      </c>
      <c r="AF9" s="8">
        <f t="shared" si="4"/>
        <v>0</v>
      </c>
      <c r="AG9" s="8">
        <v>0</v>
      </c>
      <c r="AH9" s="8">
        <v>0</v>
      </c>
      <c r="AI9" s="8" t="s">
        <v>119</v>
      </c>
      <c r="AJ9" s="8" t="s">
        <v>121</v>
      </c>
      <c r="AL9" s="14" t="s">
        <v>110</v>
      </c>
      <c r="AM9" s="15">
        <v>864</v>
      </c>
      <c r="AN9"/>
      <c r="AQ9" s="1">
        <v>0</v>
      </c>
    </row>
    <row r="10" spans="1:43" hidden="1" x14ac:dyDescent="0.25">
      <c r="B10" s="2" t="s">
        <v>87</v>
      </c>
      <c r="C10" s="2" t="s">
        <v>88</v>
      </c>
      <c r="D10" s="2" t="s">
        <v>6</v>
      </c>
      <c r="E10" s="2" t="s">
        <v>2</v>
      </c>
      <c r="F10" s="2">
        <v>0.42</v>
      </c>
      <c r="G10" s="3">
        <v>0.03</v>
      </c>
      <c r="H10" s="2">
        <v>600</v>
      </c>
      <c r="I10" s="2">
        <v>400</v>
      </c>
      <c r="J10" s="2"/>
      <c r="K10" s="2"/>
      <c r="L10" s="2"/>
      <c r="M10" s="2"/>
      <c r="N10" s="8">
        <f t="shared" si="0"/>
        <v>-100</v>
      </c>
      <c r="O10" s="2"/>
      <c r="P10" s="2">
        <v>700</v>
      </c>
      <c r="Q10" s="2"/>
      <c r="R10" s="19"/>
      <c r="S10" s="2"/>
      <c r="T10" s="2"/>
      <c r="U10" s="19"/>
      <c r="V10" s="2"/>
      <c r="W10" s="2"/>
      <c r="X10" s="2"/>
      <c r="Y10" s="2">
        <v>400</v>
      </c>
      <c r="Z10" s="7">
        <f t="shared" si="1"/>
        <v>30</v>
      </c>
      <c r="AA10" s="7">
        <v>1000</v>
      </c>
      <c r="AB10" s="7">
        <v>0</v>
      </c>
      <c r="AC10" s="8">
        <f t="shared" si="2"/>
        <v>0</v>
      </c>
      <c r="AD10" s="8">
        <v>0</v>
      </c>
      <c r="AE10" s="8">
        <f t="shared" si="3"/>
        <v>0</v>
      </c>
      <c r="AF10" s="8">
        <f t="shared" si="4"/>
        <v>0</v>
      </c>
      <c r="AG10" s="8">
        <v>0</v>
      </c>
      <c r="AH10" s="8">
        <v>0</v>
      </c>
      <c r="AI10" s="8" t="s">
        <v>119</v>
      </c>
      <c r="AJ10" s="8" t="s">
        <v>121</v>
      </c>
      <c r="AL10" s="14" t="s">
        <v>116</v>
      </c>
      <c r="AM10" s="15">
        <v>0</v>
      </c>
      <c r="AN10"/>
      <c r="AQ10" s="1">
        <v>1000</v>
      </c>
    </row>
    <row r="11" spans="1:43" hidden="1" x14ac:dyDescent="0.25">
      <c r="A11" s="1">
        <v>500</v>
      </c>
      <c r="B11" s="2" t="s">
        <v>87</v>
      </c>
      <c r="C11" s="2" t="s">
        <v>88</v>
      </c>
      <c r="D11" s="68" t="s">
        <v>7</v>
      </c>
      <c r="E11" s="2" t="s">
        <v>2</v>
      </c>
      <c r="F11" s="2">
        <v>0.42</v>
      </c>
      <c r="G11" s="3">
        <v>2.1999999999999999E-2</v>
      </c>
      <c r="H11" s="2">
        <v>2400</v>
      </c>
      <c r="I11" s="2">
        <v>353</v>
      </c>
      <c r="J11" s="2"/>
      <c r="K11" s="2"/>
      <c r="L11" s="2"/>
      <c r="M11" s="2"/>
      <c r="N11" s="8">
        <f t="shared" si="0"/>
        <v>-725</v>
      </c>
      <c r="O11" s="2"/>
      <c r="P11" s="2"/>
      <c r="Q11" s="2"/>
      <c r="R11" s="19">
        <v>700</v>
      </c>
      <c r="S11" s="2"/>
      <c r="T11" s="2">
        <v>2425</v>
      </c>
      <c r="U11" s="19"/>
      <c r="V11" s="2"/>
      <c r="W11" s="2"/>
      <c r="X11" s="2"/>
      <c r="Y11" s="2">
        <v>353</v>
      </c>
      <c r="Z11" s="7">
        <f t="shared" si="1"/>
        <v>60.565999999999995</v>
      </c>
      <c r="AA11" s="7">
        <v>1000</v>
      </c>
      <c r="AB11" s="7">
        <v>0</v>
      </c>
      <c r="AC11" s="8">
        <f t="shared" si="2"/>
        <v>0</v>
      </c>
      <c r="AD11" s="8">
        <v>0</v>
      </c>
      <c r="AE11" s="8">
        <f t="shared" si="3"/>
        <v>0</v>
      </c>
      <c r="AF11" s="8">
        <f t="shared" si="4"/>
        <v>0</v>
      </c>
      <c r="AG11" s="8">
        <v>0</v>
      </c>
      <c r="AH11" s="8">
        <v>0</v>
      </c>
      <c r="AI11" s="8" t="s">
        <v>119</v>
      </c>
      <c r="AJ11" s="8" t="s">
        <v>121</v>
      </c>
      <c r="AL11" s="14" t="s">
        <v>111</v>
      </c>
      <c r="AM11" s="15">
        <v>7704</v>
      </c>
      <c r="AN11"/>
      <c r="AQ11" s="1">
        <v>1707</v>
      </c>
    </row>
    <row r="12" spans="1:43" x14ac:dyDescent="0.25">
      <c r="B12" s="2" t="s">
        <v>87</v>
      </c>
      <c r="C12" s="2" t="s">
        <v>88</v>
      </c>
      <c r="D12" s="2" t="s">
        <v>8</v>
      </c>
      <c r="E12" s="2" t="s">
        <v>2</v>
      </c>
      <c r="F12" s="2">
        <v>0.42</v>
      </c>
      <c r="G12" s="3">
        <v>2.3E-2</v>
      </c>
      <c r="H12" s="2">
        <v>400</v>
      </c>
      <c r="I12" s="2">
        <v>400</v>
      </c>
      <c r="J12" s="2"/>
      <c r="K12" s="2"/>
      <c r="L12" s="2"/>
      <c r="M12" s="2"/>
      <c r="N12" s="8">
        <f t="shared" si="0"/>
        <v>400</v>
      </c>
      <c r="O12" s="2"/>
      <c r="P12" s="2"/>
      <c r="Q12" s="2"/>
      <c r="R12" s="19"/>
      <c r="S12" s="2"/>
      <c r="T12" s="2"/>
      <c r="U12" s="19"/>
      <c r="V12" s="2"/>
      <c r="W12" s="2"/>
      <c r="X12" s="2"/>
      <c r="Y12" s="2">
        <v>400</v>
      </c>
      <c r="Z12" s="7">
        <f t="shared" si="1"/>
        <v>18.399999999999999</v>
      </c>
      <c r="AA12" s="7">
        <v>1000</v>
      </c>
      <c r="AB12" s="7">
        <v>0</v>
      </c>
      <c r="AC12" s="8">
        <f t="shared" si="2"/>
        <v>0</v>
      </c>
      <c r="AD12" s="8">
        <v>0</v>
      </c>
      <c r="AE12" s="8">
        <f t="shared" si="3"/>
        <v>0</v>
      </c>
      <c r="AF12" s="8">
        <f t="shared" si="4"/>
        <v>0</v>
      </c>
      <c r="AG12" s="8">
        <v>0</v>
      </c>
      <c r="AH12" s="8">
        <v>0</v>
      </c>
      <c r="AI12" s="8" t="s">
        <v>119</v>
      </c>
      <c r="AJ12" s="8" t="s">
        <v>121</v>
      </c>
      <c r="AL12" s="14" t="s">
        <v>112</v>
      </c>
      <c r="AM12" s="15">
        <v>3840</v>
      </c>
      <c r="AN12"/>
      <c r="AQ12" s="1">
        <v>0</v>
      </c>
    </row>
    <row r="13" spans="1:43" hidden="1" x14ac:dyDescent="0.25">
      <c r="B13" s="2" t="s">
        <v>87</v>
      </c>
      <c r="C13" s="2" t="s">
        <v>88</v>
      </c>
      <c r="D13" s="2" t="s">
        <v>9</v>
      </c>
      <c r="E13" s="2" t="s">
        <v>10</v>
      </c>
      <c r="F13" s="2">
        <v>2.8000000000000001E-2</v>
      </c>
      <c r="G13" s="3">
        <v>5.7000000000000002E-2</v>
      </c>
      <c r="H13" s="2">
        <v>0</v>
      </c>
      <c r="I13" s="2">
        <v>2200</v>
      </c>
      <c r="J13" s="2"/>
      <c r="K13" s="2"/>
      <c r="L13" s="2"/>
      <c r="M13" s="2"/>
      <c r="N13" s="8">
        <f t="shared" si="0"/>
        <v>-100</v>
      </c>
      <c r="O13" s="2">
        <v>1000</v>
      </c>
      <c r="P13" s="2"/>
      <c r="Q13" s="2">
        <v>300</v>
      </c>
      <c r="R13" s="19"/>
      <c r="S13" s="2"/>
      <c r="T13" s="2"/>
      <c r="U13" s="19">
        <v>500</v>
      </c>
      <c r="V13" s="2">
        <v>500</v>
      </c>
      <c r="W13" s="2"/>
      <c r="X13" s="2"/>
      <c r="Y13" s="2"/>
      <c r="Z13" s="7">
        <f t="shared" si="1"/>
        <v>125.4</v>
      </c>
      <c r="AA13" s="7">
        <v>1000</v>
      </c>
      <c r="AB13" s="7">
        <v>0</v>
      </c>
      <c r="AC13" s="8">
        <f t="shared" si="2"/>
        <v>0</v>
      </c>
      <c r="AD13" s="8">
        <v>0</v>
      </c>
      <c r="AE13" s="8">
        <f t="shared" si="3"/>
        <v>0</v>
      </c>
      <c r="AF13" s="8">
        <f t="shared" si="4"/>
        <v>0</v>
      </c>
      <c r="AG13" s="8">
        <v>0</v>
      </c>
      <c r="AH13" s="8">
        <v>0</v>
      </c>
      <c r="AI13" s="8" t="s">
        <v>119</v>
      </c>
      <c r="AJ13" s="8" t="s">
        <v>121</v>
      </c>
      <c r="AL13" s="14" t="s">
        <v>114</v>
      </c>
      <c r="AM13" s="15">
        <v>1280</v>
      </c>
      <c r="AN13"/>
      <c r="AQ13" s="1">
        <v>-3900</v>
      </c>
    </row>
    <row r="14" spans="1:43" hidden="1" x14ac:dyDescent="0.25">
      <c r="B14" s="2" t="s">
        <v>87</v>
      </c>
      <c r="C14" s="2" t="s">
        <v>88</v>
      </c>
      <c r="D14" s="2" t="s">
        <v>11</v>
      </c>
      <c r="E14" s="2" t="s">
        <v>10</v>
      </c>
      <c r="F14" s="2">
        <v>2.8000000000000001E-2</v>
      </c>
      <c r="G14" s="3">
        <v>4.3999999999999997E-2</v>
      </c>
      <c r="H14" s="2">
        <v>1600</v>
      </c>
      <c r="I14" s="2">
        <v>0</v>
      </c>
      <c r="J14" s="2"/>
      <c r="K14" s="2"/>
      <c r="L14" s="2"/>
      <c r="M14" s="2"/>
      <c r="N14" s="8">
        <f t="shared" si="0"/>
        <v>-400</v>
      </c>
      <c r="O14" s="2"/>
      <c r="P14" s="2">
        <v>1000</v>
      </c>
      <c r="Q14" s="2">
        <v>100</v>
      </c>
      <c r="R14" s="19"/>
      <c r="S14" s="2"/>
      <c r="T14" s="2"/>
      <c r="U14" s="19">
        <v>300</v>
      </c>
      <c r="V14" s="2"/>
      <c r="W14" s="2">
        <v>600</v>
      </c>
      <c r="X14" s="2"/>
      <c r="Y14" s="2"/>
      <c r="Z14" s="7">
        <f t="shared" si="1"/>
        <v>70.399999999999991</v>
      </c>
      <c r="AA14" s="7">
        <v>1000</v>
      </c>
      <c r="AB14" s="7">
        <v>0</v>
      </c>
      <c r="AC14" s="8">
        <f t="shared" si="2"/>
        <v>0</v>
      </c>
      <c r="AD14" s="8">
        <v>0</v>
      </c>
      <c r="AE14" s="8">
        <f t="shared" si="3"/>
        <v>0</v>
      </c>
      <c r="AF14" s="8">
        <f t="shared" si="4"/>
        <v>0</v>
      </c>
      <c r="AG14" s="8">
        <v>0</v>
      </c>
      <c r="AH14" s="8">
        <v>0</v>
      </c>
      <c r="AI14" s="8" t="s">
        <v>119</v>
      </c>
      <c r="AJ14" s="8" t="s">
        <v>121</v>
      </c>
      <c r="AL14" s="14" t="s">
        <v>115</v>
      </c>
      <c r="AM14" s="15">
        <v>384</v>
      </c>
      <c r="AN14"/>
      <c r="AQ14" s="1">
        <v>-2966</v>
      </c>
    </row>
    <row r="15" spans="1:43" hidden="1" x14ac:dyDescent="0.25">
      <c r="B15" s="2" t="s">
        <v>87</v>
      </c>
      <c r="C15" s="2" t="s">
        <v>88</v>
      </c>
      <c r="D15" s="2" t="s">
        <v>12</v>
      </c>
      <c r="E15" s="2" t="s">
        <v>10</v>
      </c>
      <c r="F15" s="2">
        <v>2.8000000000000001E-2</v>
      </c>
      <c r="G15" s="3">
        <v>1.4999999999999999E-2</v>
      </c>
      <c r="H15" s="2">
        <v>3000</v>
      </c>
      <c r="I15" s="2">
        <v>300</v>
      </c>
      <c r="J15" s="2"/>
      <c r="K15" s="2"/>
      <c r="L15" s="2"/>
      <c r="M15" s="2"/>
      <c r="N15" s="8">
        <f t="shared" si="0"/>
        <v>-600</v>
      </c>
      <c r="O15" s="2"/>
      <c r="P15" s="2"/>
      <c r="Q15" s="2">
        <v>600</v>
      </c>
      <c r="R15" s="19"/>
      <c r="S15" s="2"/>
      <c r="T15" s="2"/>
      <c r="U15" s="19"/>
      <c r="V15" s="2">
        <v>1000</v>
      </c>
      <c r="W15" s="2">
        <v>900</v>
      </c>
      <c r="X15" s="2">
        <v>1400</v>
      </c>
      <c r="Y15" s="2"/>
      <c r="Z15" s="7">
        <f t="shared" si="1"/>
        <v>49.5</v>
      </c>
      <c r="AA15" s="7">
        <v>1000</v>
      </c>
      <c r="AB15" s="7">
        <v>0</v>
      </c>
      <c r="AC15" s="8">
        <f t="shared" si="2"/>
        <v>0</v>
      </c>
      <c r="AD15" s="8">
        <v>0</v>
      </c>
      <c r="AE15" s="8">
        <f t="shared" si="3"/>
        <v>0</v>
      </c>
      <c r="AF15" s="8">
        <f t="shared" si="4"/>
        <v>0</v>
      </c>
      <c r="AG15" s="8">
        <v>0</v>
      </c>
      <c r="AH15" s="8">
        <v>0</v>
      </c>
      <c r="AI15" s="8" t="s">
        <v>119</v>
      </c>
      <c r="AJ15" s="8" t="s">
        <v>121</v>
      </c>
      <c r="AL15" s="14" t="s">
        <v>124</v>
      </c>
      <c r="AM15" s="15">
        <v>14200</v>
      </c>
      <c r="AN15"/>
      <c r="AQ15" s="1">
        <v>2400</v>
      </c>
    </row>
    <row r="16" spans="1:43" hidden="1" x14ac:dyDescent="0.25">
      <c r="B16" s="2" t="s">
        <v>87</v>
      </c>
      <c r="C16" s="2" t="s">
        <v>88</v>
      </c>
      <c r="D16" s="2" t="s">
        <v>13</v>
      </c>
      <c r="E16" s="2" t="s">
        <v>10</v>
      </c>
      <c r="F16" s="2">
        <v>2.8000000000000001E-2</v>
      </c>
      <c r="G16" s="3">
        <v>1.9E-2</v>
      </c>
      <c r="H16" s="2">
        <v>0</v>
      </c>
      <c r="I16" s="2">
        <v>500</v>
      </c>
      <c r="J16" s="2"/>
      <c r="K16" s="2"/>
      <c r="L16" s="2"/>
      <c r="M16" s="2"/>
      <c r="N16" s="8">
        <f t="shared" si="0"/>
        <v>0</v>
      </c>
      <c r="O16" s="2"/>
      <c r="P16" s="2"/>
      <c r="Q16" s="2"/>
      <c r="R16" s="19"/>
      <c r="S16" s="2"/>
      <c r="T16" s="2">
        <v>500</v>
      </c>
      <c r="U16" s="19"/>
      <c r="V16" s="2"/>
      <c r="W16" s="2"/>
      <c r="X16" s="2"/>
      <c r="Y16" s="2"/>
      <c r="Z16" s="7">
        <f t="shared" si="1"/>
        <v>9.5</v>
      </c>
      <c r="AA16" s="7">
        <v>1000</v>
      </c>
      <c r="AB16" s="7">
        <v>0</v>
      </c>
      <c r="AC16" s="8">
        <f t="shared" si="2"/>
        <v>0</v>
      </c>
      <c r="AD16" s="8">
        <v>0</v>
      </c>
      <c r="AE16" s="8">
        <f t="shared" si="3"/>
        <v>0</v>
      </c>
      <c r="AF16" s="8">
        <f t="shared" si="4"/>
        <v>0</v>
      </c>
      <c r="AG16" s="8">
        <v>0</v>
      </c>
      <c r="AH16" s="8">
        <v>0</v>
      </c>
      <c r="AI16" s="8" t="s">
        <v>119</v>
      </c>
      <c r="AJ16" s="8" t="s">
        <v>121</v>
      </c>
      <c r="AL16"/>
      <c r="AM16"/>
      <c r="AN16"/>
      <c r="AQ16" s="1">
        <v>400</v>
      </c>
    </row>
    <row r="17" spans="1:43" hidden="1" x14ac:dyDescent="0.25">
      <c r="B17" s="2" t="s">
        <v>87</v>
      </c>
      <c r="C17" s="2" t="s">
        <v>88</v>
      </c>
      <c r="D17" s="2" t="s">
        <v>14</v>
      </c>
      <c r="E17" s="2" t="s">
        <v>10</v>
      </c>
      <c r="F17" s="2">
        <v>2.8000000000000001E-2</v>
      </c>
      <c r="G17" s="3">
        <v>2.4E-2</v>
      </c>
      <c r="H17" s="2">
        <v>1000</v>
      </c>
      <c r="I17" s="2">
        <v>0</v>
      </c>
      <c r="J17" s="2"/>
      <c r="K17" s="2"/>
      <c r="L17" s="2"/>
      <c r="M17" s="2"/>
      <c r="N17" s="8">
        <f t="shared" si="0"/>
        <v>-300</v>
      </c>
      <c r="O17" s="2"/>
      <c r="P17" s="2"/>
      <c r="Q17" s="2"/>
      <c r="R17" s="19"/>
      <c r="S17" s="2"/>
      <c r="T17" s="2"/>
      <c r="U17" s="19">
        <v>400</v>
      </c>
      <c r="V17" s="2"/>
      <c r="W17" s="2"/>
      <c r="X17" s="2">
        <v>900</v>
      </c>
      <c r="Y17" s="2"/>
      <c r="Z17" s="7">
        <f t="shared" si="1"/>
        <v>24</v>
      </c>
      <c r="AA17" s="7">
        <v>1000</v>
      </c>
      <c r="AB17" s="7">
        <v>0</v>
      </c>
      <c r="AC17" s="8">
        <f t="shared" si="2"/>
        <v>0</v>
      </c>
      <c r="AD17" s="8">
        <v>0</v>
      </c>
      <c r="AE17" s="8">
        <f t="shared" si="3"/>
        <v>0</v>
      </c>
      <c r="AF17" s="8">
        <f t="shared" si="4"/>
        <v>0</v>
      </c>
      <c r="AG17" s="8">
        <v>0</v>
      </c>
      <c r="AH17" s="8">
        <v>0</v>
      </c>
      <c r="AI17" s="8" t="s">
        <v>119</v>
      </c>
      <c r="AJ17" s="8" t="s">
        <v>121</v>
      </c>
      <c r="AL17"/>
      <c r="AM17"/>
      <c r="AN17"/>
      <c r="AQ17" s="1">
        <v>3600</v>
      </c>
    </row>
    <row r="18" spans="1:43" hidden="1" x14ac:dyDescent="0.25">
      <c r="B18" s="2" t="s">
        <v>87</v>
      </c>
      <c r="C18" s="2" t="s">
        <v>88</v>
      </c>
      <c r="D18" s="2" t="s">
        <v>15</v>
      </c>
      <c r="E18" s="2" t="s">
        <v>10</v>
      </c>
      <c r="F18" s="2">
        <v>2.8000000000000001E-2</v>
      </c>
      <c r="G18" s="3">
        <v>1.9E-2</v>
      </c>
      <c r="H18" s="2">
        <v>0</v>
      </c>
      <c r="I18" s="2">
        <v>700</v>
      </c>
      <c r="J18" s="2"/>
      <c r="K18" s="2"/>
      <c r="L18" s="2"/>
      <c r="M18" s="2"/>
      <c r="N18" s="8">
        <f t="shared" si="0"/>
        <v>0</v>
      </c>
      <c r="O18" s="2"/>
      <c r="P18" s="2"/>
      <c r="Q18" s="2"/>
      <c r="R18" s="19"/>
      <c r="S18" s="2"/>
      <c r="T18" s="2">
        <v>700</v>
      </c>
      <c r="U18" s="19"/>
      <c r="V18" s="2"/>
      <c r="W18" s="2"/>
      <c r="X18" s="2"/>
      <c r="Y18" s="2"/>
      <c r="Z18" s="7">
        <f t="shared" si="1"/>
        <v>13.299999999999999</v>
      </c>
      <c r="AA18" s="7">
        <v>1000</v>
      </c>
      <c r="AB18" s="7">
        <v>0</v>
      </c>
      <c r="AC18" s="8">
        <f t="shared" si="2"/>
        <v>0</v>
      </c>
      <c r="AD18" s="8">
        <v>0</v>
      </c>
      <c r="AE18" s="8">
        <f t="shared" si="3"/>
        <v>0</v>
      </c>
      <c r="AF18" s="8">
        <f t="shared" si="4"/>
        <v>0</v>
      </c>
      <c r="AG18" s="8">
        <v>0</v>
      </c>
      <c r="AH18" s="8">
        <v>0</v>
      </c>
      <c r="AI18" s="8" t="s">
        <v>119</v>
      </c>
      <c r="AJ18" s="8" t="s">
        <v>121</v>
      </c>
      <c r="AL18"/>
      <c r="AM18"/>
      <c r="AN18"/>
      <c r="AQ18" s="1">
        <v>0</v>
      </c>
    </row>
    <row r="19" spans="1:43" hidden="1" x14ac:dyDescent="0.25">
      <c r="B19" s="2" t="s">
        <v>87</v>
      </c>
      <c r="C19" s="2" t="s">
        <v>88</v>
      </c>
      <c r="D19" s="2" t="s">
        <v>16</v>
      </c>
      <c r="E19" s="2" t="s">
        <v>17</v>
      </c>
      <c r="F19" s="2">
        <v>2.8000000000000001E-2</v>
      </c>
      <c r="G19" s="3">
        <v>8.5999999999999993E-2</v>
      </c>
      <c r="H19" s="2">
        <v>0</v>
      </c>
      <c r="I19" s="2">
        <v>0</v>
      </c>
      <c r="J19" s="2"/>
      <c r="K19" s="2"/>
      <c r="L19" s="2"/>
      <c r="M19" s="2"/>
      <c r="N19" s="8">
        <f t="shared" si="0"/>
        <v>0</v>
      </c>
      <c r="O19" s="2"/>
      <c r="P19" s="2"/>
      <c r="Q19" s="2"/>
      <c r="R19" s="19"/>
      <c r="S19" s="2"/>
      <c r="T19" s="2"/>
      <c r="U19" s="19"/>
      <c r="V19" s="2"/>
      <c r="W19" s="2"/>
      <c r="X19" s="2"/>
      <c r="Y19" s="2"/>
      <c r="Z19" s="7">
        <f t="shared" si="1"/>
        <v>0</v>
      </c>
      <c r="AA19" s="7">
        <v>100</v>
      </c>
      <c r="AB19" s="7">
        <v>0</v>
      </c>
      <c r="AC19" s="8">
        <f t="shared" si="2"/>
        <v>0</v>
      </c>
      <c r="AD19" s="8">
        <v>0</v>
      </c>
      <c r="AE19" s="8">
        <f t="shared" si="3"/>
        <v>0</v>
      </c>
      <c r="AF19" s="8">
        <f t="shared" si="4"/>
        <v>0</v>
      </c>
      <c r="AG19" s="8">
        <v>0</v>
      </c>
      <c r="AH19" s="8">
        <v>0</v>
      </c>
      <c r="AI19" s="8" t="s">
        <v>119</v>
      </c>
      <c r="AJ19" s="8" t="s">
        <v>121</v>
      </c>
      <c r="AL19"/>
      <c r="AM19"/>
      <c r="AN19"/>
      <c r="AQ19" s="1">
        <v>-55</v>
      </c>
    </row>
    <row r="20" spans="1:43" x14ac:dyDescent="0.25">
      <c r="B20" s="2" t="s">
        <v>87</v>
      </c>
      <c r="C20" s="2" t="s">
        <v>88</v>
      </c>
      <c r="D20" s="2" t="s">
        <v>18</v>
      </c>
      <c r="E20" s="2" t="s">
        <v>17</v>
      </c>
      <c r="F20" s="2">
        <v>2.8000000000000001E-2</v>
      </c>
      <c r="G20" s="3">
        <v>0.11700000000000001</v>
      </c>
      <c r="H20" s="2">
        <v>600</v>
      </c>
      <c r="I20" s="2">
        <v>0</v>
      </c>
      <c r="J20" s="2"/>
      <c r="K20" s="2"/>
      <c r="L20" s="2"/>
      <c r="M20" s="2"/>
      <c r="N20" s="8">
        <f t="shared" si="0"/>
        <v>272</v>
      </c>
      <c r="O20" s="2"/>
      <c r="P20" s="2"/>
      <c r="Q20" s="2"/>
      <c r="R20" s="19"/>
      <c r="S20" s="2"/>
      <c r="T20" s="2"/>
      <c r="U20" s="19">
        <v>328</v>
      </c>
      <c r="V20" s="2"/>
      <c r="W20" s="2"/>
      <c r="X20" s="2"/>
      <c r="Y20" s="2"/>
      <c r="Z20" s="7">
        <f t="shared" si="1"/>
        <v>70.2</v>
      </c>
      <c r="AA20" s="7">
        <v>100</v>
      </c>
      <c r="AB20" s="7">
        <v>0</v>
      </c>
      <c r="AC20" s="8">
        <f t="shared" si="2"/>
        <v>0</v>
      </c>
      <c r="AD20" s="8">
        <v>0</v>
      </c>
      <c r="AE20" s="8">
        <f t="shared" si="3"/>
        <v>0</v>
      </c>
      <c r="AF20" s="8">
        <f t="shared" si="4"/>
        <v>0</v>
      </c>
      <c r="AG20" s="8">
        <v>0</v>
      </c>
      <c r="AH20" s="8">
        <v>0</v>
      </c>
      <c r="AI20" s="8" t="s">
        <v>119</v>
      </c>
      <c r="AJ20" s="8" t="s">
        <v>121</v>
      </c>
      <c r="AL20"/>
      <c r="AM20"/>
      <c r="AN20"/>
      <c r="AQ20" s="1">
        <v>0</v>
      </c>
    </row>
    <row r="21" spans="1:43" hidden="1" x14ac:dyDescent="0.25">
      <c r="B21" s="2" t="s">
        <v>87</v>
      </c>
      <c r="C21" s="2" t="s">
        <v>88</v>
      </c>
      <c r="D21" s="2" t="s">
        <v>19</v>
      </c>
      <c r="E21" s="2" t="s">
        <v>17</v>
      </c>
      <c r="F21" s="2">
        <v>2.8000000000000001E-2</v>
      </c>
      <c r="G21" s="3">
        <v>0.129</v>
      </c>
      <c r="H21" s="2">
        <v>0</v>
      </c>
      <c r="I21" s="2">
        <v>0</v>
      </c>
      <c r="J21" s="2"/>
      <c r="K21" s="2"/>
      <c r="L21" s="2"/>
      <c r="M21" s="2"/>
      <c r="N21" s="8">
        <f t="shared" si="0"/>
        <v>0</v>
      </c>
      <c r="O21" s="2"/>
      <c r="P21" s="2"/>
      <c r="Q21" s="2"/>
      <c r="R21" s="19"/>
      <c r="S21" s="2"/>
      <c r="T21" s="2"/>
      <c r="U21" s="19"/>
      <c r="V21" s="2"/>
      <c r="W21" s="2"/>
      <c r="X21" s="2"/>
      <c r="Y21" s="2"/>
      <c r="Z21" s="7">
        <f t="shared" si="1"/>
        <v>0</v>
      </c>
      <c r="AA21" s="7">
        <v>100</v>
      </c>
      <c r="AB21" s="7">
        <v>0</v>
      </c>
      <c r="AC21" s="8">
        <f t="shared" si="2"/>
        <v>0</v>
      </c>
      <c r="AD21" s="8">
        <v>0</v>
      </c>
      <c r="AE21" s="8">
        <f t="shared" si="3"/>
        <v>0</v>
      </c>
      <c r="AF21" s="8">
        <f t="shared" si="4"/>
        <v>0</v>
      </c>
      <c r="AG21" s="8">
        <v>0</v>
      </c>
      <c r="AH21" s="8">
        <v>0</v>
      </c>
      <c r="AI21" s="8" t="s">
        <v>119</v>
      </c>
      <c r="AJ21" s="8" t="s">
        <v>121</v>
      </c>
      <c r="AL21"/>
      <c r="AM21"/>
      <c r="AN21"/>
      <c r="AQ21" s="1">
        <v>-25</v>
      </c>
    </row>
    <row r="22" spans="1:43" hidden="1" x14ac:dyDescent="0.25">
      <c r="B22" s="2" t="s">
        <v>87</v>
      </c>
      <c r="C22" s="2" t="s">
        <v>88</v>
      </c>
      <c r="D22" s="2" t="s">
        <v>20</v>
      </c>
      <c r="E22" s="2" t="s">
        <v>17</v>
      </c>
      <c r="F22" s="2">
        <v>2.8000000000000001E-2</v>
      </c>
      <c r="G22" s="3">
        <v>0.11899999999999999</v>
      </c>
      <c r="H22" s="2">
        <v>0</v>
      </c>
      <c r="I22" s="2">
        <v>425</v>
      </c>
      <c r="J22" s="2"/>
      <c r="K22" s="2"/>
      <c r="L22" s="2"/>
      <c r="M22" s="2"/>
      <c r="N22" s="8">
        <f t="shared" si="0"/>
        <v>-38</v>
      </c>
      <c r="O22" s="2"/>
      <c r="P22" s="2"/>
      <c r="Q22" s="2">
        <v>280</v>
      </c>
      <c r="R22" s="19">
        <v>183</v>
      </c>
      <c r="S22" s="2"/>
      <c r="T22" s="2"/>
      <c r="U22" s="19"/>
      <c r="V22" s="2"/>
      <c r="W22" s="2"/>
      <c r="X22" s="2"/>
      <c r="Y22" s="2"/>
      <c r="Z22" s="7">
        <f t="shared" si="1"/>
        <v>50.574999999999996</v>
      </c>
      <c r="AA22" s="7">
        <v>100</v>
      </c>
      <c r="AB22" s="7">
        <v>0</v>
      </c>
      <c r="AC22" s="8">
        <f t="shared" si="2"/>
        <v>0</v>
      </c>
      <c r="AD22" s="8">
        <v>0</v>
      </c>
      <c r="AE22" s="8">
        <f t="shared" si="3"/>
        <v>0</v>
      </c>
      <c r="AF22" s="8">
        <f t="shared" si="4"/>
        <v>0</v>
      </c>
      <c r="AG22" s="8">
        <v>0</v>
      </c>
      <c r="AH22" s="8">
        <v>0</v>
      </c>
      <c r="AI22" s="8" t="s">
        <v>119</v>
      </c>
      <c r="AJ22" s="8" t="s">
        <v>121</v>
      </c>
      <c r="AL22"/>
      <c r="AM22"/>
      <c r="AN22"/>
      <c r="AQ22" s="1">
        <v>-250</v>
      </c>
    </row>
    <row r="23" spans="1:43" hidden="1" x14ac:dyDescent="0.25">
      <c r="B23" s="2" t="s">
        <v>87</v>
      </c>
      <c r="C23" s="2" t="s">
        <v>88</v>
      </c>
      <c r="D23" s="2" t="s">
        <v>21</v>
      </c>
      <c r="E23" s="2" t="s">
        <v>17</v>
      </c>
      <c r="F23" s="2">
        <v>2.8000000000000001E-2</v>
      </c>
      <c r="G23" s="3">
        <v>0.127</v>
      </c>
      <c r="H23" s="2">
        <v>0</v>
      </c>
      <c r="I23" s="2">
        <v>0</v>
      </c>
      <c r="J23" s="2"/>
      <c r="K23" s="2"/>
      <c r="L23" s="2"/>
      <c r="M23" s="2"/>
      <c r="N23" s="8">
        <f t="shared" si="0"/>
        <v>0</v>
      </c>
      <c r="O23" s="2"/>
      <c r="P23" s="2"/>
      <c r="Q23" s="2"/>
      <c r="R23" s="19"/>
      <c r="S23" s="2"/>
      <c r="T23" s="2"/>
      <c r="U23" s="19"/>
      <c r="V23" s="2"/>
      <c r="W23" s="2"/>
      <c r="X23" s="2"/>
      <c r="Y23" s="2"/>
      <c r="Z23" s="7">
        <f t="shared" si="1"/>
        <v>0</v>
      </c>
      <c r="AA23" s="7">
        <v>100</v>
      </c>
      <c r="AB23" s="7">
        <v>0</v>
      </c>
      <c r="AC23" s="8">
        <f t="shared" si="2"/>
        <v>0</v>
      </c>
      <c r="AD23" s="8">
        <v>0</v>
      </c>
      <c r="AE23" s="8">
        <f t="shared" si="3"/>
        <v>0</v>
      </c>
      <c r="AF23" s="8">
        <f t="shared" si="4"/>
        <v>0</v>
      </c>
      <c r="AG23" s="8">
        <v>0</v>
      </c>
      <c r="AH23" s="8">
        <v>0</v>
      </c>
      <c r="AI23" s="8" t="s">
        <v>119</v>
      </c>
      <c r="AJ23" s="8" t="s">
        <v>121</v>
      </c>
      <c r="AQ23" s="1">
        <v>0</v>
      </c>
    </row>
    <row r="24" spans="1:43" hidden="1" x14ac:dyDescent="0.25">
      <c r="B24" s="2" t="s">
        <v>87</v>
      </c>
      <c r="C24" s="2" t="s">
        <v>88</v>
      </c>
      <c r="D24" s="2" t="s">
        <v>22</v>
      </c>
      <c r="E24" s="2" t="s">
        <v>17</v>
      </c>
      <c r="F24" s="2">
        <v>2.8000000000000001E-2</v>
      </c>
      <c r="G24" s="3">
        <v>0.114</v>
      </c>
      <c r="H24" s="2">
        <v>600</v>
      </c>
      <c r="I24" s="2">
        <v>0</v>
      </c>
      <c r="J24" s="2"/>
      <c r="K24" s="2"/>
      <c r="L24" s="2"/>
      <c r="M24" s="2"/>
      <c r="N24" s="8">
        <f t="shared" si="0"/>
        <v>0</v>
      </c>
      <c r="O24" s="2"/>
      <c r="P24" s="2"/>
      <c r="Q24" s="2"/>
      <c r="R24" s="19"/>
      <c r="S24" s="2">
        <v>600</v>
      </c>
      <c r="T24" s="2"/>
      <c r="U24" s="19"/>
      <c r="V24" s="2"/>
      <c r="W24" s="2"/>
      <c r="X24" s="2"/>
      <c r="Y24" s="2"/>
      <c r="Z24" s="7">
        <f t="shared" si="1"/>
        <v>68.400000000000006</v>
      </c>
      <c r="AA24" s="7">
        <v>100</v>
      </c>
      <c r="AB24" s="7">
        <v>0</v>
      </c>
      <c r="AC24" s="8">
        <f t="shared" si="2"/>
        <v>0</v>
      </c>
      <c r="AD24" s="8">
        <v>0</v>
      </c>
      <c r="AE24" s="8">
        <f t="shared" si="3"/>
        <v>0</v>
      </c>
      <c r="AF24" s="8">
        <f t="shared" si="4"/>
        <v>0</v>
      </c>
      <c r="AG24" s="8">
        <v>0</v>
      </c>
      <c r="AH24" s="8">
        <v>0</v>
      </c>
      <c r="AI24" s="8" t="s">
        <v>119</v>
      </c>
      <c r="AJ24" s="8" t="s">
        <v>121</v>
      </c>
      <c r="AQ24" s="1">
        <v>-55</v>
      </c>
    </row>
    <row r="25" spans="1:43" hidden="1" x14ac:dyDescent="0.25">
      <c r="A25" s="1">
        <v>500</v>
      </c>
      <c r="B25" s="2" t="s">
        <v>87</v>
      </c>
      <c r="C25" s="2" t="s">
        <v>88</v>
      </c>
      <c r="D25" s="68" t="s">
        <v>23</v>
      </c>
      <c r="E25" s="2" t="s">
        <v>17</v>
      </c>
      <c r="F25" s="2">
        <v>2.8000000000000001E-2</v>
      </c>
      <c r="G25" s="3">
        <v>6.9000000000000006E-2</v>
      </c>
      <c r="H25" s="2">
        <v>1200</v>
      </c>
      <c r="I25" s="2">
        <v>20</v>
      </c>
      <c r="J25" s="2"/>
      <c r="K25" s="2"/>
      <c r="L25" s="2"/>
      <c r="M25" s="2"/>
      <c r="N25" s="8">
        <f t="shared" si="0"/>
        <v>-27</v>
      </c>
      <c r="O25" s="2"/>
      <c r="P25" s="2"/>
      <c r="Q25" s="2"/>
      <c r="R25" s="19"/>
      <c r="S25" s="2">
        <v>600</v>
      </c>
      <c r="T25" s="2">
        <v>647</v>
      </c>
      <c r="U25" s="19"/>
      <c r="V25" s="2"/>
      <c r="W25" s="2"/>
      <c r="X25" s="2"/>
      <c r="Y25" s="2"/>
      <c r="Z25" s="7">
        <f t="shared" si="1"/>
        <v>84.18</v>
      </c>
      <c r="AA25" s="7">
        <v>100</v>
      </c>
      <c r="AB25" s="7">
        <v>0</v>
      </c>
      <c r="AC25" s="8">
        <f t="shared" si="2"/>
        <v>0</v>
      </c>
      <c r="AD25" s="8">
        <v>0</v>
      </c>
      <c r="AE25" s="8">
        <f t="shared" si="3"/>
        <v>0</v>
      </c>
      <c r="AF25" s="8">
        <f t="shared" si="4"/>
        <v>0</v>
      </c>
      <c r="AG25" s="8">
        <v>0</v>
      </c>
      <c r="AH25" s="8">
        <v>0</v>
      </c>
      <c r="AI25" s="8" t="s">
        <v>119</v>
      </c>
      <c r="AJ25" s="8" t="s">
        <v>121</v>
      </c>
      <c r="AQ25" s="1">
        <v>-50</v>
      </c>
    </row>
    <row r="26" spans="1:43" hidden="1" x14ac:dyDescent="0.25">
      <c r="B26" s="2" t="s">
        <v>87</v>
      </c>
      <c r="C26" s="2" t="s">
        <v>88</v>
      </c>
      <c r="D26" s="2" t="s">
        <v>24</v>
      </c>
      <c r="E26" s="2" t="s">
        <v>17</v>
      </c>
      <c r="F26" s="2">
        <v>2.8000000000000001E-2</v>
      </c>
      <c r="G26" s="3">
        <v>0.129</v>
      </c>
      <c r="H26" s="2">
        <v>0</v>
      </c>
      <c r="I26" s="2">
        <v>0</v>
      </c>
      <c r="J26" s="2"/>
      <c r="K26" s="2"/>
      <c r="L26" s="2"/>
      <c r="M26" s="2"/>
      <c r="N26" s="8">
        <f t="shared" si="0"/>
        <v>0</v>
      </c>
      <c r="O26" s="2"/>
      <c r="P26" s="2"/>
      <c r="Q26" s="2"/>
      <c r="R26" s="19"/>
      <c r="S26" s="2"/>
      <c r="T26" s="2"/>
      <c r="U26" s="19"/>
      <c r="V26" s="2"/>
      <c r="W26" s="2"/>
      <c r="X26" s="2"/>
      <c r="Y26" s="2"/>
      <c r="Z26" s="7">
        <f t="shared" si="1"/>
        <v>0</v>
      </c>
      <c r="AA26" s="7">
        <v>100</v>
      </c>
      <c r="AB26" s="7">
        <v>0</v>
      </c>
      <c r="AC26" s="8">
        <f t="shared" si="2"/>
        <v>0</v>
      </c>
      <c r="AD26" s="8">
        <v>0</v>
      </c>
      <c r="AE26" s="8">
        <f t="shared" si="3"/>
        <v>0</v>
      </c>
      <c r="AF26" s="8">
        <f t="shared" si="4"/>
        <v>0</v>
      </c>
      <c r="AG26" s="8">
        <v>0</v>
      </c>
      <c r="AH26" s="8">
        <v>0</v>
      </c>
      <c r="AI26" s="8" t="s">
        <v>119</v>
      </c>
      <c r="AJ26" s="8" t="s">
        <v>121</v>
      </c>
      <c r="AQ26" s="1">
        <v>0</v>
      </c>
    </row>
    <row r="27" spans="1:43" hidden="1" x14ac:dyDescent="0.25">
      <c r="B27" s="2" t="s">
        <v>87</v>
      </c>
      <c r="C27" s="2" t="s">
        <v>88</v>
      </c>
      <c r="D27" s="2" t="s">
        <v>25</v>
      </c>
      <c r="E27" s="2" t="s">
        <v>17</v>
      </c>
      <c r="F27" s="2">
        <v>2.8000000000000001E-2</v>
      </c>
      <c r="G27" s="3">
        <v>7.8E-2</v>
      </c>
      <c r="H27" s="2">
        <v>0</v>
      </c>
      <c r="I27" s="2">
        <v>0</v>
      </c>
      <c r="J27" s="2"/>
      <c r="K27" s="2"/>
      <c r="L27" s="2"/>
      <c r="M27" s="2"/>
      <c r="N27" s="8">
        <f t="shared" si="0"/>
        <v>0</v>
      </c>
      <c r="O27" s="2"/>
      <c r="P27" s="2"/>
      <c r="Q27" s="2"/>
      <c r="R27" s="19"/>
      <c r="S27" s="2"/>
      <c r="T27" s="2"/>
      <c r="U27" s="19"/>
      <c r="V27" s="2"/>
      <c r="W27" s="2"/>
      <c r="X27" s="2"/>
      <c r="Y27" s="2"/>
      <c r="Z27" s="7">
        <f t="shared" si="1"/>
        <v>0</v>
      </c>
      <c r="AA27" s="7">
        <v>100</v>
      </c>
      <c r="AB27" s="7">
        <v>0</v>
      </c>
      <c r="AC27" s="8">
        <f t="shared" si="2"/>
        <v>0</v>
      </c>
      <c r="AD27" s="8">
        <v>0</v>
      </c>
      <c r="AE27" s="8">
        <f t="shared" si="3"/>
        <v>0</v>
      </c>
      <c r="AF27" s="8">
        <f t="shared" si="4"/>
        <v>0</v>
      </c>
      <c r="AG27" s="8">
        <v>0</v>
      </c>
      <c r="AH27" s="8">
        <v>0</v>
      </c>
      <c r="AI27" s="8" t="s">
        <v>119</v>
      </c>
      <c r="AJ27" s="8" t="s">
        <v>121</v>
      </c>
      <c r="AQ27" s="1">
        <v>307</v>
      </c>
    </row>
    <row r="28" spans="1:43" hidden="1" x14ac:dyDescent="0.25">
      <c r="B28" s="2" t="s">
        <v>87</v>
      </c>
      <c r="C28" s="2" t="s">
        <v>88</v>
      </c>
      <c r="D28" s="2" t="s">
        <v>26</v>
      </c>
      <c r="E28" s="2" t="s">
        <v>17</v>
      </c>
      <c r="F28" s="2">
        <v>2.8000000000000001E-2</v>
      </c>
      <c r="G28" s="3">
        <v>0.10100000000000001</v>
      </c>
      <c r="H28" s="2">
        <v>0</v>
      </c>
      <c r="I28" s="2">
        <v>0</v>
      </c>
      <c r="J28" s="2"/>
      <c r="K28" s="2"/>
      <c r="L28" s="2"/>
      <c r="M28" s="2"/>
      <c r="N28" s="8">
        <f t="shared" si="0"/>
        <v>0</v>
      </c>
      <c r="O28" s="2"/>
      <c r="P28" s="2"/>
      <c r="Q28" s="2"/>
      <c r="R28" s="19"/>
      <c r="S28" s="2"/>
      <c r="T28" s="2"/>
      <c r="U28" s="19"/>
      <c r="V28" s="2"/>
      <c r="W28" s="2"/>
      <c r="X28" s="2"/>
      <c r="Y28" s="2"/>
      <c r="Z28" s="7">
        <f t="shared" si="1"/>
        <v>0</v>
      </c>
      <c r="AA28" s="7">
        <v>100</v>
      </c>
      <c r="AB28" s="7">
        <v>0</v>
      </c>
      <c r="AC28" s="8">
        <f t="shared" si="2"/>
        <v>0</v>
      </c>
      <c r="AD28" s="8">
        <v>0</v>
      </c>
      <c r="AE28" s="8">
        <f t="shared" si="3"/>
        <v>0</v>
      </c>
      <c r="AF28" s="8">
        <f t="shared" si="4"/>
        <v>0</v>
      </c>
      <c r="AG28" s="8">
        <v>0</v>
      </c>
      <c r="AH28" s="8">
        <v>0</v>
      </c>
      <c r="AI28" s="8" t="s">
        <v>119</v>
      </c>
      <c r="AJ28" s="8" t="s">
        <v>121</v>
      </c>
      <c r="AQ28" s="1">
        <v>-77</v>
      </c>
    </row>
    <row r="29" spans="1:43" hidden="1" x14ac:dyDescent="0.25">
      <c r="B29" s="2" t="s">
        <v>87</v>
      </c>
      <c r="C29" s="2" t="s">
        <v>88</v>
      </c>
      <c r="D29" s="2" t="s">
        <v>27</v>
      </c>
      <c r="E29" s="2" t="s">
        <v>17</v>
      </c>
      <c r="F29" s="2">
        <v>2.8000000000000001E-2</v>
      </c>
      <c r="G29" s="3">
        <v>7.5999999999999998E-2</v>
      </c>
      <c r="H29" s="2">
        <v>0</v>
      </c>
      <c r="I29" s="2">
        <v>0</v>
      </c>
      <c r="J29" s="2"/>
      <c r="K29" s="2"/>
      <c r="L29" s="2"/>
      <c r="M29" s="2"/>
      <c r="N29" s="8">
        <f t="shared" si="0"/>
        <v>0</v>
      </c>
      <c r="O29" s="2"/>
      <c r="P29" s="2"/>
      <c r="Q29" s="2"/>
      <c r="R29" s="19"/>
      <c r="S29" s="2"/>
      <c r="T29" s="2"/>
      <c r="U29" s="19"/>
      <c r="V29" s="2"/>
      <c r="W29" s="2"/>
      <c r="X29" s="2"/>
      <c r="Y29" s="2"/>
      <c r="Z29" s="7">
        <f t="shared" si="1"/>
        <v>0</v>
      </c>
      <c r="AA29" s="7">
        <v>100</v>
      </c>
      <c r="AB29" s="7">
        <v>0</v>
      </c>
      <c r="AC29" s="8">
        <f t="shared" si="2"/>
        <v>0</v>
      </c>
      <c r="AD29" s="8">
        <v>0</v>
      </c>
      <c r="AE29" s="8">
        <f t="shared" si="3"/>
        <v>0</v>
      </c>
      <c r="AF29" s="8">
        <f t="shared" si="4"/>
        <v>0</v>
      </c>
      <c r="AG29" s="8">
        <v>0</v>
      </c>
      <c r="AH29" s="8">
        <v>0</v>
      </c>
      <c r="AI29" s="8" t="s">
        <v>119</v>
      </c>
      <c r="AJ29" s="8" t="s">
        <v>121</v>
      </c>
      <c r="AQ29" s="1">
        <v>300</v>
      </c>
    </row>
    <row r="30" spans="1:43" hidden="1" x14ac:dyDescent="0.25">
      <c r="B30" s="2" t="s">
        <v>87</v>
      </c>
      <c r="C30" s="2" t="s">
        <v>88</v>
      </c>
      <c r="D30" s="2" t="s">
        <v>28</v>
      </c>
      <c r="E30" s="2" t="s">
        <v>17</v>
      </c>
      <c r="F30" s="2">
        <v>2.8000000000000001E-2</v>
      </c>
      <c r="G30" s="3">
        <v>4.2000000000000003E-2</v>
      </c>
      <c r="H30" s="2">
        <v>1200</v>
      </c>
      <c r="I30" s="2">
        <v>0</v>
      </c>
      <c r="J30" s="2"/>
      <c r="K30" s="2"/>
      <c r="L30" s="2"/>
      <c r="M30" s="2"/>
      <c r="N30" s="8">
        <f t="shared" si="0"/>
        <v>0</v>
      </c>
      <c r="O30" s="2"/>
      <c r="P30" s="2"/>
      <c r="Q30" s="2"/>
      <c r="R30" s="19"/>
      <c r="S30" s="2"/>
      <c r="T30" s="2"/>
      <c r="U30" s="19">
        <v>1200</v>
      </c>
      <c r="V30" s="2"/>
      <c r="W30" s="2"/>
      <c r="X30" s="2"/>
      <c r="Y30" s="2"/>
      <c r="Z30" s="7">
        <f t="shared" si="1"/>
        <v>50.400000000000006</v>
      </c>
      <c r="AA30" s="7">
        <v>100</v>
      </c>
      <c r="AB30" s="7">
        <v>0</v>
      </c>
      <c r="AC30" s="8">
        <f t="shared" si="2"/>
        <v>0</v>
      </c>
      <c r="AD30" s="8">
        <v>0</v>
      </c>
      <c r="AE30" s="8">
        <f t="shared" si="3"/>
        <v>0</v>
      </c>
      <c r="AF30" s="8">
        <f t="shared" si="4"/>
        <v>0</v>
      </c>
      <c r="AG30" s="8">
        <v>0</v>
      </c>
      <c r="AH30" s="8">
        <v>0</v>
      </c>
      <c r="AI30" s="8" t="s">
        <v>119</v>
      </c>
      <c r="AJ30" s="8" t="s">
        <v>121</v>
      </c>
      <c r="AQ30" s="1">
        <v>-445</v>
      </c>
    </row>
    <row r="31" spans="1:43" hidden="1" x14ac:dyDescent="0.25">
      <c r="B31" s="2" t="s">
        <v>87</v>
      </c>
      <c r="C31" s="2" t="s">
        <v>88</v>
      </c>
      <c r="D31" s="2" t="s">
        <v>29</v>
      </c>
      <c r="E31" s="2" t="s">
        <v>17</v>
      </c>
      <c r="F31" s="2">
        <v>2.8000000000000001E-2</v>
      </c>
      <c r="G31" s="3">
        <v>0.105</v>
      </c>
      <c r="H31" s="2">
        <v>0</v>
      </c>
      <c r="I31" s="2">
        <v>0</v>
      </c>
      <c r="J31" s="2"/>
      <c r="K31" s="2"/>
      <c r="L31" s="2"/>
      <c r="M31" s="2"/>
      <c r="N31" s="8">
        <f t="shared" si="0"/>
        <v>0</v>
      </c>
      <c r="O31" s="2"/>
      <c r="P31" s="2"/>
      <c r="Q31" s="2"/>
      <c r="R31" s="19"/>
      <c r="S31" s="2"/>
      <c r="T31" s="2"/>
      <c r="U31" s="19"/>
      <c r="V31" s="2"/>
      <c r="W31" s="2"/>
      <c r="X31" s="2"/>
      <c r="Y31" s="2"/>
      <c r="Z31" s="7">
        <f t="shared" si="1"/>
        <v>0</v>
      </c>
      <c r="AA31" s="7">
        <v>100</v>
      </c>
      <c r="AB31" s="7">
        <v>0</v>
      </c>
      <c r="AC31" s="8">
        <f t="shared" si="2"/>
        <v>0</v>
      </c>
      <c r="AD31" s="8">
        <v>0</v>
      </c>
      <c r="AE31" s="8">
        <f t="shared" si="3"/>
        <v>0</v>
      </c>
      <c r="AF31" s="8">
        <f t="shared" si="4"/>
        <v>0</v>
      </c>
      <c r="AG31" s="8">
        <v>0</v>
      </c>
      <c r="AH31" s="8">
        <v>0</v>
      </c>
      <c r="AI31" s="8" t="s">
        <v>119</v>
      </c>
      <c r="AJ31" s="8" t="s">
        <v>121</v>
      </c>
      <c r="AQ31" s="1">
        <v>-83</v>
      </c>
    </row>
    <row r="32" spans="1:43" hidden="1" x14ac:dyDescent="0.25">
      <c r="B32" s="2" t="s">
        <v>87</v>
      </c>
      <c r="C32" s="2" t="s">
        <v>88</v>
      </c>
      <c r="D32" s="2" t="s">
        <v>30</v>
      </c>
      <c r="E32" s="2" t="s">
        <v>17</v>
      </c>
      <c r="F32" s="2">
        <v>2.8000000000000001E-2</v>
      </c>
      <c r="G32" s="3">
        <v>0.14299999999999999</v>
      </c>
      <c r="H32" s="2">
        <v>1200</v>
      </c>
      <c r="I32" s="2">
        <v>0</v>
      </c>
      <c r="J32" s="2"/>
      <c r="K32" s="2"/>
      <c r="L32" s="2"/>
      <c r="M32" s="2"/>
      <c r="N32" s="8">
        <f t="shared" si="0"/>
        <v>-726</v>
      </c>
      <c r="O32" s="2"/>
      <c r="P32" s="2"/>
      <c r="Q32" s="2"/>
      <c r="R32" s="19"/>
      <c r="S32" s="2"/>
      <c r="T32" s="2"/>
      <c r="U32" s="19"/>
      <c r="V32" s="2">
        <v>660</v>
      </c>
      <c r="W32" s="2">
        <v>558</v>
      </c>
      <c r="X32" s="2">
        <v>708</v>
      </c>
      <c r="Y32" s="2"/>
      <c r="Z32" s="7">
        <f t="shared" si="1"/>
        <v>171.6</v>
      </c>
      <c r="AA32" s="7">
        <v>100</v>
      </c>
      <c r="AB32" s="7">
        <v>0</v>
      </c>
      <c r="AC32" s="8">
        <f t="shared" si="2"/>
        <v>0</v>
      </c>
      <c r="AD32" s="8">
        <v>0</v>
      </c>
      <c r="AE32" s="8">
        <f t="shared" si="3"/>
        <v>0</v>
      </c>
      <c r="AF32" s="8">
        <f t="shared" si="4"/>
        <v>0</v>
      </c>
      <c r="AG32" s="8">
        <v>0</v>
      </c>
      <c r="AH32" s="8">
        <v>0</v>
      </c>
      <c r="AI32" s="8" t="s">
        <v>119</v>
      </c>
      <c r="AJ32" s="8" t="s">
        <v>121</v>
      </c>
      <c r="AQ32" s="1">
        <v>0</v>
      </c>
    </row>
    <row r="33" spans="2:43" hidden="1" x14ac:dyDescent="0.25">
      <c r="B33" s="2" t="s">
        <v>87</v>
      </c>
      <c r="C33" s="2" t="s">
        <v>88</v>
      </c>
      <c r="D33" s="2" t="s">
        <v>31</v>
      </c>
      <c r="E33" s="2" t="s">
        <v>17</v>
      </c>
      <c r="F33" s="2">
        <v>2.8000000000000001E-2</v>
      </c>
      <c r="G33" s="3">
        <v>4.5999999999999999E-2</v>
      </c>
      <c r="H33" s="2">
        <v>0</v>
      </c>
      <c r="I33" s="2">
        <v>0</v>
      </c>
      <c r="J33" s="2"/>
      <c r="K33" s="2"/>
      <c r="L33" s="2"/>
      <c r="M33" s="2"/>
      <c r="N33" s="8">
        <f t="shared" si="0"/>
        <v>0</v>
      </c>
      <c r="O33" s="2"/>
      <c r="P33" s="2"/>
      <c r="Q33" s="2"/>
      <c r="R33" s="19"/>
      <c r="S33" s="2"/>
      <c r="T33" s="2"/>
      <c r="U33" s="19"/>
      <c r="V33" s="2"/>
      <c r="W33" s="2"/>
      <c r="X33" s="2"/>
      <c r="Y33" s="2"/>
      <c r="Z33" s="7">
        <f t="shared" si="1"/>
        <v>0</v>
      </c>
      <c r="AA33" s="7">
        <v>100</v>
      </c>
      <c r="AB33" s="7">
        <v>0</v>
      </c>
      <c r="AC33" s="8">
        <f t="shared" si="2"/>
        <v>0</v>
      </c>
      <c r="AD33" s="8">
        <v>0</v>
      </c>
      <c r="AE33" s="8">
        <f t="shared" si="3"/>
        <v>0</v>
      </c>
      <c r="AF33" s="8">
        <f t="shared" si="4"/>
        <v>0</v>
      </c>
      <c r="AG33" s="8">
        <v>0</v>
      </c>
      <c r="AH33" s="8">
        <v>0</v>
      </c>
      <c r="AI33" s="8" t="s">
        <v>119</v>
      </c>
      <c r="AJ33" s="8" t="s">
        <v>121</v>
      </c>
      <c r="AQ33" s="1">
        <v>300</v>
      </c>
    </row>
    <row r="34" spans="2:43" hidden="1" x14ac:dyDescent="0.25">
      <c r="B34" s="2" t="s">
        <v>87</v>
      </c>
      <c r="C34" s="2" t="s">
        <v>88</v>
      </c>
      <c r="D34" s="2" t="s">
        <v>32</v>
      </c>
      <c r="E34" s="2" t="s">
        <v>17</v>
      </c>
      <c r="F34" s="2">
        <v>2.8000000000000001E-2</v>
      </c>
      <c r="G34" s="3">
        <v>0.129</v>
      </c>
      <c r="H34" s="2">
        <v>600</v>
      </c>
      <c r="I34" s="2">
        <v>0</v>
      </c>
      <c r="J34" s="2"/>
      <c r="K34" s="2"/>
      <c r="L34" s="2"/>
      <c r="M34" s="2"/>
      <c r="N34" s="8">
        <f t="shared" si="0"/>
        <v>-660</v>
      </c>
      <c r="O34" s="2"/>
      <c r="P34" s="2"/>
      <c r="Q34" s="2"/>
      <c r="R34" s="19"/>
      <c r="S34" s="2"/>
      <c r="T34" s="2"/>
      <c r="U34" s="19">
        <v>600</v>
      </c>
      <c r="V34" s="2"/>
      <c r="W34" s="2"/>
      <c r="X34" s="2">
        <v>660</v>
      </c>
      <c r="Y34" s="2"/>
      <c r="Z34" s="7">
        <f t="shared" si="1"/>
        <v>77.400000000000006</v>
      </c>
      <c r="AA34" s="7">
        <v>100</v>
      </c>
      <c r="AB34" s="7">
        <v>0</v>
      </c>
      <c r="AC34" s="8">
        <f t="shared" si="2"/>
        <v>0</v>
      </c>
      <c r="AD34" s="8">
        <v>0</v>
      </c>
      <c r="AE34" s="8">
        <f t="shared" si="3"/>
        <v>0</v>
      </c>
      <c r="AF34" s="8">
        <f t="shared" si="4"/>
        <v>0</v>
      </c>
      <c r="AG34" s="8">
        <v>0</v>
      </c>
      <c r="AH34" s="8">
        <v>0</v>
      </c>
      <c r="AI34" s="8" t="s">
        <v>119</v>
      </c>
      <c r="AJ34" s="8" t="s">
        <v>121</v>
      </c>
      <c r="AQ34" s="1">
        <v>500</v>
      </c>
    </row>
    <row r="35" spans="2:43" hidden="1" x14ac:dyDescent="0.25">
      <c r="B35" s="2" t="s">
        <v>87</v>
      </c>
      <c r="C35" s="2" t="s">
        <v>88</v>
      </c>
      <c r="D35" s="2" t="s">
        <v>33</v>
      </c>
      <c r="E35" s="2" t="s">
        <v>17</v>
      </c>
      <c r="F35" s="2">
        <v>2.8000000000000001E-2</v>
      </c>
      <c r="G35" s="3">
        <v>0.13400000000000001</v>
      </c>
      <c r="H35" s="2">
        <v>600</v>
      </c>
      <c r="I35" s="2">
        <v>600</v>
      </c>
      <c r="J35" s="2"/>
      <c r="K35" s="2"/>
      <c r="L35" s="2"/>
      <c r="M35" s="2"/>
      <c r="N35" s="8">
        <f t="shared" si="0"/>
        <v>-576</v>
      </c>
      <c r="O35" s="2"/>
      <c r="P35" s="2"/>
      <c r="Q35" s="2"/>
      <c r="R35" s="19">
        <v>1100</v>
      </c>
      <c r="S35" s="2">
        <v>100</v>
      </c>
      <c r="T35" s="2"/>
      <c r="U35" s="19"/>
      <c r="V35" s="2"/>
      <c r="W35" s="2"/>
      <c r="X35" s="2">
        <v>576</v>
      </c>
      <c r="Y35" s="2"/>
      <c r="Z35" s="7">
        <f t="shared" si="1"/>
        <v>160.80000000000001</v>
      </c>
      <c r="AA35" s="7">
        <v>100</v>
      </c>
      <c r="AB35" s="7">
        <v>0</v>
      </c>
      <c r="AC35" s="8">
        <f t="shared" si="2"/>
        <v>0</v>
      </c>
      <c r="AD35" s="8">
        <v>0</v>
      </c>
      <c r="AE35" s="8">
        <f t="shared" si="3"/>
        <v>0</v>
      </c>
      <c r="AF35" s="8">
        <f t="shared" si="4"/>
        <v>0</v>
      </c>
      <c r="AG35" s="8">
        <v>0</v>
      </c>
      <c r="AH35" s="8">
        <v>0</v>
      </c>
      <c r="AI35" s="8" t="s">
        <v>119</v>
      </c>
      <c r="AJ35" s="8" t="s">
        <v>121</v>
      </c>
      <c r="AQ35" s="1">
        <v>300</v>
      </c>
    </row>
    <row r="36" spans="2:43" x14ac:dyDescent="0.25">
      <c r="B36" s="2" t="s">
        <v>87</v>
      </c>
      <c r="C36" s="2" t="s">
        <v>88</v>
      </c>
      <c r="D36" s="2" t="s">
        <v>34</v>
      </c>
      <c r="E36" s="2" t="s">
        <v>17</v>
      </c>
      <c r="F36" s="2">
        <v>2.8000000000000001E-2</v>
      </c>
      <c r="G36" s="3">
        <v>0.105</v>
      </c>
      <c r="H36" s="2">
        <v>600</v>
      </c>
      <c r="I36" s="2">
        <v>0</v>
      </c>
      <c r="J36" s="2"/>
      <c r="K36" s="2"/>
      <c r="L36" s="2"/>
      <c r="M36" s="2"/>
      <c r="N36" s="8">
        <f t="shared" si="0"/>
        <v>50</v>
      </c>
      <c r="O36" s="2"/>
      <c r="P36" s="2"/>
      <c r="Q36" s="2"/>
      <c r="R36" s="19"/>
      <c r="S36" s="2"/>
      <c r="T36" s="2"/>
      <c r="U36" s="19"/>
      <c r="V36" s="2">
        <v>550</v>
      </c>
      <c r="W36" s="2"/>
      <c r="X36" s="2"/>
      <c r="Y36" s="2"/>
      <c r="Z36" s="7">
        <f t="shared" si="1"/>
        <v>63</v>
      </c>
      <c r="AA36" s="7">
        <v>100</v>
      </c>
      <c r="AB36" s="7">
        <v>0</v>
      </c>
      <c r="AC36" s="8">
        <f t="shared" si="2"/>
        <v>0</v>
      </c>
      <c r="AD36" s="8">
        <v>0</v>
      </c>
      <c r="AE36" s="8">
        <f t="shared" si="3"/>
        <v>0</v>
      </c>
      <c r="AF36" s="8">
        <f t="shared" si="4"/>
        <v>0</v>
      </c>
      <c r="AG36" s="8">
        <v>0</v>
      </c>
      <c r="AH36" s="8">
        <v>0</v>
      </c>
      <c r="AI36" s="8" t="s">
        <v>119</v>
      </c>
      <c r="AJ36" s="8" t="s">
        <v>121</v>
      </c>
      <c r="AQ36" s="1">
        <v>0</v>
      </c>
    </row>
    <row r="37" spans="2:43" hidden="1" x14ac:dyDescent="0.25">
      <c r="B37" s="2" t="s">
        <v>87</v>
      </c>
      <c r="C37" s="2" t="s">
        <v>88</v>
      </c>
      <c r="D37" s="2" t="s">
        <v>35</v>
      </c>
      <c r="E37" s="2" t="s">
        <v>17</v>
      </c>
      <c r="F37" s="2">
        <v>2.8000000000000001E-2</v>
      </c>
      <c r="G37" s="3">
        <v>9.9000000000000005E-2</v>
      </c>
      <c r="H37" s="2">
        <v>0</v>
      </c>
      <c r="I37" s="2">
        <v>600</v>
      </c>
      <c r="J37" s="2"/>
      <c r="K37" s="2"/>
      <c r="L37" s="2"/>
      <c r="M37" s="2"/>
      <c r="N37" s="8">
        <f t="shared" si="0"/>
        <v>-100</v>
      </c>
      <c r="O37" s="2"/>
      <c r="P37" s="2"/>
      <c r="Q37" s="2">
        <v>700</v>
      </c>
      <c r="R37" s="19"/>
      <c r="S37" s="2"/>
      <c r="T37" s="2"/>
      <c r="U37" s="19"/>
      <c r="V37" s="2"/>
      <c r="W37" s="2"/>
      <c r="X37" s="2"/>
      <c r="Y37" s="2"/>
      <c r="Z37" s="7">
        <f t="shared" si="1"/>
        <v>59.400000000000006</v>
      </c>
      <c r="AA37" s="7">
        <v>100</v>
      </c>
      <c r="AB37" s="7">
        <v>0</v>
      </c>
      <c r="AC37" s="8">
        <f t="shared" si="2"/>
        <v>0</v>
      </c>
      <c r="AD37" s="8">
        <v>0</v>
      </c>
      <c r="AE37" s="8">
        <f t="shared" si="3"/>
        <v>0</v>
      </c>
      <c r="AF37" s="8">
        <f t="shared" si="4"/>
        <v>0</v>
      </c>
      <c r="AG37" s="8">
        <v>0</v>
      </c>
      <c r="AH37" s="8">
        <v>0</v>
      </c>
      <c r="AI37" s="8" t="s">
        <v>119</v>
      </c>
      <c r="AJ37" s="8" t="s">
        <v>121</v>
      </c>
      <c r="AQ37" s="1">
        <v>300</v>
      </c>
    </row>
    <row r="38" spans="2:43" hidden="1" x14ac:dyDescent="0.25">
      <c r="B38" s="2" t="s">
        <v>87</v>
      </c>
      <c r="C38" s="2" t="s">
        <v>88</v>
      </c>
      <c r="D38" s="2" t="s">
        <v>36</v>
      </c>
      <c r="E38" s="2" t="s">
        <v>17</v>
      </c>
      <c r="F38" s="2">
        <v>2.8000000000000001E-2</v>
      </c>
      <c r="G38" s="3">
        <v>0.13100000000000001</v>
      </c>
      <c r="H38" s="2">
        <v>0</v>
      </c>
      <c r="I38" s="2">
        <v>600</v>
      </c>
      <c r="J38" s="2"/>
      <c r="K38" s="2"/>
      <c r="L38" s="2"/>
      <c r="M38" s="2"/>
      <c r="N38" s="8">
        <f t="shared" ref="N38:N69" si="5">+H38+I38+J38+K38+L38+M38-SUM(O38:Y38)</f>
        <v>-65</v>
      </c>
      <c r="O38" s="2">
        <v>245</v>
      </c>
      <c r="P38" s="2">
        <v>420</v>
      </c>
      <c r="Q38" s="2"/>
      <c r="R38" s="19"/>
      <c r="S38" s="2"/>
      <c r="T38" s="2"/>
      <c r="U38" s="19"/>
      <c r="V38" s="2"/>
      <c r="W38" s="2"/>
      <c r="X38" s="2"/>
      <c r="Y38" s="2"/>
      <c r="Z38" s="7">
        <f t="shared" ref="Z38:Z69" si="6">+G38*SUM(H38:M38)</f>
        <v>78.600000000000009</v>
      </c>
      <c r="AA38" s="7">
        <v>100</v>
      </c>
      <c r="AB38" s="7">
        <v>0</v>
      </c>
      <c r="AC38" s="8">
        <f t="shared" ref="AC38:AC69" si="7">+H38*AB38</f>
        <v>0</v>
      </c>
      <c r="AD38" s="8">
        <v>0</v>
      </c>
      <c r="AE38" s="8">
        <f t="shared" ref="AE38:AE69" si="8">+H38*AD38</f>
        <v>0</v>
      </c>
      <c r="AF38" s="8">
        <f t="shared" si="4"/>
        <v>0</v>
      </c>
      <c r="AG38" s="8">
        <v>0</v>
      </c>
      <c r="AH38" s="8">
        <v>0</v>
      </c>
      <c r="AI38" s="8" t="s">
        <v>119</v>
      </c>
      <c r="AJ38" s="8" t="s">
        <v>121</v>
      </c>
      <c r="AQ38" s="1">
        <v>0</v>
      </c>
    </row>
    <row r="39" spans="2:43" hidden="1" x14ac:dyDescent="0.25">
      <c r="B39" s="2" t="s">
        <v>87</v>
      </c>
      <c r="C39" s="2" t="s">
        <v>88</v>
      </c>
      <c r="D39" s="2" t="s">
        <v>37</v>
      </c>
      <c r="E39" s="2" t="s">
        <v>17</v>
      </c>
      <c r="F39" s="2">
        <v>2.8000000000000001E-2</v>
      </c>
      <c r="G39" s="3">
        <v>9.4E-2</v>
      </c>
      <c r="H39" s="2">
        <v>600</v>
      </c>
      <c r="I39" s="2">
        <v>0</v>
      </c>
      <c r="J39" s="2"/>
      <c r="K39" s="2"/>
      <c r="L39" s="2"/>
      <c r="M39" s="2"/>
      <c r="N39" s="8">
        <f t="shared" si="5"/>
        <v>0</v>
      </c>
      <c r="O39" s="2"/>
      <c r="P39" s="2"/>
      <c r="Q39" s="2"/>
      <c r="R39" s="19"/>
      <c r="S39" s="2"/>
      <c r="T39" s="2"/>
      <c r="U39" s="19"/>
      <c r="V39" s="2"/>
      <c r="W39" s="2">
        <v>600</v>
      </c>
      <c r="X39" s="2"/>
      <c r="Y39" s="2"/>
      <c r="Z39" s="7">
        <f t="shared" si="6"/>
        <v>56.4</v>
      </c>
      <c r="AA39" s="7">
        <v>100</v>
      </c>
      <c r="AB39" s="7">
        <v>0</v>
      </c>
      <c r="AC39" s="8">
        <f t="shared" si="7"/>
        <v>0</v>
      </c>
      <c r="AD39" s="8">
        <v>0</v>
      </c>
      <c r="AE39" s="8">
        <f t="shared" si="8"/>
        <v>0</v>
      </c>
      <c r="AF39" s="8">
        <f t="shared" si="4"/>
        <v>0</v>
      </c>
      <c r="AG39" s="8">
        <v>0</v>
      </c>
      <c r="AH39" s="8">
        <v>0</v>
      </c>
      <c r="AI39" s="8" t="s">
        <v>119</v>
      </c>
      <c r="AJ39" s="8" t="s">
        <v>121</v>
      </c>
      <c r="AQ39" s="1">
        <v>0</v>
      </c>
    </row>
    <row r="40" spans="2:43" hidden="1" x14ac:dyDescent="0.25">
      <c r="B40" s="2" t="s">
        <v>87</v>
      </c>
      <c r="C40" s="2" t="s">
        <v>88</v>
      </c>
      <c r="D40" s="2" t="s">
        <v>38</v>
      </c>
      <c r="E40" s="2" t="s">
        <v>17</v>
      </c>
      <c r="F40" s="2">
        <v>2.8000000000000001E-2</v>
      </c>
      <c r="G40" s="3">
        <v>0.122</v>
      </c>
      <c r="H40" s="2">
        <v>0</v>
      </c>
      <c r="I40" s="2">
        <v>0</v>
      </c>
      <c r="J40" s="2"/>
      <c r="K40" s="2"/>
      <c r="L40" s="2"/>
      <c r="M40" s="2"/>
      <c r="N40" s="8">
        <f t="shared" si="5"/>
        <v>0</v>
      </c>
      <c r="O40" s="2"/>
      <c r="P40" s="2"/>
      <c r="Q40" s="2"/>
      <c r="R40" s="19"/>
      <c r="S40" s="2"/>
      <c r="T40" s="2"/>
      <c r="U40" s="19"/>
      <c r="V40" s="2"/>
      <c r="W40" s="2"/>
      <c r="X40" s="2"/>
      <c r="Y40" s="2"/>
      <c r="Z40" s="7">
        <f t="shared" si="6"/>
        <v>0</v>
      </c>
      <c r="AA40" s="7">
        <v>100</v>
      </c>
      <c r="AB40" s="7">
        <v>0</v>
      </c>
      <c r="AC40" s="8">
        <f t="shared" si="7"/>
        <v>0</v>
      </c>
      <c r="AD40" s="8">
        <v>0</v>
      </c>
      <c r="AE40" s="8">
        <f t="shared" si="8"/>
        <v>0</v>
      </c>
      <c r="AF40" s="8">
        <f t="shared" si="4"/>
        <v>0</v>
      </c>
      <c r="AG40" s="8">
        <v>0</v>
      </c>
      <c r="AH40" s="8">
        <v>0</v>
      </c>
      <c r="AI40" s="8" t="s">
        <v>119</v>
      </c>
      <c r="AJ40" s="8" t="s">
        <v>121</v>
      </c>
      <c r="AQ40" s="1">
        <v>0</v>
      </c>
    </row>
    <row r="41" spans="2:43" hidden="1" x14ac:dyDescent="0.25">
      <c r="B41" s="2" t="s">
        <v>87</v>
      </c>
      <c r="C41" s="2" t="s">
        <v>88</v>
      </c>
      <c r="D41" s="2" t="s">
        <v>39</v>
      </c>
      <c r="E41" s="2" t="s">
        <v>17</v>
      </c>
      <c r="F41" s="2">
        <v>2.8000000000000001E-2</v>
      </c>
      <c r="G41" s="3">
        <v>0.10100000000000001</v>
      </c>
      <c r="H41" s="2">
        <v>0</v>
      </c>
      <c r="I41" s="2">
        <v>600</v>
      </c>
      <c r="J41" s="2"/>
      <c r="K41" s="2"/>
      <c r="L41" s="2"/>
      <c r="M41" s="2"/>
      <c r="N41" s="8">
        <f t="shared" si="5"/>
        <v>0</v>
      </c>
      <c r="O41" s="2">
        <v>600</v>
      </c>
      <c r="P41" s="2"/>
      <c r="Q41" s="2"/>
      <c r="R41" s="19"/>
      <c r="S41" s="2"/>
      <c r="T41" s="2"/>
      <c r="U41" s="19"/>
      <c r="V41" s="2"/>
      <c r="W41" s="2"/>
      <c r="X41" s="2"/>
      <c r="Y41" s="2"/>
      <c r="Z41" s="7">
        <f t="shared" si="6"/>
        <v>60.6</v>
      </c>
      <c r="AA41" s="7">
        <v>100</v>
      </c>
      <c r="AB41" s="7">
        <v>0</v>
      </c>
      <c r="AC41" s="8">
        <f t="shared" si="7"/>
        <v>0</v>
      </c>
      <c r="AD41" s="8">
        <v>0</v>
      </c>
      <c r="AE41" s="8">
        <f t="shared" si="8"/>
        <v>0</v>
      </c>
      <c r="AF41" s="8">
        <f t="shared" si="4"/>
        <v>0</v>
      </c>
      <c r="AG41" s="8">
        <v>0</v>
      </c>
      <c r="AH41" s="8">
        <v>0</v>
      </c>
      <c r="AI41" s="8" t="s">
        <v>119</v>
      </c>
      <c r="AJ41" s="8" t="s">
        <v>121</v>
      </c>
      <c r="AQ41" s="1">
        <v>0</v>
      </c>
    </row>
    <row r="42" spans="2:43" hidden="1" x14ac:dyDescent="0.25">
      <c r="B42" s="2" t="s">
        <v>87</v>
      </c>
      <c r="C42" s="2" t="s">
        <v>88</v>
      </c>
      <c r="D42" s="2" t="s">
        <v>40</v>
      </c>
      <c r="E42" s="2" t="s">
        <v>17</v>
      </c>
      <c r="F42" s="2">
        <v>2.8000000000000001E-2</v>
      </c>
      <c r="G42" s="3">
        <v>0.11899999999999999</v>
      </c>
      <c r="H42" s="2">
        <v>0</v>
      </c>
      <c r="I42" s="2">
        <v>0</v>
      </c>
      <c r="J42" s="2"/>
      <c r="K42" s="2"/>
      <c r="L42" s="2"/>
      <c r="M42" s="2"/>
      <c r="N42" s="8">
        <f t="shared" si="5"/>
        <v>0</v>
      </c>
      <c r="O42" s="2"/>
      <c r="P42" s="2"/>
      <c r="Q42" s="2"/>
      <c r="R42" s="19"/>
      <c r="S42" s="2"/>
      <c r="T42" s="2"/>
      <c r="U42" s="19"/>
      <c r="V42" s="2"/>
      <c r="W42" s="2"/>
      <c r="X42" s="2"/>
      <c r="Y42" s="2"/>
      <c r="Z42" s="7">
        <f t="shared" si="6"/>
        <v>0</v>
      </c>
      <c r="AA42" s="7">
        <v>100</v>
      </c>
      <c r="AB42" s="7">
        <v>0</v>
      </c>
      <c r="AC42" s="8">
        <f t="shared" si="7"/>
        <v>0</v>
      </c>
      <c r="AD42" s="8">
        <v>0</v>
      </c>
      <c r="AE42" s="8">
        <f t="shared" si="8"/>
        <v>0</v>
      </c>
      <c r="AF42" s="8">
        <f t="shared" si="4"/>
        <v>0</v>
      </c>
      <c r="AG42" s="8">
        <v>0</v>
      </c>
      <c r="AH42" s="8">
        <v>0</v>
      </c>
      <c r="AI42" s="8" t="s">
        <v>119</v>
      </c>
      <c r="AJ42" s="8" t="s">
        <v>121</v>
      </c>
      <c r="AQ42" s="1">
        <v>0</v>
      </c>
    </row>
    <row r="43" spans="2:43" hidden="1" x14ac:dyDescent="0.25">
      <c r="B43" s="2" t="s">
        <v>87</v>
      </c>
      <c r="C43" s="2" t="s">
        <v>88</v>
      </c>
      <c r="D43" s="2" t="s">
        <v>41</v>
      </c>
      <c r="E43" s="2" t="s">
        <v>17</v>
      </c>
      <c r="F43" s="2">
        <v>2.8000000000000001E-2</v>
      </c>
      <c r="G43" s="3">
        <v>0.121</v>
      </c>
      <c r="H43" s="2">
        <v>0</v>
      </c>
      <c r="I43" s="2">
        <v>600</v>
      </c>
      <c r="J43" s="2"/>
      <c r="K43" s="2"/>
      <c r="L43" s="2"/>
      <c r="M43" s="2"/>
      <c r="N43" s="8">
        <f t="shared" si="5"/>
        <v>0</v>
      </c>
      <c r="O43" s="2">
        <v>600</v>
      </c>
      <c r="P43" s="2"/>
      <c r="Q43" s="2"/>
      <c r="R43" s="19"/>
      <c r="S43" s="2"/>
      <c r="T43" s="2"/>
      <c r="U43" s="19"/>
      <c r="V43" s="2"/>
      <c r="W43" s="2"/>
      <c r="X43" s="2"/>
      <c r="Y43" s="2"/>
      <c r="Z43" s="7">
        <f t="shared" si="6"/>
        <v>72.599999999999994</v>
      </c>
      <c r="AA43" s="7">
        <v>100</v>
      </c>
      <c r="AB43" s="7">
        <v>0</v>
      </c>
      <c r="AC43" s="8">
        <f t="shared" si="7"/>
        <v>0</v>
      </c>
      <c r="AD43" s="8">
        <v>0</v>
      </c>
      <c r="AE43" s="8">
        <f t="shared" si="8"/>
        <v>0</v>
      </c>
      <c r="AF43" s="8">
        <f t="shared" si="4"/>
        <v>0</v>
      </c>
      <c r="AG43" s="8">
        <v>0</v>
      </c>
      <c r="AH43" s="8">
        <v>0</v>
      </c>
      <c r="AI43" s="8" t="s">
        <v>119</v>
      </c>
      <c r="AJ43" s="8" t="s">
        <v>121</v>
      </c>
      <c r="AQ43" s="1">
        <v>0</v>
      </c>
    </row>
    <row r="44" spans="2:43" hidden="1" x14ac:dyDescent="0.25">
      <c r="B44" s="2" t="s">
        <v>87</v>
      </c>
      <c r="C44" s="2" t="s">
        <v>88</v>
      </c>
      <c r="D44" s="2" t="s">
        <v>42</v>
      </c>
      <c r="E44" s="2" t="s">
        <v>17</v>
      </c>
      <c r="F44" s="2">
        <v>2.8000000000000001E-2</v>
      </c>
      <c r="G44" s="3">
        <v>0.127</v>
      </c>
      <c r="H44" s="2">
        <v>0</v>
      </c>
      <c r="I44" s="2">
        <v>600</v>
      </c>
      <c r="J44" s="2"/>
      <c r="K44" s="2"/>
      <c r="L44" s="2"/>
      <c r="M44" s="2"/>
      <c r="N44" s="8">
        <f t="shared" si="5"/>
        <v>0</v>
      </c>
      <c r="O44" s="2">
        <v>600</v>
      </c>
      <c r="P44" s="2"/>
      <c r="Q44" s="2"/>
      <c r="R44" s="19"/>
      <c r="S44" s="2"/>
      <c r="T44" s="2"/>
      <c r="U44" s="19"/>
      <c r="V44" s="2"/>
      <c r="W44" s="2"/>
      <c r="X44" s="2"/>
      <c r="Y44" s="2"/>
      <c r="Z44" s="7">
        <f t="shared" si="6"/>
        <v>76.2</v>
      </c>
      <c r="AA44" s="7">
        <v>100</v>
      </c>
      <c r="AB44" s="7">
        <v>0</v>
      </c>
      <c r="AC44" s="8">
        <f t="shared" si="7"/>
        <v>0</v>
      </c>
      <c r="AD44" s="8">
        <v>0</v>
      </c>
      <c r="AE44" s="8">
        <f t="shared" si="8"/>
        <v>0</v>
      </c>
      <c r="AF44" s="8">
        <f t="shared" si="4"/>
        <v>0</v>
      </c>
      <c r="AG44" s="8">
        <v>0</v>
      </c>
      <c r="AH44" s="8">
        <v>0</v>
      </c>
      <c r="AI44" s="8" t="s">
        <v>119</v>
      </c>
      <c r="AJ44" s="8" t="s">
        <v>121</v>
      </c>
      <c r="AQ44" s="1">
        <v>0</v>
      </c>
    </row>
    <row r="45" spans="2:43" hidden="1" x14ac:dyDescent="0.25">
      <c r="B45" s="2" t="s">
        <v>87</v>
      </c>
      <c r="C45" s="2" t="s">
        <v>88</v>
      </c>
      <c r="D45" s="2" t="s">
        <v>43</v>
      </c>
      <c r="E45" s="2" t="s">
        <v>17</v>
      </c>
      <c r="F45" s="2">
        <v>2.8000000000000001E-2</v>
      </c>
      <c r="G45" s="3">
        <v>0.10299999999999999</v>
      </c>
      <c r="H45" s="2">
        <v>0</v>
      </c>
      <c r="I45" s="2">
        <v>0</v>
      </c>
      <c r="J45" s="2"/>
      <c r="K45" s="2"/>
      <c r="L45" s="2"/>
      <c r="M45" s="2"/>
      <c r="N45" s="8">
        <f t="shared" si="5"/>
        <v>0</v>
      </c>
      <c r="O45" s="2"/>
      <c r="P45" s="2"/>
      <c r="Q45" s="2"/>
      <c r="R45" s="19"/>
      <c r="S45" s="2"/>
      <c r="T45" s="2"/>
      <c r="U45" s="19"/>
      <c r="V45" s="2"/>
      <c r="W45" s="2"/>
      <c r="X45" s="2"/>
      <c r="Y45" s="2"/>
      <c r="Z45" s="7">
        <f t="shared" si="6"/>
        <v>0</v>
      </c>
      <c r="AA45" s="7">
        <v>100</v>
      </c>
      <c r="AB45" s="7">
        <v>0</v>
      </c>
      <c r="AC45" s="8">
        <f t="shared" si="7"/>
        <v>0</v>
      </c>
      <c r="AD45" s="8">
        <v>0</v>
      </c>
      <c r="AE45" s="8">
        <f t="shared" si="8"/>
        <v>0</v>
      </c>
      <c r="AF45" s="8">
        <f t="shared" si="4"/>
        <v>0</v>
      </c>
      <c r="AG45" s="8">
        <v>0</v>
      </c>
      <c r="AH45" s="8">
        <v>0</v>
      </c>
      <c r="AI45" s="8" t="s">
        <v>119</v>
      </c>
      <c r="AJ45" s="8" t="s">
        <v>121</v>
      </c>
      <c r="AQ45" s="1">
        <v>328</v>
      </c>
    </row>
    <row r="46" spans="2:43" x14ac:dyDescent="0.25">
      <c r="B46" s="2" t="s">
        <v>87</v>
      </c>
      <c r="C46" s="2" t="s">
        <v>88</v>
      </c>
      <c r="D46" s="2" t="s">
        <v>44</v>
      </c>
      <c r="E46" s="2" t="s">
        <v>17</v>
      </c>
      <c r="F46" s="2">
        <v>2.8000000000000001E-2</v>
      </c>
      <c r="G46" s="3">
        <v>0.23799999999999999</v>
      </c>
      <c r="H46" s="2">
        <v>600</v>
      </c>
      <c r="I46" s="2">
        <v>0</v>
      </c>
      <c r="J46" s="2"/>
      <c r="K46" s="2"/>
      <c r="L46" s="2"/>
      <c r="M46" s="2"/>
      <c r="N46" s="8">
        <f t="shared" si="5"/>
        <v>600</v>
      </c>
      <c r="O46" s="2"/>
      <c r="P46" s="2"/>
      <c r="Q46" s="2"/>
      <c r="R46" s="19"/>
      <c r="S46" s="2"/>
      <c r="T46" s="2"/>
      <c r="U46" s="19"/>
      <c r="V46" s="2"/>
      <c r="W46" s="2"/>
      <c r="X46" s="2"/>
      <c r="Y46" s="2"/>
      <c r="Z46" s="7">
        <f t="shared" si="6"/>
        <v>142.79999999999998</v>
      </c>
      <c r="AA46" s="7">
        <v>100</v>
      </c>
      <c r="AB46" s="7">
        <v>0</v>
      </c>
      <c r="AC46" s="8">
        <f t="shared" si="7"/>
        <v>0</v>
      </c>
      <c r="AD46" s="8">
        <v>0</v>
      </c>
      <c r="AE46" s="8">
        <f t="shared" si="8"/>
        <v>0</v>
      </c>
      <c r="AF46" s="8">
        <f t="shared" si="4"/>
        <v>0</v>
      </c>
      <c r="AG46" s="8">
        <v>0</v>
      </c>
      <c r="AH46" s="8">
        <v>0</v>
      </c>
      <c r="AI46" s="8" t="s">
        <v>119</v>
      </c>
      <c r="AJ46" s="8" t="s">
        <v>121</v>
      </c>
      <c r="AQ46" s="1">
        <v>400</v>
      </c>
    </row>
    <row r="47" spans="2:43" hidden="1" x14ac:dyDescent="0.25">
      <c r="B47" s="2" t="s">
        <v>87</v>
      </c>
      <c r="C47" s="2" t="s">
        <v>88</v>
      </c>
      <c r="D47" s="2" t="s">
        <v>45</v>
      </c>
      <c r="E47" s="2" t="s">
        <v>17</v>
      </c>
      <c r="F47" s="2">
        <v>2.8000000000000001E-2</v>
      </c>
      <c r="G47" s="3">
        <v>0.10100000000000001</v>
      </c>
      <c r="H47" s="2">
        <v>600</v>
      </c>
      <c r="I47" s="2">
        <v>0</v>
      </c>
      <c r="J47" s="2"/>
      <c r="K47" s="2"/>
      <c r="L47" s="2"/>
      <c r="M47" s="2"/>
      <c r="N47" s="8">
        <f t="shared" si="5"/>
        <v>-332</v>
      </c>
      <c r="O47" s="2"/>
      <c r="P47" s="2"/>
      <c r="Q47" s="2"/>
      <c r="R47" s="19"/>
      <c r="S47" s="2"/>
      <c r="T47" s="2"/>
      <c r="U47" s="19"/>
      <c r="V47" s="2"/>
      <c r="W47" s="2">
        <v>932</v>
      </c>
      <c r="X47" s="2"/>
      <c r="Y47" s="2"/>
      <c r="Z47" s="7">
        <f t="shared" si="6"/>
        <v>60.6</v>
      </c>
      <c r="AA47" s="7">
        <v>100</v>
      </c>
      <c r="AB47" s="7">
        <v>0</v>
      </c>
      <c r="AC47" s="8">
        <f t="shared" si="7"/>
        <v>0</v>
      </c>
      <c r="AD47" s="8">
        <v>0</v>
      </c>
      <c r="AE47" s="8">
        <f t="shared" si="8"/>
        <v>0</v>
      </c>
      <c r="AF47" s="8">
        <f t="shared" si="4"/>
        <v>0</v>
      </c>
      <c r="AG47" s="8">
        <v>0</v>
      </c>
      <c r="AH47" s="8">
        <v>0</v>
      </c>
      <c r="AI47" s="8" t="s">
        <v>119</v>
      </c>
      <c r="AJ47" s="8" t="s">
        <v>121</v>
      </c>
      <c r="AQ47" s="1">
        <v>-1493</v>
      </c>
    </row>
    <row r="48" spans="2:43" hidden="1" x14ac:dyDescent="0.25">
      <c r="B48" s="2" t="s">
        <v>87</v>
      </c>
      <c r="C48" s="2" t="s">
        <v>88</v>
      </c>
      <c r="D48" s="2" t="s">
        <v>46</v>
      </c>
      <c r="E48" s="2" t="s">
        <v>17</v>
      </c>
      <c r="F48" s="2">
        <v>2.8000000000000001E-2</v>
      </c>
      <c r="G48" s="3">
        <v>3.9E-2</v>
      </c>
      <c r="H48" s="2">
        <v>1800</v>
      </c>
      <c r="I48" s="2">
        <v>0</v>
      </c>
      <c r="J48" s="2"/>
      <c r="K48" s="2"/>
      <c r="L48" s="2"/>
      <c r="M48" s="2"/>
      <c r="N48" s="8">
        <f t="shared" si="5"/>
        <v>-537</v>
      </c>
      <c r="O48" s="2"/>
      <c r="P48" s="2"/>
      <c r="Q48" s="2"/>
      <c r="R48" s="19"/>
      <c r="S48" s="2"/>
      <c r="T48" s="2">
        <v>262</v>
      </c>
      <c r="U48" s="19">
        <v>1775</v>
      </c>
      <c r="V48" s="2"/>
      <c r="W48" s="2"/>
      <c r="X48" s="2">
        <v>300</v>
      </c>
      <c r="Y48" s="2"/>
      <c r="Z48" s="7">
        <f t="shared" si="6"/>
        <v>70.2</v>
      </c>
      <c r="AA48" s="7">
        <v>100</v>
      </c>
      <c r="AB48" s="7">
        <v>0</v>
      </c>
      <c r="AC48" s="8">
        <f t="shared" si="7"/>
        <v>0</v>
      </c>
      <c r="AD48" s="8">
        <v>0</v>
      </c>
      <c r="AE48" s="8">
        <f t="shared" si="8"/>
        <v>0</v>
      </c>
      <c r="AF48" s="8">
        <f t="shared" si="4"/>
        <v>0</v>
      </c>
      <c r="AG48" s="8">
        <v>0</v>
      </c>
      <c r="AH48" s="8">
        <v>0</v>
      </c>
      <c r="AI48" s="8" t="s">
        <v>119</v>
      </c>
      <c r="AJ48" s="8" t="s">
        <v>121</v>
      </c>
      <c r="AQ48" s="1">
        <v>-66</v>
      </c>
    </row>
    <row r="49" spans="1:43" hidden="1" x14ac:dyDescent="0.25">
      <c r="B49" s="2" t="s">
        <v>87</v>
      </c>
      <c r="C49" s="2" t="s">
        <v>88</v>
      </c>
      <c r="D49" s="2" t="s">
        <v>47</v>
      </c>
      <c r="E49" s="2" t="s">
        <v>48</v>
      </c>
      <c r="F49" s="2">
        <v>3.5000000000000003E-2</v>
      </c>
      <c r="G49" s="3">
        <v>0.14799999999999999</v>
      </c>
      <c r="H49" s="2">
        <v>0</v>
      </c>
      <c r="I49" s="2">
        <v>0</v>
      </c>
      <c r="J49" s="2"/>
      <c r="K49" s="2"/>
      <c r="L49" s="2"/>
      <c r="M49" s="2"/>
      <c r="N49" s="8">
        <f t="shared" si="5"/>
        <v>0</v>
      </c>
      <c r="O49" s="2"/>
      <c r="P49" s="2"/>
      <c r="Q49" s="2"/>
      <c r="R49" s="19"/>
      <c r="S49" s="2"/>
      <c r="T49" s="2"/>
      <c r="U49" s="19"/>
      <c r="V49" s="2"/>
      <c r="W49" s="2"/>
      <c r="X49" s="2"/>
      <c r="Y49" s="2"/>
      <c r="Z49" s="7">
        <f t="shared" si="6"/>
        <v>0</v>
      </c>
      <c r="AA49" s="7">
        <v>500</v>
      </c>
      <c r="AB49" s="7">
        <v>0</v>
      </c>
      <c r="AC49" s="8">
        <f t="shared" si="7"/>
        <v>0</v>
      </c>
      <c r="AD49" s="8">
        <v>0</v>
      </c>
      <c r="AE49" s="8">
        <f t="shared" si="8"/>
        <v>0</v>
      </c>
      <c r="AF49" s="8">
        <f t="shared" si="4"/>
        <v>0</v>
      </c>
      <c r="AG49" s="8">
        <v>0</v>
      </c>
      <c r="AH49" s="8">
        <v>0</v>
      </c>
      <c r="AI49" s="8" t="s">
        <v>119</v>
      </c>
      <c r="AJ49" s="8" t="s">
        <v>121</v>
      </c>
      <c r="AQ49" s="1">
        <v>0</v>
      </c>
    </row>
    <row r="50" spans="1:43" x14ac:dyDescent="0.25">
      <c r="A50" s="1">
        <v>1000</v>
      </c>
      <c r="B50" s="2" t="s">
        <v>87</v>
      </c>
      <c r="C50" s="2" t="s">
        <v>88</v>
      </c>
      <c r="D50" s="68" t="s">
        <v>49</v>
      </c>
      <c r="E50" s="2" t="s">
        <v>48</v>
      </c>
      <c r="F50" s="2">
        <v>3.5000000000000003E-2</v>
      </c>
      <c r="G50" s="3">
        <v>0.14399999999999999</v>
      </c>
      <c r="H50" s="2">
        <v>300</v>
      </c>
      <c r="I50" s="2">
        <v>1065</v>
      </c>
      <c r="J50" s="2"/>
      <c r="K50" s="2"/>
      <c r="L50" s="2"/>
      <c r="M50" s="2"/>
      <c r="N50" s="8">
        <f t="shared" si="5"/>
        <v>79</v>
      </c>
      <c r="O50" s="2"/>
      <c r="P50" s="2"/>
      <c r="Q50" s="2"/>
      <c r="R50" s="19">
        <v>221</v>
      </c>
      <c r="S50" s="2">
        <v>200</v>
      </c>
      <c r="T50" s="2">
        <v>415</v>
      </c>
      <c r="U50" s="19"/>
      <c r="V50" s="2">
        <v>180</v>
      </c>
      <c r="W50" s="2">
        <v>100</v>
      </c>
      <c r="X50" s="2">
        <v>170</v>
      </c>
      <c r="Y50" s="2"/>
      <c r="Z50" s="7">
        <f t="shared" si="6"/>
        <v>196.55999999999997</v>
      </c>
      <c r="AA50" s="7">
        <v>500</v>
      </c>
      <c r="AB50" s="7">
        <v>0</v>
      </c>
      <c r="AC50" s="8">
        <f t="shared" si="7"/>
        <v>0</v>
      </c>
      <c r="AD50" s="8">
        <v>0</v>
      </c>
      <c r="AE50" s="8">
        <f t="shared" si="8"/>
        <v>0</v>
      </c>
      <c r="AF50" s="8">
        <f t="shared" si="4"/>
        <v>0</v>
      </c>
      <c r="AG50" s="8">
        <v>0</v>
      </c>
      <c r="AH50" s="8">
        <v>0</v>
      </c>
      <c r="AI50" s="8" t="s">
        <v>119</v>
      </c>
      <c r="AJ50" s="8" t="s">
        <v>121</v>
      </c>
      <c r="AQ50" s="1">
        <v>0</v>
      </c>
    </row>
    <row r="51" spans="1:43" hidden="1" x14ac:dyDescent="0.25">
      <c r="B51" s="2" t="s">
        <v>87</v>
      </c>
      <c r="C51" s="2" t="s">
        <v>88</v>
      </c>
      <c r="D51" s="2" t="s">
        <v>50</v>
      </c>
      <c r="E51" s="2" t="s">
        <v>48</v>
      </c>
      <c r="F51" s="2">
        <v>3.5000000000000003E-2</v>
      </c>
      <c r="G51" s="3">
        <v>5.2999999999999999E-2</v>
      </c>
      <c r="H51" s="2">
        <v>0</v>
      </c>
      <c r="I51" s="2">
        <v>0</v>
      </c>
      <c r="J51" s="2"/>
      <c r="K51" s="2"/>
      <c r="L51" s="2"/>
      <c r="M51" s="2"/>
      <c r="N51" s="8">
        <f t="shared" si="5"/>
        <v>0</v>
      </c>
      <c r="O51" s="2"/>
      <c r="P51" s="2"/>
      <c r="Q51" s="2"/>
      <c r="R51" s="19"/>
      <c r="S51" s="2"/>
      <c r="T51" s="2"/>
      <c r="U51" s="19"/>
      <c r="V51" s="2"/>
      <c r="W51" s="2"/>
      <c r="X51" s="2"/>
      <c r="Y51" s="2"/>
      <c r="Z51" s="7">
        <f t="shared" si="6"/>
        <v>0</v>
      </c>
      <c r="AA51" s="7">
        <v>1000</v>
      </c>
      <c r="AB51" s="7">
        <v>0</v>
      </c>
      <c r="AC51" s="8">
        <f t="shared" si="7"/>
        <v>0</v>
      </c>
      <c r="AD51" s="8">
        <v>0</v>
      </c>
      <c r="AE51" s="8">
        <f t="shared" si="8"/>
        <v>0</v>
      </c>
      <c r="AF51" s="8">
        <f t="shared" si="4"/>
        <v>0</v>
      </c>
      <c r="AG51" s="8">
        <v>0</v>
      </c>
      <c r="AH51" s="8">
        <v>0</v>
      </c>
      <c r="AI51" s="8" t="s">
        <v>119</v>
      </c>
      <c r="AJ51" s="8" t="s">
        <v>121</v>
      </c>
      <c r="AQ51" s="1">
        <v>1200</v>
      </c>
    </row>
    <row r="52" spans="1:43" hidden="1" x14ac:dyDescent="0.25">
      <c r="B52" s="2" t="s">
        <v>87</v>
      </c>
      <c r="C52" s="2" t="s">
        <v>88</v>
      </c>
      <c r="D52" s="2" t="s">
        <v>51</v>
      </c>
      <c r="E52" s="2" t="s">
        <v>48</v>
      </c>
      <c r="F52" s="2">
        <v>3.5000000000000003E-2</v>
      </c>
      <c r="G52" s="3">
        <v>0.13800000000000001</v>
      </c>
      <c r="H52" s="2">
        <v>0</v>
      </c>
      <c r="I52" s="2">
        <v>0</v>
      </c>
      <c r="J52" s="2"/>
      <c r="K52" s="2"/>
      <c r="L52" s="2"/>
      <c r="M52" s="2"/>
      <c r="N52" s="8">
        <f t="shared" si="5"/>
        <v>0</v>
      </c>
      <c r="O52" s="2"/>
      <c r="P52" s="2"/>
      <c r="Q52" s="2"/>
      <c r="R52" s="19"/>
      <c r="S52" s="2"/>
      <c r="T52" s="2"/>
      <c r="U52" s="19"/>
      <c r="V52" s="2"/>
      <c r="W52" s="2"/>
      <c r="X52" s="2"/>
      <c r="Y52" s="2"/>
      <c r="Z52" s="7">
        <f t="shared" si="6"/>
        <v>0</v>
      </c>
      <c r="AA52" s="7">
        <v>500</v>
      </c>
      <c r="AB52" s="7">
        <v>0</v>
      </c>
      <c r="AC52" s="8">
        <f t="shared" si="7"/>
        <v>0</v>
      </c>
      <c r="AD52" s="8">
        <v>0</v>
      </c>
      <c r="AE52" s="8">
        <f t="shared" si="8"/>
        <v>0</v>
      </c>
      <c r="AF52" s="8">
        <f t="shared" si="4"/>
        <v>0</v>
      </c>
      <c r="AG52" s="8">
        <v>0</v>
      </c>
      <c r="AH52" s="8">
        <v>0</v>
      </c>
      <c r="AI52" s="8" t="s">
        <v>119</v>
      </c>
      <c r="AJ52" s="8" t="s">
        <v>121</v>
      </c>
      <c r="AQ52" s="1">
        <v>0</v>
      </c>
    </row>
    <row r="53" spans="1:43" hidden="1" x14ac:dyDescent="0.25">
      <c r="B53" s="2" t="s">
        <v>87</v>
      </c>
      <c r="C53" s="2" t="s">
        <v>88</v>
      </c>
      <c r="D53" s="2" t="s">
        <v>52</v>
      </c>
      <c r="E53" s="2" t="s">
        <v>48</v>
      </c>
      <c r="F53" s="2">
        <v>3.5000000000000003E-2</v>
      </c>
      <c r="G53" s="3">
        <v>0.11</v>
      </c>
      <c r="H53" s="2">
        <v>0</v>
      </c>
      <c r="I53" s="2">
        <v>1900</v>
      </c>
      <c r="J53" s="2"/>
      <c r="K53" s="2"/>
      <c r="L53" s="2"/>
      <c r="M53" s="2"/>
      <c r="N53" s="8">
        <f t="shared" si="5"/>
        <v>0</v>
      </c>
      <c r="O53" s="2"/>
      <c r="P53" s="2"/>
      <c r="Q53" s="2">
        <v>1200</v>
      </c>
      <c r="R53" s="19">
        <v>500</v>
      </c>
      <c r="S53" s="2"/>
      <c r="T53" s="2"/>
      <c r="U53" s="19"/>
      <c r="V53" s="2"/>
      <c r="W53" s="2">
        <v>200</v>
      </c>
      <c r="X53" s="2"/>
      <c r="Y53" s="2"/>
      <c r="Z53" s="7">
        <f t="shared" si="6"/>
        <v>209</v>
      </c>
      <c r="AA53" s="7">
        <v>500</v>
      </c>
      <c r="AB53" s="7">
        <v>0</v>
      </c>
      <c r="AC53" s="8">
        <f t="shared" si="7"/>
        <v>0</v>
      </c>
      <c r="AD53" s="8">
        <v>0</v>
      </c>
      <c r="AE53" s="8">
        <f t="shared" si="8"/>
        <v>0</v>
      </c>
      <c r="AF53" s="8">
        <f t="shared" si="4"/>
        <v>0</v>
      </c>
      <c r="AG53" s="8">
        <v>0</v>
      </c>
      <c r="AH53" s="8">
        <v>0</v>
      </c>
      <c r="AI53" s="8" t="s">
        <v>119</v>
      </c>
      <c r="AJ53" s="8" t="s">
        <v>121</v>
      </c>
      <c r="AQ53" s="1">
        <v>1000</v>
      </c>
    </row>
    <row r="54" spans="1:43" hidden="1" x14ac:dyDescent="0.25">
      <c r="B54" s="2" t="s">
        <v>87</v>
      </c>
      <c r="C54" s="2" t="s">
        <v>88</v>
      </c>
      <c r="D54" s="2" t="s">
        <v>53</v>
      </c>
      <c r="E54" s="2" t="s">
        <v>54</v>
      </c>
      <c r="F54" s="2">
        <v>4.1000000000000002E-2</v>
      </c>
      <c r="G54" s="3">
        <v>7.3999999999999996E-2</v>
      </c>
      <c r="H54" s="2">
        <v>0</v>
      </c>
      <c r="I54" s="2">
        <v>600</v>
      </c>
      <c r="J54" s="2"/>
      <c r="K54" s="2"/>
      <c r="L54" s="2"/>
      <c r="M54" s="2"/>
      <c r="N54" s="8">
        <f t="shared" si="5"/>
        <v>-868</v>
      </c>
      <c r="O54" s="2"/>
      <c r="P54" s="2"/>
      <c r="Q54" s="2"/>
      <c r="R54" s="19"/>
      <c r="S54" s="2"/>
      <c r="T54" s="2"/>
      <c r="U54" s="19">
        <v>289</v>
      </c>
      <c r="V54" s="2"/>
      <c r="W54" s="2">
        <v>1179</v>
      </c>
      <c r="X54" s="2"/>
      <c r="Y54" s="2"/>
      <c r="Z54" s="7">
        <f t="shared" si="6"/>
        <v>44.4</v>
      </c>
      <c r="AA54" s="7">
        <v>1000</v>
      </c>
      <c r="AB54" s="7">
        <v>0</v>
      </c>
      <c r="AC54" s="8">
        <f t="shared" si="7"/>
        <v>0</v>
      </c>
      <c r="AD54" s="8">
        <v>0</v>
      </c>
      <c r="AE54" s="8">
        <f t="shared" si="8"/>
        <v>0</v>
      </c>
      <c r="AF54" s="8">
        <f t="shared" si="4"/>
        <v>0</v>
      </c>
      <c r="AG54" s="8">
        <v>0</v>
      </c>
      <c r="AH54" s="8">
        <v>0</v>
      </c>
      <c r="AI54" s="8" t="s">
        <v>119</v>
      </c>
      <c r="AJ54" s="8" t="s">
        <v>121</v>
      </c>
      <c r="AQ54" s="1">
        <v>2800</v>
      </c>
    </row>
    <row r="55" spans="1:43" hidden="1" x14ac:dyDescent="0.25">
      <c r="B55" s="2" t="s">
        <v>87</v>
      </c>
      <c r="C55" s="2" t="s">
        <v>88</v>
      </c>
      <c r="D55" s="2" t="s">
        <v>55</v>
      </c>
      <c r="E55" s="2" t="s">
        <v>54</v>
      </c>
      <c r="F55" s="2">
        <v>4.4999999999999998E-2</v>
      </c>
      <c r="G55" s="3">
        <v>0.46</v>
      </c>
      <c r="H55" s="2">
        <v>0</v>
      </c>
      <c r="I55" s="2">
        <v>0</v>
      </c>
      <c r="J55" s="2"/>
      <c r="K55" s="2"/>
      <c r="L55" s="2"/>
      <c r="M55" s="2"/>
      <c r="N55" s="8">
        <f t="shared" si="5"/>
        <v>0</v>
      </c>
      <c r="O55" s="2"/>
      <c r="P55" s="2"/>
      <c r="Q55" s="2"/>
      <c r="R55" s="19"/>
      <c r="S55" s="2"/>
      <c r="T55" s="2"/>
      <c r="U55" s="19"/>
      <c r="V55" s="2"/>
      <c r="W55" s="2"/>
      <c r="X55" s="2"/>
      <c r="Y55" s="2"/>
      <c r="Z55" s="7">
        <f t="shared" si="6"/>
        <v>0</v>
      </c>
      <c r="AA55" s="7">
        <v>200</v>
      </c>
      <c r="AB55" s="7">
        <v>0</v>
      </c>
      <c r="AC55" s="8">
        <f t="shared" si="7"/>
        <v>0</v>
      </c>
      <c r="AD55" s="8">
        <v>0</v>
      </c>
      <c r="AE55" s="8">
        <f t="shared" si="8"/>
        <v>0</v>
      </c>
      <c r="AF55" s="8">
        <f t="shared" si="4"/>
        <v>0</v>
      </c>
      <c r="AG55" s="8">
        <v>0</v>
      </c>
      <c r="AH55" s="8">
        <v>0</v>
      </c>
      <c r="AI55" s="8" t="s">
        <v>119</v>
      </c>
      <c r="AJ55" s="8" t="s">
        <v>121</v>
      </c>
      <c r="AQ55" s="1">
        <v>1000</v>
      </c>
    </row>
    <row r="56" spans="1:43" hidden="1" x14ac:dyDescent="0.25">
      <c r="B56" s="2" t="s">
        <v>87</v>
      </c>
      <c r="C56" s="2" t="s">
        <v>88</v>
      </c>
      <c r="D56" s="2" t="s">
        <v>56</v>
      </c>
      <c r="E56" s="2" t="s">
        <v>54</v>
      </c>
      <c r="F56" s="2">
        <v>4.4999999999999998E-2</v>
      </c>
      <c r="G56" s="3">
        <v>0.23300000000000001</v>
      </c>
      <c r="H56" s="2">
        <v>0</v>
      </c>
      <c r="I56" s="2">
        <v>0</v>
      </c>
      <c r="J56" s="2"/>
      <c r="K56" s="2"/>
      <c r="L56" s="2"/>
      <c r="M56" s="2"/>
      <c r="N56" s="8">
        <f t="shared" si="5"/>
        <v>0</v>
      </c>
      <c r="O56" s="2"/>
      <c r="P56" s="2"/>
      <c r="Q56" s="2"/>
      <c r="R56" s="19"/>
      <c r="S56" s="2"/>
      <c r="T56" s="2"/>
      <c r="U56" s="19"/>
      <c r="V56" s="2"/>
      <c r="W56" s="2"/>
      <c r="X56" s="2"/>
      <c r="Y56" s="2"/>
      <c r="Z56" s="7">
        <f t="shared" si="6"/>
        <v>0</v>
      </c>
      <c r="AA56" s="7">
        <v>500</v>
      </c>
      <c r="AB56" s="7">
        <v>0</v>
      </c>
      <c r="AC56" s="8">
        <f t="shared" si="7"/>
        <v>0</v>
      </c>
      <c r="AD56" s="8">
        <v>0</v>
      </c>
      <c r="AE56" s="8">
        <f t="shared" si="8"/>
        <v>0</v>
      </c>
      <c r="AF56" s="8">
        <f t="shared" si="4"/>
        <v>0</v>
      </c>
      <c r="AG56" s="8">
        <v>0</v>
      </c>
      <c r="AH56" s="8">
        <v>0</v>
      </c>
      <c r="AI56" s="8" t="s">
        <v>119</v>
      </c>
      <c r="AJ56" s="8" t="s">
        <v>121</v>
      </c>
      <c r="AQ56" s="1">
        <v>416</v>
      </c>
    </row>
    <row r="57" spans="1:43" hidden="1" x14ac:dyDescent="0.25">
      <c r="A57" s="1">
        <v>1000</v>
      </c>
      <c r="B57" s="2" t="s">
        <v>87</v>
      </c>
      <c r="C57" s="2" t="s">
        <v>88</v>
      </c>
      <c r="D57" s="68" t="s">
        <v>57</v>
      </c>
      <c r="E57" s="2" t="s">
        <v>54</v>
      </c>
      <c r="F57" s="2">
        <v>4.1000000000000002E-2</v>
      </c>
      <c r="G57" s="3">
        <v>0.19700000000000001</v>
      </c>
      <c r="H57" s="2">
        <v>300</v>
      </c>
      <c r="I57" s="2">
        <v>2320</v>
      </c>
      <c r="J57" s="2"/>
      <c r="K57" s="2"/>
      <c r="L57" s="2"/>
      <c r="M57" s="2"/>
      <c r="N57" s="8">
        <f t="shared" si="5"/>
        <v>-45</v>
      </c>
      <c r="O57" s="2"/>
      <c r="P57" s="2"/>
      <c r="Q57" s="2"/>
      <c r="R57" s="19">
        <v>180</v>
      </c>
      <c r="S57" s="2">
        <v>833</v>
      </c>
      <c r="T57" s="2">
        <v>1117</v>
      </c>
      <c r="U57" s="19"/>
      <c r="V57" s="2">
        <v>535</v>
      </c>
      <c r="W57" s="2"/>
      <c r="X57" s="2"/>
      <c r="Y57" s="2"/>
      <c r="Z57" s="7">
        <f t="shared" si="6"/>
        <v>516.14</v>
      </c>
      <c r="AA57" s="7">
        <v>500</v>
      </c>
      <c r="AB57" s="7">
        <v>0</v>
      </c>
      <c r="AC57" s="8">
        <f t="shared" si="7"/>
        <v>0</v>
      </c>
      <c r="AD57" s="8">
        <v>0</v>
      </c>
      <c r="AE57" s="8">
        <f t="shared" si="8"/>
        <v>0</v>
      </c>
      <c r="AF57" s="8">
        <f t="shared" si="4"/>
        <v>0</v>
      </c>
      <c r="AG57" s="8">
        <v>0</v>
      </c>
      <c r="AH57" s="8">
        <v>0</v>
      </c>
      <c r="AI57" s="8" t="s">
        <v>119</v>
      </c>
      <c r="AJ57" s="8" t="s">
        <v>121</v>
      </c>
      <c r="AQ57" s="1">
        <v>2200</v>
      </c>
    </row>
    <row r="58" spans="1:43" hidden="1" x14ac:dyDescent="0.25">
      <c r="B58" s="2" t="s">
        <v>87</v>
      </c>
      <c r="C58" s="2" t="s">
        <v>88</v>
      </c>
      <c r="D58" s="2" t="s">
        <v>58</v>
      </c>
      <c r="E58" s="2" t="s">
        <v>54</v>
      </c>
      <c r="F58" s="2">
        <v>4.4999999999999998E-2</v>
      </c>
      <c r="G58" s="3">
        <v>0.17299999999999999</v>
      </c>
      <c r="H58" s="2">
        <v>1300</v>
      </c>
      <c r="I58" s="2">
        <v>0</v>
      </c>
      <c r="J58" s="2"/>
      <c r="K58" s="2"/>
      <c r="L58" s="2"/>
      <c r="M58" s="2"/>
      <c r="N58" s="8">
        <f t="shared" si="5"/>
        <v>0</v>
      </c>
      <c r="O58" s="2"/>
      <c r="P58" s="2"/>
      <c r="Q58" s="2"/>
      <c r="R58" s="19"/>
      <c r="S58" s="2"/>
      <c r="T58" s="2"/>
      <c r="U58" s="19"/>
      <c r="V58" s="2"/>
      <c r="W58" s="2">
        <v>1300</v>
      </c>
      <c r="X58" s="2"/>
      <c r="Y58" s="2"/>
      <c r="Z58" s="7">
        <f t="shared" si="6"/>
        <v>224.89999999999998</v>
      </c>
      <c r="AA58" s="7">
        <v>500</v>
      </c>
      <c r="AB58" s="7">
        <v>0</v>
      </c>
      <c r="AC58" s="8">
        <f t="shared" si="7"/>
        <v>0</v>
      </c>
      <c r="AD58" s="8">
        <v>0</v>
      </c>
      <c r="AE58" s="8">
        <f t="shared" si="8"/>
        <v>0</v>
      </c>
      <c r="AF58" s="8">
        <f t="shared" si="4"/>
        <v>0</v>
      </c>
      <c r="AG58" s="8">
        <v>0</v>
      </c>
      <c r="AH58" s="8">
        <v>0</v>
      </c>
      <c r="AI58" s="8" t="s">
        <v>119</v>
      </c>
      <c r="AJ58" s="8" t="s">
        <v>121</v>
      </c>
      <c r="AQ58" s="1">
        <v>1720</v>
      </c>
    </row>
    <row r="59" spans="1:43" ht="14.25" hidden="1" customHeight="1" x14ac:dyDescent="0.25">
      <c r="B59" s="2" t="s">
        <v>87</v>
      </c>
      <c r="C59" s="2" t="s">
        <v>88</v>
      </c>
      <c r="D59" s="2" t="s">
        <v>59</v>
      </c>
      <c r="E59" s="2" t="s">
        <v>60</v>
      </c>
      <c r="F59" s="2">
        <v>3.5000000000000003E-2</v>
      </c>
      <c r="G59" s="3">
        <v>0.29799999999999999</v>
      </c>
      <c r="H59" s="2">
        <v>144</v>
      </c>
      <c r="I59" s="2">
        <v>0</v>
      </c>
      <c r="J59" s="2"/>
      <c r="K59" s="2"/>
      <c r="L59" s="2"/>
      <c r="M59" s="2"/>
      <c r="N59" s="8">
        <f t="shared" si="5"/>
        <v>0</v>
      </c>
      <c r="O59" s="2"/>
      <c r="P59" s="2"/>
      <c r="Q59" s="2"/>
      <c r="R59" s="19"/>
      <c r="S59" s="2"/>
      <c r="T59" s="2"/>
      <c r="U59" s="19"/>
      <c r="V59" s="2">
        <v>144</v>
      </c>
      <c r="W59" s="2"/>
      <c r="X59" s="2"/>
      <c r="Y59" s="2"/>
      <c r="Z59" s="7">
        <f t="shared" si="6"/>
        <v>42.911999999999999</v>
      </c>
      <c r="AA59" s="7">
        <v>144</v>
      </c>
      <c r="AB59" s="7">
        <v>0</v>
      </c>
      <c r="AC59" s="8">
        <f t="shared" si="7"/>
        <v>0</v>
      </c>
      <c r="AD59" s="8">
        <v>0</v>
      </c>
      <c r="AE59" s="8">
        <f t="shared" si="8"/>
        <v>0</v>
      </c>
      <c r="AF59" s="8">
        <f t="shared" si="4"/>
        <v>0</v>
      </c>
      <c r="AG59" s="8" t="s">
        <v>110</v>
      </c>
      <c r="AH59" s="8">
        <f t="shared" ref="AH59:AH78" si="9">+SUM(H59:M59)</f>
        <v>144</v>
      </c>
      <c r="AI59" s="8" t="s">
        <v>119</v>
      </c>
      <c r="AJ59" s="8" t="s">
        <v>121</v>
      </c>
      <c r="AQ59" s="1">
        <v>0</v>
      </c>
    </row>
    <row r="60" spans="1:43" hidden="1" x14ac:dyDescent="0.25">
      <c r="B60" s="2" t="s">
        <v>87</v>
      </c>
      <c r="C60" s="2" t="s">
        <v>88</v>
      </c>
      <c r="D60" s="2" t="s">
        <v>61</v>
      </c>
      <c r="E60" s="2" t="s">
        <v>60</v>
      </c>
      <c r="F60" s="2">
        <v>3.5000000000000003E-2</v>
      </c>
      <c r="G60" s="3">
        <v>0.249</v>
      </c>
      <c r="H60" s="2">
        <v>0</v>
      </c>
      <c r="I60" s="2">
        <v>0</v>
      </c>
      <c r="J60" s="2"/>
      <c r="K60" s="2"/>
      <c r="L60" s="2"/>
      <c r="M60" s="2"/>
      <c r="N60" s="8">
        <f t="shared" si="5"/>
        <v>0</v>
      </c>
      <c r="O60" s="2"/>
      <c r="P60" s="2"/>
      <c r="Q60" s="2"/>
      <c r="R60" s="19"/>
      <c r="S60" s="2"/>
      <c r="T60" s="2"/>
      <c r="U60" s="19"/>
      <c r="V60" s="2"/>
      <c r="W60" s="2"/>
      <c r="X60" s="2"/>
      <c r="Y60" s="2"/>
      <c r="Z60" s="7">
        <f t="shared" si="6"/>
        <v>0</v>
      </c>
      <c r="AA60" s="7">
        <v>144</v>
      </c>
      <c r="AB60" s="7">
        <v>1</v>
      </c>
      <c r="AC60" s="8">
        <f t="shared" si="7"/>
        <v>0</v>
      </c>
      <c r="AD60" s="8">
        <v>0</v>
      </c>
      <c r="AE60" s="8">
        <f t="shared" si="8"/>
        <v>0</v>
      </c>
      <c r="AF60" s="8">
        <f t="shared" si="4"/>
        <v>0</v>
      </c>
      <c r="AG60" s="8" t="s">
        <v>111</v>
      </c>
      <c r="AH60" s="8">
        <f t="shared" si="9"/>
        <v>0</v>
      </c>
      <c r="AI60" s="8" t="s">
        <v>119</v>
      </c>
      <c r="AJ60" s="8" t="s">
        <v>121</v>
      </c>
      <c r="AQ60" s="1">
        <v>-576</v>
      </c>
    </row>
    <row r="61" spans="1:43" hidden="1" x14ac:dyDescent="0.25">
      <c r="B61" s="2" t="s">
        <v>87</v>
      </c>
      <c r="C61" s="2" t="s">
        <v>88</v>
      </c>
      <c r="D61" s="2" t="s">
        <v>62</v>
      </c>
      <c r="E61" s="2" t="s">
        <v>60</v>
      </c>
      <c r="F61" s="2">
        <v>3.5000000000000003E-2</v>
      </c>
      <c r="G61" s="3">
        <v>0.253</v>
      </c>
      <c r="H61" s="2">
        <v>0</v>
      </c>
      <c r="I61" s="2">
        <v>0</v>
      </c>
      <c r="J61" s="2"/>
      <c r="K61" s="2"/>
      <c r="L61" s="2"/>
      <c r="M61" s="2"/>
      <c r="N61" s="8">
        <f t="shared" si="5"/>
        <v>0</v>
      </c>
      <c r="O61" s="2"/>
      <c r="P61" s="2"/>
      <c r="Q61" s="2"/>
      <c r="R61" s="19"/>
      <c r="S61" s="2"/>
      <c r="T61" s="2"/>
      <c r="U61" s="19"/>
      <c r="V61" s="2"/>
      <c r="W61" s="2"/>
      <c r="X61" s="2"/>
      <c r="Y61" s="2"/>
      <c r="Z61" s="7">
        <f t="shared" si="6"/>
        <v>0</v>
      </c>
      <c r="AA61" s="7">
        <v>144</v>
      </c>
      <c r="AB61" s="7">
        <v>1</v>
      </c>
      <c r="AC61" s="8">
        <f t="shared" si="7"/>
        <v>0</v>
      </c>
      <c r="AD61" s="8">
        <v>0</v>
      </c>
      <c r="AE61" s="8">
        <f t="shared" si="8"/>
        <v>0</v>
      </c>
      <c r="AF61" s="8">
        <f t="shared" si="4"/>
        <v>0</v>
      </c>
      <c r="AG61" s="8" t="s">
        <v>111</v>
      </c>
      <c r="AH61" s="8">
        <f t="shared" si="9"/>
        <v>0</v>
      </c>
      <c r="AI61" s="8" t="s">
        <v>119</v>
      </c>
      <c r="AJ61" s="8" t="s">
        <v>121</v>
      </c>
      <c r="AQ61" s="1">
        <v>0</v>
      </c>
    </row>
    <row r="62" spans="1:43" hidden="1" x14ac:dyDescent="0.25">
      <c r="B62" s="2" t="s">
        <v>87</v>
      </c>
      <c r="C62" s="2" t="s">
        <v>88</v>
      </c>
      <c r="D62" s="2" t="s">
        <v>63</v>
      </c>
      <c r="E62" s="2" t="s">
        <v>60</v>
      </c>
      <c r="F62" s="2">
        <v>3.5000000000000003E-2</v>
      </c>
      <c r="G62" s="3">
        <v>0.215</v>
      </c>
      <c r="H62" s="2">
        <v>720</v>
      </c>
      <c r="I62" s="2">
        <v>144</v>
      </c>
      <c r="J62" s="2"/>
      <c r="K62" s="2"/>
      <c r="L62" s="2"/>
      <c r="M62" s="2"/>
      <c r="N62" s="8">
        <f t="shared" si="5"/>
        <v>-288</v>
      </c>
      <c r="O62" s="2"/>
      <c r="P62" s="2"/>
      <c r="Q62" s="2"/>
      <c r="R62" s="19"/>
      <c r="S62" s="2"/>
      <c r="T62" s="2"/>
      <c r="U62" s="19">
        <v>1152</v>
      </c>
      <c r="V62" s="2"/>
      <c r="W62" s="2"/>
      <c r="X62" s="2"/>
      <c r="Y62" s="2"/>
      <c r="Z62" s="7">
        <f t="shared" si="6"/>
        <v>185.76</v>
      </c>
      <c r="AA62" s="7">
        <v>144</v>
      </c>
      <c r="AB62" s="7">
        <v>1</v>
      </c>
      <c r="AC62" s="8">
        <f t="shared" si="7"/>
        <v>720</v>
      </c>
      <c r="AD62" s="8">
        <v>0</v>
      </c>
      <c r="AE62" s="8">
        <f t="shared" si="8"/>
        <v>0</v>
      </c>
      <c r="AF62" s="8">
        <f t="shared" si="4"/>
        <v>0</v>
      </c>
      <c r="AG62" s="8" t="s">
        <v>111</v>
      </c>
      <c r="AH62" s="8">
        <f t="shared" si="9"/>
        <v>864</v>
      </c>
      <c r="AI62" s="8" t="s">
        <v>119</v>
      </c>
      <c r="AJ62" s="8" t="s">
        <v>121</v>
      </c>
      <c r="AQ62" s="1">
        <v>144</v>
      </c>
    </row>
    <row r="63" spans="1:43" hidden="1" x14ac:dyDescent="0.25">
      <c r="B63" s="2" t="s">
        <v>87</v>
      </c>
      <c r="C63" s="2" t="s">
        <v>88</v>
      </c>
      <c r="D63" s="2" t="s">
        <v>64</v>
      </c>
      <c r="E63" s="2" t="s">
        <v>60</v>
      </c>
      <c r="F63" s="2">
        <v>3.5000000000000003E-2</v>
      </c>
      <c r="G63" s="3">
        <v>0.253</v>
      </c>
      <c r="H63" s="2">
        <v>1440</v>
      </c>
      <c r="I63" s="2">
        <v>0</v>
      </c>
      <c r="J63" s="2"/>
      <c r="K63" s="2"/>
      <c r="L63" s="2"/>
      <c r="M63" s="2"/>
      <c r="N63" s="8">
        <f t="shared" si="5"/>
        <v>0</v>
      </c>
      <c r="O63" s="2"/>
      <c r="P63" s="2"/>
      <c r="Q63" s="2"/>
      <c r="R63" s="19">
        <v>288</v>
      </c>
      <c r="S63" s="2">
        <v>720</v>
      </c>
      <c r="T63" s="2">
        <v>288</v>
      </c>
      <c r="U63" s="19">
        <v>144</v>
      </c>
      <c r="V63" s="2"/>
      <c r="W63" s="2"/>
      <c r="X63" s="2"/>
      <c r="Y63" s="2"/>
      <c r="Z63" s="7">
        <f t="shared" si="6"/>
        <v>364.32</v>
      </c>
      <c r="AA63" s="7">
        <v>144</v>
      </c>
      <c r="AB63" s="7">
        <v>1</v>
      </c>
      <c r="AC63" s="8">
        <f t="shared" si="7"/>
        <v>1440</v>
      </c>
      <c r="AD63" s="8">
        <v>0</v>
      </c>
      <c r="AE63" s="8">
        <f t="shared" si="8"/>
        <v>0</v>
      </c>
      <c r="AF63" s="8">
        <f t="shared" si="4"/>
        <v>0</v>
      </c>
      <c r="AG63" s="8" t="s">
        <v>111</v>
      </c>
      <c r="AH63" s="8">
        <f t="shared" si="9"/>
        <v>1440</v>
      </c>
      <c r="AI63" s="8" t="s">
        <v>119</v>
      </c>
      <c r="AJ63" s="8" t="s">
        <v>121</v>
      </c>
      <c r="AQ63" s="1">
        <v>0</v>
      </c>
    </row>
    <row r="64" spans="1:43" x14ac:dyDescent="0.25">
      <c r="B64" s="2" t="s">
        <v>87</v>
      </c>
      <c r="C64" s="2" t="s">
        <v>88</v>
      </c>
      <c r="D64" s="2" t="s">
        <v>65</v>
      </c>
      <c r="E64" s="2" t="s">
        <v>60</v>
      </c>
      <c r="F64" s="2">
        <v>3.5000000000000003E-2</v>
      </c>
      <c r="G64" s="3">
        <v>0.249</v>
      </c>
      <c r="H64" s="2">
        <v>288</v>
      </c>
      <c r="I64" s="2">
        <v>0</v>
      </c>
      <c r="J64" s="2"/>
      <c r="K64" s="2"/>
      <c r="L64" s="2"/>
      <c r="M64" s="2"/>
      <c r="N64" s="8">
        <f t="shared" si="5"/>
        <v>144</v>
      </c>
      <c r="O64" s="2"/>
      <c r="P64" s="2">
        <v>144</v>
      </c>
      <c r="Q64" s="2"/>
      <c r="R64" s="19"/>
      <c r="S64" s="2"/>
      <c r="T64" s="2"/>
      <c r="U64" s="19"/>
      <c r="V64" s="2"/>
      <c r="W64" s="2"/>
      <c r="X64" s="2"/>
      <c r="Y64" s="2"/>
      <c r="Z64" s="7">
        <f t="shared" si="6"/>
        <v>71.712000000000003</v>
      </c>
      <c r="AA64" s="7">
        <v>144</v>
      </c>
      <c r="AB64" s="7">
        <v>1</v>
      </c>
      <c r="AC64" s="8">
        <f t="shared" si="7"/>
        <v>288</v>
      </c>
      <c r="AD64" s="8">
        <v>0</v>
      </c>
      <c r="AE64" s="8">
        <f t="shared" si="8"/>
        <v>0</v>
      </c>
      <c r="AF64" s="8">
        <f t="shared" si="4"/>
        <v>0</v>
      </c>
      <c r="AG64" s="8" t="s">
        <v>111</v>
      </c>
      <c r="AH64" s="8">
        <f t="shared" si="9"/>
        <v>288</v>
      </c>
      <c r="AI64" s="8" t="s">
        <v>119</v>
      </c>
      <c r="AJ64" s="8" t="s">
        <v>121</v>
      </c>
      <c r="AQ64" s="1">
        <v>576</v>
      </c>
    </row>
    <row r="65" spans="2:43" hidden="1" x14ac:dyDescent="0.25">
      <c r="B65" s="2" t="s">
        <v>87</v>
      </c>
      <c r="C65" s="2" t="s">
        <v>88</v>
      </c>
      <c r="D65" s="2" t="s">
        <v>66</v>
      </c>
      <c r="E65" s="2" t="s">
        <v>60</v>
      </c>
      <c r="F65" s="2">
        <v>3.5000000000000003E-2</v>
      </c>
      <c r="G65" s="3">
        <v>0.30299999999999999</v>
      </c>
      <c r="H65" s="2">
        <v>144</v>
      </c>
      <c r="I65" s="2">
        <v>0</v>
      </c>
      <c r="J65" s="2"/>
      <c r="K65" s="2"/>
      <c r="L65" s="2"/>
      <c r="M65" s="2"/>
      <c r="N65" s="8">
        <f t="shared" si="5"/>
        <v>0</v>
      </c>
      <c r="O65" s="2"/>
      <c r="P65" s="2"/>
      <c r="Q65" s="2"/>
      <c r="R65" s="19"/>
      <c r="S65" s="2"/>
      <c r="T65" s="2"/>
      <c r="U65" s="19"/>
      <c r="V65" s="2">
        <v>144</v>
      </c>
      <c r="W65" s="2"/>
      <c r="X65" s="2"/>
      <c r="Y65" s="2"/>
      <c r="Z65" s="7">
        <f t="shared" si="6"/>
        <v>43.631999999999998</v>
      </c>
      <c r="AA65" s="7">
        <v>144</v>
      </c>
      <c r="AB65" s="7">
        <v>0</v>
      </c>
      <c r="AC65" s="8">
        <f t="shared" si="7"/>
        <v>0</v>
      </c>
      <c r="AD65" s="8">
        <v>0</v>
      </c>
      <c r="AE65" s="8">
        <f t="shared" si="8"/>
        <v>0</v>
      </c>
      <c r="AF65" s="8">
        <f t="shared" si="4"/>
        <v>0</v>
      </c>
      <c r="AG65" s="8" t="s">
        <v>110</v>
      </c>
      <c r="AH65" s="8">
        <f t="shared" si="9"/>
        <v>144</v>
      </c>
      <c r="AI65" s="8" t="s">
        <v>119</v>
      </c>
      <c r="AJ65" s="8" t="s">
        <v>121</v>
      </c>
      <c r="AQ65" s="1">
        <v>0</v>
      </c>
    </row>
    <row r="66" spans="2:43" hidden="1" x14ac:dyDescent="0.25">
      <c r="B66" s="2" t="s">
        <v>87</v>
      </c>
      <c r="C66" s="2" t="s">
        <v>88</v>
      </c>
      <c r="D66" s="2" t="s">
        <v>67</v>
      </c>
      <c r="E66" s="2" t="s">
        <v>60</v>
      </c>
      <c r="F66" s="2">
        <v>3.5000000000000003E-2</v>
      </c>
      <c r="G66" s="3">
        <v>0.216</v>
      </c>
      <c r="H66" s="2">
        <v>0</v>
      </c>
      <c r="I66" s="2">
        <v>144</v>
      </c>
      <c r="J66" s="2"/>
      <c r="K66" s="2"/>
      <c r="L66" s="2"/>
      <c r="M66" s="2"/>
      <c r="N66" s="8">
        <f t="shared" si="5"/>
        <v>0</v>
      </c>
      <c r="O66" s="2"/>
      <c r="P66" s="2"/>
      <c r="Q66" s="2">
        <v>144</v>
      </c>
      <c r="R66" s="19"/>
      <c r="S66" s="2"/>
      <c r="T66" s="2"/>
      <c r="U66" s="19"/>
      <c r="V66" s="2"/>
      <c r="W66" s="2"/>
      <c r="X66" s="2"/>
      <c r="Y66" s="2"/>
      <c r="Z66" s="7">
        <f t="shared" si="6"/>
        <v>31.103999999999999</v>
      </c>
      <c r="AA66" s="7">
        <v>144</v>
      </c>
      <c r="AB66" s="7">
        <v>1</v>
      </c>
      <c r="AC66" s="8">
        <f t="shared" si="7"/>
        <v>0</v>
      </c>
      <c r="AD66" s="8">
        <v>0</v>
      </c>
      <c r="AE66" s="8">
        <f t="shared" si="8"/>
        <v>0</v>
      </c>
      <c r="AF66" s="8">
        <f t="shared" si="4"/>
        <v>0</v>
      </c>
      <c r="AG66" s="8" t="s">
        <v>111</v>
      </c>
      <c r="AH66" s="8">
        <f t="shared" si="9"/>
        <v>144</v>
      </c>
      <c r="AI66" s="8" t="s">
        <v>119</v>
      </c>
      <c r="AJ66" s="8" t="s">
        <v>121</v>
      </c>
      <c r="AQ66" s="1">
        <v>0</v>
      </c>
    </row>
    <row r="67" spans="2:43" hidden="1" x14ac:dyDescent="0.25">
      <c r="B67" s="2" t="s">
        <v>87</v>
      </c>
      <c r="C67" s="2" t="s">
        <v>88</v>
      </c>
      <c r="D67" s="2" t="s">
        <v>68</v>
      </c>
      <c r="E67" s="2" t="s">
        <v>60</v>
      </c>
      <c r="F67" s="2">
        <v>3.5000000000000003E-2</v>
      </c>
      <c r="G67" s="3">
        <v>0.28399999999999997</v>
      </c>
      <c r="H67" s="2">
        <v>288</v>
      </c>
      <c r="I67" s="2">
        <v>0</v>
      </c>
      <c r="J67" s="2"/>
      <c r="K67" s="2"/>
      <c r="L67" s="2"/>
      <c r="M67" s="2"/>
      <c r="N67" s="8">
        <f t="shared" si="5"/>
        <v>0</v>
      </c>
      <c r="O67" s="2"/>
      <c r="P67" s="2"/>
      <c r="Q67" s="2"/>
      <c r="R67" s="19"/>
      <c r="S67" s="2"/>
      <c r="T67" s="2"/>
      <c r="U67" s="19">
        <v>144</v>
      </c>
      <c r="V67" s="2"/>
      <c r="W67" s="2"/>
      <c r="X67" s="2">
        <v>144</v>
      </c>
      <c r="Y67" s="2"/>
      <c r="Z67" s="7">
        <f t="shared" si="6"/>
        <v>81.791999999999987</v>
      </c>
      <c r="AA67" s="7">
        <v>144</v>
      </c>
      <c r="AB67" s="7">
        <v>0</v>
      </c>
      <c r="AC67" s="8">
        <f t="shared" si="7"/>
        <v>0</v>
      </c>
      <c r="AD67" s="8">
        <v>0</v>
      </c>
      <c r="AE67" s="8">
        <f t="shared" si="8"/>
        <v>0</v>
      </c>
      <c r="AF67" s="8">
        <f t="shared" si="4"/>
        <v>0</v>
      </c>
      <c r="AG67" s="8" t="s">
        <v>110</v>
      </c>
      <c r="AH67" s="8">
        <f t="shared" si="9"/>
        <v>288</v>
      </c>
      <c r="AI67" s="8" t="s">
        <v>119</v>
      </c>
      <c r="AJ67" s="8" t="s">
        <v>121</v>
      </c>
      <c r="AQ67" s="1">
        <v>0</v>
      </c>
    </row>
    <row r="68" spans="2:43" hidden="1" x14ac:dyDescent="0.25">
      <c r="B68" s="2" t="s">
        <v>87</v>
      </c>
      <c r="C68" s="2" t="s">
        <v>88</v>
      </c>
      <c r="D68" s="2" t="s">
        <v>69</v>
      </c>
      <c r="E68" s="2" t="s">
        <v>60</v>
      </c>
      <c r="F68" s="2">
        <v>3.5000000000000003E-2</v>
      </c>
      <c r="G68" s="3">
        <v>0.252</v>
      </c>
      <c r="H68" s="2">
        <v>288</v>
      </c>
      <c r="I68" s="2">
        <v>144</v>
      </c>
      <c r="J68" s="2"/>
      <c r="K68" s="2"/>
      <c r="L68" s="2"/>
      <c r="M68" s="2"/>
      <c r="N68" s="8">
        <f t="shared" si="5"/>
        <v>-144</v>
      </c>
      <c r="O68" s="2">
        <v>288</v>
      </c>
      <c r="P68" s="2">
        <v>288</v>
      </c>
      <c r="Q68" s="2"/>
      <c r="R68" s="19"/>
      <c r="S68" s="2"/>
      <c r="T68" s="2"/>
      <c r="U68" s="19"/>
      <c r="V68" s="2"/>
      <c r="W68" s="2"/>
      <c r="X68" s="2"/>
      <c r="Y68" s="2"/>
      <c r="Z68" s="7">
        <f t="shared" si="6"/>
        <v>108.864</v>
      </c>
      <c r="AA68" s="7">
        <v>144</v>
      </c>
      <c r="AB68" s="7">
        <v>1</v>
      </c>
      <c r="AC68" s="8">
        <f t="shared" si="7"/>
        <v>288</v>
      </c>
      <c r="AD68" s="8">
        <v>0</v>
      </c>
      <c r="AE68" s="8">
        <f t="shared" si="8"/>
        <v>0</v>
      </c>
      <c r="AF68" s="8">
        <f t="shared" si="4"/>
        <v>0</v>
      </c>
      <c r="AG68" s="8" t="s">
        <v>111</v>
      </c>
      <c r="AH68" s="8">
        <f t="shared" si="9"/>
        <v>432</v>
      </c>
      <c r="AI68" s="8" t="s">
        <v>119</v>
      </c>
      <c r="AJ68" s="8" t="s">
        <v>121</v>
      </c>
      <c r="AQ68" s="1">
        <v>-144</v>
      </c>
    </row>
    <row r="69" spans="2:43" hidden="1" x14ac:dyDescent="0.25">
      <c r="B69" s="2" t="s">
        <v>87</v>
      </c>
      <c r="C69" s="2" t="s">
        <v>88</v>
      </c>
      <c r="D69" s="2" t="s">
        <v>70</v>
      </c>
      <c r="E69" s="2" t="s">
        <v>71</v>
      </c>
      <c r="F69" s="2">
        <v>4.4999999999999998E-2</v>
      </c>
      <c r="G69" s="3">
        <v>0.373</v>
      </c>
      <c r="H69" s="2">
        <v>0</v>
      </c>
      <c r="I69" s="2">
        <v>0</v>
      </c>
      <c r="J69" s="2"/>
      <c r="K69" s="2"/>
      <c r="L69" s="2"/>
      <c r="M69" s="2"/>
      <c r="N69" s="8">
        <f t="shared" si="5"/>
        <v>0</v>
      </c>
      <c r="O69" s="2"/>
      <c r="P69" s="2"/>
      <c r="Q69" s="2"/>
      <c r="R69" s="19"/>
      <c r="S69" s="2"/>
      <c r="T69" s="2"/>
      <c r="U69" s="19"/>
      <c r="V69" s="2"/>
      <c r="W69" s="2"/>
      <c r="X69" s="2"/>
      <c r="Y69" s="2"/>
      <c r="Z69" s="7">
        <f t="shared" si="6"/>
        <v>0</v>
      </c>
      <c r="AA69" s="7">
        <v>288</v>
      </c>
      <c r="AB69" s="7">
        <v>1</v>
      </c>
      <c r="AC69" s="8">
        <f t="shared" si="7"/>
        <v>0</v>
      </c>
      <c r="AD69" s="8">
        <v>0</v>
      </c>
      <c r="AE69" s="8">
        <f t="shared" si="8"/>
        <v>0</v>
      </c>
      <c r="AF69" s="8">
        <f t="shared" si="4"/>
        <v>0</v>
      </c>
      <c r="AG69" s="8" t="s">
        <v>112</v>
      </c>
      <c r="AH69" s="8">
        <f t="shared" si="9"/>
        <v>0</v>
      </c>
      <c r="AI69" s="8" t="s">
        <v>119</v>
      </c>
      <c r="AJ69" s="8" t="s">
        <v>121</v>
      </c>
      <c r="AQ69" s="1">
        <v>512</v>
      </c>
    </row>
    <row r="70" spans="2:43" x14ac:dyDescent="0.25">
      <c r="B70" s="2" t="s">
        <v>87</v>
      </c>
      <c r="C70" s="2" t="s">
        <v>88</v>
      </c>
      <c r="D70" s="2" t="s">
        <v>72</v>
      </c>
      <c r="E70" s="2" t="s">
        <v>71</v>
      </c>
      <c r="F70" s="2">
        <v>4.1000000000000002E-2</v>
      </c>
      <c r="G70" s="3">
        <v>0.375</v>
      </c>
      <c r="H70" s="2">
        <v>256</v>
      </c>
      <c r="I70" s="2">
        <v>0</v>
      </c>
      <c r="J70" s="2"/>
      <c r="K70" s="2"/>
      <c r="L70" s="2"/>
      <c r="M70" s="2"/>
      <c r="N70" s="8">
        <f t="shared" ref="N70:N78" si="10">+H70+I70+J70+K70+L70+M70-SUM(O70:Y70)</f>
        <v>256</v>
      </c>
      <c r="O70" s="2"/>
      <c r="P70" s="2"/>
      <c r="Q70" s="2"/>
      <c r="R70" s="19"/>
      <c r="S70" s="2"/>
      <c r="T70" s="2"/>
      <c r="U70" s="19"/>
      <c r="V70" s="2"/>
      <c r="W70" s="2"/>
      <c r="X70" s="2"/>
      <c r="Y70" s="2"/>
      <c r="Z70" s="7">
        <f t="shared" ref="Z70:Z78" si="11">+G70*SUM(H70:M70)</f>
        <v>96</v>
      </c>
      <c r="AA70" s="7">
        <v>288</v>
      </c>
      <c r="AB70" s="7">
        <v>0</v>
      </c>
      <c r="AC70" s="8">
        <f t="shared" ref="AC70:AC78" si="12">+H70*AB70</f>
        <v>0</v>
      </c>
      <c r="AD70" s="8">
        <v>1</v>
      </c>
      <c r="AE70" s="8">
        <f t="shared" ref="AE70:AE78" si="13">+H70*AD70</f>
        <v>256</v>
      </c>
      <c r="AF70" s="8">
        <f t="shared" si="4"/>
        <v>512</v>
      </c>
      <c r="AG70" s="8" t="s">
        <v>113</v>
      </c>
      <c r="AH70" s="8">
        <f t="shared" si="9"/>
        <v>256</v>
      </c>
      <c r="AI70" s="8" t="s">
        <v>119</v>
      </c>
      <c r="AJ70" s="8" t="s">
        <v>121</v>
      </c>
      <c r="AQ70" s="1">
        <v>0</v>
      </c>
    </row>
    <row r="71" spans="2:43" hidden="1" x14ac:dyDescent="0.25">
      <c r="B71" s="2" t="s">
        <v>87</v>
      </c>
      <c r="C71" s="2" t="s">
        <v>88</v>
      </c>
      <c r="D71" s="2" t="s">
        <v>73</v>
      </c>
      <c r="E71" s="2" t="s">
        <v>71</v>
      </c>
      <c r="F71" s="2">
        <v>4.4999999999999998E-2</v>
      </c>
      <c r="G71" s="3">
        <v>0.35599999999999998</v>
      </c>
      <c r="H71" s="2">
        <v>0</v>
      </c>
      <c r="I71" s="2">
        <v>0</v>
      </c>
      <c r="J71" s="2"/>
      <c r="K71" s="2"/>
      <c r="L71" s="2"/>
      <c r="M71" s="2"/>
      <c r="N71" s="8">
        <f t="shared" si="10"/>
        <v>0</v>
      </c>
      <c r="O71" s="2"/>
      <c r="P71" s="2"/>
      <c r="Q71" s="2"/>
      <c r="R71" s="19"/>
      <c r="S71" s="2"/>
      <c r="T71" s="2"/>
      <c r="U71" s="19"/>
      <c r="V71" s="2"/>
      <c r="W71" s="2"/>
      <c r="X71" s="2"/>
      <c r="Y71" s="2"/>
      <c r="Z71" s="7">
        <f t="shared" si="11"/>
        <v>0</v>
      </c>
      <c r="AA71" s="7">
        <v>288</v>
      </c>
      <c r="AB71" s="7">
        <v>1</v>
      </c>
      <c r="AC71" s="8">
        <f t="shared" si="12"/>
        <v>0</v>
      </c>
      <c r="AD71" s="8">
        <v>0</v>
      </c>
      <c r="AE71" s="8">
        <f t="shared" si="13"/>
        <v>0</v>
      </c>
      <c r="AF71" s="8">
        <f t="shared" ref="AF71:AF78" si="14">+AE71*2</f>
        <v>0</v>
      </c>
      <c r="AG71" s="8" t="s">
        <v>112</v>
      </c>
      <c r="AH71" s="8">
        <f t="shared" si="9"/>
        <v>0</v>
      </c>
      <c r="AI71" s="8" t="s">
        <v>119</v>
      </c>
      <c r="AJ71" s="8" t="s">
        <v>121</v>
      </c>
      <c r="AQ71" s="1">
        <v>0</v>
      </c>
    </row>
    <row r="72" spans="2:43" hidden="1" x14ac:dyDescent="0.25">
      <c r="B72" s="2" t="s">
        <v>87</v>
      </c>
      <c r="C72" s="2" t="s">
        <v>88</v>
      </c>
      <c r="D72" s="2" t="s">
        <v>74</v>
      </c>
      <c r="E72" s="2" t="s">
        <v>71</v>
      </c>
      <c r="F72" s="2">
        <v>4.4999999999999998E-2</v>
      </c>
      <c r="G72" s="3">
        <v>0.35199999999999998</v>
      </c>
      <c r="H72" s="2">
        <v>0</v>
      </c>
      <c r="I72" s="2">
        <v>0</v>
      </c>
      <c r="J72" s="2"/>
      <c r="K72" s="2"/>
      <c r="L72" s="2"/>
      <c r="M72" s="2"/>
      <c r="N72" s="8">
        <f t="shared" si="10"/>
        <v>0</v>
      </c>
      <c r="O72" s="2"/>
      <c r="P72" s="2"/>
      <c r="Q72" s="2"/>
      <c r="R72" s="19"/>
      <c r="S72" s="2"/>
      <c r="T72" s="2"/>
      <c r="U72" s="19"/>
      <c r="V72" s="2"/>
      <c r="W72" s="2"/>
      <c r="X72" s="2"/>
      <c r="Y72" s="2"/>
      <c r="Z72" s="7">
        <f t="shared" si="11"/>
        <v>0</v>
      </c>
      <c r="AA72" s="7">
        <v>288</v>
      </c>
      <c r="AB72" s="7">
        <v>1</v>
      </c>
      <c r="AC72" s="8">
        <f t="shared" si="12"/>
        <v>0</v>
      </c>
      <c r="AD72" s="8">
        <v>0</v>
      </c>
      <c r="AE72" s="8">
        <f t="shared" si="13"/>
        <v>0</v>
      </c>
      <c r="AF72" s="8">
        <f t="shared" si="14"/>
        <v>0</v>
      </c>
      <c r="AG72" s="8" t="s">
        <v>114</v>
      </c>
      <c r="AH72" s="8">
        <f t="shared" si="9"/>
        <v>0</v>
      </c>
      <c r="AI72" s="8" t="s">
        <v>119</v>
      </c>
      <c r="AJ72" s="8" t="s">
        <v>121</v>
      </c>
      <c r="AQ72" s="1">
        <v>0</v>
      </c>
    </row>
    <row r="73" spans="2:43" hidden="1" x14ac:dyDescent="0.25">
      <c r="B73" s="2" t="s">
        <v>87</v>
      </c>
      <c r="C73" s="2" t="s">
        <v>88</v>
      </c>
      <c r="D73" s="2" t="s">
        <v>75</v>
      </c>
      <c r="E73" s="2" t="s">
        <v>71</v>
      </c>
      <c r="F73" s="2">
        <v>4.4999999999999998E-2</v>
      </c>
      <c r="G73" s="3">
        <v>0.35299999999999998</v>
      </c>
      <c r="H73" s="2">
        <v>0</v>
      </c>
      <c r="I73" s="2">
        <v>0</v>
      </c>
      <c r="J73" s="2"/>
      <c r="K73" s="2"/>
      <c r="L73" s="2"/>
      <c r="M73" s="2"/>
      <c r="N73" s="8">
        <f t="shared" si="10"/>
        <v>0</v>
      </c>
      <c r="O73" s="2"/>
      <c r="P73" s="2"/>
      <c r="Q73" s="2"/>
      <c r="R73" s="19"/>
      <c r="S73" s="2"/>
      <c r="T73" s="2"/>
      <c r="U73" s="19"/>
      <c r="V73" s="2"/>
      <c r="W73" s="2"/>
      <c r="X73" s="2"/>
      <c r="Y73" s="2"/>
      <c r="Z73" s="7">
        <f t="shared" si="11"/>
        <v>0</v>
      </c>
      <c r="AA73" s="7">
        <v>288</v>
      </c>
      <c r="AB73" s="7">
        <v>1</v>
      </c>
      <c r="AC73" s="8">
        <f t="shared" si="12"/>
        <v>0</v>
      </c>
      <c r="AD73" s="8">
        <v>0</v>
      </c>
      <c r="AE73" s="8">
        <f t="shared" si="13"/>
        <v>0</v>
      </c>
      <c r="AF73" s="8">
        <f t="shared" si="14"/>
        <v>0</v>
      </c>
      <c r="AG73" s="8" t="s">
        <v>115</v>
      </c>
      <c r="AH73" s="8">
        <f t="shared" si="9"/>
        <v>0</v>
      </c>
      <c r="AI73" s="8" t="s">
        <v>119</v>
      </c>
      <c r="AJ73" s="8" t="s">
        <v>121</v>
      </c>
      <c r="AQ73" s="1">
        <v>0</v>
      </c>
    </row>
    <row r="74" spans="2:43" hidden="1" x14ac:dyDescent="0.25">
      <c r="B74" s="2" t="s">
        <v>87</v>
      </c>
      <c r="C74" s="2" t="s">
        <v>88</v>
      </c>
      <c r="D74" s="2" t="s">
        <v>76</v>
      </c>
      <c r="E74" s="2" t="s">
        <v>71</v>
      </c>
      <c r="F74" s="2">
        <v>4.4999999999999998E-2</v>
      </c>
      <c r="G74" s="3">
        <v>0.35599999999999998</v>
      </c>
      <c r="H74" s="2">
        <v>0</v>
      </c>
      <c r="I74" s="2">
        <v>0</v>
      </c>
      <c r="J74" s="2"/>
      <c r="K74" s="2"/>
      <c r="L74" s="2"/>
      <c r="M74" s="2"/>
      <c r="N74" s="8">
        <f t="shared" si="10"/>
        <v>0</v>
      </c>
      <c r="O74" s="2"/>
      <c r="P74" s="2"/>
      <c r="Q74" s="2"/>
      <c r="R74" s="19"/>
      <c r="S74" s="2"/>
      <c r="T74" s="2"/>
      <c r="U74" s="19"/>
      <c r="V74" s="2"/>
      <c r="W74" s="2"/>
      <c r="X74" s="2"/>
      <c r="Y74" s="2"/>
      <c r="Z74" s="7">
        <f t="shared" si="11"/>
        <v>0</v>
      </c>
      <c r="AA74" s="7">
        <v>288</v>
      </c>
      <c r="AB74" s="7">
        <v>1</v>
      </c>
      <c r="AC74" s="8">
        <f t="shared" si="12"/>
        <v>0</v>
      </c>
      <c r="AD74" s="8">
        <v>0</v>
      </c>
      <c r="AE74" s="8">
        <f t="shared" si="13"/>
        <v>0</v>
      </c>
      <c r="AF74" s="8">
        <f t="shared" si="14"/>
        <v>0</v>
      </c>
      <c r="AG74" s="8" t="s">
        <v>115</v>
      </c>
      <c r="AH74" s="8">
        <f t="shared" si="9"/>
        <v>0</v>
      </c>
      <c r="AI74" s="8" t="s">
        <v>119</v>
      </c>
      <c r="AJ74" s="8" t="s">
        <v>121</v>
      </c>
      <c r="AQ74" s="1">
        <v>0</v>
      </c>
    </row>
    <row r="75" spans="2:43" hidden="1" x14ac:dyDescent="0.25">
      <c r="B75" s="2" t="s">
        <v>87</v>
      </c>
      <c r="C75" s="2" t="s">
        <v>88</v>
      </c>
      <c r="D75" s="2" t="s">
        <v>77</v>
      </c>
      <c r="E75" s="2" t="s">
        <v>71</v>
      </c>
      <c r="F75" s="2">
        <v>4.1000000000000002E-2</v>
      </c>
      <c r="G75" s="3">
        <v>0.441</v>
      </c>
      <c r="H75" s="2">
        <v>0</v>
      </c>
      <c r="I75" s="2">
        <v>0</v>
      </c>
      <c r="J75" s="2"/>
      <c r="K75" s="2"/>
      <c r="L75" s="2"/>
      <c r="M75" s="2"/>
      <c r="N75" s="8">
        <f t="shared" si="10"/>
        <v>0</v>
      </c>
      <c r="O75" s="2"/>
      <c r="P75" s="2"/>
      <c r="Q75" s="2"/>
      <c r="R75" s="19"/>
      <c r="S75" s="2"/>
      <c r="T75" s="2"/>
      <c r="U75" s="19"/>
      <c r="V75" s="2"/>
      <c r="W75" s="2"/>
      <c r="X75" s="2"/>
      <c r="Y75" s="2"/>
      <c r="Z75" s="7">
        <f t="shared" si="11"/>
        <v>0</v>
      </c>
      <c r="AA75" s="7">
        <v>288</v>
      </c>
      <c r="AB75" s="7">
        <v>0</v>
      </c>
      <c r="AC75" s="8">
        <f t="shared" si="12"/>
        <v>0</v>
      </c>
      <c r="AD75" s="8">
        <v>0</v>
      </c>
      <c r="AE75" s="8">
        <f t="shared" si="13"/>
        <v>0</v>
      </c>
      <c r="AF75" s="8">
        <f t="shared" si="14"/>
        <v>0</v>
      </c>
      <c r="AG75" s="8" t="s">
        <v>116</v>
      </c>
      <c r="AH75" s="8">
        <f t="shared" si="9"/>
        <v>0</v>
      </c>
      <c r="AI75" s="8" t="s">
        <v>119</v>
      </c>
      <c r="AJ75" s="8" t="s">
        <v>121</v>
      </c>
      <c r="AQ75" s="1">
        <v>0</v>
      </c>
    </row>
    <row r="76" spans="2:43" hidden="1" x14ac:dyDescent="0.25">
      <c r="B76" s="2" t="s">
        <v>87</v>
      </c>
      <c r="C76" s="2" t="s">
        <v>88</v>
      </c>
      <c r="D76" s="2" t="s">
        <v>78</v>
      </c>
      <c r="E76" s="2" t="s">
        <v>71</v>
      </c>
      <c r="F76" s="2">
        <v>4.4999999999999998E-2</v>
      </c>
      <c r="G76" s="3">
        <v>0.374</v>
      </c>
      <c r="H76" s="2">
        <v>128</v>
      </c>
      <c r="I76" s="2">
        <v>0</v>
      </c>
      <c r="J76" s="2"/>
      <c r="K76" s="2"/>
      <c r="L76" s="2"/>
      <c r="M76" s="2"/>
      <c r="N76" s="8">
        <f t="shared" si="10"/>
        <v>0</v>
      </c>
      <c r="O76" s="2"/>
      <c r="P76" s="2"/>
      <c r="Q76" s="2"/>
      <c r="R76" s="19"/>
      <c r="S76" s="2"/>
      <c r="T76" s="2"/>
      <c r="U76" s="19"/>
      <c r="V76" s="2">
        <v>128</v>
      </c>
      <c r="W76" s="2"/>
      <c r="X76" s="2"/>
      <c r="Y76" s="2"/>
      <c r="Z76" s="7">
        <f t="shared" si="11"/>
        <v>47.872</v>
      </c>
      <c r="AA76" s="7">
        <v>288</v>
      </c>
      <c r="AB76" s="7">
        <v>1</v>
      </c>
      <c r="AC76" s="8">
        <f t="shared" si="12"/>
        <v>128</v>
      </c>
      <c r="AD76" s="8">
        <v>0</v>
      </c>
      <c r="AE76" s="8">
        <f t="shared" si="13"/>
        <v>0</v>
      </c>
      <c r="AF76" s="8">
        <f t="shared" si="14"/>
        <v>0</v>
      </c>
      <c r="AG76" s="8" t="s">
        <v>112</v>
      </c>
      <c r="AH76" s="8">
        <f t="shared" si="9"/>
        <v>128</v>
      </c>
      <c r="AI76" s="8" t="s">
        <v>119</v>
      </c>
      <c r="AJ76" s="8" t="s">
        <v>121</v>
      </c>
      <c r="AQ76" s="1">
        <v>128</v>
      </c>
    </row>
    <row r="77" spans="2:43" hidden="1" x14ac:dyDescent="0.25">
      <c r="B77" s="2" t="s">
        <v>87</v>
      </c>
      <c r="C77" s="2" t="s">
        <v>88</v>
      </c>
      <c r="D77" s="2" t="s">
        <v>79</v>
      </c>
      <c r="E77" s="2" t="s">
        <v>71</v>
      </c>
      <c r="F77" s="2">
        <v>4.1000000000000002E-2</v>
      </c>
      <c r="G77" s="3">
        <v>0.41599999999999998</v>
      </c>
      <c r="H77" s="2">
        <v>0</v>
      </c>
      <c r="I77" s="2">
        <v>0</v>
      </c>
      <c r="J77" s="2"/>
      <c r="K77" s="2"/>
      <c r="L77" s="2"/>
      <c r="M77" s="2"/>
      <c r="N77" s="8">
        <f t="shared" si="10"/>
        <v>0</v>
      </c>
      <c r="O77" s="2"/>
      <c r="P77" s="2"/>
      <c r="Q77" s="2"/>
      <c r="R77" s="19"/>
      <c r="S77" s="2"/>
      <c r="T77" s="2"/>
      <c r="U77" s="19"/>
      <c r="V77" s="2"/>
      <c r="W77" s="2"/>
      <c r="X77" s="2"/>
      <c r="Y77" s="2"/>
      <c r="Z77" s="7">
        <f t="shared" si="11"/>
        <v>0</v>
      </c>
      <c r="AA77" s="7">
        <v>288</v>
      </c>
      <c r="AB77" s="7">
        <v>0</v>
      </c>
      <c r="AC77" s="8">
        <f t="shared" si="12"/>
        <v>0</v>
      </c>
      <c r="AD77" s="8">
        <v>1</v>
      </c>
      <c r="AE77" s="8">
        <f t="shared" si="13"/>
        <v>0</v>
      </c>
      <c r="AF77" s="8">
        <f t="shared" si="14"/>
        <v>0</v>
      </c>
      <c r="AG77" s="8" t="s">
        <v>117</v>
      </c>
      <c r="AH77" s="8">
        <f t="shared" si="9"/>
        <v>0</v>
      </c>
      <c r="AI77" s="8" t="s">
        <v>119</v>
      </c>
      <c r="AJ77" s="8" t="s">
        <v>121</v>
      </c>
      <c r="AQ77" s="1">
        <v>0</v>
      </c>
    </row>
    <row r="78" spans="2:43" hidden="1" x14ac:dyDescent="0.25">
      <c r="B78" s="2" t="s">
        <v>87</v>
      </c>
      <c r="C78" s="2" t="s">
        <v>88</v>
      </c>
      <c r="D78" s="2" t="s">
        <v>80</v>
      </c>
      <c r="E78" s="2" t="s">
        <v>71</v>
      </c>
      <c r="F78" s="2">
        <v>4.4999999999999998E-2</v>
      </c>
      <c r="G78" s="3">
        <v>0.39500000000000002</v>
      </c>
      <c r="H78" s="2">
        <v>128</v>
      </c>
      <c r="I78" s="2">
        <v>0</v>
      </c>
      <c r="J78" s="2"/>
      <c r="K78" s="2"/>
      <c r="L78" s="2"/>
      <c r="M78" s="2"/>
      <c r="N78" s="8">
        <f t="shared" si="10"/>
        <v>0</v>
      </c>
      <c r="O78" s="2"/>
      <c r="P78" s="2"/>
      <c r="Q78" s="2"/>
      <c r="R78" s="19"/>
      <c r="S78" s="2"/>
      <c r="T78" s="2"/>
      <c r="U78" s="19"/>
      <c r="V78" s="2"/>
      <c r="W78" s="2">
        <v>128</v>
      </c>
      <c r="X78" s="2"/>
      <c r="Y78" s="2"/>
      <c r="Z78" s="7">
        <f t="shared" si="11"/>
        <v>50.56</v>
      </c>
      <c r="AA78" s="7">
        <v>288</v>
      </c>
      <c r="AB78" s="7">
        <v>1</v>
      </c>
      <c r="AC78" s="8">
        <f t="shared" si="12"/>
        <v>128</v>
      </c>
      <c r="AD78" s="8">
        <v>0</v>
      </c>
      <c r="AE78" s="8">
        <f t="shared" si="13"/>
        <v>0</v>
      </c>
      <c r="AF78" s="8">
        <f t="shared" si="14"/>
        <v>0</v>
      </c>
      <c r="AG78" s="8" t="s">
        <v>112</v>
      </c>
      <c r="AH78" s="8">
        <f t="shared" si="9"/>
        <v>128</v>
      </c>
      <c r="AI78" s="8" t="s">
        <v>119</v>
      </c>
      <c r="AJ78" s="8" t="s">
        <v>121</v>
      </c>
      <c r="AQ78" s="1">
        <v>0</v>
      </c>
    </row>
    <row r="79" spans="2:43" x14ac:dyDescent="0.25">
      <c r="G79" s="4" t="s">
        <v>102</v>
      </c>
      <c r="H79" s="9">
        <f>SUM(H6:H78)</f>
        <v>35424</v>
      </c>
      <c r="I79" s="9">
        <f t="shared" ref="I79:M79" si="15">SUM(I6:I78)</f>
        <v>21831</v>
      </c>
      <c r="J79" s="9">
        <f t="shared" si="15"/>
        <v>0</v>
      </c>
      <c r="K79" s="9">
        <f t="shared" si="15"/>
        <v>0</v>
      </c>
      <c r="L79" s="9">
        <f t="shared" si="15"/>
        <v>0</v>
      </c>
      <c r="M79" s="9">
        <f t="shared" si="15"/>
        <v>0</v>
      </c>
      <c r="N79" s="13">
        <f>SUM(N6:N78)</f>
        <v>1138</v>
      </c>
      <c r="O79" s="9">
        <f>SUM(O13:O78)</f>
        <v>3333</v>
      </c>
      <c r="P79" s="9">
        <f t="shared" ref="P79:Y79" si="16">SUM(P13:P78)</f>
        <v>1852</v>
      </c>
      <c r="Q79" s="9">
        <f t="shared" si="16"/>
        <v>3324</v>
      </c>
      <c r="R79" s="9">
        <f t="shared" si="16"/>
        <v>2472</v>
      </c>
      <c r="S79" s="9">
        <f t="shared" si="16"/>
        <v>3053</v>
      </c>
      <c r="T79" s="9">
        <f t="shared" si="16"/>
        <v>3929</v>
      </c>
      <c r="U79" s="9">
        <f>SUM(U13:U78)</f>
        <v>6832</v>
      </c>
      <c r="V79" s="9">
        <f t="shared" si="16"/>
        <v>3841</v>
      </c>
      <c r="W79" s="9">
        <f t="shared" si="16"/>
        <v>6497</v>
      </c>
      <c r="X79" s="9">
        <f t="shared" si="16"/>
        <v>4858</v>
      </c>
      <c r="Y79" s="9">
        <f t="shared" si="16"/>
        <v>0</v>
      </c>
      <c r="Z79" s="9">
        <f t="shared" ref="Z79:AF79" si="17">SUM(Z6:Z78)</f>
        <v>4605.1950000000006</v>
      </c>
      <c r="AA79" s="9"/>
      <c r="AB79" s="10">
        <f t="shared" si="17"/>
        <v>14</v>
      </c>
      <c r="AC79" s="11">
        <f t="shared" si="17"/>
        <v>2992</v>
      </c>
      <c r="AD79" s="11">
        <f t="shared" si="17"/>
        <v>2</v>
      </c>
      <c r="AE79" s="11">
        <f t="shared" si="17"/>
        <v>256</v>
      </c>
      <c r="AF79" s="11">
        <f t="shared" si="17"/>
        <v>512</v>
      </c>
      <c r="AH79" s="11">
        <f>SUM(AH6:AH78)</f>
        <v>4256</v>
      </c>
    </row>
    <row r="80" spans="2:43" hidden="1" x14ac:dyDescent="0.25">
      <c r="G80" s="4" t="s">
        <v>108</v>
      </c>
      <c r="H80" s="91">
        <f>+H79+I79+J79+K79+L79+M79</f>
        <v>57255</v>
      </c>
      <c r="I80" s="91"/>
      <c r="J80" s="91"/>
      <c r="K80" s="91"/>
      <c r="L80" s="91"/>
      <c r="M80" s="91"/>
      <c r="O80" s="108">
        <f>+O79+P79</f>
        <v>5185</v>
      </c>
      <c r="P80" s="86"/>
      <c r="Q80" s="108">
        <f>+Q79+R79</f>
        <v>5796</v>
      </c>
      <c r="R80" s="86"/>
      <c r="S80" s="108">
        <f>+S79+T79</f>
        <v>6982</v>
      </c>
      <c r="T80" s="86"/>
      <c r="U80" s="108">
        <f t="shared" ref="U80" si="18">+U79+V79</f>
        <v>10673</v>
      </c>
      <c r="V80" s="86"/>
      <c r="W80" s="108">
        <f>+W79+X79</f>
        <v>11355</v>
      </c>
      <c r="X80" s="86"/>
      <c r="Y80" s="12">
        <f>+Y79</f>
        <v>0</v>
      </c>
    </row>
    <row r="81" spans="1:25" x14ac:dyDescent="0.25">
      <c r="H81" s="1">
        <v>0</v>
      </c>
      <c r="I81" s="1">
        <f>SUM(I13:I78)</f>
        <v>14062</v>
      </c>
      <c r="J81" s="1">
        <f>SUM(J13:J78)</f>
        <v>0</v>
      </c>
      <c r="K81" s="1">
        <f t="shared" ref="K81:M81" si="19">SUM(K13:K78)</f>
        <v>0</v>
      </c>
      <c r="L81" s="1">
        <f t="shared" si="19"/>
        <v>0</v>
      </c>
      <c r="M81" s="1">
        <f t="shared" si="19"/>
        <v>0</v>
      </c>
      <c r="O81" s="90">
        <f>SUM(O6:P12)</f>
        <v>2870</v>
      </c>
      <c r="P81" s="90"/>
      <c r="Q81" s="90">
        <f t="shared" ref="Q81" si="20">SUM(Q6:R12)</f>
        <v>1900</v>
      </c>
      <c r="R81" s="90"/>
      <c r="S81" s="90">
        <f t="shared" ref="S81" si="21">SUM(S6:T12)</f>
        <v>3587</v>
      </c>
      <c r="T81" s="90"/>
      <c r="U81" s="90">
        <f t="shared" ref="U81" si="22">SUM(U6:V12)</f>
        <v>0</v>
      </c>
      <c r="V81" s="90"/>
      <c r="W81" s="90">
        <f t="shared" ref="W81" si="23">SUM(W6:X12)</f>
        <v>0</v>
      </c>
      <c r="X81" s="90"/>
    </row>
    <row r="83" spans="1:25" x14ac:dyDescent="0.25">
      <c r="C83" s="2" t="s">
        <v>143</v>
      </c>
      <c r="D83" s="2" t="s">
        <v>144</v>
      </c>
      <c r="E83" s="2" t="s">
        <v>145</v>
      </c>
      <c r="F83" s="2" t="s">
        <v>179</v>
      </c>
      <c r="O83" s="19" t="s">
        <v>97</v>
      </c>
      <c r="P83" s="19" t="s">
        <v>98</v>
      </c>
      <c r="Q83" s="19" t="s">
        <v>97</v>
      </c>
      <c r="R83" s="19" t="s">
        <v>98</v>
      </c>
      <c r="S83" s="19" t="s">
        <v>97</v>
      </c>
      <c r="T83" s="19" t="s">
        <v>98</v>
      </c>
      <c r="U83" s="19" t="s">
        <v>97</v>
      </c>
      <c r="V83" s="19" t="s">
        <v>98</v>
      </c>
      <c r="W83" s="19" t="s">
        <v>97</v>
      </c>
      <c r="X83" s="19" t="s">
        <v>98</v>
      </c>
      <c r="Y83" s="19"/>
    </row>
    <row r="84" spans="1:25" x14ac:dyDescent="0.25">
      <c r="B84" s="2" t="s">
        <v>138</v>
      </c>
      <c r="C84" s="8">
        <v>35586</v>
      </c>
      <c r="D84" s="2">
        <f>+C84/5</f>
        <v>7117.2</v>
      </c>
      <c r="E84" s="2">
        <f>+D84/2</f>
        <v>3558.6</v>
      </c>
      <c r="F84" s="2">
        <v>13900</v>
      </c>
      <c r="O84" s="48">
        <f>+O79/$E$84</f>
        <v>0.93660428258303829</v>
      </c>
      <c r="P84" s="48">
        <f t="shared" ref="P84:X84" si="24">+P79/$E$84</f>
        <v>0.52042938234137026</v>
      </c>
      <c r="Q84" s="48">
        <f>+Q79/$E$84</f>
        <v>0.93407519811161699</v>
      </c>
      <c r="R84" s="48">
        <f t="shared" si="24"/>
        <v>0.69465520148372961</v>
      </c>
      <c r="S84" s="48">
        <f t="shared" si="24"/>
        <v>0.85792165458326308</v>
      </c>
      <c r="T84" s="48">
        <f t="shared" si="24"/>
        <v>1.1040858764682742</v>
      </c>
      <c r="U84" s="48">
        <f t="shared" si="24"/>
        <v>1.9198561231945148</v>
      </c>
      <c r="V84" s="48">
        <f t="shared" si="24"/>
        <v>1.0793570505254875</v>
      </c>
      <c r="W84" s="48">
        <f t="shared" si="24"/>
        <v>1.825717978980498</v>
      </c>
      <c r="X84" s="48">
        <f t="shared" si="24"/>
        <v>1.3651435957960996</v>
      </c>
      <c r="Y84" s="19"/>
    </row>
    <row r="85" spans="1:25" x14ac:dyDescent="0.25">
      <c r="B85" s="2" t="s">
        <v>142</v>
      </c>
      <c r="C85" s="8">
        <v>1401</v>
      </c>
      <c r="F85" s="2" t="s">
        <v>180</v>
      </c>
      <c r="O85" s="81">
        <f>+O81/$F$86</f>
        <v>1.0323741007194245</v>
      </c>
      <c r="P85" s="82"/>
      <c r="Q85" s="81">
        <f t="shared" ref="Q85" si="25">+Q81/$F$86</f>
        <v>0.68345323741007191</v>
      </c>
      <c r="R85" s="82"/>
      <c r="S85" s="81">
        <f t="shared" ref="S85" si="26">+S81/$F$86</f>
        <v>1.2902877697841726</v>
      </c>
      <c r="T85" s="82"/>
      <c r="U85" s="81">
        <f t="shared" ref="U85" si="27">+U81/$F$86</f>
        <v>0</v>
      </c>
      <c r="V85" s="82"/>
      <c r="W85" s="81">
        <f t="shared" ref="W85" si="28">+W81/$F$86</f>
        <v>0</v>
      </c>
      <c r="X85" s="82"/>
      <c r="Y85" s="19"/>
    </row>
    <row r="86" spans="1:25" x14ac:dyDescent="0.25">
      <c r="B86" s="2" t="s">
        <v>139</v>
      </c>
      <c r="C86" s="2">
        <f>+C84-C85</f>
        <v>34185</v>
      </c>
      <c r="F86" s="2">
        <f>+F84/5</f>
        <v>2780</v>
      </c>
    </row>
    <row r="87" spans="1:25" x14ac:dyDescent="0.25">
      <c r="B87" s="2" t="s">
        <v>136</v>
      </c>
      <c r="C87" s="25">
        <f>+C86/C84</f>
        <v>0.96063058506154109</v>
      </c>
    </row>
    <row r="88" spans="1:25" x14ac:dyDescent="0.25">
      <c r="B88" s="2" t="s">
        <v>137</v>
      </c>
      <c r="C88" s="25">
        <f>+C85/C84</f>
        <v>3.9369414938458948E-2</v>
      </c>
    </row>
    <row r="90" spans="1:25" x14ac:dyDescent="0.25">
      <c r="A90" s="83" t="s">
        <v>171</v>
      </c>
      <c r="B90" s="84"/>
      <c r="C90" s="84"/>
      <c r="D90" s="84"/>
      <c r="E90" s="84"/>
      <c r="F90" s="85"/>
    </row>
    <row r="91" spans="1:25" x14ac:dyDescent="0.25">
      <c r="A91" s="86" t="s">
        <v>178</v>
      </c>
      <c r="B91" s="44">
        <v>46265</v>
      </c>
      <c r="C91" s="44">
        <v>46266</v>
      </c>
      <c r="D91" s="44">
        <v>46267</v>
      </c>
      <c r="E91" s="44">
        <v>46268</v>
      </c>
      <c r="F91" s="44">
        <v>46269</v>
      </c>
    </row>
    <row r="92" spans="1:25" x14ac:dyDescent="0.25">
      <c r="A92" s="86"/>
      <c r="B92" s="45" t="s">
        <v>148</v>
      </c>
      <c r="C92" s="4" t="s">
        <v>149</v>
      </c>
      <c r="D92" s="4" t="s">
        <v>150</v>
      </c>
      <c r="E92" s="4" t="s">
        <v>151</v>
      </c>
      <c r="F92" s="4" t="s">
        <v>160</v>
      </c>
    </row>
    <row r="93" spans="1:25" x14ac:dyDescent="0.25">
      <c r="A93" s="11" t="s">
        <v>153</v>
      </c>
      <c r="B93" s="35">
        <v>0.14000000000000001</v>
      </c>
      <c r="C93" s="35">
        <v>0.3</v>
      </c>
      <c r="D93" s="35">
        <v>0.49</v>
      </c>
      <c r="E93" s="35">
        <v>0.78</v>
      </c>
      <c r="F93" s="35">
        <v>0.96</v>
      </c>
    </row>
    <row r="94" spans="1:25" x14ac:dyDescent="0.25">
      <c r="A94" s="11" t="s">
        <v>154</v>
      </c>
      <c r="B94" s="35">
        <v>0.86</v>
      </c>
      <c r="C94" s="35">
        <v>0.7</v>
      </c>
      <c r="D94" s="35">
        <v>0.51</v>
      </c>
      <c r="E94" s="35">
        <v>0.22</v>
      </c>
      <c r="F94" s="35">
        <v>0.04</v>
      </c>
    </row>
  </sheetData>
  <autoFilter ref="B5:AJ80" xr:uid="{00000000-0009-0000-0000-000009000000}">
    <filterColumn colId="12">
      <customFilters>
        <customFilter operator="greaterThan" val="1"/>
      </customFilters>
    </filterColumn>
  </autoFilter>
  <mergeCells count="26">
    <mergeCell ref="A90:F90"/>
    <mergeCell ref="A91:A92"/>
    <mergeCell ref="W4:X4"/>
    <mergeCell ref="H80:M80"/>
    <mergeCell ref="O80:P80"/>
    <mergeCell ref="Q80:R80"/>
    <mergeCell ref="S80:T80"/>
    <mergeCell ref="U80:V80"/>
    <mergeCell ref="W80:X80"/>
    <mergeCell ref="U4:V4"/>
    <mergeCell ref="I4:M4"/>
    <mergeCell ref="O85:P85"/>
    <mergeCell ref="Q85:R85"/>
    <mergeCell ref="S85:T85"/>
    <mergeCell ref="U85:V85"/>
    <mergeCell ref="W85:X85"/>
    <mergeCell ref="C2:D2"/>
    <mergeCell ref="B3:B4"/>
    <mergeCell ref="O4:P4"/>
    <mergeCell ref="Q4:R4"/>
    <mergeCell ref="S4:T4"/>
    <mergeCell ref="O81:P81"/>
    <mergeCell ref="Q81:R81"/>
    <mergeCell ref="S81:T81"/>
    <mergeCell ref="U81:V81"/>
    <mergeCell ref="W81:X81"/>
  </mergeCells>
  <conditionalFormatting sqref="O84:X84">
    <cfRule type="cellIs" dxfId="23" priority="1" operator="between">
      <formula>1</formula>
      <formula>5</formula>
    </cfRule>
    <cfRule type="cellIs" dxfId="22" priority="2" operator="between">
      <formula>0.85</formula>
      <formula>0.99</formula>
    </cfRule>
    <cfRule type="cellIs" dxfId="21" priority="3" operator="between">
      <formula>0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scale="69" orientation="portrait"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 filterMode="1">
    <pageSetUpPr fitToPage="1"/>
  </sheetPr>
  <dimension ref="A1:AQ94"/>
  <sheetViews>
    <sheetView zoomScale="80" zoomScaleNormal="85" workbookViewId="0">
      <pane xSplit="14" topLeftCell="U1" activePane="topRight" state="frozen"/>
      <selection activeCell="B2" sqref="B2"/>
      <selection pane="topRight" activeCell="X6" sqref="X6"/>
    </sheetView>
  </sheetViews>
  <sheetFormatPr baseColWidth="10" defaultColWidth="8.7109375" defaultRowHeight="15" x14ac:dyDescent="0.25"/>
  <cols>
    <col min="1" max="1" width="10.140625" style="1" bestFit="1" customWidth="1"/>
    <col min="2" max="2" width="17.7109375" style="1" bestFit="1" customWidth="1"/>
    <col min="3" max="3" width="14.42578125" style="1" bestFit="1" customWidth="1"/>
    <col min="4" max="4" width="19.140625" style="1" customWidth="1"/>
    <col min="5" max="5" width="14.5703125" style="1" bestFit="1" customWidth="1"/>
    <col min="6" max="6" width="19.7109375" style="1" customWidth="1"/>
    <col min="7" max="7" width="15.42578125" style="1" bestFit="1" customWidth="1"/>
    <col min="8" max="8" width="10.7109375" style="1" customWidth="1"/>
    <col min="9" max="9" width="10.140625" style="1" customWidth="1"/>
    <col min="10" max="10" width="6.42578125" style="1" customWidth="1"/>
    <col min="11" max="11" width="10" style="1" hidden="1" customWidth="1"/>
    <col min="12" max="12" width="9" style="1" hidden="1" customWidth="1"/>
    <col min="13" max="13" width="5.5703125" style="1" hidden="1" customWidth="1"/>
    <col min="14" max="14" width="10.140625" style="1" bestFit="1" customWidth="1"/>
    <col min="15" max="16" width="9.140625" style="1" bestFit="1" customWidth="1"/>
    <col min="17" max="27" width="8.7109375" style="1"/>
    <col min="28" max="28" width="8.7109375" style="1" customWidth="1"/>
    <col min="29" max="29" width="8.7109375" style="1"/>
    <col min="30" max="30" width="0" style="1" hidden="1" customWidth="1"/>
    <col min="31" max="32" width="8.7109375" style="1"/>
    <col min="33" max="33" width="10" style="1" bestFit="1" customWidth="1"/>
    <col min="34" max="34" width="10" style="1" customWidth="1"/>
    <col min="35" max="35" width="13" style="1" bestFit="1" customWidth="1"/>
    <col min="36" max="36" width="11.5703125" style="1" bestFit="1" customWidth="1"/>
    <col min="37" max="37" width="8.7109375" style="1"/>
    <col min="38" max="38" width="12.85546875" style="1" customWidth="1"/>
    <col min="39" max="39" width="16.5703125" style="1" customWidth="1"/>
    <col min="40" max="16384" width="8.7109375" style="1"/>
  </cols>
  <sheetData>
    <row r="1" spans="2:43" x14ac:dyDescent="0.25">
      <c r="R1" s="17"/>
      <c r="U1" s="17"/>
    </row>
    <row r="2" spans="2:43" x14ac:dyDescent="0.25">
      <c r="B2" s="4" t="s">
        <v>99</v>
      </c>
      <c r="C2" s="88" t="s">
        <v>100</v>
      </c>
      <c r="D2" s="88"/>
      <c r="R2" s="17"/>
      <c r="U2" s="17"/>
    </row>
    <row r="3" spans="2:43" x14ac:dyDescent="0.25">
      <c r="B3" s="89">
        <f ca="1">TODAY()</f>
        <v>46309</v>
      </c>
      <c r="C3" s="4" t="s">
        <v>97</v>
      </c>
      <c r="D3" s="2" t="s">
        <v>127</v>
      </c>
      <c r="H3" s="4" t="s">
        <v>84</v>
      </c>
      <c r="R3" s="17"/>
      <c r="U3" s="17"/>
    </row>
    <row r="4" spans="2:43" x14ac:dyDescent="0.25">
      <c r="B4" s="89"/>
      <c r="C4" s="4" t="s">
        <v>98</v>
      </c>
      <c r="D4" s="2"/>
      <c r="H4" s="4" t="s">
        <v>85</v>
      </c>
      <c r="I4" s="90" t="s">
        <v>146</v>
      </c>
      <c r="J4" s="90"/>
      <c r="K4" s="90"/>
      <c r="L4" s="90"/>
      <c r="M4" s="90"/>
      <c r="O4" s="87">
        <v>46272</v>
      </c>
      <c r="P4" s="87"/>
      <c r="Q4" s="87">
        <v>46273</v>
      </c>
      <c r="R4" s="87"/>
      <c r="S4" s="87">
        <v>46274</v>
      </c>
      <c r="T4" s="87"/>
      <c r="U4" s="87">
        <v>46275</v>
      </c>
      <c r="V4" s="87"/>
      <c r="W4" s="87">
        <v>46276</v>
      </c>
      <c r="X4" s="87"/>
      <c r="Y4" s="6" t="s">
        <v>92</v>
      </c>
    </row>
    <row r="5" spans="2:43" x14ac:dyDescent="0.25">
      <c r="B5" s="4" t="s">
        <v>0</v>
      </c>
      <c r="C5" s="4" t="s">
        <v>86</v>
      </c>
      <c r="D5" s="4" t="s">
        <v>89</v>
      </c>
      <c r="E5" s="4" t="s">
        <v>81</v>
      </c>
      <c r="F5" s="4" t="s">
        <v>82</v>
      </c>
      <c r="G5" s="4" t="s">
        <v>83</v>
      </c>
      <c r="H5" s="5">
        <v>37</v>
      </c>
      <c r="I5" s="4" t="s">
        <v>181</v>
      </c>
      <c r="J5" s="4" t="s">
        <v>91</v>
      </c>
      <c r="K5" s="4" t="s">
        <v>93</v>
      </c>
      <c r="L5" s="4" t="s">
        <v>94</v>
      </c>
      <c r="M5" s="4" t="s">
        <v>95</v>
      </c>
      <c r="N5" s="4" t="s">
        <v>96</v>
      </c>
      <c r="O5" s="4" t="s">
        <v>97</v>
      </c>
      <c r="P5" s="4" t="s">
        <v>98</v>
      </c>
      <c r="Q5" s="4" t="s">
        <v>97</v>
      </c>
      <c r="R5" s="18" t="s">
        <v>98</v>
      </c>
      <c r="S5" s="4" t="s">
        <v>97</v>
      </c>
      <c r="T5" s="4" t="s">
        <v>98</v>
      </c>
      <c r="U5" s="18" t="s">
        <v>97</v>
      </c>
      <c r="V5" s="4" t="s">
        <v>98</v>
      </c>
      <c r="W5" s="4" t="s">
        <v>97</v>
      </c>
      <c r="X5" s="4" t="s">
        <v>98</v>
      </c>
      <c r="Y5" s="4" t="s">
        <v>104</v>
      </c>
      <c r="Z5" s="4" t="s">
        <v>90</v>
      </c>
      <c r="AA5" s="4" t="s">
        <v>126</v>
      </c>
      <c r="AB5" s="4" t="s">
        <v>105</v>
      </c>
      <c r="AC5" s="4" t="s">
        <v>105</v>
      </c>
      <c r="AD5" s="4" t="s">
        <v>106</v>
      </c>
      <c r="AE5" s="4" t="s">
        <v>106</v>
      </c>
      <c r="AF5" s="4" t="s">
        <v>107</v>
      </c>
      <c r="AG5" s="4" t="s">
        <v>109</v>
      </c>
      <c r="AH5" s="4" t="s">
        <v>122</v>
      </c>
      <c r="AI5" s="4" t="s">
        <v>118</v>
      </c>
      <c r="AJ5" s="4" t="s">
        <v>120</v>
      </c>
      <c r="AL5" s="15" t="s">
        <v>123</v>
      </c>
      <c r="AM5" s="15" t="s">
        <v>125</v>
      </c>
      <c r="AN5"/>
    </row>
    <row r="6" spans="2:43" x14ac:dyDescent="0.25">
      <c r="B6" s="2" t="s">
        <v>87</v>
      </c>
      <c r="C6" s="2" t="s">
        <v>88</v>
      </c>
      <c r="D6" s="2" t="s">
        <v>1</v>
      </c>
      <c r="E6" s="2" t="s">
        <v>2</v>
      </c>
      <c r="F6" s="2">
        <v>0.42</v>
      </c>
      <c r="G6" s="3">
        <v>0.02</v>
      </c>
      <c r="H6" s="2">
        <v>4500</v>
      </c>
      <c r="I6" s="2">
        <v>4000</v>
      </c>
      <c r="J6" s="2"/>
      <c r="K6" s="2"/>
      <c r="L6" s="2"/>
      <c r="M6" s="2"/>
      <c r="N6" s="8">
        <f t="shared" ref="N6:N37" si="0">+H6+I6+J6+K6+L6+M6-SUM(O6:Y6)</f>
        <v>1990</v>
      </c>
      <c r="O6" s="2"/>
      <c r="P6" s="2">
        <v>1750</v>
      </c>
      <c r="Q6" s="2"/>
      <c r="R6" s="19">
        <v>1660</v>
      </c>
      <c r="S6" s="2"/>
      <c r="T6" s="2"/>
      <c r="U6" s="19"/>
      <c r="V6" s="2">
        <v>1600</v>
      </c>
      <c r="W6" s="2"/>
      <c r="X6" s="2">
        <v>1500</v>
      </c>
      <c r="Y6" s="2"/>
      <c r="Z6" s="7">
        <f t="shared" ref="Z6:Z69" si="1">+G6*SUM(H6:M6)</f>
        <v>170</v>
      </c>
      <c r="AA6" s="7">
        <v>1000</v>
      </c>
      <c r="AB6" s="7">
        <v>0</v>
      </c>
      <c r="AC6" s="8">
        <f t="shared" ref="AC6:AC69" si="2">+H6*AB6</f>
        <v>0</v>
      </c>
      <c r="AD6" s="8">
        <v>0</v>
      </c>
      <c r="AE6" s="8">
        <f t="shared" ref="AE6:AE69" si="3">+H6*AD6</f>
        <v>0</v>
      </c>
      <c r="AF6" s="8">
        <f>+AE6*2</f>
        <v>0</v>
      </c>
      <c r="AG6" s="8">
        <v>0</v>
      </c>
      <c r="AH6" s="8">
        <v>0</v>
      </c>
      <c r="AI6" s="8" t="s">
        <v>119</v>
      </c>
      <c r="AJ6" s="8" t="s">
        <v>121</v>
      </c>
      <c r="AL6" s="14">
        <v>0</v>
      </c>
      <c r="AM6" s="15">
        <v>0</v>
      </c>
      <c r="AN6"/>
      <c r="AQ6" s="1">
        <v>5600</v>
      </c>
    </row>
    <row r="7" spans="2:43" x14ac:dyDescent="0.25">
      <c r="B7" s="2" t="s">
        <v>87</v>
      </c>
      <c r="C7" s="2" t="s">
        <v>88</v>
      </c>
      <c r="D7" s="2" t="s">
        <v>3</v>
      </c>
      <c r="E7" s="2" t="s">
        <v>2</v>
      </c>
      <c r="F7" s="2">
        <v>0.42</v>
      </c>
      <c r="G7" s="3">
        <v>3.1E-2</v>
      </c>
      <c r="H7" s="2">
        <v>3000</v>
      </c>
      <c r="I7" s="2">
        <v>1500</v>
      </c>
      <c r="J7" s="2"/>
      <c r="K7" s="2"/>
      <c r="L7" s="2"/>
      <c r="M7" s="2"/>
      <c r="N7" s="8">
        <f t="shared" si="0"/>
        <v>3000</v>
      </c>
      <c r="O7" s="2"/>
      <c r="P7" s="2"/>
      <c r="Q7" s="2"/>
      <c r="R7" s="19"/>
      <c r="S7" s="2"/>
      <c r="T7" s="2">
        <v>1500</v>
      </c>
      <c r="U7" s="19"/>
      <c r="V7" s="2"/>
      <c r="W7" s="2"/>
      <c r="X7" s="2"/>
      <c r="Y7" s="2"/>
      <c r="Z7" s="7">
        <f t="shared" si="1"/>
        <v>139.5</v>
      </c>
      <c r="AA7" s="7">
        <v>1000</v>
      </c>
      <c r="AB7" s="7">
        <v>0</v>
      </c>
      <c r="AC7" s="8">
        <f t="shared" si="2"/>
        <v>0</v>
      </c>
      <c r="AD7" s="8">
        <v>0</v>
      </c>
      <c r="AE7" s="8">
        <f t="shared" si="3"/>
        <v>0</v>
      </c>
      <c r="AF7" s="8">
        <f t="shared" ref="AF7:AF70" si="4">+AE7*2</f>
        <v>0</v>
      </c>
      <c r="AG7" s="8">
        <v>0</v>
      </c>
      <c r="AH7" s="8">
        <v>0</v>
      </c>
      <c r="AI7" s="8" t="s">
        <v>119</v>
      </c>
      <c r="AJ7" s="8" t="s">
        <v>121</v>
      </c>
      <c r="AL7" s="14" t="s">
        <v>117</v>
      </c>
      <c r="AM7" s="15">
        <v>128</v>
      </c>
      <c r="AN7"/>
      <c r="AQ7" s="1">
        <v>4338</v>
      </c>
    </row>
    <row r="8" spans="2:43" x14ac:dyDescent="0.25">
      <c r="B8" s="2" t="s">
        <v>87</v>
      </c>
      <c r="C8" s="2" t="s">
        <v>88</v>
      </c>
      <c r="D8" s="2" t="s">
        <v>4</v>
      </c>
      <c r="E8" s="2" t="s">
        <v>2</v>
      </c>
      <c r="F8" s="2">
        <v>0.42</v>
      </c>
      <c r="G8" s="3">
        <v>3.3000000000000002E-2</v>
      </c>
      <c r="H8" s="2">
        <v>500</v>
      </c>
      <c r="I8" s="2">
        <v>500</v>
      </c>
      <c r="J8" s="2"/>
      <c r="K8" s="2"/>
      <c r="L8" s="2"/>
      <c r="M8" s="2"/>
      <c r="N8" s="8">
        <f t="shared" si="0"/>
        <v>300</v>
      </c>
      <c r="O8" s="2"/>
      <c r="P8" s="2"/>
      <c r="Q8" s="2"/>
      <c r="R8" s="19"/>
      <c r="S8" s="2"/>
      <c r="T8" s="2">
        <v>700</v>
      </c>
      <c r="U8" s="19"/>
      <c r="V8" s="2"/>
      <c r="W8" s="2"/>
      <c r="X8" s="2"/>
      <c r="Y8" s="2"/>
      <c r="Z8" s="7">
        <f t="shared" si="1"/>
        <v>33</v>
      </c>
      <c r="AA8" s="7">
        <v>1000</v>
      </c>
      <c r="AB8" s="7">
        <v>0</v>
      </c>
      <c r="AC8" s="8">
        <f t="shared" si="2"/>
        <v>0</v>
      </c>
      <c r="AD8" s="8">
        <v>0</v>
      </c>
      <c r="AE8" s="8">
        <f t="shared" si="3"/>
        <v>0</v>
      </c>
      <c r="AF8" s="8">
        <f t="shared" si="4"/>
        <v>0</v>
      </c>
      <c r="AG8" s="8">
        <v>0</v>
      </c>
      <c r="AH8" s="8">
        <v>0</v>
      </c>
      <c r="AI8" s="8" t="s">
        <v>119</v>
      </c>
      <c r="AJ8" s="8" t="s">
        <v>121</v>
      </c>
      <c r="AL8" s="14" t="s">
        <v>113</v>
      </c>
      <c r="AM8" s="15">
        <v>0</v>
      </c>
      <c r="AN8"/>
      <c r="AQ8" s="1">
        <v>1300</v>
      </c>
    </row>
    <row r="9" spans="2:43" x14ac:dyDescent="0.25">
      <c r="B9" s="2" t="s">
        <v>87</v>
      </c>
      <c r="C9" s="2" t="s">
        <v>88</v>
      </c>
      <c r="D9" s="2" t="s">
        <v>5</v>
      </c>
      <c r="E9" s="2" t="s">
        <v>2</v>
      </c>
      <c r="F9" s="2">
        <v>0.42</v>
      </c>
      <c r="G9" s="3">
        <v>1.9E-2</v>
      </c>
      <c r="H9" s="2">
        <v>500</v>
      </c>
      <c r="I9" s="2">
        <v>0</v>
      </c>
      <c r="J9" s="2"/>
      <c r="K9" s="2"/>
      <c r="L9" s="2"/>
      <c r="M9" s="2"/>
      <c r="N9" s="8">
        <f t="shared" si="0"/>
        <v>500</v>
      </c>
      <c r="O9" s="2"/>
      <c r="P9" s="2"/>
      <c r="Q9" s="2"/>
      <c r="R9" s="19"/>
      <c r="S9" s="2"/>
      <c r="T9" s="2"/>
      <c r="U9" s="19"/>
      <c r="V9" s="2"/>
      <c r="W9" s="2"/>
      <c r="X9" s="2"/>
      <c r="Y9" s="2"/>
      <c r="Z9" s="7">
        <f t="shared" si="1"/>
        <v>9.5</v>
      </c>
      <c r="AA9" s="7">
        <v>1000</v>
      </c>
      <c r="AB9" s="7">
        <v>0</v>
      </c>
      <c r="AC9" s="8">
        <f t="shared" si="2"/>
        <v>0</v>
      </c>
      <c r="AD9" s="8">
        <v>0</v>
      </c>
      <c r="AE9" s="8">
        <f t="shared" si="3"/>
        <v>0</v>
      </c>
      <c r="AF9" s="8">
        <f t="shared" si="4"/>
        <v>0</v>
      </c>
      <c r="AG9" s="8">
        <v>0</v>
      </c>
      <c r="AH9" s="8">
        <v>0</v>
      </c>
      <c r="AI9" s="8" t="s">
        <v>119</v>
      </c>
      <c r="AJ9" s="8" t="s">
        <v>121</v>
      </c>
      <c r="AL9" s="14" t="s">
        <v>110</v>
      </c>
      <c r="AM9" s="15">
        <v>864</v>
      </c>
      <c r="AN9"/>
      <c r="AQ9" s="1">
        <v>0</v>
      </c>
    </row>
    <row r="10" spans="2:43" x14ac:dyDescent="0.25">
      <c r="B10" s="2" t="s">
        <v>87</v>
      </c>
      <c r="C10" s="2" t="s">
        <v>88</v>
      </c>
      <c r="D10" s="2" t="s">
        <v>6</v>
      </c>
      <c r="E10" s="2" t="s">
        <v>2</v>
      </c>
      <c r="F10" s="2">
        <v>0.42</v>
      </c>
      <c r="G10" s="3">
        <v>0.03</v>
      </c>
      <c r="H10" s="2">
        <v>0</v>
      </c>
      <c r="I10" s="2">
        <v>0</v>
      </c>
      <c r="J10" s="2"/>
      <c r="K10" s="2"/>
      <c r="L10" s="2"/>
      <c r="M10" s="2"/>
      <c r="N10" s="8">
        <f t="shared" si="0"/>
        <v>0</v>
      </c>
      <c r="O10" s="2"/>
      <c r="P10" s="2"/>
      <c r="Q10" s="2"/>
      <c r="R10" s="19"/>
      <c r="S10" s="2"/>
      <c r="T10" s="2"/>
      <c r="U10" s="19"/>
      <c r="V10" s="2"/>
      <c r="W10" s="2"/>
      <c r="X10" s="2"/>
      <c r="Y10" s="2"/>
      <c r="Z10" s="7">
        <f t="shared" si="1"/>
        <v>0</v>
      </c>
      <c r="AA10" s="7">
        <v>1000</v>
      </c>
      <c r="AB10" s="7">
        <v>0</v>
      </c>
      <c r="AC10" s="8">
        <f t="shared" si="2"/>
        <v>0</v>
      </c>
      <c r="AD10" s="8">
        <v>0</v>
      </c>
      <c r="AE10" s="8">
        <f t="shared" si="3"/>
        <v>0</v>
      </c>
      <c r="AF10" s="8">
        <f t="shared" si="4"/>
        <v>0</v>
      </c>
      <c r="AG10" s="8">
        <v>0</v>
      </c>
      <c r="AH10" s="8">
        <v>0</v>
      </c>
      <c r="AI10" s="8" t="s">
        <v>119</v>
      </c>
      <c r="AJ10" s="8" t="s">
        <v>121</v>
      </c>
      <c r="AL10" s="14" t="s">
        <v>116</v>
      </c>
      <c r="AM10" s="15">
        <v>0</v>
      </c>
      <c r="AN10"/>
      <c r="AQ10" s="1">
        <v>1000</v>
      </c>
    </row>
    <row r="11" spans="2:43" x14ac:dyDescent="0.25">
      <c r="B11" s="2" t="s">
        <v>87</v>
      </c>
      <c r="C11" s="2" t="s">
        <v>88</v>
      </c>
      <c r="D11" s="2" t="s">
        <v>7</v>
      </c>
      <c r="E11" s="2" t="s">
        <v>2</v>
      </c>
      <c r="F11" s="2">
        <v>0.42</v>
      </c>
      <c r="G11" s="3">
        <v>2.1999999999999999E-2</v>
      </c>
      <c r="H11" s="2">
        <v>1000</v>
      </c>
      <c r="I11" s="2">
        <v>0</v>
      </c>
      <c r="J11" s="2"/>
      <c r="K11" s="2"/>
      <c r="L11" s="2"/>
      <c r="M11" s="2"/>
      <c r="N11" s="8">
        <f t="shared" si="0"/>
        <v>1000</v>
      </c>
      <c r="O11" s="2"/>
      <c r="P11" s="2"/>
      <c r="Q11" s="2"/>
      <c r="R11" s="19"/>
      <c r="S11" s="2"/>
      <c r="T11" s="2"/>
      <c r="U11" s="19"/>
      <c r="V11" s="2"/>
      <c r="W11" s="2"/>
      <c r="X11" s="2"/>
      <c r="Y11" s="2"/>
      <c r="Z11" s="7">
        <f t="shared" si="1"/>
        <v>22</v>
      </c>
      <c r="AA11" s="7">
        <v>1000</v>
      </c>
      <c r="AB11" s="7">
        <v>0</v>
      </c>
      <c r="AC11" s="8">
        <f t="shared" si="2"/>
        <v>0</v>
      </c>
      <c r="AD11" s="8">
        <v>0</v>
      </c>
      <c r="AE11" s="8">
        <f t="shared" si="3"/>
        <v>0</v>
      </c>
      <c r="AF11" s="8">
        <f t="shared" si="4"/>
        <v>0</v>
      </c>
      <c r="AG11" s="8">
        <v>0</v>
      </c>
      <c r="AH11" s="8">
        <v>0</v>
      </c>
      <c r="AI11" s="8" t="s">
        <v>119</v>
      </c>
      <c r="AJ11" s="8" t="s">
        <v>121</v>
      </c>
      <c r="AL11" s="14" t="s">
        <v>111</v>
      </c>
      <c r="AM11" s="15">
        <v>7704</v>
      </c>
      <c r="AN11"/>
      <c r="AQ11" s="1">
        <v>1707</v>
      </c>
    </row>
    <row r="12" spans="2:43" x14ac:dyDescent="0.25">
      <c r="B12" s="2" t="s">
        <v>87</v>
      </c>
      <c r="C12" s="2" t="s">
        <v>88</v>
      </c>
      <c r="D12" s="2" t="s">
        <v>8</v>
      </c>
      <c r="E12" s="2" t="s">
        <v>2</v>
      </c>
      <c r="F12" s="2">
        <v>0.42</v>
      </c>
      <c r="G12" s="3">
        <v>2.3E-2</v>
      </c>
      <c r="H12" s="2">
        <v>500</v>
      </c>
      <c r="I12" s="2">
        <v>400</v>
      </c>
      <c r="J12" s="2"/>
      <c r="K12" s="2"/>
      <c r="L12" s="2"/>
      <c r="M12" s="2"/>
      <c r="N12" s="8">
        <f t="shared" si="0"/>
        <v>500</v>
      </c>
      <c r="O12" s="2"/>
      <c r="P12" s="2"/>
      <c r="Q12" s="2"/>
      <c r="R12" s="19">
        <v>400</v>
      </c>
      <c r="S12" s="2"/>
      <c r="T12" s="2"/>
      <c r="U12" s="19"/>
      <c r="V12" s="2"/>
      <c r="W12" s="2"/>
      <c r="X12" s="2"/>
      <c r="Y12" s="2"/>
      <c r="Z12" s="7">
        <f t="shared" si="1"/>
        <v>20.7</v>
      </c>
      <c r="AA12" s="7">
        <v>1000</v>
      </c>
      <c r="AB12" s="7">
        <v>0</v>
      </c>
      <c r="AC12" s="8">
        <f t="shared" si="2"/>
        <v>0</v>
      </c>
      <c r="AD12" s="8">
        <v>0</v>
      </c>
      <c r="AE12" s="8">
        <f t="shared" si="3"/>
        <v>0</v>
      </c>
      <c r="AF12" s="8">
        <f t="shared" si="4"/>
        <v>0</v>
      </c>
      <c r="AG12" s="8">
        <v>0</v>
      </c>
      <c r="AH12" s="8">
        <v>0</v>
      </c>
      <c r="AI12" s="8" t="s">
        <v>119</v>
      </c>
      <c r="AJ12" s="8" t="s">
        <v>121</v>
      </c>
      <c r="AL12" s="14" t="s">
        <v>112</v>
      </c>
      <c r="AM12" s="15">
        <v>3840</v>
      </c>
      <c r="AN12"/>
      <c r="AQ12" s="1">
        <v>0</v>
      </c>
    </row>
    <row r="13" spans="2:43" hidden="1" x14ac:dyDescent="0.25">
      <c r="B13" s="2" t="s">
        <v>87</v>
      </c>
      <c r="C13" s="2" t="s">
        <v>88</v>
      </c>
      <c r="D13" s="2" t="s">
        <v>9</v>
      </c>
      <c r="E13" s="2" t="s">
        <v>10</v>
      </c>
      <c r="F13" s="2">
        <v>2.8000000000000001E-2</v>
      </c>
      <c r="G13" s="3">
        <v>5.7000000000000002E-2</v>
      </c>
      <c r="H13" s="2">
        <v>1200</v>
      </c>
      <c r="I13" s="2">
        <v>0</v>
      </c>
      <c r="J13" s="2"/>
      <c r="K13" s="2"/>
      <c r="L13" s="2"/>
      <c r="M13" s="2"/>
      <c r="N13" s="8">
        <f t="shared" si="0"/>
        <v>-300</v>
      </c>
      <c r="O13" s="2"/>
      <c r="P13" s="2">
        <v>800</v>
      </c>
      <c r="Q13" s="2"/>
      <c r="R13" s="19"/>
      <c r="S13" s="2"/>
      <c r="T13" s="2"/>
      <c r="U13" s="19"/>
      <c r="V13" s="2">
        <v>700</v>
      </c>
      <c r="W13" s="2"/>
      <c r="X13" s="2"/>
      <c r="Y13" s="2"/>
      <c r="Z13" s="7">
        <f t="shared" si="1"/>
        <v>68.400000000000006</v>
      </c>
      <c r="AA13" s="7">
        <v>1000</v>
      </c>
      <c r="AB13" s="7">
        <v>0</v>
      </c>
      <c r="AC13" s="8">
        <f t="shared" si="2"/>
        <v>0</v>
      </c>
      <c r="AD13" s="8">
        <v>0</v>
      </c>
      <c r="AE13" s="8">
        <f t="shared" si="3"/>
        <v>0</v>
      </c>
      <c r="AF13" s="8">
        <f t="shared" si="4"/>
        <v>0</v>
      </c>
      <c r="AG13" s="8">
        <v>0</v>
      </c>
      <c r="AH13" s="8">
        <v>0</v>
      </c>
      <c r="AI13" s="8" t="s">
        <v>119</v>
      </c>
      <c r="AJ13" s="8" t="s">
        <v>121</v>
      </c>
      <c r="AL13" s="14" t="s">
        <v>114</v>
      </c>
      <c r="AM13" s="15">
        <v>1280</v>
      </c>
      <c r="AN13"/>
      <c r="AQ13" s="1">
        <v>-3900</v>
      </c>
    </row>
    <row r="14" spans="2:43" hidden="1" x14ac:dyDescent="0.25">
      <c r="B14" s="2" t="s">
        <v>87</v>
      </c>
      <c r="C14" s="2" t="s">
        <v>88</v>
      </c>
      <c r="D14" s="2" t="s">
        <v>11</v>
      </c>
      <c r="E14" s="2" t="s">
        <v>10</v>
      </c>
      <c r="F14" s="2">
        <v>2.8000000000000001E-2</v>
      </c>
      <c r="G14" s="3">
        <v>4.3999999999999997E-2</v>
      </c>
      <c r="H14" s="2">
        <v>3300</v>
      </c>
      <c r="I14" s="2">
        <v>0</v>
      </c>
      <c r="J14" s="2"/>
      <c r="K14" s="2"/>
      <c r="L14" s="2"/>
      <c r="M14" s="2"/>
      <c r="N14" s="8">
        <f t="shared" si="0"/>
        <v>-100</v>
      </c>
      <c r="O14" s="2">
        <v>500</v>
      </c>
      <c r="P14" s="2"/>
      <c r="Q14" s="2">
        <v>600</v>
      </c>
      <c r="R14" s="19">
        <v>500</v>
      </c>
      <c r="S14" s="2">
        <v>700</v>
      </c>
      <c r="T14" s="2">
        <v>600</v>
      </c>
      <c r="U14" s="19">
        <v>500</v>
      </c>
      <c r="V14" s="2"/>
      <c r="W14" s="2"/>
      <c r="X14" s="2"/>
      <c r="Y14" s="2"/>
      <c r="Z14" s="7">
        <f t="shared" si="1"/>
        <v>145.19999999999999</v>
      </c>
      <c r="AA14" s="7">
        <v>1000</v>
      </c>
      <c r="AB14" s="7">
        <v>0</v>
      </c>
      <c r="AC14" s="8">
        <f t="shared" si="2"/>
        <v>0</v>
      </c>
      <c r="AD14" s="8">
        <v>0</v>
      </c>
      <c r="AE14" s="8">
        <f t="shared" si="3"/>
        <v>0</v>
      </c>
      <c r="AF14" s="8">
        <f t="shared" si="4"/>
        <v>0</v>
      </c>
      <c r="AG14" s="8">
        <v>0</v>
      </c>
      <c r="AH14" s="8">
        <v>0</v>
      </c>
      <c r="AI14" s="8" t="s">
        <v>119</v>
      </c>
      <c r="AJ14" s="8" t="s">
        <v>121</v>
      </c>
      <c r="AL14" s="14" t="s">
        <v>115</v>
      </c>
      <c r="AM14" s="15">
        <v>384</v>
      </c>
      <c r="AN14"/>
      <c r="AQ14" s="1">
        <v>-2966</v>
      </c>
    </row>
    <row r="15" spans="2:43" hidden="1" x14ac:dyDescent="0.25">
      <c r="B15" s="2" t="s">
        <v>87</v>
      </c>
      <c r="C15" s="2" t="s">
        <v>88</v>
      </c>
      <c r="D15" s="2" t="s">
        <v>12</v>
      </c>
      <c r="E15" s="2" t="s">
        <v>10</v>
      </c>
      <c r="F15" s="2">
        <v>2.8000000000000001E-2</v>
      </c>
      <c r="G15" s="3">
        <v>1.4999999999999999E-2</v>
      </c>
      <c r="H15" s="2">
        <v>1200</v>
      </c>
      <c r="I15" s="2">
        <v>0</v>
      </c>
      <c r="J15" s="2"/>
      <c r="K15" s="2"/>
      <c r="L15" s="2"/>
      <c r="M15" s="2"/>
      <c r="N15" s="8">
        <f t="shared" si="0"/>
        <v>-100</v>
      </c>
      <c r="O15" s="2"/>
      <c r="P15" s="2">
        <v>400</v>
      </c>
      <c r="Q15" s="2"/>
      <c r="R15" s="19"/>
      <c r="S15" s="2"/>
      <c r="T15" s="2">
        <v>300</v>
      </c>
      <c r="U15" s="19"/>
      <c r="V15" s="2"/>
      <c r="W15" s="2"/>
      <c r="X15" s="2"/>
      <c r="Y15" s="2">
        <v>600</v>
      </c>
      <c r="Z15" s="7">
        <f t="shared" si="1"/>
        <v>18</v>
      </c>
      <c r="AA15" s="7">
        <v>1000</v>
      </c>
      <c r="AB15" s="7">
        <v>0</v>
      </c>
      <c r="AC15" s="8">
        <f t="shared" si="2"/>
        <v>0</v>
      </c>
      <c r="AD15" s="8">
        <v>0</v>
      </c>
      <c r="AE15" s="8">
        <f t="shared" si="3"/>
        <v>0</v>
      </c>
      <c r="AF15" s="8">
        <f t="shared" si="4"/>
        <v>0</v>
      </c>
      <c r="AG15" s="8">
        <v>0</v>
      </c>
      <c r="AH15" s="8">
        <v>0</v>
      </c>
      <c r="AI15" s="8" t="s">
        <v>119</v>
      </c>
      <c r="AJ15" s="8" t="s">
        <v>121</v>
      </c>
      <c r="AL15" s="14" t="s">
        <v>124</v>
      </c>
      <c r="AM15" s="15">
        <v>14200</v>
      </c>
      <c r="AN15"/>
      <c r="AQ15" s="1">
        <v>2400</v>
      </c>
    </row>
    <row r="16" spans="2:43" hidden="1" x14ac:dyDescent="0.25">
      <c r="B16" s="2" t="s">
        <v>87</v>
      </c>
      <c r="C16" s="2" t="s">
        <v>88</v>
      </c>
      <c r="D16" s="2" t="s">
        <v>13</v>
      </c>
      <c r="E16" s="2" t="s">
        <v>10</v>
      </c>
      <c r="F16" s="2">
        <v>2.8000000000000001E-2</v>
      </c>
      <c r="G16" s="3">
        <v>1.9E-2</v>
      </c>
      <c r="H16" s="2">
        <v>500</v>
      </c>
      <c r="I16" s="2">
        <v>0</v>
      </c>
      <c r="J16" s="2"/>
      <c r="K16" s="2"/>
      <c r="L16" s="2"/>
      <c r="M16" s="2"/>
      <c r="N16" s="8">
        <f t="shared" si="0"/>
        <v>0</v>
      </c>
      <c r="O16" s="2"/>
      <c r="P16" s="2"/>
      <c r="Q16" s="2"/>
      <c r="R16" s="19"/>
      <c r="S16" s="2"/>
      <c r="T16" s="2"/>
      <c r="U16" s="19">
        <v>500</v>
      </c>
      <c r="V16" s="2"/>
      <c r="W16" s="2"/>
      <c r="X16" s="2"/>
      <c r="Y16" s="2"/>
      <c r="Z16" s="7">
        <f t="shared" si="1"/>
        <v>9.5</v>
      </c>
      <c r="AA16" s="7">
        <v>1000</v>
      </c>
      <c r="AB16" s="7">
        <v>0</v>
      </c>
      <c r="AC16" s="8">
        <f t="shared" si="2"/>
        <v>0</v>
      </c>
      <c r="AD16" s="8">
        <v>0</v>
      </c>
      <c r="AE16" s="8">
        <f t="shared" si="3"/>
        <v>0</v>
      </c>
      <c r="AF16" s="8">
        <f t="shared" si="4"/>
        <v>0</v>
      </c>
      <c r="AG16" s="8">
        <v>0</v>
      </c>
      <c r="AH16" s="8">
        <v>0</v>
      </c>
      <c r="AI16" s="8" t="s">
        <v>119</v>
      </c>
      <c r="AJ16" s="8" t="s">
        <v>121</v>
      </c>
      <c r="AL16"/>
      <c r="AM16"/>
      <c r="AN16"/>
      <c r="AQ16" s="1">
        <v>400</v>
      </c>
    </row>
    <row r="17" spans="2:43" hidden="1" x14ac:dyDescent="0.25">
      <c r="B17" s="2" t="s">
        <v>87</v>
      </c>
      <c r="C17" s="2" t="s">
        <v>88</v>
      </c>
      <c r="D17" s="2" t="s">
        <v>14</v>
      </c>
      <c r="E17" s="2" t="s">
        <v>10</v>
      </c>
      <c r="F17" s="2">
        <v>2.8000000000000001E-2</v>
      </c>
      <c r="G17" s="3">
        <v>2.4E-2</v>
      </c>
      <c r="H17" s="2">
        <v>700</v>
      </c>
      <c r="I17" s="2">
        <v>0</v>
      </c>
      <c r="J17" s="2"/>
      <c r="K17" s="2"/>
      <c r="L17" s="2"/>
      <c r="M17" s="2"/>
      <c r="N17" s="8">
        <f t="shared" si="0"/>
        <v>-400</v>
      </c>
      <c r="O17" s="2">
        <v>800</v>
      </c>
      <c r="P17" s="2"/>
      <c r="Q17" s="2"/>
      <c r="R17" s="19"/>
      <c r="S17" s="2"/>
      <c r="T17" s="2"/>
      <c r="U17" s="19"/>
      <c r="V17" s="2"/>
      <c r="W17" s="2"/>
      <c r="X17" s="2"/>
      <c r="Y17" s="2">
        <v>300</v>
      </c>
      <c r="Z17" s="7">
        <f t="shared" si="1"/>
        <v>16.8</v>
      </c>
      <c r="AA17" s="7">
        <v>1000</v>
      </c>
      <c r="AB17" s="7">
        <v>0</v>
      </c>
      <c r="AC17" s="8">
        <f t="shared" si="2"/>
        <v>0</v>
      </c>
      <c r="AD17" s="8">
        <v>0</v>
      </c>
      <c r="AE17" s="8">
        <f t="shared" si="3"/>
        <v>0</v>
      </c>
      <c r="AF17" s="8">
        <f t="shared" si="4"/>
        <v>0</v>
      </c>
      <c r="AG17" s="8">
        <v>0</v>
      </c>
      <c r="AH17" s="8">
        <v>0</v>
      </c>
      <c r="AI17" s="8" t="s">
        <v>119</v>
      </c>
      <c r="AJ17" s="8" t="s">
        <v>121</v>
      </c>
      <c r="AL17"/>
      <c r="AM17"/>
      <c r="AN17"/>
      <c r="AQ17" s="1">
        <v>3600</v>
      </c>
    </row>
    <row r="18" spans="2:43" hidden="1" x14ac:dyDescent="0.25">
      <c r="B18" s="2" t="s">
        <v>87</v>
      </c>
      <c r="C18" s="2" t="s">
        <v>88</v>
      </c>
      <c r="D18" s="2" t="s">
        <v>15</v>
      </c>
      <c r="E18" s="2" t="s">
        <v>10</v>
      </c>
      <c r="F18" s="2">
        <v>2.8000000000000001E-2</v>
      </c>
      <c r="G18" s="3">
        <v>1.9E-2</v>
      </c>
      <c r="H18" s="2">
        <v>0</v>
      </c>
      <c r="I18" s="2">
        <v>0</v>
      </c>
      <c r="J18" s="2"/>
      <c r="K18" s="2"/>
      <c r="L18" s="2"/>
      <c r="M18" s="2"/>
      <c r="N18" s="8">
        <f t="shared" si="0"/>
        <v>-300</v>
      </c>
      <c r="O18" s="2"/>
      <c r="P18" s="2"/>
      <c r="Q18" s="2"/>
      <c r="R18" s="19">
        <v>300</v>
      </c>
      <c r="S18" s="2"/>
      <c r="T18" s="2"/>
      <c r="U18" s="19"/>
      <c r="V18" s="2"/>
      <c r="W18" s="2"/>
      <c r="X18" s="2"/>
      <c r="Y18" s="2"/>
      <c r="Z18" s="7">
        <f t="shared" si="1"/>
        <v>0</v>
      </c>
      <c r="AA18" s="7">
        <v>1000</v>
      </c>
      <c r="AB18" s="7">
        <v>0</v>
      </c>
      <c r="AC18" s="8">
        <f t="shared" si="2"/>
        <v>0</v>
      </c>
      <c r="AD18" s="8">
        <v>0</v>
      </c>
      <c r="AE18" s="8">
        <f t="shared" si="3"/>
        <v>0</v>
      </c>
      <c r="AF18" s="8">
        <f t="shared" si="4"/>
        <v>0</v>
      </c>
      <c r="AG18" s="8">
        <v>0</v>
      </c>
      <c r="AH18" s="8">
        <v>0</v>
      </c>
      <c r="AI18" s="8" t="s">
        <v>119</v>
      </c>
      <c r="AJ18" s="8" t="s">
        <v>121</v>
      </c>
      <c r="AL18"/>
      <c r="AM18"/>
      <c r="AN18"/>
      <c r="AQ18" s="1">
        <v>0</v>
      </c>
    </row>
    <row r="19" spans="2:43" hidden="1" x14ac:dyDescent="0.25">
      <c r="B19" s="2" t="s">
        <v>87</v>
      </c>
      <c r="C19" s="2" t="s">
        <v>88</v>
      </c>
      <c r="D19" s="2" t="s">
        <v>16</v>
      </c>
      <c r="E19" s="2" t="s">
        <v>17</v>
      </c>
      <c r="F19" s="2">
        <v>2.8000000000000001E-2</v>
      </c>
      <c r="G19" s="3">
        <v>8.5999999999999993E-2</v>
      </c>
      <c r="H19" s="2">
        <v>0</v>
      </c>
      <c r="I19" s="2">
        <v>0</v>
      </c>
      <c r="J19" s="2"/>
      <c r="K19" s="2"/>
      <c r="L19" s="2"/>
      <c r="M19" s="2"/>
      <c r="N19" s="8">
        <f t="shared" si="0"/>
        <v>0</v>
      </c>
      <c r="O19" s="2"/>
      <c r="P19" s="2"/>
      <c r="Q19" s="2"/>
      <c r="R19" s="19"/>
      <c r="S19" s="2"/>
      <c r="T19" s="2"/>
      <c r="U19" s="19"/>
      <c r="V19" s="2"/>
      <c r="W19" s="2"/>
      <c r="X19" s="2"/>
      <c r="Y19" s="2"/>
      <c r="Z19" s="7">
        <f t="shared" si="1"/>
        <v>0</v>
      </c>
      <c r="AA19" s="7">
        <v>100</v>
      </c>
      <c r="AB19" s="7">
        <v>0</v>
      </c>
      <c r="AC19" s="8">
        <f t="shared" si="2"/>
        <v>0</v>
      </c>
      <c r="AD19" s="8">
        <v>0</v>
      </c>
      <c r="AE19" s="8">
        <f t="shared" si="3"/>
        <v>0</v>
      </c>
      <c r="AF19" s="8">
        <f t="shared" si="4"/>
        <v>0</v>
      </c>
      <c r="AG19" s="8">
        <v>0</v>
      </c>
      <c r="AH19" s="8">
        <v>0</v>
      </c>
      <c r="AI19" s="8" t="s">
        <v>119</v>
      </c>
      <c r="AJ19" s="8" t="s">
        <v>121</v>
      </c>
      <c r="AL19"/>
      <c r="AM19"/>
      <c r="AN19"/>
      <c r="AQ19" s="1">
        <v>-55</v>
      </c>
    </row>
    <row r="20" spans="2:43" hidden="1" x14ac:dyDescent="0.25">
      <c r="B20" s="2" t="s">
        <v>87</v>
      </c>
      <c r="C20" s="2" t="s">
        <v>88</v>
      </c>
      <c r="D20" s="2" t="s">
        <v>18</v>
      </c>
      <c r="E20" s="2" t="s">
        <v>17</v>
      </c>
      <c r="F20" s="2">
        <v>2.8000000000000001E-2</v>
      </c>
      <c r="G20" s="3">
        <v>0.11700000000000001</v>
      </c>
      <c r="H20" s="2">
        <v>0</v>
      </c>
      <c r="I20" s="2">
        <v>272</v>
      </c>
      <c r="J20" s="2"/>
      <c r="K20" s="2"/>
      <c r="L20" s="2"/>
      <c r="M20" s="2"/>
      <c r="N20" s="8">
        <f t="shared" si="0"/>
        <v>-5</v>
      </c>
      <c r="O20" s="2">
        <v>277</v>
      </c>
      <c r="P20" s="2"/>
      <c r="Q20" s="2"/>
      <c r="R20" s="19"/>
      <c r="S20" s="2"/>
      <c r="T20" s="2"/>
      <c r="U20" s="19"/>
      <c r="V20" s="2"/>
      <c r="W20" s="2"/>
      <c r="X20" s="2"/>
      <c r="Y20" s="2"/>
      <c r="Z20" s="7">
        <f t="shared" si="1"/>
        <v>31.824000000000002</v>
      </c>
      <c r="AA20" s="7">
        <v>100</v>
      </c>
      <c r="AB20" s="7">
        <v>0</v>
      </c>
      <c r="AC20" s="8">
        <f t="shared" si="2"/>
        <v>0</v>
      </c>
      <c r="AD20" s="8">
        <v>0</v>
      </c>
      <c r="AE20" s="8">
        <f t="shared" si="3"/>
        <v>0</v>
      </c>
      <c r="AF20" s="8">
        <f t="shared" si="4"/>
        <v>0</v>
      </c>
      <c r="AG20" s="8">
        <v>0</v>
      </c>
      <c r="AH20" s="8">
        <v>0</v>
      </c>
      <c r="AI20" s="8" t="s">
        <v>119</v>
      </c>
      <c r="AJ20" s="8" t="s">
        <v>121</v>
      </c>
      <c r="AL20"/>
      <c r="AM20"/>
      <c r="AN20"/>
      <c r="AQ20" s="1">
        <v>0</v>
      </c>
    </row>
    <row r="21" spans="2:43" hidden="1" x14ac:dyDescent="0.25">
      <c r="B21" s="2" t="s">
        <v>87</v>
      </c>
      <c r="C21" s="2" t="s">
        <v>88</v>
      </c>
      <c r="D21" s="2" t="s">
        <v>19</v>
      </c>
      <c r="E21" s="2" t="s">
        <v>17</v>
      </c>
      <c r="F21" s="2">
        <v>2.8000000000000001E-2</v>
      </c>
      <c r="G21" s="3">
        <v>0.129</v>
      </c>
      <c r="H21" s="2">
        <v>0</v>
      </c>
      <c r="I21" s="2">
        <v>0</v>
      </c>
      <c r="J21" s="2"/>
      <c r="K21" s="2"/>
      <c r="L21" s="2"/>
      <c r="M21" s="2"/>
      <c r="N21" s="8">
        <f t="shared" si="0"/>
        <v>0</v>
      </c>
      <c r="O21" s="2"/>
      <c r="P21" s="2"/>
      <c r="Q21" s="2"/>
      <c r="R21" s="19"/>
      <c r="S21" s="2"/>
      <c r="T21" s="2"/>
      <c r="U21" s="19"/>
      <c r="V21" s="2"/>
      <c r="W21" s="2"/>
      <c r="X21" s="2"/>
      <c r="Y21" s="2"/>
      <c r="Z21" s="7">
        <f t="shared" si="1"/>
        <v>0</v>
      </c>
      <c r="AA21" s="7">
        <v>100</v>
      </c>
      <c r="AB21" s="7">
        <v>0</v>
      </c>
      <c r="AC21" s="8">
        <f t="shared" si="2"/>
        <v>0</v>
      </c>
      <c r="AD21" s="8">
        <v>0</v>
      </c>
      <c r="AE21" s="8">
        <f t="shared" si="3"/>
        <v>0</v>
      </c>
      <c r="AF21" s="8">
        <f t="shared" si="4"/>
        <v>0</v>
      </c>
      <c r="AG21" s="8">
        <v>0</v>
      </c>
      <c r="AH21" s="8">
        <v>0</v>
      </c>
      <c r="AI21" s="8" t="s">
        <v>119</v>
      </c>
      <c r="AJ21" s="8" t="s">
        <v>121</v>
      </c>
      <c r="AL21"/>
      <c r="AM21"/>
      <c r="AN21"/>
      <c r="AQ21" s="1">
        <v>-25</v>
      </c>
    </row>
    <row r="22" spans="2:43" hidden="1" x14ac:dyDescent="0.25">
      <c r="B22" s="2" t="s">
        <v>87</v>
      </c>
      <c r="C22" s="2" t="s">
        <v>88</v>
      </c>
      <c r="D22" s="2" t="s">
        <v>20</v>
      </c>
      <c r="E22" s="2" t="s">
        <v>17</v>
      </c>
      <c r="F22" s="2">
        <v>2.8000000000000001E-2</v>
      </c>
      <c r="G22" s="3">
        <v>0.11899999999999999</v>
      </c>
      <c r="H22" s="2">
        <v>600</v>
      </c>
      <c r="I22" s="2">
        <v>0</v>
      </c>
      <c r="J22" s="2"/>
      <c r="K22" s="2"/>
      <c r="L22" s="2"/>
      <c r="M22" s="2"/>
      <c r="N22" s="8">
        <f t="shared" si="0"/>
        <v>0</v>
      </c>
      <c r="O22" s="2"/>
      <c r="P22" s="2"/>
      <c r="Q22" s="2"/>
      <c r="R22" s="19">
        <v>585</v>
      </c>
      <c r="S22" s="2"/>
      <c r="T22" s="2"/>
      <c r="U22" s="19"/>
      <c r="V22" s="2"/>
      <c r="W22" s="2"/>
      <c r="X22" s="2"/>
      <c r="Y22" s="2">
        <v>15</v>
      </c>
      <c r="Z22" s="7">
        <f t="shared" si="1"/>
        <v>71.399999999999991</v>
      </c>
      <c r="AA22" s="7">
        <v>100</v>
      </c>
      <c r="AB22" s="7">
        <v>0</v>
      </c>
      <c r="AC22" s="8">
        <f t="shared" si="2"/>
        <v>0</v>
      </c>
      <c r="AD22" s="8">
        <v>0</v>
      </c>
      <c r="AE22" s="8">
        <f t="shared" si="3"/>
        <v>0</v>
      </c>
      <c r="AF22" s="8">
        <f t="shared" si="4"/>
        <v>0</v>
      </c>
      <c r="AG22" s="8">
        <v>0</v>
      </c>
      <c r="AH22" s="8">
        <v>0</v>
      </c>
      <c r="AI22" s="8" t="s">
        <v>119</v>
      </c>
      <c r="AJ22" s="8" t="s">
        <v>121</v>
      </c>
      <c r="AL22"/>
      <c r="AM22"/>
      <c r="AN22"/>
      <c r="AQ22" s="1">
        <v>-250</v>
      </c>
    </row>
    <row r="23" spans="2:43" hidden="1" x14ac:dyDescent="0.25">
      <c r="B23" s="2" t="s">
        <v>87</v>
      </c>
      <c r="C23" s="2" t="s">
        <v>88</v>
      </c>
      <c r="D23" s="2" t="s">
        <v>21</v>
      </c>
      <c r="E23" s="2" t="s">
        <v>17</v>
      </c>
      <c r="F23" s="2">
        <v>2.8000000000000001E-2</v>
      </c>
      <c r="G23" s="3">
        <v>0.127</v>
      </c>
      <c r="H23" s="2">
        <v>0</v>
      </c>
      <c r="I23" s="2">
        <v>0</v>
      </c>
      <c r="J23" s="2"/>
      <c r="K23" s="2"/>
      <c r="L23" s="2"/>
      <c r="M23" s="2"/>
      <c r="N23" s="8">
        <f t="shared" si="0"/>
        <v>0</v>
      </c>
      <c r="O23" s="2"/>
      <c r="P23" s="2"/>
      <c r="Q23" s="2"/>
      <c r="R23" s="19"/>
      <c r="S23" s="2"/>
      <c r="T23" s="2"/>
      <c r="U23" s="19"/>
      <c r="V23" s="2"/>
      <c r="W23" s="2"/>
      <c r="X23" s="2"/>
      <c r="Y23" s="2"/>
      <c r="Z23" s="7">
        <f t="shared" si="1"/>
        <v>0</v>
      </c>
      <c r="AA23" s="7">
        <v>100</v>
      </c>
      <c r="AB23" s="7">
        <v>0</v>
      </c>
      <c r="AC23" s="8">
        <f t="shared" si="2"/>
        <v>0</v>
      </c>
      <c r="AD23" s="8">
        <v>0</v>
      </c>
      <c r="AE23" s="8">
        <f t="shared" si="3"/>
        <v>0</v>
      </c>
      <c r="AF23" s="8">
        <f t="shared" si="4"/>
        <v>0</v>
      </c>
      <c r="AG23" s="8">
        <v>0</v>
      </c>
      <c r="AH23" s="8">
        <v>0</v>
      </c>
      <c r="AI23" s="8" t="s">
        <v>119</v>
      </c>
      <c r="AJ23" s="8" t="s">
        <v>121</v>
      </c>
      <c r="AQ23" s="1">
        <v>0</v>
      </c>
    </row>
    <row r="24" spans="2:43" hidden="1" x14ac:dyDescent="0.25">
      <c r="B24" s="2" t="s">
        <v>87</v>
      </c>
      <c r="C24" s="2" t="s">
        <v>88</v>
      </c>
      <c r="D24" s="2" t="s">
        <v>22</v>
      </c>
      <c r="E24" s="2" t="s">
        <v>17</v>
      </c>
      <c r="F24" s="2">
        <v>2.8000000000000001E-2</v>
      </c>
      <c r="G24" s="3">
        <v>0.114</v>
      </c>
      <c r="H24" s="2">
        <v>0</v>
      </c>
      <c r="I24" s="2">
        <v>0</v>
      </c>
      <c r="J24" s="2"/>
      <c r="K24" s="2"/>
      <c r="L24" s="2"/>
      <c r="M24" s="2"/>
      <c r="N24" s="8">
        <f t="shared" si="0"/>
        <v>0</v>
      </c>
      <c r="O24" s="2"/>
      <c r="P24" s="2"/>
      <c r="Q24" s="2"/>
      <c r="R24" s="19"/>
      <c r="S24" s="2"/>
      <c r="T24" s="2"/>
      <c r="U24" s="19"/>
      <c r="V24" s="2"/>
      <c r="W24" s="2"/>
      <c r="X24" s="2"/>
      <c r="Y24" s="2"/>
      <c r="Z24" s="7">
        <f t="shared" si="1"/>
        <v>0</v>
      </c>
      <c r="AA24" s="7">
        <v>100</v>
      </c>
      <c r="AB24" s="7">
        <v>0</v>
      </c>
      <c r="AC24" s="8">
        <f t="shared" si="2"/>
        <v>0</v>
      </c>
      <c r="AD24" s="8">
        <v>0</v>
      </c>
      <c r="AE24" s="8">
        <f t="shared" si="3"/>
        <v>0</v>
      </c>
      <c r="AF24" s="8">
        <f t="shared" si="4"/>
        <v>0</v>
      </c>
      <c r="AG24" s="8">
        <v>0</v>
      </c>
      <c r="AH24" s="8">
        <v>0</v>
      </c>
      <c r="AI24" s="8" t="s">
        <v>119</v>
      </c>
      <c r="AJ24" s="8" t="s">
        <v>121</v>
      </c>
      <c r="AQ24" s="1">
        <v>-55</v>
      </c>
    </row>
    <row r="25" spans="2:43" hidden="1" x14ac:dyDescent="0.25">
      <c r="B25" s="2" t="s">
        <v>87</v>
      </c>
      <c r="C25" s="2" t="s">
        <v>88</v>
      </c>
      <c r="D25" s="2" t="s">
        <v>23</v>
      </c>
      <c r="E25" s="2" t="s">
        <v>17</v>
      </c>
      <c r="F25" s="2">
        <v>2.8000000000000001E-2</v>
      </c>
      <c r="G25" s="3">
        <v>6.9000000000000006E-2</v>
      </c>
      <c r="H25" s="2">
        <v>600</v>
      </c>
      <c r="I25" s="2">
        <v>0</v>
      </c>
      <c r="J25" s="2"/>
      <c r="K25" s="2"/>
      <c r="L25" s="2"/>
      <c r="M25" s="2"/>
      <c r="N25" s="8">
        <f t="shared" si="0"/>
        <v>0</v>
      </c>
      <c r="O25" s="2">
        <v>300</v>
      </c>
      <c r="P25" s="2">
        <v>195</v>
      </c>
      <c r="Q25" s="2">
        <v>41</v>
      </c>
      <c r="R25" s="19"/>
      <c r="S25" s="2"/>
      <c r="T25" s="2"/>
      <c r="U25" s="19"/>
      <c r="V25" s="2"/>
      <c r="W25" s="2"/>
      <c r="X25" s="2"/>
      <c r="Y25" s="2">
        <v>64</v>
      </c>
      <c r="Z25" s="7">
        <f t="shared" si="1"/>
        <v>41.400000000000006</v>
      </c>
      <c r="AA25" s="7">
        <v>100</v>
      </c>
      <c r="AB25" s="7">
        <v>0</v>
      </c>
      <c r="AC25" s="8">
        <f t="shared" si="2"/>
        <v>0</v>
      </c>
      <c r="AD25" s="8">
        <v>0</v>
      </c>
      <c r="AE25" s="8">
        <f t="shared" si="3"/>
        <v>0</v>
      </c>
      <c r="AF25" s="8">
        <f t="shared" si="4"/>
        <v>0</v>
      </c>
      <c r="AG25" s="8">
        <v>0</v>
      </c>
      <c r="AH25" s="8">
        <v>0</v>
      </c>
      <c r="AI25" s="8" t="s">
        <v>119</v>
      </c>
      <c r="AJ25" s="8" t="s">
        <v>121</v>
      </c>
      <c r="AQ25" s="1">
        <v>-50</v>
      </c>
    </row>
    <row r="26" spans="2:43" hidden="1" x14ac:dyDescent="0.25">
      <c r="B26" s="2" t="s">
        <v>87</v>
      </c>
      <c r="C26" s="2" t="s">
        <v>88</v>
      </c>
      <c r="D26" s="2" t="s">
        <v>24</v>
      </c>
      <c r="E26" s="2" t="s">
        <v>17</v>
      </c>
      <c r="F26" s="2">
        <v>2.8000000000000001E-2</v>
      </c>
      <c r="G26" s="3">
        <v>0.129</v>
      </c>
      <c r="H26" s="2">
        <v>0</v>
      </c>
      <c r="I26" s="2">
        <v>0</v>
      </c>
      <c r="J26" s="2"/>
      <c r="K26" s="2"/>
      <c r="L26" s="2"/>
      <c r="M26" s="2"/>
      <c r="N26" s="8">
        <f t="shared" si="0"/>
        <v>0</v>
      </c>
      <c r="O26" s="2"/>
      <c r="P26" s="2"/>
      <c r="Q26" s="2"/>
      <c r="R26" s="19"/>
      <c r="S26" s="2"/>
      <c r="T26" s="2"/>
      <c r="U26" s="19"/>
      <c r="V26" s="2"/>
      <c r="W26" s="2"/>
      <c r="X26" s="2"/>
      <c r="Y26" s="2"/>
      <c r="Z26" s="7">
        <f t="shared" si="1"/>
        <v>0</v>
      </c>
      <c r="AA26" s="7">
        <v>100</v>
      </c>
      <c r="AB26" s="7">
        <v>0</v>
      </c>
      <c r="AC26" s="8">
        <f t="shared" si="2"/>
        <v>0</v>
      </c>
      <c r="AD26" s="8">
        <v>0</v>
      </c>
      <c r="AE26" s="8">
        <f t="shared" si="3"/>
        <v>0</v>
      </c>
      <c r="AF26" s="8">
        <f t="shared" si="4"/>
        <v>0</v>
      </c>
      <c r="AG26" s="8">
        <v>0</v>
      </c>
      <c r="AH26" s="8">
        <v>0</v>
      </c>
      <c r="AI26" s="8" t="s">
        <v>119</v>
      </c>
      <c r="AJ26" s="8" t="s">
        <v>121</v>
      </c>
      <c r="AQ26" s="1">
        <v>0</v>
      </c>
    </row>
    <row r="27" spans="2:43" hidden="1" x14ac:dyDescent="0.25">
      <c r="B27" s="2" t="s">
        <v>87</v>
      </c>
      <c r="C27" s="2" t="s">
        <v>88</v>
      </c>
      <c r="D27" s="2" t="s">
        <v>25</v>
      </c>
      <c r="E27" s="2" t="s">
        <v>17</v>
      </c>
      <c r="F27" s="2">
        <v>2.8000000000000001E-2</v>
      </c>
      <c r="G27" s="3">
        <v>7.8E-2</v>
      </c>
      <c r="H27" s="2">
        <v>600</v>
      </c>
      <c r="I27" s="2">
        <v>0</v>
      </c>
      <c r="J27" s="2"/>
      <c r="K27" s="2"/>
      <c r="L27" s="2"/>
      <c r="M27" s="2"/>
      <c r="N27" s="8">
        <f t="shared" si="0"/>
        <v>0</v>
      </c>
      <c r="O27" s="2"/>
      <c r="P27" s="2"/>
      <c r="Q27" s="2">
        <v>570</v>
      </c>
      <c r="R27" s="19"/>
      <c r="S27" s="2"/>
      <c r="T27" s="2"/>
      <c r="U27" s="19"/>
      <c r="V27" s="2"/>
      <c r="W27" s="2"/>
      <c r="X27" s="2"/>
      <c r="Y27" s="2">
        <v>30</v>
      </c>
      <c r="Z27" s="7">
        <f t="shared" si="1"/>
        <v>46.8</v>
      </c>
      <c r="AA27" s="7">
        <v>100</v>
      </c>
      <c r="AB27" s="7">
        <v>0</v>
      </c>
      <c r="AC27" s="8">
        <f t="shared" si="2"/>
        <v>0</v>
      </c>
      <c r="AD27" s="8">
        <v>0</v>
      </c>
      <c r="AE27" s="8">
        <f t="shared" si="3"/>
        <v>0</v>
      </c>
      <c r="AF27" s="8">
        <f t="shared" si="4"/>
        <v>0</v>
      </c>
      <c r="AG27" s="8">
        <v>0</v>
      </c>
      <c r="AH27" s="8">
        <v>0</v>
      </c>
      <c r="AI27" s="8" t="s">
        <v>119</v>
      </c>
      <c r="AJ27" s="8" t="s">
        <v>121</v>
      </c>
      <c r="AQ27" s="1">
        <v>307</v>
      </c>
    </row>
    <row r="28" spans="2:43" hidden="1" x14ac:dyDescent="0.25">
      <c r="B28" s="2" t="s">
        <v>87</v>
      </c>
      <c r="C28" s="2" t="s">
        <v>88</v>
      </c>
      <c r="D28" s="2" t="s">
        <v>26</v>
      </c>
      <c r="E28" s="2" t="s">
        <v>17</v>
      </c>
      <c r="F28" s="2">
        <v>2.8000000000000001E-2</v>
      </c>
      <c r="G28" s="3">
        <v>0.10100000000000001</v>
      </c>
      <c r="H28" s="2">
        <v>0</v>
      </c>
      <c r="I28" s="2">
        <v>0</v>
      </c>
      <c r="J28" s="2"/>
      <c r="K28" s="2"/>
      <c r="L28" s="2"/>
      <c r="M28" s="2"/>
      <c r="N28" s="8">
        <f t="shared" si="0"/>
        <v>0</v>
      </c>
      <c r="O28" s="2"/>
      <c r="P28" s="2"/>
      <c r="Q28" s="2"/>
      <c r="R28" s="19"/>
      <c r="S28" s="2"/>
      <c r="T28" s="2"/>
      <c r="U28" s="19"/>
      <c r="V28" s="2"/>
      <c r="W28" s="2"/>
      <c r="X28" s="2"/>
      <c r="Y28" s="2"/>
      <c r="Z28" s="7">
        <f t="shared" si="1"/>
        <v>0</v>
      </c>
      <c r="AA28" s="7">
        <v>100</v>
      </c>
      <c r="AB28" s="7">
        <v>0</v>
      </c>
      <c r="AC28" s="8">
        <f t="shared" si="2"/>
        <v>0</v>
      </c>
      <c r="AD28" s="8">
        <v>0</v>
      </c>
      <c r="AE28" s="8">
        <f t="shared" si="3"/>
        <v>0</v>
      </c>
      <c r="AF28" s="8">
        <f t="shared" si="4"/>
        <v>0</v>
      </c>
      <c r="AG28" s="8">
        <v>0</v>
      </c>
      <c r="AH28" s="8">
        <v>0</v>
      </c>
      <c r="AI28" s="8" t="s">
        <v>119</v>
      </c>
      <c r="AJ28" s="8" t="s">
        <v>121</v>
      </c>
      <c r="AQ28" s="1">
        <v>-77</v>
      </c>
    </row>
    <row r="29" spans="2:43" hidden="1" x14ac:dyDescent="0.25">
      <c r="B29" s="2" t="s">
        <v>87</v>
      </c>
      <c r="C29" s="2" t="s">
        <v>88</v>
      </c>
      <c r="D29" s="2" t="s">
        <v>27</v>
      </c>
      <c r="E29" s="2" t="s">
        <v>17</v>
      </c>
      <c r="F29" s="2">
        <v>2.8000000000000001E-2</v>
      </c>
      <c r="G29" s="3">
        <v>7.5999999999999998E-2</v>
      </c>
      <c r="H29" s="2">
        <v>600</v>
      </c>
      <c r="I29" s="2">
        <v>0</v>
      </c>
      <c r="J29" s="2"/>
      <c r="K29" s="2"/>
      <c r="L29" s="2"/>
      <c r="M29" s="2"/>
      <c r="N29" s="8">
        <f t="shared" si="0"/>
        <v>0</v>
      </c>
      <c r="O29" s="2"/>
      <c r="P29" s="2"/>
      <c r="Q29" s="2">
        <v>600</v>
      </c>
      <c r="R29" s="19"/>
      <c r="S29" s="2"/>
      <c r="T29" s="2"/>
      <c r="U29" s="19"/>
      <c r="V29" s="2"/>
      <c r="W29" s="2"/>
      <c r="X29" s="2"/>
      <c r="Y29" s="2"/>
      <c r="Z29" s="7">
        <f t="shared" si="1"/>
        <v>45.6</v>
      </c>
      <c r="AA29" s="7">
        <v>100</v>
      </c>
      <c r="AB29" s="7">
        <v>0</v>
      </c>
      <c r="AC29" s="8">
        <f t="shared" si="2"/>
        <v>0</v>
      </c>
      <c r="AD29" s="8">
        <v>0</v>
      </c>
      <c r="AE29" s="8">
        <f t="shared" si="3"/>
        <v>0</v>
      </c>
      <c r="AF29" s="8">
        <f t="shared" si="4"/>
        <v>0</v>
      </c>
      <c r="AG29" s="8">
        <v>0</v>
      </c>
      <c r="AH29" s="8">
        <v>0</v>
      </c>
      <c r="AI29" s="8" t="s">
        <v>119</v>
      </c>
      <c r="AJ29" s="8" t="s">
        <v>121</v>
      </c>
      <c r="AQ29" s="1">
        <v>300</v>
      </c>
    </row>
    <row r="30" spans="2:43" hidden="1" x14ac:dyDescent="0.25">
      <c r="B30" s="2" t="s">
        <v>87</v>
      </c>
      <c r="C30" s="2" t="s">
        <v>88</v>
      </c>
      <c r="D30" s="2" t="s">
        <v>28</v>
      </c>
      <c r="E30" s="2" t="s">
        <v>17</v>
      </c>
      <c r="F30" s="2">
        <v>2.8000000000000001E-2</v>
      </c>
      <c r="G30" s="3">
        <v>4.2000000000000003E-2</v>
      </c>
      <c r="H30" s="2">
        <v>0</v>
      </c>
      <c r="I30" s="2">
        <v>0</v>
      </c>
      <c r="J30" s="2"/>
      <c r="K30" s="2"/>
      <c r="L30" s="2"/>
      <c r="M30" s="2"/>
      <c r="N30" s="8">
        <f t="shared" si="0"/>
        <v>0</v>
      </c>
      <c r="O30" s="2"/>
      <c r="P30" s="2"/>
      <c r="Q30" s="2"/>
      <c r="R30" s="19"/>
      <c r="S30" s="2"/>
      <c r="T30" s="2"/>
      <c r="U30" s="19"/>
      <c r="V30" s="2"/>
      <c r="W30" s="2"/>
      <c r="X30" s="2"/>
      <c r="Y30" s="2"/>
      <c r="Z30" s="7">
        <f t="shared" si="1"/>
        <v>0</v>
      </c>
      <c r="AA30" s="7">
        <v>100</v>
      </c>
      <c r="AB30" s="7">
        <v>0</v>
      </c>
      <c r="AC30" s="8">
        <f t="shared" si="2"/>
        <v>0</v>
      </c>
      <c r="AD30" s="8">
        <v>0</v>
      </c>
      <c r="AE30" s="8">
        <f t="shared" si="3"/>
        <v>0</v>
      </c>
      <c r="AF30" s="8">
        <f t="shared" si="4"/>
        <v>0</v>
      </c>
      <c r="AG30" s="8">
        <v>0</v>
      </c>
      <c r="AH30" s="8">
        <v>0</v>
      </c>
      <c r="AI30" s="8" t="s">
        <v>119</v>
      </c>
      <c r="AJ30" s="8" t="s">
        <v>121</v>
      </c>
      <c r="AQ30" s="1">
        <v>-445</v>
      </c>
    </row>
    <row r="31" spans="2:43" hidden="1" x14ac:dyDescent="0.25">
      <c r="B31" s="2" t="s">
        <v>87</v>
      </c>
      <c r="C31" s="2" t="s">
        <v>88</v>
      </c>
      <c r="D31" s="2" t="s">
        <v>29</v>
      </c>
      <c r="E31" s="2" t="s">
        <v>17</v>
      </c>
      <c r="F31" s="2">
        <v>2.8000000000000001E-2</v>
      </c>
      <c r="G31" s="3">
        <v>0.105</v>
      </c>
      <c r="H31" s="2">
        <v>600</v>
      </c>
      <c r="I31" s="2">
        <v>0</v>
      </c>
      <c r="J31" s="2"/>
      <c r="K31" s="2"/>
      <c r="L31" s="2"/>
      <c r="M31" s="2"/>
      <c r="N31" s="8">
        <f t="shared" si="0"/>
        <v>-100</v>
      </c>
      <c r="O31" s="2"/>
      <c r="P31" s="2"/>
      <c r="Q31" s="2">
        <v>700</v>
      </c>
      <c r="R31" s="19"/>
      <c r="S31" s="2"/>
      <c r="T31" s="2"/>
      <c r="U31" s="19"/>
      <c r="V31" s="2"/>
      <c r="W31" s="2"/>
      <c r="X31" s="2"/>
      <c r="Y31" s="2"/>
      <c r="Z31" s="7">
        <f t="shared" si="1"/>
        <v>63</v>
      </c>
      <c r="AA31" s="7">
        <v>100</v>
      </c>
      <c r="AB31" s="7">
        <v>0</v>
      </c>
      <c r="AC31" s="8">
        <f t="shared" si="2"/>
        <v>0</v>
      </c>
      <c r="AD31" s="8">
        <v>0</v>
      </c>
      <c r="AE31" s="8">
        <f t="shared" si="3"/>
        <v>0</v>
      </c>
      <c r="AF31" s="8">
        <f t="shared" si="4"/>
        <v>0</v>
      </c>
      <c r="AG31" s="8">
        <v>0</v>
      </c>
      <c r="AH31" s="8">
        <v>0</v>
      </c>
      <c r="AI31" s="8" t="s">
        <v>119</v>
      </c>
      <c r="AJ31" s="8" t="s">
        <v>121</v>
      </c>
      <c r="AQ31" s="1">
        <v>-83</v>
      </c>
    </row>
    <row r="32" spans="2:43" hidden="1" x14ac:dyDescent="0.25">
      <c r="B32" s="2" t="s">
        <v>87</v>
      </c>
      <c r="C32" s="2" t="s">
        <v>88</v>
      </c>
      <c r="D32" s="2" t="s">
        <v>30</v>
      </c>
      <c r="E32" s="2" t="s">
        <v>17</v>
      </c>
      <c r="F32" s="2">
        <v>2.8000000000000001E-2</v>
      </c>
      <c r="G32" s="3">
        <v>0.14299999999999999</v>
      </c>
      <c r="H32" s="2">
        <v>600</v>
      </c>
      <c r="I32" s="2">
        <v>0</v>
      </c>
      <c r="J32" s="2"/>
      <c r="K32" s="2"/>
      <c r="L32" s="2"/>
      <c r="M32" s="2"/>
      <c r="N32" s="8">
        <f t="shared" si="0"/>
        <v>-108</v>
      </c>
      <c r="O32" s="2"/>
      <c r="P32" s="2"/>
      <c r="Q32" s="2"/>
      <c r="R32" s="19"/>
      <c r="S32" s="2"/>
      <c r="T32" s="2"/>
      <c r="U32" s="19"/>
      <c r="V32" s="2"/>
      <c r="W32" s="2"/>
      <c r="X32" s="2"/>
      <c r="Y32" s="2">
        <v>708</v>
      </c>
      <c r="Z32" s="7">
        <f t="shared" si="1"/>
        <v>85.8</v>
      </c>
      <c r="AA32" s="7">
        <v>100</v>
      </c>
      <c r="AB32" s="7">
        <v>0</v>
      </c>
      <c r="AC32" s="8">
        <f t="shared" si="2"/>
        <v>0</v>
      </c>
      <c r="AD32" s="8">
        <v>0</v>
      </c>
      <c r="AE32" s="8">
        <f t="shared" si="3"/>
        <v>0</v>
      </c>
      <c r="AF32" s="8">
        <f t="shared" si="4"/>
        <v>0</v>
      </c>
      <c r="AG32" s="8">
        <v>0</v>
      </c>
      <c r="AH32" s="8">
        <v>0</v>
      </c>
      <c r="AI32" s="8" t="s">
        <v>119</v>
      </c>
      <c r="AJ32" s="8" t="s">
        <v>121</v>
      </c>
      <c r="AQ32" s="1">
        <v>0</v>
      </c>
    </row>
    <row r="33" spans="2:43" hidden="1" x14ac:dyDescent="0.25">
      <c r="B33" s="2" t="s">
        <v>87</v>
      </c>
      <c r="C33" s="2" t="s">
        <v>88</v>
      </c>
      <c r="D33" s="2" t="s">
        <v>31</v>
      </c>
      <c r="E33" s="2" t="s">
        <v>17</v>
      </c>
      <c r="F33" s="2">
        <v>2.8000000000000001E-2</v>
      </c>
      <c r="G33" s="3">
        <v>4.5999999999999999E-2</v>
      </c>
      <c r="H33" s="2">
        <v>0</v>
      </c>
      <c r="I33" s="2">
        <v>0</v>
      </c>
      <c r="J33" s="2"/>
      <c r="K33" s="2"/>
      <c r="L33" s="2"/>
      <c r="M33" s="2"/>
      <c r="N33" s="8">
        <f t="shared" si="0"/>
        <v>0</v>
      </c>
      <c r="O33" s="2"/>
      <c r="P33" s="2"/>
      <c r="Q33" s="2"/>
      <c r="R33" s="19"/>
      <c r="S33" s="2"/>
      <c r="T33" s="2"/>
      <c r="U33" s="19"/>
      <c r="V33" s="2"/>
      <c r="W33" s="2"/>
      <c r="X33" s="2"/>
      <c r="Y33" s="2"/>
      <c r="Z33" s="7">
        <f t="shared" si="1"/>
        <v>0</v>
      </c>
      <c r="AA33" s="7">
        <v>100</v>
      </c>
      <c r="AB33" s="7">
        <v>0</v>
      </c>
      <c r="AC33" s="8">
        <f t="shared" si="2"/>
        <v>0</v>
      </c>
      <c r="AD33" s="8">
        <v>0</v>
      </c>
      <c r="AE33" s="8">
        <f t="shared" si="3"/>
        <v>0</v>
      </c>
      <c r="AF33" s="8">
        <f t="shared" si="4"/>
        <v>0</v>
      </c>
      <c r="AG33" s="8">
        <v>0</v>
      </c>
      <c r="AH33" s="8">
        <v>0</v>
      </c>
      <c r="AI33" s="8" t="s">
        <v>119</v>
      </c>
      <c r="AJ33" s="8" t="s">
        <v>121</v>
      </c>
      <c r="AQ33" s="1">
        <v>300</v>
      </c>
    </row>
    <row r="34" spans="2:43" hidden="1" x14ac:dyDescent="0.25">
      <c r="B34" s="2" t="s">
        <v>87</v>
      </c>
      <c r="C34" s="2" t="s">
        <v>88</v>
      </c>
      <c r="D34" s="2" t="s">
        <v>32</v>
      </c>
      <c r="E34" s="2" t="s">
        <v>17</v>
      </c>
      <c r="F34" s="2">
        <v>2.8000000000000001E-2</v>
      </c>
      <c r="G34" s="3">
        <v>0.129</v>
      </c>
      <c r="H34" s="2">
        <v>1200</v>
      </c>
      <c r="I34" s="2">
        <v>0</v>
      </c>
      <c r="J34" s="2"/>
      <c r="K34" s="2"/>
      <c r="L34" s="2"/>
      <c r="M34" s="2"/>
      <c r="N34" s="8">
        <f t="shared" si="0"/>
        <v>-613</v>
      </c>
      <c r="O34" s="2">
        <v>1165</v>
      </c>
      <c r="P34" s="2"/>
      <c r="Q34" s="2">
        <v>48</v>
      </c>
      <c r="R34" s="19"/>
      <c r="S34" s="2"/>
      <c r="T34" s="2"/>
      <c r="U34" s="19"/>
      <c r="V34" s="2"/>
      <c r="W34" s="2"/>
      <c r="X34" s="2"/>
      <c r="Y34" s="2">
        <v>600</v>
      </c>
      <c r="Z34" s="7">
        <f t="shared" si="1"/>
        <v>154.80000000000001</v>
      </c>
      <c r="AA34" s="7">
        <v>100</v>
      </c>
      <c r="AB34" s="7">
        <v>0</v>
      </c>
      <c r="AC34" s="8">
        <f t="shared" si="2"/>
        <v>0</v>
      </c>
      <c r="AD34" s="8">
        <v>0</v>
      </c>
      <c r="AE34" s="8">
        <f t="shared" si="3"/>
        <v>0</v>
      </c>
      <c r="AF34" s="8">
        <f t="shared" si="4"/>
        <v>0</v>
      </c>
      <c r="AG34" s="8">
        <v>0</v>
      </c>
      <c r="AH34" s="8">
        <v>0</v>
      </c>
      <c r="AI34" s="8" t="s">
        <v>119</v>
      </c>
      <c r="AJ34" s="8" t="s">
        <v>121</v>
      </c>
      <c r="AQ34" s="1">
        <v>500</v>
      </c>
    </row>
    <row r="35" spans="2:43" hidden="1" x14ac:dyDescent="0.25">
      <c r="B35" s="2" t="s">
        <v>87</v>
      </c>
      <c r="C35" s="2" t="s">
        <v>88</v>
      </c>
      <c r="D35" s="2" t="s">
        <v>33</v>
      </c>
      <c r="E35" s="2" t="s">
        <v>17</v>
      </c>
      <c r="F35" s="2">
        <v>2.8000000000000001E-2</v>
      </c>
      <c r="G35" s="3">
        <v>0.13400000000000001</v>
      </c>
      <c r="H35" s="2">
        <v>600</v>
      </c>
      <c r="I35" s="2">
        <v>0</v>
      </c>
      <c r="J35" s="2"/>
      <c r="K35" s="2"/>
      <c r="L35" s="2"/>
      <c r="M35" s="2"/>
      <c r="N35" s="8">
        <f t="shared" si="0"/>
        <v>-1</v>
      </c>
      <c r="O35" s="2"/>
      <c r="P35" s="2"/>
      <c r="Q35" s="2"/>
      <c r="R35" s="19">
        <v>101</v>
      </c>
      <c r="S35" s="2"/>
      <c r="T35" s="2"/>
      <c r="U35" s="19"/>
      <c r="V35" s="2"/>
      <c r="W35" s="2"/>
      <c r="X35" s="2"/>
      <c r="Y35" s="2">
        <v>500</v>
      </c>
      <c r="Z35" s="7">
        <f t="shared" si="1"/>
        <v>80.400000000000006</v>
      </c>
      <c r="AA35" s="7">
        <v>100</v>
      </c>
      <c r="AB35" s="7">
        <v>0</v>
      </c>
      <c r="AC35" s="8">
        <f t="shared" si="2"/>
        <v>0</v>
      </c>
      <c r="AD35" s="8">
        <v>0</v>
      </c>
      <c r="AE35" s="8">
        <f t="shared" si="3"/>
        <v>0</v>
      </c>
      <c r="AF35" s="8">
        <f t="shared" si="4"/>
        <v>0</v>
      </c>
      <c r="AG35" s="8">
        <v>0</v>
      </c>
      <c r="AH35" s="8">
        <v>0</v>
      </c>
      <c r="AI35" s="8" t="s">
        <v>119</v>
      </c>
      <c r="AJ35" s="8" t="s">
        <v>121</v>
      </c>
      <c r="AQ35" s="1">
        <v>300</v>
      </c>
    </row>
    <row r="36" spans="2:43" hidden="1" x14ac:dyDescent="0.25">
      <c r="B36" s="2" t="s">
        <v>87</v>
      </c>
      <c r="C36" s="2" t="s">
        <v>88</v>
      </c>
      <c r="D36" s="2" t="s">
        <v>34</v>
      </c>
      <c r="E36" s="2" t="s">
        <v>17</v>
      </c>
      <c r="F36" s="2">
        <v>2.8000000000000001E-2</v>
      </c>
      <c r="G36" s="3">
        <v>0.105</v>
      </c>
      <c r="H36" s="2">
        <v>0</v>
      </c>
      <c r="I36" s="2">
        <v>50</v>
      </c>
      <c r="J36" s="2"/>
      <c r="K36" s="2"/>
      <c r="L36" s="2"/>
      <c r="M36" s="2"/>
      <c r="N36" s="8">
        <f t="shared" si="0"/>
        <v>0</v>
      </c>
      <c r="O36" s="2"/>
      <c r="P36" s="2"/>
      <c r="Q36" s="2"/>
      <c r="R36" s="19">
        <v>34</v>
      </c>
      <c r="S36" s="2"/>
      <c r="T36" s="2"/>
      <c r="U36" s="19"/>
      <c r="V36" s="2"/>
      <c r="W36" s="2"/>
      <c r="X36" s="2"/>
      <c r="Y36" s="2">
        <v>16</v>
      </c>
      <c r="Z36" s="7">
        <f t="shared" si="1"/>
        <v>5.25</v>
      </c>
      <c r="AA36" s="7">
        <v>100</v>
      </c>
      <c r="AB36" s="7">
        <v>0</v>
      </c>
      <c r="AC36" s="8">
        <f t="shared" si="2"/>
        <v>0</v>
      </c>
      <c r="AD36" s="8">
        <v>0</v>
      </c>
      <c r="AE36" s="8">
        <f t="shared" si="3"/>
        <v>0</v>
      </c>
      <c r="AF36" s="8">
        <f t="shared" si="4"/>
        <v>0</v>
      </c>
      <c r="AG36" s="8">
        <v>0</v>
      </c>
      <c r="AH36" s="8">
        <v>0</v>
      </c>
      <c r="AI36" s="8" t="s">
        <v>119</v>
      </c>
      <c r="AJ36" s="8" t="s">
        <v>121</v>
      </c>
      <c r="AQ36" s="1">
        <v>0</v>
      </c>
    </row>
    <row r="37" spans="2:43" hidden="1" x14ac:dyDescent="0.25">
      <c r="B37" s="2" t="s">
        <v>87</v>
      </c>
      <c r="C37" s="2" t="s">
        <v>88</v>
      </c>
      <c r="D37" s="2" t="s">
        <v>35</v>
      </c>
      <c r="E37" s="2" t="s">
        <v>17</v>
      </c>
      <c r="F37" s="2">
        <v>2.8000000000000001E-2</v>
      </c>
      <c r="G37" s="3">
        <v>9.9000000000000005E-2</v>
      </c>
      <c r="H37" s="2">
        <v>0</v>
      </c>
      <c r="I37" s="2">
        <v>0</v>
      </c>
      <c r="J37" s="2"/>
      <c r="K37" s="2"/>
      <c r="L37" s="2"/>
      <c r="M37" s="2"/>
      <c r="N37" s="8">
        <f t="shared" si="0"/>
        <v>0</v>
      </c>
      <c r="O37" s="2"/>
      <c r="P37" s="2"/>
      <c r="Q37" s="2"/>
      <c r="R37" s="19"/>
      <c r="S37" s="2"/>
      <c r="T37" s="2"/>
      <c r="U37" s="19"/>
      <c r="V37" s="2"/>
      <c r="W37" s="2"/>
      <c r="X37" s="2"/>
      <c r="Y37" s="2"/>
      <c r="Z37" s="7">
        <f t="shared" si="1"/>
        <v>0</v>
      </c>
      <c r="AA37" s="7">
        <v>100</v>
      </c>
      <c r="AB37" s="7">
        <v>0</v>
      </c>
      <c r="AC37" s="8">
        <f t="shared" si="2"/>
        <v>0</v>
      </c>
      <c r="AD37" s="8">
        <v>0</v>
      </c>
      <c r="AE37" s="8">
        <f t="shared" si="3"/>
        <v>0</v>
      </c>
      <c r="AF37" s="8">
        <f t="shared" si="4"/>
        <v>0</v>
      </c>
      <c r="AG37" s="8">
        <v>0</v>
      </c>
      <c r="AH37" s="8">
        <v>0</v>
      </c>
      <c r="AI37" s="8" t="s">
        <v>119</v>
      </c>
      <c r="AJ37" s="8" t="s">
        <v>121</v>
      </c>
      <c r="AQ37" s="1">
        <v>300</v>
      </c>
    </row>
    <row r="38" spans="2:43" hidden="1" x14ac:dyDescent="0.25">
      <c r="B38" s="2" t="s">
        <v>87</v>
      </c>
      <c r="C38" s="2" t="s">
        <v>88</v>
      </c>
      <c r="D38" s="2" t="s">
        <v>36</v>
      </c>
      <c r="E38" s="2" t="s">
        <v>17</v>
      </c>
      <c r="F38" s="2">
        <v>2.8000000000000001E-2</v>
      </c>
      <c r="G38" s="3">
        <v>0.13100000000000001</v>
      </c>
      <c r="H38" s="2">
        <v>0</v>
      </c>
      <c r="I38" s="2">
        <v>0</v>
      </c>
      <c r="J38" s="2"/>
      <c r="K38" s="2"/>
      <c r="L38" s="2"/>
      <c r="M38" s="2"/>
      <c r="N38" s="8">
        <f t="shared" ref="N38:N69" si="5">+H38+I38+J38+K38+L38+M38-SUM(O38:Y38)</f>
        <v>0</v>
      </c>
      <c r="O38" s="2"/>
      <c r="P38" s="2"/>
      <c r="Q38" s="2"/>
      <c r="R38" s="19"/>
      <c r="S38" s="2"/>
      <c r="T38" s="2"/>
      <c r="U38" s="19"/>
      <c r="V38" s="2"/>
      <c r="W38" s="2"/>
      <c r="X38" s="2"/>
      <c r="Y38" s="2"/>
      <c r="Z38" s="7">
        <f t="shared" si="1"/>
        <v>0</v>
      </c>
      <c r="AA38" s="7">
        <v>100</v>
      </c>
      <c r="AB38" s="7">
        <v>0</v>
      </c>
      <c r="AC38" s="8">
        <f t="shared" si="2"/>
        <v>0</v>
      </c>
      <c r="AD38" s="8">
        <v>0</v>
      </c>
      <c r="AE38" s="8">
        <f t="shared" si="3"/>
        <v>0</v>
      </c>
      <c r="AF38" s="8">
        <f t="shared" si="4"/>
        <v>0</v>
      </c>
      <c r="AG38" s="8">
        <v>0</v>
      </c>
      <c r="AH38" s="8">
        <v>0</v>
      </c>
      <c r="AI38" s="8" t="s">
        <v>119</v>
      </c>
      <c r="AJ38" s="8" t="s">
        <v>121</v>
      </c>
      <c r="AQ38" s="1">
        <v>0</v>
      </c>
    </row>
    <row r="39" spans="2:43" hidden="1" x14ac:dyDescent="0.25">
      <c r="B39" s="2" t="s">
        <v>87</v>
      </c>
      <c r="C39" s="2" t="s">
        <v>88</v>
      </c>
      <c r="D39" s="2" t="s">
        <v>37</v>
      </c>
      <c r="E39" s="2" t="s">
        <v>17</v>
      </c>
      <c r="F39" s="2">
        <v>2.8000000000000001E-2</v>
      </c>
      <c r="G39" s="3">
        <v>9.4E-2</v>
      </c>
      <c r="H39" s="2">
        <v>0</v>
      </c>
      <c r="I39" s="2">
        <v>0</v>
      </c>
      <c r="J39" s="2"/>
      <c r="K39" s="2"/>
      <c r="L39" s="2"/>
      <c r="M39" s="2"/>
      <c r="N39" s="8">
        <f t="shared" si="5"/>
        <v>0</v>
      </c>
      <c r="O39" s="2"/>
      <c r="P39" s="2"/>
      <c r="Q39" s="2"/>
      <c r="R39" s="19"/>
      <c r="S39" s="2"/>
      <c r="T39" s="2"/>
      <c r="U39" s="19"/>
      <c r="V39" s="2"/>
      <c r="W39" s="2"/>
      <c r="X39" s="2"/>
      <c r="Y39" s="2"/>
      <c r="Z39" s="7">
        <f t="shared" si="1"/>
        <v>0</v>
      </c>
      <c r="AA39" s="7">
        <v>100</v>
      </c>
      <c r="AB39" s="7">
        <v>0</v>
      </c>
      <c r="AC39" s="8">
        <f t="shared" si="2"/>
        <v>0</v>
      </c>
      <c r="AD39" s="8">
        <v>0</v>
      </c>
      <c r="AE39" s="8">
        <f t="shared" si="3"/>
        <v>0</v>
      </c>
      <c r="AF39" s="8">
        <f t="shared" si="4"/>
        <v>0</v>
      </c>
      <c r="AG39" s="8">
        <v>0</v>
      </c>
      <c r="AH39" s="8">
        <v>0</v>
      </c>
      <c r="AI39" s="8" t="s">
        <v>119</v>
      </c>
      <c r="AJ39" s="8" t="s">
        <v>121</v>
      </c>
      <c r="AQ39" s="1">
        <v>0</v>
      </c>
    </row>
    <row r="40" spans="2:43" hidden="1" x14ac:dyDescent="0.25">
      <c r="B40" s="2" t="s">
        <v>87</v>
      </c>
      <c r="C40" s="2" t="s">
        <v>88</v>
      </c>
      <c r="D40" s="2" t="s">
        <v>38</v>
      </c>
      <c r="E40" s="2" t="s">
        <v>17</v>
      </c>
      <c r="F40" s="2">
        <v>2.8000000000000001E-2</v>
      </c>
      <c r="G40" s="3">
        <v>0.122</v>
      </c>
      <c r="H40" s="2">
        <v>0</v>
      </c>
      <c r="I40" s="2">
        <v>0</v>
      </c>
      <c r="J40" s="2"/>
      <c r="K40" s="2"/>
      <c r="L40" s="2"/>
      <c r="M40" s="2"/>
      <c r="N40" s="8">
        <f t="shared" si="5"/>
        <v>0</v>
      </c>
      <c r="O40" s="2"/>
      <c r="P40" s="2"/>
      <c r="Q40" s="2"/>
      <c r="R40" s="19"/>
      <c r="S40" s="2"/>
      <c r="T40" s="2"/>
      <c r="U40" s="19"/>
      <c r="V40" s="2"/>
      <c r="W40" s="2"/>
      <c r="X40" s="2"/>
      <c r="Y40" s="2"/>
      <c r="Z40" s="7">
        <f t="shared" si="1"/>
        <v>0</v>
      </c>
      <c r="AA40" s="7">
        <v>100</v>
      </c>
      <c r="AB40" s="7">
        <v>0</v>
      </c>
      <c r="AC40" s="8">
        <f t="shared" si="2"/>
        <v>0</v>
      </c>
      <c r="AD40" s="8">
        <v>0</v>
      </c>
      <c r="AE40" s="8">
        <f t="shared" si="3"/>
        <v>0</v>
      </c>
      <c r="AF40" s="8">
        <f t="shared" si="4"/>
        <v>0</v>
      </c>
      <c r="AG40" s="8">
        <v>0</v>
      </c>
      <c r="AH40" s="8">
        <v>0</v>
      </c>
      <c r="AI40" s="8" t="s">
        <v>119</v>
      </c>
      <c r="AJ40" s="8" t="s">
        <v>121</v>
      </c>
      <c r="AQ40" s="1">
        <v>0</v>
      </c>
    </row>
    <row r="41" spans="2:43" hidden="1" x14ac:dyDescent="0.25">
      <c r="B41" s="2" t="s">
        <v>87</v>
      </c>
      <c r="C41" s="2" t="s">
        <v>88</v>
      </c>
      <c r="D41" s="2" t="s">
        <v>39</v>
      </c>
      <c r="E41" s="2" t="s">
        <v>17</v>
      </c>
      <c r="F41" s="2">
        <v>2.8000000000000001E-2</v>
      </c>
      <c r="G41" s="3">
        <v>0.10100000000000001</v>
      </c>
      <c r="H41" s="2">
        <v>0</v>
      </c>
      <c r="I41" s="2">
        <v>0</v>
      </c>
      <c r="J41" s="2"/>
      <c r="K41" s="2"/>
      <c r="L41" s="2"/>
      <c r="M41" s="2"/>
      <c r="N41" s="8">
        <f t="shared" si="5"/>
        <v>0</v>
      </c>
      <c r="O41" s="2"/>
      <c r="P41" s="2"/>
      <c r="Q41" s="2"/>
      <c r="R41" s="19"/>
      <c r="S41" s="2"/>
      <c r="T41" s="2"/>
      <c r="U41" s="19"/>
      <c r="V41" s="2"/>
      <c r="W41" s="2"/>
      <c r="X41" s="2"/>
      <c r="Y41" s="2"/>
      <c r="Z41" s="7">
        <f t="shared" si="1"/>
        <v>0</v>
      </c>
      <c r="AA41" s="7">
        <v>100</v>
      </c>
      <c r="AB41" s="7">
        <v>0</v>
      </c>
      <c r="AC41" s="8">
        <f t="shared" si="2"/>
        <v>0</v>
      </c>
      <c r="AD41" s="8">
        <v>0</v>
      </c>
      <c r="AE41" s="8">
        <f t="shared" si="3"/>
        <v>0</v>
      </c>
      <c r="AF41" s="8">
        <f t="shared" si="4"/>
        <v>0</v>
      </c>
      <c r="AG41" s="8">
        <v>0</v>
      </c>
      <c r="AH41" s="8">
        <v>0</v>
      </c>
      <c r="AI41" s="8" t="s">
        <v>119</v>
      </c>
      <c r="AJ41" s="8" t="s">
        <v>121</v>
      </c>
      <c r="AQ41" s="1">
        <v>0</v>
      </c>
    </row>
    <row r="42" spans="2:43" hidden="1" x14ac:dyDescent="0.25">
      <c r="B42" s="2" t="s">
        <v>87</v>
      </c>
      <c r="C42" s="2" t="s">
        <v>88</v>
      </c>
      <c r="D42" s="2" t="s">
        <v>40</v>
      </c>
      <c r="E42" s="2" t="s">
        <v>17</v>
      </c>
      <c r="F42" s="2">
        <v>2.8000000000000001E-2</v>
      </c>
      <c r="G42" s="3">
        <v>0.11899999999999999</v>
      </c>
      <c r="H42" s="2">
        <v>600</v>
      </c>
      <c r="I42" s="2">
        <v>0</v>
      </c>
      <c r="J42" s="2"/>
      <c r="K42" s="2"/>
      <c r="L42" s="2"/>
      <c r="M42" s="2"/>
      <c r="N42" s="8">
        <f t="shared" si="5"/>
        <v>0</v>
      </c>
      <c r="O42" s="2">
        <v>300</v>
      </c>
      <c r="P42" s="2">
        <v>300</v>
      </c>
      <c r="Q42" s="2"/>
      <c r="R42" s="19"/>
      <c r="S42" s="2"/>
      <c r="T42" s="2"/>
      <c r="U42" s="19"/>
      <c r="V42" s="2"/>
      <c r="W42" s="2"/>
      <c r="X42" s="2"/>
      <c r="Y42" s="2"/>
      <c r="Z42" s="7">
        <f t="shared" si="1"/>
        <v>71.399999999999991</v>
      </c>
      <c r="AA42" s="7">
        <v>100</v>
      </c>
      <c r="AB42" s="7">
        <v>0</v>
      </c>
      <c r="AC42" s="8">
        <f t="shared" si="2"/>
        <v>0</v>
      </c>
      <c r="AD42" s="8">
        <v>0</v>
      </c>
      <c r="AE42" s="8">
        <f t="shared" si="3"/>
        <v>0</v>
      </c>
      <c r="AF42" s="8">
        <f t="shared" si="4"/>
        <v>0</v>
      </c>
      <c r="AG42" s="8">
        <v>0</v>
      </c>
      <c r="AH42" s="8">
        <v>0</v>
      </c>
      <c r="AI42" s="8" t="s">
        <v>119</v>
      </c>
      <c r="AJ42" s="8" t="s">
        <v>121</v>
      </c>
      <c r="AQ42" s="1">
        <v>0</v>
      </c>
    </row>
    <row r="43" spans="2:43" hidden="1" x14ac:dyDescent="0.25">
      <c r="B43" s="2" t="s">
        <v>87</v>
      </c>
      <c r="C43" s="2" t="s">
        <v>88</v>
      </c>
      <c r="D43" s="2" t="s">
        <v>41</v>
      </c>
      <c r="E43" s="2" t="s">
        <v>17</v>
      </c>
      <c r="F43" s="2">
        <v>2.8000000000000001E-2</v>
      </c>
      <c r="G43" s="3">
        <v>0.121</v>
      </c>
      <c r="H43" s="2">
        <v>0</v>
      </c>
      <c r="I43" s="2">
        <v>0</v>
      </c>
      <c r="J43" s="2"/>
      <c r="K43" s="2"/>
      <c r="L43" s="2"/>
      <c r="M43" s="2"/>
      <c r="N43" s="8">
        <f t="shared" si="5"/>
        <v>0</v>
      </c>
      <c r="O43" s="2"/>
      <c r="P43" s="2"/>
      <c r="Q43" s="2"/>
      <c r="R43" s="19"/>
      <c r="S43" s="2"/>
      <c r="T43" s="2"/>
      <c r="U43" s="19"/>
      <c r="V43" s="2"/>
      <c r="W43" s="2"/>
      <c r="X43" s="2"/>
      <c r="Y43" s="2"/>
      <c r="Z43" s="7">
        <f t="shared" si="1"/>
        <v>0</v>
      </c>
      <c r="AA43" s="7">
        <v>100</v>
      </c>
      <c r="AB43" s="7">
        <v>0</v>
      </c>
      <c r="AC43" s="8">
        <f t="shared" si="2"/>
        <v>0</v>
      </c>
      <c r="AD43" s="8">
        <v>0</v>
      </c>
      <c r="AE43" s="8">
        <f t="shared" si="3"/>
        <v>0</v>
      </c>
      <c r="AF43" s="8">
        <f t="shared" si="4"/>
        <v>0</v>
      </c>
      <c r="AG43" s="8">
        <v>0</v>
      </c>
      <c r="AH43" s="8">
        <v>0</v>
      </c>
      <c r="AI43" s="8" t="s">
        <v>119</v>
      </c>
      <c r="AJ43" s="8" t="s">
        <v>121</v>
      </c>
      <c r="AQ43" s="1">
        <v>0</v>
      </c>
    </row>
    <row r="44" spans="2:43" hidden="1" x14ac:dyDescent="0.25">
      <c r="B44" s="2" t="s">
        <v>87</v>
      </c>
      <c r="C44" s="2" t="s">
        <v>88</v>
      </c>
      <c r="D44" s="2" t="s">
        <v>42</v>
      </c>
      <c r="E44" s="2" t="s">
        <v>17</v>
      </c>
      <c r="F44" s="2">
        <v>2.8000000000000001E-2</v>
      </c>
      <c r="G44" s="3">
        <v>0.127</v>
      </c>
      <c r="H44" s="2">
        <v>0</v>
      </c>
      <c r="I44" s="2">
        <v>0</v>
      </c>
      <c r="J44" s="2"/>
      <c r="K44" s="2"/>
      <c r="L44" s="2"/>
      <c r="M44" s="2"/>
      <c r="N44" s="8">
        <f t="shared" si="5"/>
        <v>0</v>
      </c>
      <c r="O44" s="2"/>
      <c r="P44" s="2"/>
      <c r="Q44" s="2"/>
      <c r="R44" s="19"/>
      <c r="S44" s="2"/>
      <c r="T44" s="2"/>
      <c r="U44" s="19"/>
      <c r="V44" s="2"/>
      <c r="W44" s="2"/>
      <c r="X44" s="2"/>
      <c r="Y44" s="2"/>
      <c r="Z44" s="7">
        <f t="shared" si="1"/>
        <v>0</v>
      </c>
      <c r="AA44" s="7">
        <v>100</v>
      </c>
      <c r="AB44" s="7">
        <v>0</v>
      </c>
      <c r="AC44" s="8">
        <f t="shared" si="2"/>
        <v>0</v>
      </c>
      <c r="AD44" s="8">
        <v>0</v>
      </c>
      <c r="AE44" s="8">
        <f t="shared" si="3"/>
        <v>0</v>
      </c>
      <c r="AF44" s="8">
        <f t="shared" si="4"/>
        <v>0</v>
      </c>
      <c r="AG44" s="8">
        <v>0</v>
      </c>
      <c r="AH44" s="8">
        <v>0</v>
      </c>
      <c r="AI44" s="8" t="s">
        <v>119</v>
      </c>
      <c r="AJ44" s="8" t="s">
        <v>121</v>
      </c>
      <c r="AQ44" s="1">
        <v>0</v>
      </c>
    </row>
    <row r="45" spans="2:43" hidden="1" x14ac:dyDescent="0.25">
      <c r="B45" s="2" t="s">
        <v>87</v>
      </c>
      <c r="C45" s="2" t="s">
        <v>88</v>
      </c>
      <c r="D45" s="2" t="s">
        <v>43</v>
      </c>
      <c r="E45" s="2" t="s">
        <v>17</v>
      </c>
      <c r="F45" s="2">
        <v>2.8000000000000001E-2</v>
      </c>
      <c r="G45" s="3">
        <v>0.10299999999999999</v>
      </c>
      <c r="H45" s="2">
        <v>600</v>
      </c>
      <c r="I45" s="2">
        <v>0</v>
      </c>
      <c r="J45" s="2"/>
      <c r="K45" s="2"/>
      <c r="L45" s="2"/>
      <c r="M45" s="2"/>
      <c r="N45" s="8">
        <f t="shared" si="5"/>
        <v>-52</v>
      </c>
      <c r="O45" s="2">
        <v>652</v>
      </c>
      <c r="P45" s="2"/>
      <c r="Q45" s="2"/>
      <c r="R45" s="19"/>
      <c r="S45" s="2"/>
      <c r="T45" s="2"/>
      <c r="U45" s="19"/>
      <c r="V45" s="2"/>
      <c r="W45" s="2"/>
      <c r="X45" s="2"/>
      <c r="Y45" s="2"/>
      <c r="Z45" s="7">
        <f t="shared" si="1"/>
        <v>61.8</v>
      </c>
      <c r="AA45" s="7">
        <v>100</v>
      </c>
      <c r="AB45" s="7">
        <v>0</v>
      </c>
      <c r="AC45" s="8">
        <f t="shared" si="2"/>
        <v>0</v>
      </c>
      <c r="AD45" s="8">
        <v>0</v>
      </c>
      <c r="AE45" s="8">
        <f t="shared" si="3"/>
        <v>0</v>
      </c>
      <c r="AF45" s="8">
        <f t="shared" si="4"/>
        <v>0</v>
      </c>
      <c r="AG45" s="8">
        <v>0</v>
      </c>
      <c r="AH45" s="8">
        <v>0</v>
      </c>
      <c r="AI45" s="8" t="s">
        <v>119</v>
      </c>
      <c r="AJ45" s="8" t="s">
        <v>121</v>
      </c>
      <c r="AQ45" s="1">
        <v>328</v>
      </c>
    </row>
    <row r="46" spans="2:43" hidden="1" x14ac:dyDescent="0.25">
      <c r="B46" s="2" t="s">
        <v>87</v>
      </c>
      <c r="C46" s="2" t="s">
        <v>88</v>
      </c>
      <c r="D46" s="2" t="s">
        <v>44</v>
      </c>
      <c r="E46" s="2" t="s">
        <v>17</v>
      </c>
      <c r="F46" s="2">
        <v>2.8000000000000001E-2</v>
      </c>
      <c r="G46" s="3">
        <v>0.23799999999999999</v>
      </c>
      <c r="H46" s="2">
        <v>0</v>
      </c>
      <c r="I46" s="2">
        <v>600</v>
      </c>
      <c r="J46" s="2"/>
      <c r="K46" s="2"/>
      <c r="L46" s="2"/>
      <c r="M46" s="2"/>
      <c r="N46" s="8">
        <f t="shared" si="5"/>
        <v>37</v>
      </c>
      <c r="O46" s="2"/>
      <c r="P46" s="2"/>
      <c r="Q46" s="2"/>
      <c r="R46" s="19"/>
      <c r="S46" s="2"/>
      <c r="T46" s="2"/>
      <c r="U46" s="19"/>
      <c r="V46" s="2"/>
      <c r="W46" s="2">
        <v>170</v>
      </c>
      <c r="X46" s="2">
        <v>393</v>
      </c>
      <c r="Y46" s="2"/>
      <c r="Z46" s="7">
        <f t="shared" si="1"/>
        <v>142.79999999999998</v>
      </c>
      <c r="AA46" s="7">
        <v>100</v>
      </c>
      <c r="AB46" s="7">
        <v>0</v>
      </c>
      <c r="AC46" s="8">
        <f t="shared" si="2"/>
        <v>0</v>
      </c>
      <c r="AD46" s="8">
        <v>0</v>
      </c>
      <c r="AE46" s="8">
        <f t="shared" si="3"/>
        <v>0</v>
      </c>
      <c r="AF46" s="8">
        <f t="shared" si="4"/>
        <v>0</v>
      </c>
      <c r="AG46" s="8">
        <v>0</v>
      </c>
      <c r="AH46" s="8">
        <v>0</v>
      </c>
      <c r="AI46" s="8" t="s">
        <v>119</v>
      </c>
      <c r="AJ46" s="8" t="s">
        <v>121</v>
      </c>
      <c r="AQ46" s="1">
        <v>400</v>
      </c>
    </row>
    <row r="47" spans="2:43" hidden="1" x14ac:dyDescent="0.25">
      <c r="B47" s="2" t="s">
        <v>87</v>
      </c>
      <c r="C47" s="2" t="s">
        <v>88</v>
      </c>
      <c r="D47" s="2" t="s">
        <v>45</v>
      </c>
      <c r="E47" s="2" t="s">
        <v>17</v>
      </c>
      <c r="F47" s="2">
        <v>2.8000000000000001E-2</v>
      </c>
      <c r="G47" s="3">
        <v>0.10100000000000001</v>
      </c>
      <c r="H47" s="2">
        <v>600</v>
      </c>
      <c r="I47" s="2">
        <v>0</v>
      </c>
      <c r="J47" s="2"/>
      <c r="K47" s="2"/>
      <c r="L47" s="2"/>
      <c r="M47" s="2"/>
      <c r="N47" s="8">
        <f t="shared" si="5"/>
        <v>0</v>
      </c>
      <c r="O47" s="2"/>
      <c r="P47" s="2"/>
      <c r="Q47" s="2">
        <v>600</v>
      </c>
      <c r="R47" s="19"/>
      <c r="S47" s="2"/>
      <c r="T47" s="2"/>
      <c r="U47" s="19"/>
      <c r="V47" s="2"/>
      <c r="W47" s="2"/>
      <c r="X47" s="2"/>
      <c r="Y47" s="2"/>
      <c r="Z47" s="7">
        <f t="shared" si="1"/>
        <v>60.6</v>
      </c>
      <c r="AA47" s="7">
        <v>100</v>
      </c>
      <c r="AB47" s="7">
        <v>0</v>
      </c>
      <c r="AC47" s="8">
        <f t="shared" si="2"/>
        <v>0</v>
      </c>
      <c r="AD47" s="8">
        <v>0</v>
      </c>
      <c r="AE47" s="8">
        <f t="shared" si="3"/>
        <v>0</v>
      </c>
      <c r="AF47" s="8">
        <f t="shared" si="4"/>
        <v>0</v>
      </c>
      <c r="AG47" s="8">
        <v>0</v>
      </c>
      <c r="AH47" s="8">
        <v>0</v>
      </c>
      <c r="AI47" s="8" t="s">
        <v>119</v>
      </c>
      <c r="AJ47" s="8" t="s">
        <v>121</v>
      </c>
      <c r="AQ47" s="1">
        <v>-1493</v>
      </c>
    </row>
    <row r="48" spans="2:43" hidden="1" x14ac:dyDescent="0.25">
      <c r="B48" s="2" t="s">
        <v>87</v>
      </c>
      <c r="C48" s="2" t="s">
        <v>88</v>
      </c>
      <c r="D48" s="2" t="s">
        <v>46</v>
      </c>
      <c r="E48" s="2" t="s">
        <v>17</v>
      </c>
      <c r="F48" s="2">
        <v>2.8000000000000001E-2</v>
      </c>
      <c r="G48" s="3">
        <v>3.9E-2</v>
      </c>
      <c r="H48" s="2">
        <v>1200</v>
      </c>
      <c r="I48" s="2">
        <v>0</v>
      </c>
      <c r="J48" s="2"/>
      <c r="K48" s="2"/>
      <c r="L48" s="2"/>
      <c r="M48" s="2"/>
      <c r="N48" s="8">
        <f t="shared" si="5"/>
        <v>-544</v>
      </c>
      <c r="O48" s="2">
        <v>872</v>
      </c>
      <c r="P48" s="2"/>
      <c r="Q48" s="2"/>
      <c r="R48" s="19">
        <v>372</v>
      </c>
      <c r="S48" s="2"/>
      <c r="T48" s="2"/>
      <c r="U48" s="19"/>
      <c r="V48" s="2"/>
      <c r="W48" s="2"/>
      <c r="X48" s="2"/>
      <c r="Y48" s="2">
        <v>500</v>
      </c>
      <c r="Z48" s="7">
        <f t="shared" si="1"/>
        <v>46.8</v>
      </c>
      <c r="AA48" s="7">
        <v>100</v>
      </c>
      <c r="AB48" s="7">
        <v>0</v>
      </c>
      <c r="AC48" s="8">
        <f t="shared" si="2"/>
        <v>0</v>
      </c>
      <c r="AD48" s="8">
        <v>0</v>
      </c>
      <c r="AE48" s="8">
        <f t="shared" si="3"/>
        <v>0</v>
      </c>
      <c r="AF48" s="8">
        <f t="shared" si="4"/>
        <v>0</v>
      </c>
      <c r="AG48" s="8">
        <v>0</v>
      </c>
      <c r="AH48" s="8">
        <v>0</v>
      </c>
      <c r="AI48" s="8" t="s">
        <v>119</v>
      </c>
      <c r="AJ48" s="8" t="s">
        <v>121</v>
      </c>
      <c r="AQ48" s="1">
        <v>-66</v>
      </c>
    </row>
    <row r="49" spans="2:43" hidden="1" x14ac:dyDescent="0.25">
      <c r="B49" s="2" t="s">
        <v>87</v>
      </c>
      <c r="C49" s="2" t="s">
        <v>88</v>
      </c>
      <c r="D49" s="2" t="s">
        <v>47</v>
      </c>
      <c r="E49" s="2" t="s">
        <v>48</v>
      </c>
      <c r="F49" s="2">
        <v>3.5000000000000003E-2</v>
      </c>
      <c r="G49" s="3">
        <v>0.14799999999999999</v>
      </c>
      <c r="H49" s="2">
        <v>0</v>
      </c>
      <c r="I49" s="2">
        <v>0</v>
      </c>
      <c r="J49" s="2"/>
      <c r="K49" s="2"/>
      <c r="L49" s="2"/>
      <c r="M49" s="2"/>
      <c r="N49" s="8">
        <f t="shared" si="5"/>
        <v>0</v>
      </c>
      <c r="O49" s="2"/>
      <c r="P49" s="2"/>
      <c r="Q49" s="2"/>
      <c r="R49" s="19"/>
      <c r="S49" s="2"/>
      <c r="T49" s="2"/>
      <c r="U49" s="19"/>
      <c r="V49" s="2"/>
      <c r="W49" s="2"/>
      <c r="X49" s="2"/>
      <c r="Y49" s="2"/>
      <c r="Z49" s="7">
        <f t="shared" si="1"/>
        <v>0</v>
      </c>
      <c r="AA49" s="7">
        <v>500</v>
      </c>
      <c r="AB49" s="7">
        <v>0</v>
      </c>
      <c r="AC49" s="8">
        <f t="shared" si="2"/>
        <v>0</v>
      </c>
      <c r="AD49" s="8">
        <v>0</v>
      </c>
      <c r="AE49" s="8">
        <f t="shared" si="3"/>
        <v>0</v>
      </c>
      <c r="AF49" s="8">
        <f t="shared" si="4"/>
        <v>0</v>
      </c>
      <c r="AG49" s="8">
        <v>0</v>
      </c>
      <c r="AH49" s="8">
        <v>0</v>
      </c>
      <c r="AI49" s="8" t="s">
        <v>119</v>
      </c>
      <c r="AJ49" s="8" t="s">
        <v>121</v>
      </c>
      <c r="AQ49" s="1">
        <v>0</v>
      </c>
    </row>
    <row r="50" spans="2:43" hidden="1" x14ac:dyDescent="0.25">
      <c r="B50" s="2" t="s">
        <v>87</v>
      </c>
      <c r="C50" s="2" t="s">
        <v>88</v>
      </c>
      <c r="D50" s="2" t="s">
        <v>49</v>
      </c>
      <c r="E50" s="2" t="s">
        <v>48</v>
      </c>
      <c r="F50" s="2">
        <v>3.5000000000000003E-2</v>
      </c>
      <c r="G50" s="3">
        <v>0.14399999999999999</v>
      </c>
      <c r="H50" s="2">
        <v>700</v>
      </c>
      <c r="I50" s="2">
        <v>79</v>
      </c>
      <c r="J50" s="2"/>
      <c r="K50" s="2"/>
      <c r="L50" s="2"/>
      <c r="M50" s="2"/>
      <c r="N50" s="8">
        <f t="shared" si="5"/>
        <v>238</v>
      </c>
      <c r="O50" s="2"/>
      <c r="P50" s="2"/>
      <c r="Q50" s="2"/>
      <c r="R50" s="19">
        <v>541</v>
      </c>
      <c r="S50" s="2"/>
      <c r="T50" s="2"/>
      <c r="U50" s="19"/>
      <c r="V50" s="2"/>
      <c r="W50" s="2"/>
      <c r="X50" s="2"/>
      <c r="Y50" s="2"/>
      <c r="Z50" s="7">
        <f t="shared" si="1"/>
        <v>112.17599999999999</v>
      </c>
      <c r="AA50" s="7">
        <v>500</v>
      </c>
      <c r="AB50" s="7">
        <v>0</v>
      </c>
      <c r="AC50" s="8">
        <f t="shared" si="2"/>
        <v>0</v>
      </c>
      <c r="AD50" s="8">
        <v>0</v>
      </c>
      <c r="AE50" s="8">
        <f t="shared" si="3"/>
        <v>0</v>
      </c>
      <c r="AF50" s="8">
        <f t="shared" si="4"/>
        <v>0</v>
      </c>
      <c r="AG50" s="8">
        <v>0</v>
      </c>
      <c r="AH50" s="8">
        <v>0</v>
      </c>
      <c r="AI50" s="8" t="s">
        <v>119</v>
      </c>
      <c r="AJ50" s="8" t="s">
        <v>121</v>
      </c>
      <c r="AQ50" s="1">
        <v>0</v>
      </c>
    </row>
    <row r="51" spans="2:43" hidden="1" x14ac:dyDescent="0.25">
      <c r="B51" s="2" t="s">
        <v>87</v>
      </c>
      <c r="C51" s="2" t="s">
        <v>88</v>
      </c>
      <c r="D51" s="2" t="s">
        <v>50</v>
      </c>
      <c r="E51" s="2" t="s">
        <v>48</v>
      </c>
      <c r="F51" s="2">
        <v>3.5000000000000003E-2</v>
      </c>
      <c r="G51" s="3">
        <v>5.2999999999999999E-2</v>
      </c>
      <c r="H51" s="2">
        <v>0</v>
      </c>
      <c r="I51" s="2">
        <v>0</v>
      </c>
      <c r="J51" s="2"/>
      <c r="K51" s="2"/>
      <c r="L51" s="2"/>
      <c r="M51" s="2"/>
      <c r="N51" s="8">
        <f t="shared" si="5"/>
        <v>0</v>
      </c>
      <c r="O51" s="2"/>
      <c r="P51" s="2"/>
      <c r="Q51" s="2"/>
      <c r="R51" s="19"/>
      <c r="S51" s="2"/>
      <c r="T51" s="2"/>
      <c r="U51" s="19"/>
      <c r="V51" s="2"/>
      <c r="W51" s="2"/>
      <c r="X51" s="2"/>
      <c r="Y51" s="2"/>
      <c r="Z51" s="7">
        <f t="shared" si="1"/>
        <v>0</v>
      </c>
      <c r="AA51" s="7">
        <v>1000</v>
      </c>
      <c r="AB51" s="7">
        <v>0</v>
      </c>
      <c r="AC51" s="8">
        <f t="shared" si="2"/>
        <v>0</v>
      </c>
      <c r="AD51" s="8">
        <v>0</v>
      </c>
      <c r="AE51" s="8">
        <f t="shared" si="3"/>
        <v>0</v>
      </c>
      <c r="AF51" s="8">
        <f t="shared" si="4"/>
        <v>0</v>
      </c>
      <c r="AG51" s="8">
        <v>0</v>
      </c>
      <c r="AH51" s="8">
        <v>0</v>
      </c>
      <c r="AI51" s="8" t="s">
        <v>119</v>
      </c>
      <c r="AJ51" s="8" t="s">
        <v>121</v>
      </c>
      <c r="AQ51" s="1">
        <v>1200</v>
      </c>
    </row>
    <row r="52" spans="2:43" hidden="1" x14ac:dyDescent="0.25">
      <c r="B52" s="2" t="s">
        <v>87</v>
      </c>
      <c r="C52" s="2" t="s">
        <v>88</v>
      </c>
      <c r="D52" s="2" t="s">
        <v>51</v>
      </c>
      <c r="E52" s="2" t="s">
        <v>48</v>
      </c>
      <c r="F52" s="2">
        <v>3.5000000000000003E-2</v>
      </c>
      <c r="G52" s="3">
        <v>0.13800000000000001</v>
      </c>
      <c r="H52" s="2">
        <v>0</v>
      </c>
      <c r="I52" s="2">
        <v>0</v>
      </c>
      <c r="J52" s="2"/>
      <c r="K52" s="2"/>
      <c r="L52" s="2"/>
      <c r="M52" s="2"/>
      <c r="N52" s="8">
        <f t="shared" si="5"/>
        <v>0</v>
      </c>
      <c r="O52" s="2"/>
      <c r="P52" s="2"/>
      <c r="Q52" s="2"/>
      <c r="R52" s="19"/>
      <c r="S52" s="2"/>
      <c r="T52" s="2"/>
      <c r="U52" s="19"/>
      <c r="V52" s="2"/>
      <c r="W52" s="2"/>
      <c r="X52" s="2"/>
      <c r="Y52" s="2"/>
      <c r="Z52" s="7">
        <f t="shared" si="1"/>
        <v>0</v>
      </c>
      <c r="AA52" s="7">
        <v>500</v>
      </c>
      <c r="AB52" s="7">
        <v>0</v>
      </c>
      <c r="AC52" s="8">
        <f t="shared" si="2"/>
        <v>0</v>
      </c>
      <c r="AD52" s="8">
        <v>0</v>
      </c>
      <c r="AE52" s="8">
        <f t="shared" si="3"/>
        <v>0</v>
      </c>
      <c r="AF52" s="8">
        <f t="shared" si="4"/>
        <v>0</v>
      </c>
      <c r="AG52" s="8">
        <v>0</v>
      </c>
      <c r="AH52" s="8">
        <v>0</v>
      </c>
      <c r="AI52" s="8" t="s">
        <v>119</v>
      </c>
      <c r="AJ52" s="8" t="s">
        <v>121</v>
      </c>
      <c r="AQ52" s="1">
        <v>0</v>
      </c>
    </row>
    <row r="53" spans="2:43" hidden="1" x14ac:dyDescent="0.25">
      <c r="B53" s="2" t="s">
        <v>87</v>
      </c>
      <c r="C53" s="2" t="s">
        <v>88</v>
      </c>
      <c r="D53" s="2" t="s">
        <v>52</v>
      </c>
      <c r="E53" s="2" t="s">
        <v>48</v>
      </c>
      <c r="F53" s="2">
        <v>3.5000000000000003E-2</v>
      </c>
      <c r="G53" s="3">
        <v>0.11</v>
      </c>
      <c r="H53" s="2">
        <v>0</v>
      </c>
      <c r="I53" s="2">
        <v>0</v>
      </c>
      <c r="J53" s="2"/>
      <c r="K53" s="2"/>
      <c r="L53" s="2"/>
      <c r="M53" s="2"/>
      <c r="N53" s="8">
        <f t="shared" si="5"/>
        <v>0</v>
      </c>
      <c r="O53" s="2"/>
      <c r="P53" s="2"/>
      <c r="Q53" s="2"/>
      <c r="R53" s="19"/>
      <c r="S53" s="2"/>
      <c r="T53" s="2"/>
      <c r="U53" s="19"/>
      <c r="V53" s="2"/>
      <c r="W53" s="2"/>
      <c r="X53" s="2"/>
      <c r="Y53" s="2"/>
      <c r="Z53" s="7">
        <f t="shared" si="1"/>
        <v>0</v>
      </c>
      <c r="AA53" s="7">
        <v>500</v>
      </c>
      <c r="AB53" s="7">
        <v>0</v>
      </c>
      <c r="AC53" s="8">
        <f t="shared" si="2"/>
        <v>0</v>
      </c>
      <c r="AD53" s="8">
        <v>0</v>
      </c>
      <c r="AE53" s="8">
        <f t="shared" si="3"/>
        <v>0</v>
      </c>
      <c r="AF53" s="8">
        <f t="shared" si="4"/>
        <v>0</v>
      </c>
      <c r="AG53" s="8">
        <v>0</v>
      </c>
      <c r="AH53" s="8">
        <v>0</v>
      </c>
      <c r="AI53" s="8" t="s">
        <v>119</v>
      </c>
      <c r="AJ53" s="8" t="s">
        <v>121</v>
      </c>
      <c r="AQ53" s="1">
        <v>1000</v>
      </c>
    </row>
    <row r="54" spans="2:43" hidden="1" x14ac:dyDescent="0.25">
      <c r="B54" s="2" t="s">
        <v>87</v>
      </c>
      <c r="C54" s="2" t="s">
        <v>88</v>
      </c>
      <c r="D54" s="2" t="s">
        <v>53</v>
      </c>
      <c r="E54" s="2" t="s">
        <v>54</v>
      </c>
      <c r="F54" s="2">
        <v>4.1000000000000002E-2</v>
      </c>
      <c r="G54" s="3">
        <v>7.3999999999999996E-2</v>
      </c>
      <c r="H54" s="2">
        <v>1700</v>
      </c>
      <c r="I54" s="2">
        <v>0</v>
      </c>
      <c r="J54" s="2"/>
      <c r="K54" s="2"/>
      <c r="L54" s="2"/>
      <c r="M54" s="2"/>
      <c r="N54" s="8">
        <f t="shared" si="5"/>
        <v>-113</v>
      </c>
      <c r="O54" s="2"/>
      <c r="P54" s="2"/>
      <c r="Q54" s="2">
        <v>740</v>
      </c>
      <c r="R54" s="19"/>
      <c r="S54" s="2">
        <v>873</v>
      </c>
      <c r="T54" s="2">
        <v>200</v>
      </c>
      <c r="U54" s="19"/>
      <c r="V54" s="2"/>
      <c r="W54" s="2"/>
      <c r="X54" s="2"/>
      <c r="Y54" s="2"/>
      <c r="Z54" s="7">
        <f t="shared" si="1"/>
        <v>125.8</v>
      </c>
      <c r="AA54" s="7">
        <v>1000</v>
      </c>
      <c r="AB54" s="7">
        <v>0</v>
      </c>
      <c r="AC54" s="8">
        <f t="shared" si="2"/>
        <v>0</v>
      </c>
      <c r="AD54" s="8">
        <v>0</v>
      </c>
      <c r="AE54" s="8">
        <f t="shared" si="3"/>
        <v>0</v>
      </c>
      <c r="AF54" s="8">
        <f t="shared" si="4"/>
        <v>0</v>
      </c>
      <c r="AG54" s="8">
        <v>0</v>
      </c>
      <c r="AH54" s="8">
        <v>0</v>
      </c>
      <c r="AI54" s="8" t="s">
        <v>119</v>
      </c>
      <c r="AJ54" s="8" t="s">
        <v>121</v>
      </c>
      <c r="AQ54" s="1">
        <v>2800</v>
      </c>
    </row>
    <row r="55" spans="2:43" hidden="1" x14ac:dyDescent="0.25">
      <c r="B55" s="2" t="s">
        <v>87</v>
      </c>
      <c r="C55" s="2" t="s">
        <v>88</v>
      </c>
      <c r="D55" s="2" t="s">
        <v>55</v>
      </c>
      <c r="E55" s="2" t="s">
        <v>54</v>
      </c>
      <c r="F55" s="2">
        <v>4.4999999999999998E-2</v>
      </c>
      <c r="G55" s="3">
        <v>0.46</v>
      </c>
      <c r="H55" s="2">
        <v>700</v>
      </c>
      <c r="I55" s="2">
        <v>0</v>
      </c>
      <c r="J55" s="2"/>
      <c r="K55" s="2"/>
      <c r="L55" s="2"/>
      <c r="M55" s="2"/>
      <c r="N55" s="8">
        <f t="shared" si="5"/>
        <v>0</v>
      </c>
      <c r="O55" s="2"/>
      <c r="P55" s="2">
        <v>200</v>
      </c>
      <c r="Q55" s="2">
        <v>500</v>
      </c>
      <c r="R55" s="19"/>
      <c r="S55" s="2"/>
      <c r="T55" s="2"/>
      <c r="U55" s="19"/>
      <c r="V55" s="2"/>
      <c r="W55" s="2"/>
      <c r="X55" s="2"/>
      <c r="Y55" s="2"/>
      <c r="Z55" s="7">
        <f t="shared" si="1"/>
        <v>322</v>
      </c>
      <c r="AA55" s="7">
        <v>200</v>
      </c>
      <c r="AB55" s="7">
        <v>0</v>
      </c>
      <c r="AC55" s="8">
        <f t="shared" si="2"/>
        <v>0</v>
      </c>
      <c r="AD55" s="8">
        <v>0</v>
      </c>
      <c r="AE55" s="8">
        <f t="shared" si="3"/>
        <v>0</v>
      </c>
      <c r="AF55" s="8">
        <f t="shared" si="4"/>
        <v>0</v>
      </c>
      <c r="AG55" s="8">
        <v>0</v>
      </c>
      <c r="AH55" s="8">
        <v>0</v>
      </c>
      <c r="AI55" s="8" t="s">
        <v>119</v>
      </c>
      <c r="AJ55" s="8" t="s">
        <v>121</v>
      </c>
      <c r="AQ55" s="1">
        <v>1000</v>
      </c>
    </row>
    <row r="56" spans="2:43" hidden="1" x14ac:dyDescent="0.25">
      <c r="B56" s="2" t="s">
        <v>87</v>
      </c>
      <c r="C56" s="2" t="s">
        <v>88</v>
      </c>
      <c r="D56" s="2" t="s">
        <v>56</v>
      </c>
      <c r="E56" s="2" t="s">
        <v>54</v>
      </c>
      <c r="F56" s="2">
        <v>4.4999999999999998E-2</v>
      </c>
      <c r="G56" s="3">
        <v>0.23300000000000001</v>
      </c>
      <c r="H56" s="2">
        <v>0</v>
      </c>
      <c r="I56" s="2">
        <v>0</v>
      </c>
      <c r="J56" s="2"/>
      <c r="K56" s="2"/>
      <c r="L56" s="2"/>
      <c r="M56" s="2"/>
      <c r="N56" s="8">
        <f t="shared" si="5"/>
        <v>0</v>
      </c>
      <c r="O56" s="2"/>
      <c r="P56" s="2"/>
      <c r="Q56" s="2"/>
      <c r="R56" s="19"/>
      <c r="S56" s="2"/>
      <c r="T56" s="2"/>
      <c r="U56" s="19"/>
      <c r="V56" s="2"/>
      <c r="W56" s="2"/>
      <c r="X56" s="2"/>
      <c r="Y56" s="2"/>
      <c r="Z56" s="7">
        <f t="shared" si="1"/>
        <v>0</v>
      </c>
      <c r="AA56" s="7">
        <v>500</v>
      </c>
      <c r="AB56" s="7">
        <v>0</v>
      </c>
      <c r="AC56" s="8">
        <f t="shared" si="2"/>
        <v>0</v>
      </c>
      <c r="AD56" s="8">
        <v>0</v>
      </c>
      <c r="AE56" s="8">
        <f t="shared" si="3"/>
        <v>0</v>
      </c>
      <c r="AF56" s="8">
        <f t="shared" si="4"/>
        <v>0</v>
      </c>
      <c r="AG56" s="8">
        <v>0</v>
      </c>
      <c r="AH56" s="8">
        <v>0</v>
      </c>
      <c r="AI56" s="8" t="s">
        <v>119</v>
      </c>
      <c r="AJ56" s="8" t="s">
        <v>121</v>
      </c>
      <c r="AQ56" s="1">
        <v>416</v>
      </c>
    </row>
    <row r="57" spans="2:43" hidden="1" x14ac:dyDescent="0.25">
      <c r="B57" s="2" t="s">
        <v>87</v>
      </c>
      <c r="C57" s="2" t="s">
        <v>88</v>
      </c>
      <c r="D57" s="2" t="s">
        <v>57</v>
      </c>
      <c r="E57" s="2" t="s">
        <v>54</v>
      </c>
      <c r="F57" s="2">
        <v>4.1000000000000002E-2</v>
      </c>
      <c r="G57" s="3">
        <v>0.19700000000000001</v>
      </c>
      <c r="H57" s="2">
        <v>2400</v>
      </c>
      <c r="I57" s="2">
        <v>0</v>
      </c>
      <c r="J57" s="2"/>
      <c r="K57" s="2"/>
      <c r="L57" s="2"/>
      <c r="M57" s="2"/>
      <c r="N57" s="8">
        <f t="shared" si="5"/>
        <v>1312</v>
      </c>
      <c r="O57" s="2"/>
      <c r="P57" s="2"/>
      <c r="Q57" s="2"/>
      <c r="R57" s="19"/>
      <c r="S57" s="2"/>
      <c r="T57" s="2"/>
      <c r="U57" s="19"/>
      <c r="V57" s="2">
        <v>188</v>
      </c>
      <c r="W57" s="2">
        <v>500</v>
      </c>
      <c r="X57" s="2">
        <v>400</v>
      </c>
      <c r="Y57" s="2"/>
      <c r="Z57" s="7">
        <f t="shared" si="1"/>
        <v>472.8</v>
      </c>
      <c r="AA57" s="7">
        <v>500</v>
      </c>
      <c r="AB57" s="7">
        <v>0</v>
      </c>
      <c r="AC57" s="8">
        <f t="shared" si="2"/>
        <v>0</v>
      </c>
      <c r="AD57" s="8">
        <v>0</v>
      </c>
      <c r="AE57" s="8">
        <f t="shared" si="3"/>
        <v>0</v>
      </c>
      <c r="AF57" s="8">
        <f t="shared" si="4"/>
        <v>0</v>
      </c>
      <c r="AG57" s="8">
        <v>0</v>
      </c>
      <c r="AH57" s="8">
        <v>0</v>
      </c>
      <c r="AI57" s="8" t="s">
        <v>119</v>
      </c>
      <c r="AJ57" s="8" t="s">
        <v>121</v>
      </c>
      <c r="AQ57" s="1">
        <v>2200</v>
      </c>
    </row>
    <row r="58" spans="2:43" hidden="1" x14ac:dyDescent="0.25">
      <c r="B58" s="2" t="s">
        <v>87</v>
      </c>
      <c r="C58" s="2" t="s">
        <v>88</v>
      </c>
      <c r="D58" s="2" t="s">
        <v>58</v>
      </c>
      <c r="E58" s="2" t="s">
        <v>54</v>
      </c>
      <c r="F58" s="2">
        <v>4.4999999999999998E-2</v>
      </c>
      <c r="G58" s="3">
        <v>0.17299999999999999</v>
      </c>
      <c r="H58" s="2">
        <v>600</v>
      </c>
      <c r="I58" s="2">
        <v>0</v>
      </c>
      <c r="J58" s="2">
        <v>400</v>
      </c>
      <c r="K58" s="2"/>
      <c r="L58" s="2"/>
      <c r="M58" s="2"/>
      <c r="N58" s="8">
        <f t="shared" si="5"/>
        <v>-100</v>
      </c>
      <c r="O58" s="2"/>
      <c r="P58" s="2"/>
      <c r="Q58" s="2"/>
      <c r="R58" s="19"/>
      <c r="S58" s="2">
        <v>600</v>
      </c>
      <c r="T58" s="2"/>
      <c r="U58" s="19">
        <v>500</v>
      </c>
      <c r="V58" s="2"/>
      <c r="W58" s="2"/>
      <c r="X58" s="2"/>
      <c r="Y58" s="2"/>
      <c r="Z58" s="7">
        <f t="shared" si="1"/>
        <v>173</v>
      </c>
      <c r="AA58" s="7">
        <v>500</v>
      </c>
      <c r="AB58" s="7">
        <v>0</v>
      </c>
      <c r="AC58" s="8">
        <f t="shared" si="2"/>
        <v>0</v>
      </c>
      <c r="AD58" s="8">
        <v>0</v>
      </c>
      <c r="AE58" s="8">
        <f t="shared" si="3"/>
        <v>0</v>
      </c>
      <c r="AF58" s="8">
        <f t="shared" si="4"/>
        <v>0</v>
      </c>
      <c r="AG58" s="8">
        <v>0</v>
      </c>
      <c r="AH58" s="8">
        <v>0</v>
      </c>
      <c r="AI58" s="8" t="s">
        <v>119</v>
      </c>
      <c r="AJ58" s="8" t="s">
        <v>121</v>
      </c>
      <c r="AQ58" s="1">
        <v>1720</v>
      </c>
    </row>
    <row r="59" spans="2:43" ht="14.25" hidden="1" customHeight="1" x14ac:dyDescent="0.25">
      <c r="B59" s="2" t="s">
        <v>87</v>
      </c>
      <c r="C59" s="2" t="s">
        <v>88</v>
      </c>
      <c r="D59" s="2" t="s">
        <v>59</v>
      </c>
      <c r="E59" s="2" t="s">
        <v>60</v>
      </c>
      <c r="F59" s="2">
        <v>3.5000000000000003E-2</v>
      </c>
      <c r="G59" s="3">
        <v>0.29799999999999999</v>
      </c>
      <c r="H59" s="2">
        <v>576</v>
      </c>
      <c r="I59" s="2">
        <v>0</v>
      </c>
      <c r="J59" s="2"/>
      <c r="K59" s="2"/>
      <c r="L59" s="2"/>
      <c r="M59" s="2"/>
      <c r="N59" s="8">
        <f t="shared" si="5"/>
        <v>-144</v>
      </c>
      <c r="O59" s="2"/>
      <c r="P59" s="2">
        <v>144</v>
      </c>
      <c r="Q59" s="2"/>
      <c r="R59" s="19"/>
      <c r="S59" s="2"/>
      <c r="T59" s="2"/>
      <c r="U59" s="19"/>
      <c r="V59" s="2"/>
      <c r="W59" s="2">
        <v>432</v>
      </c>
      <c r="X59" s="2">
        <v>144</v>
      </c>
      <c r="Y59" s="2"/>
      <c r="Z59" s="7">
        <f t="shared" si="1"/>
        <v>171.648</v>
      </c>
      <c r="AA59" s="7">
        <v>144</v>
      </c>
      <c r="AB59" s="7">
        <v>0</v>
      </c>
      <c r="AC59" s="8">
        <f t="shared" si="2"/>
        <v>0</v>
      </c>
      <c r="AD59" s="8">
        <v>0</v>
      </c>
      <c r="AE59" s="8">
        <f t="shared" si="3"/>
        <v>0</v>
      </c>
      <c r="AF59" s="8">
        <f t="shared" si="4"/>
        <v>0</v>
      </c>
      <c r="AG59" s="8" t="s">
        <v>110</v>
      </c>
      <c r="AH59" s="8">
        <f t="shared" ref="AH59:AH78" si="6">+SUM(H59:M59)</f>
        <v>576</v>
      </c>
      <c r="AI59" s="8" t="s">
        <v>119</v>
      </c>
      <c r="AJ59" s="8" t="s">
        <v>121</v>
      </c>
      <c r="AQ59" s="1">
        <v>0</v>
      </c>
    </row>
    <row r="60" spans="2:43" hidden="1" x14ac:dyDescent="0.25">
      <c r="B60" s="2" t="s">
        <v>87</v>
      </c>
      <c r="C60" s="2" t="s">
        <v>88</v>
      </c>
      <c r="D60" s="2" t="s">
        <v>61</v>
      </c>
      <c r="E60" s="2" t="s">
        <v>60</v>
      </c>
      <c r="F60" s="2">
        <v>3.5000000000000003E-2</v>
      </c>
      <c r="G60" s="3">
        <v>0.249</v>
      </c>
      <c r="H60" s="2">
        <v>0</v>
      </c>
      <c r="I60" s="2">
        <v>0</v>
      </c>
      <c r="J60" s="2"/>
      <c r="K60" s="2"/>
      <c r="L60" s="2"/>
      <c r="M60" s="2"/>
      <c r="N60" s="8">
        <f t="shared" si="5"/>
        <v>0</v>
      </c>
      <c r="O60" s="2"/>
      <c r="P60" s="2"/>
      <c r="Q60" s="2"/>
      <c r="R60" s="19"/>
      <c r="S60" s="2"/>
      <c r="T60" s="2"/>
      <c r="U60" s="19"/>
      <c r="V60" s="2"/>
      <c r="W60" s="2"/>
      <c r="X60" s="2"/>
      <c r="Y60" s="2"/>
      <c r="Z60" s="7">
        <f t="shared" si="1"/>
        <v>0</v>
      </c>
      <c r="AA60" s="7">
        <v>144</v>
      </c>
      <c r="AB60" s="7">
        <v>1</v>
      </c>
      <c r="AC60" s="8">
        <f t="shared" si="2"/>
        <v>0</v>
      </c>
      <c r="AD60" s="8">
        <v>0</v>
      </c>
      <c r="AE60" s="8">
        <f t="shared" si="3"/>
        <v>0</v>
      </c>
      <c r="AF60" s="8">
        <f t="shared" si="4"/>
        <v>0</v>
      </c>
      <c r="AG60" s="8" t="s">
        <v>111</v>
      </c>
      <c r="AH60" s="8">
        <f t="shared" si="6"/>
        <v>0</v>
      </c>
      <c r="AI60" s="8" t="s">
        <v>119</v>
      </c>
      <c r="AJ60" s="8" t="s">
        <v>121</v>
      </c>
      <c r="AQ60" s="1">
        <v>-576</v>
      </c>
    </row>
    <row r="61" spans="2:43" hidden="1" x14ac:dyDescent="0.25">
      <c r="B61" s="2" t="s">
        <v>87</v>
      </c>
      <c r="C61" s="2" t="s">
        <v>88</v>
      </c>
      <c r="D61" s="2" t="s">
        <v>62</v>
      </c>
      <c r="E61" s="2" t="s">
        <v>60</v>
      </c>
      <c r="F61" s="2">
        <v>3.5000000000000003E-2</v>
      </c>
      <c r="G61" s="3">
        <v>0.253</v>
      </c>
      <c r="H61" s="2">
        <v>0</v>
      </c>
      <c r="I61" s="2">
        <v>0</v>
      </c>
      <c r="J61" s="2"/>
      <c r="K61" s="2"/>
      <c r="L61" s="2"/>
      <c r="M61" s="2"/>
      <c r="N61" s="8">
        <f t="shared" si="5"/>
        <v>0</v>
      </c>
      <c r="O61" s="2"/>
      <c r="P61" s="2"/>
      <c r="Q61" s="2"/>
      <c r="R61" s="19"/>
      <c r="S61" s="2"/>
      <c r="T61" s="2"/>
      <c r="U61" s="19"/>
      <c r="V61" s="2"/>
      <c r="W61" s="2"/>
      <c r="X61" s="2"/>
      <c r="Y61" s="2"/>
      <c r="Z61" s="7">
        <f t="shared" si="1"/>
        <v>0</v>
      </c>
      <c r="AA61" s="7">
        <v>144</v>
      </c>
      <c r="AB61" s="7">
        <v>1</v>
      </c>
      <c r="AC61" s="8">
        <f t="shared" si="2"/>
        <v>0</v>
      </c>
      <c r="AD61" s="8">
        <v>0</v>
      </c>
      <c r="AE61" s="8">
        <f t="shared" si="3"/>
        <v>0</v>
      </c>
      <c r="AF61" s="8">
        <f t="shared" si="4"/>
        <v>0</v>
      </c>
      <c r="AG61" s="8" t="s">
        <v>111</v>
      </c>
      <c r="AH61" s="8">
        <f t="shared" si="6"/>
        <v>0</v>
      </c>
      <c r="AI61" s="8" t="s">
        <v>119</v>
      </c>
      <c r="AJ61" s="8" t="s">
        <v>121</v>
      </c>
      <c r="AQ61" s="1">
        <v>0</v>
      </c>
    </row>
    <row r="62" spans="2:43" hidden="1" x14ac:dyDescent="0.25">
      <c r="B62" s="2" t="s">
        <v>87</v>
      </c>
      <c r="C62" s="2" t="s">
        <v>88</v>
      </c>
      <c r="D62" s="2" t="s">
        <v>63</v>
      </c>
      <c r="E62" s="2" t="s">
        <v>60</v>
      </c>
      <c r="F62" s="2">
        <v>3.5000000000000003E-2</v>
      </c>
      <c r="G62" s="3">
        <v>0.215</v>
      </c>
      <c r="H62" s="2">
        <v>864</v>
      </c>
      <c r="I62" s="2">
        <v>0</v>
      </c>
      <c r="J62" s="2"/>
      <c r="K62" s="2"/>
      <c r="L62" s="2"/>
      <c r="M62" s="2"/>
      <c r="N62" s="8">
        <f t="shared" si="5"/>
        <v>-88</v>
      </c>
      <c r="O62" s="2"/>
      <c r="P62" s="2"/>
      <c r="Q62" s="2">
        <v>88</v>
      </c>
      <c r="R62" s="19"/>
      <c r="S62" s="2">
        <v>576</v>
      </c>
      <c r="T62" s="2">
        <v>144</v>
      </c>
      <c r="U62" s="19">
        <v>144</v>
      </c>
      <c r="V62" s="2"/>
      <c r="W62" s="2"/>
      <c r="X62" s="2"/>
      <c r="Y62" s="2"/>
      <c r="Z62" s="7">
        <f t="shared" si="1"/>
        <v>185.76</v>
      </c>
      <c r="AA62" s="7">
        <v>144</v>
      </c>
      <c r="AB62" s="7">
        <v>1</v>
      </c>
      <c r="AC62" s="8">
        <f t="shared" si="2"/>
        <v>864</v>
      </c>
      <c r="AD62" s="8">
        <v>0</v>
      </c>
      <c r="AE62" s="8">
        <f t="shared" si="3"/>
        <v>0</v>
      </c>
      <c r="AF62" s="8">
        <f t="shared" si="4"/>
        <v>0</v>
      </c>
      <c r="AG62" s="8" t="s">
        <v>111</v>
      </c>
      <c r="AH62" s="8">
        <f t="shared" si="6"/>
        <v>864</v>
      </c>
      <c r="AI62" s="8" t="s">
        <v>119</v>
      </c>
      <c r="AJ62" s="8" t="s">
        <v>121</v>
      </c>
      <c r="AQ62" s="1">
        <v>144</v>
      </c>
    </row>
    <row r="63" spans="2:43" hidden="1" x14ac:dyDescent="0.25">
      <c r="B63" s="2" t="s">
        <v>87</v>
      </c>
      <c r="C63" s="2" t="s">
        <v>88</v>
      </c>
      <c r="D63" s="2" t="s">
        <v>64</v>
      </c>
      <c r="E63" s="2" t="s">
        <v>60</v>
      </c>
      <c r="F63" s="2">
        <v>3.5000000000000003E-2</v>
      </c>
      <c r="G63" s="3">
        <v>0.253</v>
      </c>
      <c r="H63" s="2">
        <v>288</v>
      </c>
      <c r="I63" s="2">
        <v>0</v>
      </c>
      <c r="J63" s="2"/>
      <c r="K63" s="2"/>
      <c r="L63" s="2"/>
      <c r="M63" s="2"/>
      <c r="N63" s="8">
        <f t="shared" si="5"/>
        <v>-125</v>
      </c>
      <c r="O63" s="2"/>
      <c r="P63" s="2"/>
      <c r="Q63" s="2">
        <v>144</v>
      </c>
      <c r="R63" s="19">
        <v>269</v>
      </c>
      <c r="S63" s="2"/>
      <c r="T63" s="2"/>
      <c r="U63" s="19"/>
      <c r="V63" s="2"/>
      <c r="W63" s="2"/>
      <c r="X63" s="2"/>
      <c r="Y63" s="2"/>
      <c r="Z63" s="7">
        <f t="shared" si="1"/>
        <v>72.864000000000004</v>
      </c>
      <c r="AA63" s="7">
        <v>144</v>
      </c>
      <c r="AB63" s="7">
        <v>1</v>
      </c>
      <c r="AC63" s="8">
        <f t="shared" si="2"/>
        <v>288</v>
      </c>
      <c r="AD63" s="8">
        <v>0</v>
      </c>
      <c r="AE63" s="8">
        <f t="shared" si="3"/>
        <v>0</v>
      </c>
      <c r="AF63" s="8">
        <f t="shared" si="4"/>
        <v>0</v>
      </c>
      <c r="AG63" s="8" t="s">
        <v>111</v>
      </c>
      <c r="AH63" s="8">
        <f t="shared" si="6"/>
        <v>288</v>
      </c>
      <c r="AI63" s="8" t="s">
        <v>119</v>
      </c>
      <c r="AJ63" s="8" t="s">
        <v>121</v>
      </c>
      <c r="AQ63" s="1">
        <v>0</v>
      </c>
    </row>
    <row r="64" spans="2:43" hidden="1" x14ac:dyDescent="0.25">
      <c r="B64" s="2" t="s">
        <v>87</v>
      </c>
      <c r="C64" s="2" t="s">
        <v>88</v>
      </c>
      <c r="D64" s="2" t="s">
        <v>65</v>
      </c>
      <c r="E64" s="2" t="s">
        <v>60</v>
      </c>
      <c r="F64" s="2">
        <v>3.5000000000000003E-2</v>
      </c>
      <c r="G64" s="3">
        <v>0.249</v>
      </c>
      <c r="H64" s="2">
        <v>288</v>
      </c>
      <c r="I64" s="2">
        <v>144</v>
      </c>
      <c r="J64" s="2"/>
      <c r="K64" s="2"/>
      <c r="L64" s="2"/>
      <c r="M64" s="2"/>
      <c r="N64" s="8">
        <f t="shared" si="5"/>
        <v>-110</v>
      </c>
      <c r="O64" s="2"/>
      <c r="P64" s="2"/>
      <c r="Q64" s="2">
        <v>110</v>
      </c>
      <c r="R64" s="19"/>
      <c r="S64" s="2"/>
      <c r="T64" s="2"/>
      <c r="U64" s="19"/>
      <c r="V64" s="2">
        <v>144</v>
      </c>
      <c r="W64" s="2">
        <v>144</v>
      </c>
      <c r="X64" s="2">
        <v>144</v>
      </c>
      <c r="Y64" s="2"/>
      <c r="Z64" s="7">
        <f t="shared" si="1"/>
        <v>107.568</v>
      </c>
      <c r="AA64" s="7">
        <v>144</v>
      </c>
      <c r="AB64" s="7">
        <v>1</v>
      </c>
      <c r="AC64" s="8">
        <f t="shared" si="2"/>
        <v>288</v>
      </c>
      <c r="AD64" s="8">
        <v>0</v>
      </c>
      <c r="AE64" s="8">
        <f t="shared" si="3"/>
        <v>0</v>
      </c>
      <c r="AF64" s="8">
        <f t="shared" si="4"/>
        <v>0</v>
      </c>
      <c r="AG64" s="8" t="s">
        <v>111</v>
      </c>
      <c r="AH64" s="8">
        <f t="shared" si="6"/>
        <v>432</v>
      </c>
      <c r="AI64" s="8" t="s">
        <v>119</v>
      </c>
      <c r="AJ64" s="8" t="s">
        <v>121</v>
      </c>
      <c r="AQ64" s="1">
        <v>576</v>
      </c>
    </row>
    <row r="65" spans="2:43" hidden="1" x14ac:dyDescent="0.25">
      <c r="B65" s="2" t="s">
        <v>87</v>
      </c>
      <c r="C65" s="2" t="s">
        <v>88</v>
      </c>
      <c r="D65" s="2" t="s">
        <v>66</v>
      </c>
      <c r="E65" s="2" t="s">
        <v>60</v>
      </c>
      <c r="F65" s="2">
        <v>3.5000000000000003E-2</v>
      </c>
      <c r="G65" s="3">
        <v>0.30299999999999999</v>
      </c>
      <c r="H65" s="2">
        <v>144</v>
      </c>
      <c r="I65" s="2">
        <v>0</v>
      </c>
      <c r="J65" s="2"/>
      <c r="K65" s="2"/>
      <c r="L65" s="2"/>
      <c r="M65" s="2"/>
      <c r="N65" s="8">
        <f t="shared" si="5"/>
        <v>-46</v>
      </c>
      <c r="O65" s="2"/>
      <c r="P65" s="2"/>
      <c r="Q65" s="2">
        <v>190</v>
      </c>
      <c r="R65" s="19"/>
      <c r="S65" s="2"/>
      <c r="T65" s="2"/>
      <c r="U65" s="19"/>
      <c r="V65" s="2"/>
      <c r="W65" s="2"/>
      <c r="X65" s="2"/>
      <c r="Y65" s="2"/>
      <c r="Z65" s="7">
        <f t="shared" si="1"/>
        <v>43.631999999999998</v>
      </c>
      <c r="AA65" s="7">
        <v>144</v>
      </c>
      <c r="AB65" s="7">
        <v>0</v>
      </c>
      <c r="AC65" s="8">
        <f t="shared" si="2"/>
        <v>0</v>
      </c>
      <c r="AD65" s="8">
        <v>0</v>
      </c>
      <c r="AE65" s="8">
        <f t="shared" si="3"/>
        <v>0</v>
      </c>
      <c r="AF65" s="8">
        <f t="shared" si="4"/>
        <v>0</v>
      </c>
      <c r="AG65" s="8" t="s">
        <v>110</v>
      </c>
      <c r="AH65" s="8">
        <f t="shared" si="6"/>
        <v>144</v>
      </c>
      <c r="AI65" s="8" t="s">
        <v>119</v>
      </c>
      <c r="AJ65" s="8" t="s">
        <v>121</v>
      </c>
      <c r="AQ65" s="1">
        <v>0</v>
      </c>
    </row>
    <row r="66" spans="2:43" hidden="1" x14ac:dyDescent="0.25">
      <c r="B66" s="2" t="s">
        <v>87</v>
      </c>
      <c r="C66" s="2" t="s">
        <v>88</v>
      </c>
      <c r="D66" s="2" t="s">
        <v>67</v>
      </c>
      <c r="E66" s="2" t="s">
        <v>60</v>
      </c>
      <c r="F66" s="2">
        <v>3.5000000000000003E-2</v>
      </c>
      <c r="G66" s="3">
        <v>0.216</v>
      </c>
      <c r="H66" s="2">
        <v>0</v>
      </c>
      <c r="I66" s="2">
        <v>0</v>
      </c>
      <c r="J66" s="2"/>
      <c r="K66" s="2"/>
      <c r="L66" s="2"/>
      <c r="M66" s="2"/>
      <c r="N66" s="8">
        <f t="shared" si="5"/>
        <v>-114</v>
      </c>
      <c r="O66" s="2"/>
      <c r="P66" s="2"/>
      <c r="Q66" s="2">
        <v>114</v>
      </c>
      <c r="R66" s="19"/>
      <c r="S66" s="2"/>
      <c r="T66" s="2"/>
      <c r="U66" s="19"/>
      <c r="V66" s="2"/>
      <c r="W66" s="2"/>
      <c r="X66" s="2"/>
      <c r="Y66" s="2"/>
      <c r="Z66" s="7">
        <f t="shared" si="1"/>
        <v>0</v>
      </c>
      <c r="AA66" s="7">
        <v>144</v>
      </c>
      <c r="AB66" s="7">
        <v>1</v>
      </c>
      <c r="AC66" s="8">
        <f t="shared" si="2"/>
        <v>0</v>
      </c>
      <c r="AD66" s="8">
        <v>0</v>
      </c>
      <c r="AE66" s="8">
        <f t="shared" si="3"/>
        <v>0</v>
      </c>
      <c r="AF66" s="8">
        <f t="shared" si="4"/>
        <v>0</v>
      </c>
      <c r="AG66" s="8" t="s">
        <v>111</v>
      </c>
      <c r="AH66" s="8">
        <f t="shared" si="6"/>
        <v>0</v>
      </c>
      <c r="AI66" s="8" t="s">
        <v>119</v>
      </c>
      <c r="AJ66" s="8" t="s">
        <v>121</v>
      </c>
      <c r="AQ66" s="1">
        <v>0</v>
      </c>
    </row>
    <row r="67" spans="2:43" hidden="1" x14ac:dyDescent="0.25">
      <c r="B67" s="2" t="s">
        <v>87</v>
      </c>
      <c r="C67" s="2" t="s">
        <v>88</v>
      </c>
      <c r="D67" s="2" t="s">
        <v>68</v>
      </c>
      <c r="E67" s="2" t="s">
        <v>60</v>
      </c>
      <c r="F67" s="2">
        <v>3.5000000000000003E-2</v>
      </c>
      <c r="G67" s="3">
        <v>0.28399999999999997</v>
      </c>
      <c r="H67" s="2">
        <v>0</v>
      </c>
      <c r="I67" s="2">
        <v>0</v>
      </c>
      <c r="J67" s="2"/>
      <c r="K67" s="2"/>
      <c r="L67" s="2"/>
      <c r="M67" s="2"/>
      <c r="N67" s="8">
        <f t="shared" si="5"/>
        <v>-51</v>
      </c>
      <c r="O67" s="2"/>
      <c r="P67" s="2"/>
      <c r="Q67" s="2"/>
      <c r="R67" s="19">
        <v>51</v>
      </c>
      <c r="S67" s="2"/>
      <c r="T67" s="2"/>
      <c r="U67" s="19"/>
      <c r="V67" s="2"/>
      <c r="W67" s="2"/>
      <c r="X67" s="2"/>
      <c r="Y67" s="2"/>
      <c r="Z67" s="7">
        <f t="shared" si="1"/>
        <v>0</v>
      </c>
      <c r="AA67" s="7">
        <v>144</v>
      </c>
      <c r="AB67" s="7">
        <v>0</v>
      </c>
      <c r="AC67" s="8">
        <f t="shared" si="2"/>
        <v>0</v>
      </c>
      <c r="AD67" s="8">
        <v>0</v>
      </c>
      <c r="AE67" s="8">
        <f t="shared" si="3"/>
        <v>0</v>
      </c>
      <c r="AF67" s="8">
        <f t="shared" si="4"/>
        <v>0</v>
      </c>
      <c r="AG67" s="8" t="s">
        <v>110</v>
      </c>
      <c r="AH67" s="8">
        <f t="shared" si="6"/>
        <v>0</v>
      </c>
      <c r="AI67" s="8" t="s">
        <v>119</v>
      </c>
      <c r="AJ67" s="8" t="s">
        <v>121</v>
      </c>
      <c r="AQ67" s="1">
        <v>0</v>
      </c>
    </row>
    <row r="68" spans="2:43" hidden="1" x14ac:dyDescent="0.25">
      <c r="B68" s="2" t="s">
        <v>87</v>
      </c>
      <c r="C68" s="2" t="s">
        <v>88</v>
      </c>
      <c r="D68" s="2" t="s">
        <v>69</v>
      </c>
      <c r="E68" s="2" t="s">
        <v>60</v>
      </c>
      <c r="F68" s="2">
        <v>3.5000000000000003E-2</v>
      </c>
      <c r="G68" s="3">
        <v>0.252</v>
      </c>
      <c r="H68" s="2">
        <v>864</v>
      </c>
      <c r="I68" s="2">
        <v>0</v>
      </c>
      <c r="J68" s="2"/>
      <c r="K68" s="2"/>
      <c r="L68" s="2"/>
      <c r="M68" s="2"/>
      <c r="N68" s="8">
        <f t="shared" si="5"/>
        <v>324</v>
      </c>
      <c r="O68" s="2"/>
      <c r="P68" s="2"/>
      <c r="Q68" s="2">
        <v>108</v>
      </c>
      <c r="R68" s="19"/>
      <c r="S68" s="2"/>
      <c r="T68" s="2">
        <v>288</v>
      </c>
      <c r="U68" s="19"/>
      <c r="V68" s="2"/>
      <c r="W68" s="2"/>
      <c r="X68" s="2">
        <v>144</v>
      </c>
      <c r="Y68" s="2"/>
      <c r="Z68" s="7">
        <f t="shared" si="1"/>
        <v>217.72800000000001</v>
      </c>
      <c r="AA68" s="7">
        <v>144</v>
      </c>
      <c r="AB68" s="7">
        <v>1</v>
      </c>
      <c r="AC68" s="8">
        <f t="shared" si="2"/>
        <v>864</v>
      </c>
      <c r="AD68" s="8">
        <v>0</v>
      </c>
      <c r="AE68" s="8">
        <f t="shared" si="3"/>
        <v>0</v>
      </c>
      <c r="AF68" s="8">
        <f t="shared" si="4"/>
        <v>0</v>
      </c>
      <c r="AG68" s="8" t="s">
        <v>111</v>
      </c>
      <c r="AH68" s="8">
        <f t="shared" si="6"/>
        <v>864</v>
      </c>
      <c r="AI68" s="8" t="s">
        <v>119</v>
      </c>
      <c r="AJ68" s="8" t="s">
        <v>121</v>
      </c>
      <c r="AQ68" s="1">
        <v>-144</v>
      </c>
    </row>
    <row r="69" spans="2:43" hidden="1" x14ac:dyDescent="0.25">
      <c r="B69" s="2" t="s">
        <v>87</v>
      </c>
      <c r="C69" s="2" t="s">
        <v>88</v>
      </c>
      <c r="D69" s="2" t="s">
        <v>70</v>
      </c>
      <c r="E69" s="2" t="s">
        <v>71</v>
      </c>
      <c r="F69" s="2">
        <v>4.4999999999999998E-2</v>
      </c>
      <c r="G69" s="3">
        <v>0.373</v>
      </c>
      <c r="H69" s="2">
        <v>0</v>
      </c>
      <c r="I69" s="2">
        <v>0</v>
      </c>
      <c r="J69" s="2"/>
      <c r="K69" s="2"/>
      <c r="L69" s="2"/>
      <c r="M69" s="2"/>
      <c r="N69" s="8">
        <f t="shared" si="5"/>
        <v>-60</v>
      </c>
      <c r="O69" s="2"/>
      <c r="P69" s="2"/>
      <c r="Q69" s="2">
        <v>60</v>
      </c>
      <c r="R69" s="19"/>
      <c r="S69" s="2"/>
      <c r="T69" s="2"/>
      <c r="U69" s="19"/>
      <c r="V69" s="2"/>
      <c r="W69" s="2"/>
      <c r="X69" s="2"/>
      <c r="Y69" s="2"/>
      <c r="Z69" s="7">
        <f t="shared" si="1"/>
        <v>0</v>
      </c>
      <c r="AA69" s="7">
        <v>288</v>
      </c>
      <c r="AB69" s="7">
        <v>1</v>
      </c>
      <c r="AC69" s="8">
        <f t="shared" si="2"/>
        <v>0</v>
      </c>
      <c r="AD69" s="8">
        <v>0</v>
      </c>
      <c r="AE69" s="8">
        <f t="shared" si="3"/>
        <v>0</v>
      </c>
      <c r="AF69" s="8">
        <f t="shared" si="4"/>
        <v>0</v>
      </c>
      <c r="AG69" s="8" t="s">
        <v>112</v>
      </c>
      <c r="AH69" s="8">
        <f t="shared" si="6"/>
        <v>0</v>
      </c>
      <c r="AI69" s="8" t="s">
        <v>119</v>
      </c>
      <c r="AJ69" s="8" t="s">
        <v>121</v>
      </c>
      <c r="AQ69" s="1">
        <v>512</v>
      </c>
    </row>
    <row r="70" spans="2:43" hidden="1" x14ac:dyDescent="0.25">
      <c r="B70" s="2" t="s">
        <v>87</v>
      </c>
      <c r="C70" s="2" t="s">
        <v>88</v>
      </c>
      <c r="D70" s="2" t="s">
        <v>72</v>
      </c>
      <c r="E70" s="2" t="s">
        <v>71</v>
      </c>
      <c r="F70" s="2">
        <v>4.1000000000000002E-2</v>
      </c>
      <c r="G70" s="3">
        <v>0.375</v>
      </c>
      <c r="H70" s="2">
        <v>0</v>
      </c>
      <c r="I70" s="2">
        <v>256</v>
      </c>
      <c r="J70" s="2"/>
      <c r="K70" s="2"/>
      <c r="L70" s="2"/>
      <c r="M70" s="2"/>
      <c r="N70" s="8">
        <f t="shared" ref="N70:N78" si="7">+H70+I70+J70+K70+L70+M70-SUM(O70:Y70)</f>
        <v>256</v>
      </c>
      <c r="O70" s="2"/>
      <c r="P70" s="2"/>
      <c r="Q70" s="2"/>
      <c r="R70" s="19"/>
      <c r="S70" s="2"/>
      <c r="T70" s="2"/>
      <c r="U70" s="19"/>
      <c r="V70" s="2"/>
      <c r="W70" s="2"/>
      <c r="X70" s="2"/>
      <c r="Y70" s="2"/>
      <c r="Z70" s="7">
        <f t="shared" ref="Z70:Z78" si="8">+G70*SUM(H70:M70)</f>
        <v>96</v>
      </c>
      <c r="AA70" s="7">
        <v>288</v>
      </c>
      <c r="AB70" s="7">
        <v>0</v>
      </c>
      <c r="AC70" s="8">
        <f t="shared" ref="AC70:AC78" si="9">+H70*AB70</f>
        <v>0</v>
      </c>
      <c r="AD70" s="8">
        <v>1</v>
      </c>
      <c r="AE70" s="8">
        <f t="shared" ref="AE70:AE78" si="10">+H70*AD70</f>
        <v>0</v>
      </c>
      <c r="AF70" s="8">
        <f t="shared" si="4"/>
        <v>0</v>
      </c>
      <c r="AG70" s="8" t="s">
        <v>113</v>
      </c>
      <c r="AH70" s="8">
        <f t="shared" si="6"/>
        <v>256</v>
      </c>
      <c r="AI70" s="8" t="s">
        <v>119</v>
      </c>
      <c r="AJ70" s="8" t="s">
        <v>121</v>
      </c>
      <c r="AQ70" s="1">
        <v>0</v>
      </c>
    </row>
    <row r="71" spans="2:43" hidden="1" x14ac:dyDescent="0.25">
      <c r="B71" s="2" t="s">
        <v>87</v>
      </c>
      <c r="C71" s="2" t="s">
        <v>88</v>
      </c>
      <c r="D71" s="2" t="s">
        <v>73</v>
      </c>
      <c r="E71" s="2" t="s">
        <v>71</v>
      </c>
      <c r="F71" s="2">
        <v>4.4999999999999998E-2</v>
      </c>
      <c r="G71" s="3">
        <v>0.35599999999999998</v>
      </c>
      <c r="H71" s="2">
        <v>128</v>
      </c>
      <c r="I71" s="2">
        <v>0</v>
      </c>
      <c r="J71" s="2"/>
      <c r="K71" s="2"/>
      <c r="L71" s="2"/>
      <c r="M71" s="2"/>
      <c r="N71" s="8">
        <f t="shared" si="7"/>
        <v>0</v>
      </c>
      <c r="O71" s="2"/>
      <c r="P71" s="2"/>
      <c r="Q71" s="2">
        <v>128</v>
      </c>
      <c r="R71" s="19"/>
      <c r="S71" s="2"/>
      <c r="T71" s="2"/>
      <c r="U71" s="19"/>
      <c r="V71" s="2"/>
      <c r="W71" s="2"/>
      <c r="X71" s="2"/>
      <c r="Y71" s="2"/>
      <c r="Z71" s="7">
        <f t="shared" si="8"/>
        <v>45.567999999999998</v>
      </c>
      <c r="AA71" s="7">
        <v>288</v>
      </c>
      <c r="AB71" s="7">
        <v>1</v>
      </c>
      <c r="AC71" s="8">
        <f t="shared" si="9"/>
        <v>128</v>
      </c>
      <c r="AD71" s="8">
        <v>0</v>
      </c>
      <c r="AE71" s="8">
        <f t="shared" si="10"/>
        <v>0</v>
      </c>
      <c r="AF71" s="8">
        <f t="shared" ref="AF71:AF78" si="11">+AE71*2</f>
        <v>0</v>
      </c>
      <c r="AG71" s="8" t="s">
        <v>112</v>
      </c>
      <c r="AH71" s="8">
        <f t="shared" si="6"/>
        <v>128</v>
      </c>
      <c r="AI71" s="8" t="s">
        <v>119</v>
      </c>
      <c r="AJ71" s="8" t="s">
        <v>121</v>
      </c>
      <c r="AQ71" s="1">
        <v>0</v>
      </c>
    </row>
    <row r="72" spans="2:43" hidden="1" x14ac:dyDescent="0.25">
      <c r="B72" s="2" t="s">
        <v>87</v>
      </c>
      <c r="C72" s="2" t="s">
        <v>88</v>
      </c>
      <c r="D72" s="2" t="s">
        <v>74</v>
      </c>
      <c r="E72" s="2" t="s">
        <v>71</v>
      </c>
      <c r="F72" s="2">
        <v>4.4999999999999998E-2</v>
      </c>
      <c r="G72" s="3">
        <v>0.35199999999999998</v>
      </c>
      <c r="H72" s="2">
        <v>0</v>
      </c>
      <c r="I72" s="2">
        <v>0</v>
      </c>
      <c r="J72" s="2"/>
      <c r="K72" s="2"/>
      <c r="L72" s="2"/>
      <c r="M72" s="2"/>
      <c r="N72" s="8">
        <f t="shared" si="7"/>
        <v>0</v>
      </c>
      <c r="O72" s="2"/>
      <c r="P72" s="2"/>
      <c r="Q72" s="2"/>
      <c r="R72" s="19"/>
      <c r="S72" s="2"/>
      <c r="T72" s="2"/>
      <c r="U72" s="19"/>
      <c r="V72" s="2"/>
      <c r="W72" s="2"/>
      <c r="X72" s="2"/>
      <c r="Y72" s="2"/>
      <c r="Z72" s="7">
        <f t="shared" si="8"/>
        <v>0</v>
      </c>
      <c r="AA72" s="7">
        <v>288</v>
      </c>
      <c r="AB72" s="7">
        <v>1</v>
      </c>
      <c r="AC72" s="8">
        <f t="shared" si="9"/>
        <v>0</v>
      </c>
      <c r="AD72" s="8">
        <v>0</v>
      </c>
      <c r="AE72" s="8">
        <f t="shared" si="10"/>
        <v>0</v>
      </c>
      <c r="AF72" s="8">
        <f t="shared" si="11"/>
        <v>0</v>
      </c>
      <c r="AG72" s="8" t="s">
        <v>114</v>
      </c>
      <c r="AH72" s="8">
        <f t="shared" si="6"/>
        <v>0</v>
      </c>
      <c r="AI72" s="8" t="s">
        <v>119</v>
      </c>
      <c r="AJ72" s="8" t="s">
        <v>121</v>
      </c>
      <c r="AQ72" s="1">
        <v>0</v>
      </c>
    </row>
    <row r="73" spans="2:43" hidden="1" x14ac:dyDescent="0.25">
      <c r="B73" s="2" t="s">
        <v>87</v>
      </c>
      <c r="C73" s="2" t="s">
        <v>88</v>
      </c>
      <c r="D73" s="2" t="s">
        <v>75</v>
      </c>
      <c r="E73" s="2" t="s">
        <v>71</v>
      </c>
      <c r="F73" s="2">
        <v>4.4999999999999998E-2</v>
      </c>
      <c r="G73" s="3">
        <v>0.35299999999999998</v>
      </c>
      <c r="H73" s="2">
        <v>0</v>
      </c>
      <c r="I73" s="2">
        <v>0</v>
      </c>
      <c r="J73" s="2"/>
      <c r="K73" s="2"/>
      <c r="L73" s="2"/>
      <c r="M73" s="2"/>
      <c r="N73" s="8">
        <f t="shared" si="7"/>
        <v>-111</v>
      </c>
      <c r="O73" s="2"/>
      <c r="P73" s="2"/>
      <c r="Q73" s="2">
        <v>111</v>
      </c>
      <c r="R73" s="19"/>
      <c r="S73" s="2"/>
      <c r="T73" s="2"/>
      <c r="U73" s="19"/>
      <c r="V73" s="2"/>
      <c r="W73" s="2"/>
      <c r="X73" s="2"/>
      <c r="Y73" s="2"/>
      <c r="Z73" s="7">
        <f t="shared" si="8"/>
        <v>0</v>
      </c>
      <c r="AA73" s="7">
        <v>288</v>
      </c>
      <c r="AB73" s="7">
        <v>1</v>
      </c>
      <c r="AC73" s="8">
        <f t="shared" si="9"/>
        <v>0</v>
      </c>
      <c r="AD73" s="8">
        <v>0</v>
      </c>
      <c r="AE73" s="8">
        <f t="shared" si="10"/>
        <v>0</v>
      </c>
      <c r="AF73" s="8">
        <f t="shared" si="11"/>
        <v>0</v>
      </c>
      <c r="AG73" s="8" t="s">
        <v>115</v>
      </c>
      <c r="AH73" s="8">
        <f t="shared" si="6"/>
        <v>0</v>
      </c>
      <c r="AI73" s="8" t="s">
        <v>119</v>
      </c>
      <c r="AJ73" s="8" t="s">
        <v>121</v>
      </c>
      <c r="AQ73" s="1">
        <v>0</v>
      </c>
    </row>
    <row r="74" spans="2:43" hidden="1" x14ac:dyDescent="0.25">
      <c r="B74" s="2" t="s">
        <v>87</v>
      </c>
      <c r="C74" s="2" t="s">
        <v>88</v>
      </c>
      <c r="D74" s="2" t="s">
        <v>76</v>
      </c>
      <c r="E74" s="2" t="s">
        <v>71</v>
      </c>
      <c r="F74" s="2">
        <v>4.4999999999999998E-2</v>
      </c>
      <c r="G74" s="3">
        <v>0.35599999999999998</v>
      </c>
      <c r="H74" s="2">
        <v>0</v>
      </c>
      <c r="I74" s="2">
        <v>0</v>
      </c>
      <c r="J74" s="2"/>
      <c r="K74" s="2"/>
      <c r="L74" s="2"/>
      <c r="M74" s="2"/>
      <c r="N74" s="8">
        <f t="shared" si="7"/>
        <v>-30</v>
      </c>
      <c r="O74" s="2"/>
      <c r="P74" s="2"/>
      <c r="Q74" s="2"/>
      <c r="R74" s="19">
        <v>30</v>
      </c>
      <c r="S74" s="2"/>
      <c r="T74" s="2"/>
      <c r="U74" s="19"/>
      <c r="V74" s="2"/>
      <c r="W74" s="2"/>
      <c r="X74" s="2"/>
      <c r="Y74" s="2"/>
      <c r="Z74" s="7">
        <f t="shared" si="8"/>
        <v>0</v>
      </c>
      <c r="AA74" s="7">
        <v>288</v>
      </c>
      <c r="AB74" s="7">
        <v>1</v>
      </c>
      <c r="AC74" s="8">
        <f t="shared" si="9"/>
        <v>0</v>
      </c>
      <c r="AD74" s="8">
        <v>0</v>
      </c>
      <c r="AE74" s="8">
        <f t="shared" si="10"/>
        <v>0</v>
      </c>
      <c r="AF74" s="8">
        <f t="shared" si="11"/>
        <v>0</v>
      </c>
      <c r="AG74" s="8" t="s">
        <v>115</v>
      </c>
      <c r="AH74" s="8">
        <f t="shared" si="6"/>
        <v>0</v>
      </c>
      <c r="AI74" s="8" t="s">
        <v>119</v>
      </c>
      <c r="AJ74" s="8" t="s">
        <v>121</v>
      </c>
      <c r="AQ74" s="1">
        <v>0</v>
      </c>
    </row>
    <row r="75" spans="2:43" hidden="1" x14ac:dyDescent="0.25">
      <c r="B75" s="2" t="s">
        <v>87</v>
      </c>
      <c r="C75" s="2" t="s">
        <v>88</v>
      </c>
      <c r="D75" s="2" t="s">
        <v>77</v>
      </c>
      <c r="E75" s="2" t="s">
        <v>71</v>
      </c>
      <c r="F75" s="2">
        <v>4.1000000000000002E-2</v>
      </c>
      <c r="G75" s="3">
        <v>0.441</v>
      </c>
      <c r="H75" s="2">
        <v>128</v>
      </c>
      <c r="I75" s="2">
        <v>0</v>
      </c>
      <c r="J75" s="2"/>
      <c r="K75" s="2"/>
      <c r="L75" s="2"/>
      <c r="M75" s="2"/>
      <c r="N75" s="8">
        <f t="shared" si="7"/>
        <v>0</v>
      </c>
      <c r="O75" s="2"/>
      <c r="P75" s="2">
        <v>128</v>
      </c>
      <c r="Q75" s="2"/>
      <c r="R75" s="19"/>
      <c r="S75" s="2"/>
      <c r="T75" s="2"/>
      <c r="U75" s="19"/>
      <c r="V75" s="2"/>
      <c r="W75" s="2"/>
      <c r="X75" s="2"/>
      <c r="Y75" s="2"/>
      <c r="Z75" s="7">
        <f t="shared" si="8"/>
        <v>56.448</v>
      </c>
      <c r="AA75" s="7">
        <v>288</v>
      </c>
      <c r="AB75" s="7">
        <v>0</v>
      </c>
      <c r="AC75" s="8">
        <f t="shared" si="9"/>
        <v>0</v>
      </c>
      <c r="AD75" s="8">
        <v>0</v>
      </c>
      <c r="AE75" s="8">
        <f t="shared" si="10"/>
        <v>0</v>
      </c>
      <c r="AF75" s="8">
        <f t="shared" si="11"/>
        <v>0</v>
      </c>
      <c r="AG75" s="8" t="s">
        <v>116</v>
      </c>
      <c r="AH75" s="8">
        <f t="shared" si="6"/>
        <v>128</v>
      </c>
      <c r="AI75" s="8" t="s">
        <v>119</v>
      </c>
      <c r="AJ75" s="8" t="s">
        <v>121</v>
      </c>
      <c r="AQ75" s="1">
        <v>0</v>
      </c>
    </row>
    <row r="76" spans="2:43" hidden="1" x14ac:dyDescent="0.25">
      <c r="B76" s="2" t="s">
        <v>87</v>
      </c>
      <c r="C76" s="2" t="s">
        <v>88</v>
      </c>
      <c r="D76" s="2" t="s">
        <v>78</v>
      </c>
      <c r="E76" s="2" t="s">
        <v>71</v>
      </c>
      <c r="F76" s="2">
        <v>4.4999999999999998E-2</v>
      </c>
      <c r="G76" s="3">
        <v>0.374</v>
      </c>
      <c r="H76" s="2">
        <v>288</v>
      </c>
      <c r="I76" s="2">
        <v>0</v>
      </c>
      <c r="J76" s="2"/>
      <c r="K76" s="2"/>
      <c r="L76" s="2"/>
      <c r="M76" s="2"/>
      <c r="N76" s="8">
        <f t="shared" si="7"/>
        <v>-96</v>
      </c>
      <c r="O76" s="2"/>
      <c r="P76" s="2">
        <v>128</v>
      </c>
      <c r="Q76" s="2"/>
      <c r="R76" s="19"/>
      <c r="S76" s="2">
        <v>128</v>
      </c>
      <c r="T76" s="2">
        <v>128</v>
      </c>
      <c r="U76" s="19"/>
      <c r="V76" s="2"/>
      <c r="W76" s="2"/>
      <c r="X76" s="2"/>
      <c r="Y76" s="2"/>
      <c r="Z76" s="7">
        <f t="shared" si="8"/>
        <v>107.712</v>
      </c>
      <c r="AA76" s="7">
        <v>288</v>
      </c>
      <c r="AB76" s="7">
        <v>1</v>
      </c>
      <c r="AC76" s="8">
        <f t="shared" si="9"/>
        <v>288</v>
      </c>
      <c r="AD76" s="8">
        <v>0</v>
      </c>
      <c r="AE76" s="8">
        <f t="shared" si="10"/>
        <v>0</v>
      </c>
      <c r="AF76" s="8">
        <f t="shared" si="11"/>
        <v>0</v>
      </c>
      <c r="AG76" s="8" t="s">
        <v>112</v>
      </c>
      <c r="AH76" s="8">
        <f t="shared" si="6"/>
        <v>288</v>
      </c>
      <c r="AI76" s="8" t="s">
        <v>119</v>
      </c>
      <c r="AJ76" s="8" t="s">
        <v>121</v>
      </c>
      <c r="AQ76" s="1">
        <v>128</v>
      </c>
    </row>
    <row r="77" spans="2:43" hidden="1" x14ac:dyDescent="0.25">
      <c r="B77" s="2" t="s">
        <v>87</v>
      </c>
      <c r="C77" s="2" t="s">
        <v>88</v>
      </c>
      <c r="D77" s="2" t="s">
        <v>79</v>
      </c>
      <c r="E77" s="2" t="s">
        <v>71</v>
      </c>
      <c r="F77" s="2">
        <v>4.1000000000000002E-2</v>
      </c>
      <c r="G77" s="3">
        <v>0.41599999999999998</v>
      </c>
      <c r="H77" s="2">
        <v>0</v>
      </c>
      <c r="I77" s="2">
        <v>0</v>
      </c>
      <c r="J77" s="2"/>
      <c r="K77" s="2"/>
      <c r="L77" s="2"/>
      <c r="M77" s="2"/>
      <c r="N77" s="8">
        <f t="shared" si="7"/>
        <v>0</v>
      </c>
      <c r="O77" s="2"/>
      <c r="P77" s="2"/>
      <c r="Q77" s="2"/>
      <c r="R77" s="19"/>
      <c r="S77" s="2"/>
      <c r="T77" s="2"/>
      <c r="U77" s="19"/>
      <c r="V77" s="2"/>
      <c r="W77" s="2"/>
      <c r="X77" s="2"/>
      <c r="Y77" s="2"/>
      <c r="Z77" s="7">
        <f t="shared" si="8"/>
        <v>0</v>
      </c>
      <c r="AA77" s="7">
        <v>288</v>
      </c>
      <c r="AB77" s="7">
        <v>0</v>
      </c>
      <c r="AC77" s="8">
        <f t="shared" si="9"/>
        <v>0</v>
      </c>
      <c r="AD77" s="8">
        <v>1</v>
      </c>
      <c r="AE77" s="8">
        <f t="shared" si="10"/>
        <v>0</v>
      </c>
      <c r="AF77" s="8">
        <f t="shared" si="11"/>
        <v>0</v>
      </c>
      <c r="AG77" s="8" t="s">
        <v>117</v>
      </c>
      <c r="AH77" s="8">
        <f t="shared" si="6"/>
        <v>0</v>
      </c>
      <c r="AI77" s="8" t="s">
        <v>119</v>
      </c>
      <c r="AJ77" s="8" t="s">
        <v>121</v>
      </c>
      <c r="AQ77" s="1">
        <v>0</v>
      </c>
    </row>
    <row r="78" spans="2:43" hidden="1" x14ac:dyDescent="0.25">
      <c r="B78" s="2" t="s">
        <v>87</v>
      </c>
      <c r="C78" s="2" t="s">
        <v>88</v>
      </c>
      <c r="D78" s="2" t="s">
        <v>80</v>
      </c>
      <c r="E78" s="2" t="s">
        <v>71</v>
      </c>
      <c r="F78" s="2">
        <v>4.4999999999999998E-2</v>
      </c>
      <c r="G78" s="3">
        <v>0.39500000000000002</v>
      </c>
      <c r="H78" s="2">
        <v>0</v>
      </c>
      <c r="I78" s="2">
        <v>0</v>
      </c>
      <c r="J78" s="2"/>
      <c r="K78" s="2"/>
      <c r="L78" s="2"/>
      <c r="M78" s="2"/>
      <c r="N78" s="8">
        <f t="shared" si="7"/>
        <v>-34</v>
      </c>
      <c r="O78" s="2"/>
      <c r="P78" s="2"/>
      <c r="Q78" s="2">
        <v>34</v>
      </c>
      <c r="R78" s="19"/>
      <c r="S78" s="2"/>
      <c r="T78" s="2"/>
      <c r="U78" s="19"/>
      <c r="V78" s="2"/>
      <c r="W78" s="2"/>
      <c r="X78" s="2"/>
      <c r="Y78" s="2"/>
      <c r="Z78" s="7">
        <f t="shared" si="8"/>
        <v>0</v>
      </c>
      <c r="AA78" s="7">
        <v>288</v>
      </c>
      <c r="AB78" s="7">
        <v>1</v>
      </c>
      <c r="AC78" s="8">
        <f t="shared" si="9"/>
        <v>0</v>
      </c>
      <c r="AD78" s="8">
        <v>0</v>
      </c>
      <c r="AE78" s="8">
        <f t="shared" si="10"/>
        <v>0</v>
      </c>
      <c r="AF78" s="8">
        <f t="shared" si="11"/>
        <v>0</v>
      </c>
      <c r="AG78" s="8" t="s">
        <v>112</v>
      </c>
      <c r="AH78" s="8">
        <f t="shared" si="6"/>
        <v>0</v>
      </c>
      <c r="AI78" s="8" t="s">
        <v>119</v>
      </c>
      <c r="AJ78" s="8" t="s">
        <v>121</v>
      </c>
      <c r="AQ78" s="1">
        <v>0</v>
      </c>
    </row>
    <row r="79" spans="2:43" hidden="1" x14ac:dyDescent="0.25">
      <c r="G79" s="4" t="s">
        <v>102</v>
      </c>
      <c r="H79" s="9">
        <f>SUM(H6:H78)</f>
        <v>34968</v>
      </c>
      <c r="I79" s="9">
        <f t="shared" ref="I79:M79" si="12">SUM(I6:I78)</f>
        <v>7801</v>
      </c>
      <c r="J79" s="9">
        <f t="shared" si="12"/>
        <v>400</v>
      </c>
      <c r="K79" s="9">
        <f t="shared" si="12"/>
        <v>0</v>
      </c>
      <c r="L79" s="9">
        <f t="shared" si="12"/>
        <v>0</v>
      </c>
      <c r="M79" s="9">
        <f t="shared" si="12"/>
        <v>0</v>
      </c>
      <c r="N79" s="13">
        <f>SUM(N6:N78)</f>
        <v>5612</v>
      </c>
      <c r="O79" s="9">
        <f>SUM(O13:O78)</f>
        <v>4866</v>
      </c>
      <c r="P79" s="9">
        <f t="shared" ref="P79:Y79" si="13">SUM(P13:P78)</f>
        <v>2295</v>
      </c>
      <c r="Q79" s="9">
        <f t="shared" si="13"/>
        <v>5486</v>
      </c>
      <c r="R79" s="9">
        <f t="shared" si="13"/>
        <v>2783</v>
      </c>
      <c r="S79" s="9">
        <f t="shared" si="13"/>
        <v>2877</v>
      </c>
      <c r="T79" s="9">
        <f t="shared" si="13"/>
        <v>1660</v>
      </c>
      <c r="U79" s="9">
        <f>SUM(U13:U78)</f>
        <v>1644</v>
      </c>
      <c r="V79" s="9">
        <f t="shared" si="13"/>
        <v>1032</v>
      </c>
      <c r="W79" s="9">
        <f t="shared" si="13"/>
        <v>1246</v>
      </c>
      <c r="X79" s="9">
        <f t="shared" si="13"/>
        <v>1225</v>
      </c>
      <c r="Y79" s="9">
        <f t="shared" si="13"/>
        <v>3333</v>
      </c>
      <c r="Z79" s="9">
        <f t="shared" ref="Z79:AF79" si="14">SUM(Z6:Z78)</f>
        <v>3972.9780000000001</v>
      </c>
      <c r="AA79" s="9"/>
      <c r="AB79" s="10">
        <f t="shared" si="14"/>
        <v>14</v>
      </c>
      <c r="AC79" s="11">
        <f t="shared" si="14"/>
        <v>2720</v>
      </c>
      <c r="AD79" s="11">
        <f t="shared" si="14"/>
        <v>2</v>
      </c>
      <c r="AE79" s="11">
        <f t="shared" si="14"/>
        <v>0</v>
      </c>
      <c r="AF79" s="11">
        <f t="shared" si="14"/>
        <v>0</v>
      </c>
      <c r="AH79" s="11">
        <f>SUM(AH6:AH78)</f>
        <v>3968</v>
      </c>
    </row>
    <row r="80" spans="2:43" hidden="1" x14ac:dyDescent="0.25">
      <c r="G80" s="4" t="s">
        <v>108</v>
      </c>
      <c r="H80" s="91">
        <f>+H79+I79+J79+K79+L79+M79</f>
        <v>43169</v>
      </c>
      <c r="I80" s="91"/>
      <c r="J80" s="91"/>
      <c r="K80" s="91"/>
      <c r="L80" s="91"/>
      <c r="M80" s="91"/>
      <c r="O80" s="108">
        <f>+O79+P79</f>
        <v>7161</v>
      </c>
      <c r="P80" s="86"/>
      <c r="Q80" s="108">
        <f>+Q79+R79</f>
        <v>8269</v>
      </c>
      <c r="R80" s="86"/>
      <c r="S80" s="108">
        <f>+S79+T79</f>
        <v>4537</v>
      </c>
      <c r="T80" s="86"/>
      <c r="U80" s="108">
        <f t="shared" ref="U80" si="15">+U79+V79</f>
        <v>2676</v>
      </c>
      <c r="V80" s="86"/>
      <c r="W80" s="108">
        <f>+W79+X79</f>
        <v>2471</v>
      </c>
      <c r="X80" s="86"/>
      <c r="Y80" s="12">
        <f>+Y79</f>
        <v>3333</v>
      </c>
    </row>
    <row r="81" spans="1:25" x14ac:dyDescent="0.25">
      <c r="H81" s="1">
        <v>0</v>
      </c>
      <c r="I81" s="1">
        <f>SUM(I13:I78)</f>
        <v>1401</v>
      </c>
      <c r="J81" s="1">
        <f>SUM(J13:J78)</f>
        <v>400</v>
      </c>
      <c r="K81" s="1">
        <f t="shared" ref="K81:M81" si="16">SUM(K13:K78)</f>
        <v>0</v>
      </c>
      <c r="L81" s="1">
        <f t="shared" si="16"/>
        <v>0</v>
      </c>
      <c r="M81" s="1">
        <f t="shared" si="16"/>
        <v>0</v>
      </c>
      <c r="O81" s="90">
        <f>SUM(O6:P12)</f>
        <v>1750</v>
      </c>
      <c r="P81" s="90"/>
      <c r="Q81" s="90">
        <f t="shared" ref="Q81" si="17">SUM(Q6:R12)</f>
        <v>2060</v>
      </c>
      <c r="R81" s="90"/>
      <c r="S81" s="90">
        <f t="shared" ref="S81" si="18">SUM(S6:T12)</f>
        <v>2200</v>
      </c>
      <c r="T81" s="90"/>
      <c r="U81" s="90">
        <f t="shared" ref="U81" si="19">SUM(U6:V12)</f>
        <v>1600</v>
      </c>
      <c r="V81" s="90"/>
      <c r="W81" s="90">
        <f t="shared" ref="W81" si="20">SUM(W6:X12)</f>
        <v>1500</v>
      </c>
      <c r="X81" s="90"/>
    </row>
    <row r="83" spans="1:25" x14ac:dyDescent="0.25">
      <c r="C83" s="2" t="s">
        <v>143</v>
      </c>
      <c r="D83" s="2" t="s">
        <v>144</v>
      </c>
      <c r="E83" s="2" t="s">
        <v>145</v>
      </c>
      <c r="F83" s="2" t="s">
        <v>179</v>
      </c>
      <c r="O83" s="19" t="s">
        <v>97</v>
      </c>
      <c r="P83" s="19" t="s">
        <v>98</v>
      </c>
      <c r="Q83" s="19" t="s">
        <v>97</v>
      </c>
      <c r="R83" s="19" t="s">
        <v>98</v>
      </c>
      <c r="S83" s="19" t="s">
        <v>97</v>
      </c>
      <c r="T83" s="19" t="s">
        <v>98</v>
      </c>
      <c r="U83" s="19" t="s">
        <v>97</v>
      </c>
      <c r="V83" s="19" t="s">
        <v>98</v>
      </c>
      <c r="W83" s="19" t="s">
        <v>97</v>
      </c>
      <c r="X83" s="19" t="s">
        <v>98</v>
      </c>
      <c r="Y83" s="19"/>
    </row>
    <row r="84" spans="1:25" x14ac:dyDescent="0.25">
      <c r="B84" s="2" t="s">
        <v>138</v>
      </c>
      <c r="C84" s="8">
        <v>26369</v>
      </c>
      <c r="D84" s="2">
        <f>+C84/5</f>
        <v>5273.8</v>
      </c>
      <c r="E84" s="2">
        <f>+D84/2</f>
        <v>2636.9</v>
      </c>
      <c r="F84" s="8">
        <v>16400</v>
      </c>
      <c r="O84" s="48">
        <f>+O79/$E$84</f>
        <v>1.8453487049186543</v>
      </c>
      <c r="P84" s="48">
        <f t="shared" ref="P84:X84" si="21">+P79/$E$84</f>
        <v>0.87034017217186843</v>
      </c>
      <c r="Q84" s="48">
        <f>+Q79/$E$84</f>
        <v>2.0804732830217301</v>
      </c>
      <c r="R84" s="48">
        <f t="shared" si="21"/>
        <v>1.0554059691304183</v>
      </c>
      <c r="S84" s="48">
        <f t="shared" si="21"/>
        <v>1.0910538890363684</v>
      </c>
      <c r="T84" s="48">
        <f t="shared" si="21"/>
        <v>0.62952709621146041</v>
      </c>
      <c r="U84" s="48">
        <f t="shared" si="21"/>
        <v>0.62345936516363909</v>
      </c>
      <c r="V84" s="48">
        <f t="shared" si="21"/>
        <v>0.39136865258447417</v>
      </c>
      <c r="W84" s="48">
        <f t="shared" si="21"/>
        <v>0.47252455534908416</v>
      </c>
      <c r="X84" s="48">
        <f t="shared" si="21"/>
        <v>0.46456065834881866</v>
      </c>
      <c r="Y84" s="19"/>
    </row>
    <row r="85" spans="1:25" x14ac:dyDescent="0.25">
      <c r="B85" s="2" t="s">
        <v>142</v>
      </c>
      <c r="C85" s="8">
        <v>2167</v>
      </c>
      <c r="F85" s="2" t="s">
        <v>180</v>
      </c>
      <c r="O85" s="81">
        <f>+O81/$F$86</f>
        <v>0.53353658536585369</v>
      </c>
      <c r="P85" s="82"/>
      <c r="Q85" s="81">
        <f t="shared" ref="Q85" si="22">+Q81/$F$86</f>
        <v>0.62804878048780488</v>
      </c>
      <c r="R85" s="82"/>
      <c r="S85" s="81">
        <f t="shared" ref="S85" si="23">+S81/$F$86</f>
        <v>0.67073170731707321</v>
      </c>
      <c r="T85" s="82"/>
      <c r="U85" s="81">
        <f t="shared" ref="U85" si="24">+U81/$F$86</f>
        <v>0.48780487804878048</v>
      </c>
      <c r="V85" s="82"/>
      <c r="W85" s="81">
        <f t="shared" ref="W85" si="25">+W81/$F$86</f>
        <v>0.45731707317073172</v>
      </c>
      <c r="X85" s="82"/>
      <c r="Y85" s="19"/>
    </row>
    <row r="86" spans="1:25" x14ac:dyDescent="0.25">
      <c r="B86" s="2" t="s">
        <v>139</v>
      </c>
      <c r="C86" s="2">
        <f>+C84-C85</f>
        <v>24202</v>
      </c>
      <c r="F86" s="2">
        <f>+F84/5</f>
        <v>3280</v>
      </c>
    </row>
    <row r="87" spans="1:25" x14ac:dyDescent="0.25">
      <c r="B87" s="2" t="s">
        <v>136</v>
      </c>
      <c r="C87" s="25">
        <f>+C86/C84</f>
        <v>0.91782016762107022</v>
      </c>
    </row>
    <row r="88" spans="1:25" x14ac:dyDescent="0.25">
      <c r="B88" s="2" t="s">
        <v>137</v>
      </c>
      <c r="C88" s="25">
        <f>+C85/C84</f>
        <v>8.2179832378929799E-2</v>
      </c>
    </row>
    <row r="90" spans="1:25" x14ac:dyDescent="0.25">
      <c r="A90" s="83" t="s">
        <v>171</v>
      </c>
      <c r="B90" s="84"/>
      <c r="C90" s="84"/>
      <c r="D90" s="84"/>
      <c r="E90" s="84"/>
      <c r="F90" s="85"/>
    </row>
    <row r="91" spans="1:25" x14ac:dyDescent="0.25">
      <c r="A91" s="86" t="s">
        <v>182</v>
      </c>
      <c r="B91" s="44">
        <v>46272</v>
      </c>
      <c r="C91" s="44">
        <v>46273</v>
      </c>
      <c r="D91" s="44">
        <v>46274</v>
      </c>
      <c r="E91" s="44">
        <v>46275</v>
      </c>
      <c r="F91" s="44">
        <v>46276</v>
      </c>
    </row>
    <row r="92" spans="1:25" x14ac:dyDescent="0.25">
      <c r="A92" s="86"/>
      <c r="B92" s="45" t="s">
        <v>148</v>
      </c>
      <c r="C92" s="4" t="s">
        <v>149</v>
      </c>
      <c r="D92" s="4" t="s">
        <v>150</v>
      </c>
      <c r="E92" s="4" t="s">
        <v>151</v>
      </c>
      <c r="F92" s="4" t="s">
        <v>160</v>
      </c>
    </row>
    <row r="93" spans="1:25" x14ac:dyDescent="0.25">
      <c r="A93" s="11" t="s">
        <v>153</v>
      </c>
      <c r="B93" s="35">
        <v>0.34</v>
      </c>
      <c r="C93" s="35">
        <v>0.61</v>
      </c>
      <c r="D93" s="35">
        <v>0.75</v>
      </c>
      <c r="E93" s="35">
        <v>0.83</v>
      </c>
      <c r="F93" s="35">
        <v>0.92</v>
      </c>
    </row>
    <row r="94" spans="1:25" x14ac:dyDescent="0.25">
      <c r="A94" s="11" t="s">
        <v>154</v>
      </c>
      <c r="B94" s="35">
        <v>0.66</v>
      </c>
      <c r="C94" s="35">
        <v>0.39</v>
      </c>
      <c r="D94" s="35">
        <v>0.25</v>
      </c>
      <c r="E94" s="35">
        <v>0.17</v>
      </c>
      <c r="F94" s="35">
        <v>0.08</v>
      </c>
    </row>
  </sheetData>
  <autoFilter ref="B5:AJ80" xr:uid="{00000000-0009-0000-0000-00000A000000}">
    <filterColumn colId="3">
      <filters>
        <filter val="A - 3/8"/>
      </filters>
    </filterColumn>
  </autoFilter>
  <mergeCells count="26">
    <mergeCell ref="C2:D2"/>
    <mergeCell ref="B3:B4"/>
    <mergeCell ref="I4:M4"/>
    <mergeCell ref="O4:P4"/>
    <mergeCell ref="Q4:R4"/>
    <mergeCell ref="U4:V4"/>
    <mergeCell ref="W4:X4"/>
    <mergeCell ref="H80:M80"/>
    <mergeCell ref="O80:P80"/>
    <mergeCell ref="Q80:R80"/>
    <mergeCell ref="S80:T80"/>
    <mergeCell ref="U80:V80"/>
    <mergeCell ref="W80:X80"/>
    <mergeCell ref="S4:T4"/>
    <mergeCell ref="U81:V81"/>
    <mergeCell ref="W81:X81"/>
    <mergeCell ref="O85:P85"/>
    <mergeCell ref="Q85:R85"/>
    <mergeCell ref="S85:T85"/>
    <mergeCell ref="U85:V85"/>
    <mergeCell ref="W85:X85"/>
    <mergeCell ref="A90:F90"/>
    <mergeCell ref="A91:A92"/>
    <mergeCell ref="O81:P81"/>
    <mergeCell ref="Q81:R81"/>
    <mergeCell ref="S81:T81"/>
  </mergeCells>
  <conditionalFormatting sqref="O84:X84">
    <cfRule type="cellIs" dxfId="20" priority="1" operator="between">
      <formula>1</formula>
      <formula>5</formula>
    </cfRule>
    <cfRule type="cellIs" dxfId="19" priority="2" operator="between">
      <formula>0.85</formula>
      <formula>0.99</formula>
    </cfRule>
    <cfRule type="cellIs" dxfId="18" priority="3" operator="between">
      <formula>0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scale="21" orientation="portrait"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>
    <pageSetUpPr fitToPage="1"/>
  </sheetPr>
  <dimension ref="A1:BA100"/>
  <sheetViews>
    <sheetView zoomScale="90" zoomScaleNormal="90" workbookViewId="0">
      <pane xSplit="14" topLeftCell="AG1" activePane="topRight" state="frozen"/>
      <selection activeCell="B2" sqref="B2"/>
      <selection pane="topRight" activeCell="AH7" sqref="AH7"/>
    </sheetView>
  </sheetViews>
  <sheetFormatPr baseColWidth="10" defaultColWidth="8.7109375" defaultRowHeight="15" x14ac:dyDescent="0.25"/>
  <cols>
    <col min="1" max="1" width="10.140625" style="1" bestFit="1" customWidth="1"/>
    <col min="2" max="2" width="17.7109375" style="1" bestFit="1" customWidth="1"/>
    <col min="3" max="3" width="14.42578125" style="1" bestFit="1" customWidth="1"/>
    <col min="4" max="4" width="19.140625" style="1" customWidth="1"/>
    <col min="5" max="5" width="14.5703125" style="1" bestFit="1" customWidth="1"/>
    <col min="6" max="6" width="19.7109375" style="1" customWidth="1"/>
    <col min="7" max="7" width="15.42578125" style="1" bestFit="1" customWidth="1"/>
    <col min="8" max="8" width="10.7109375" style="1" customWidth="1"/>
    <col min="9" max="9" width="10.140625" style="1" customWidth="1"/>
    <col min="10" max="10" width="6.42578125" style="1" hidden="1" customWidth="1"/>
    <col min="11" max="11" width="10" style="1" hidden="1" customWidth="1"/>
    <col min="12" max="12" width="9" style="1" hidden="1" customWidth="1"/>
    <col min="13" max="13" width="5.5703125" style="1" hidden="1" customWidth="1"/>
    <col min="14" max="14" width="10.140625" style="1" bestFit="1" customWidth="1"/>
    <col min="15" max="16" width="9.140625" style="1" customWidth="1"/>
    <col min="17" max="24" width="8.7109375" style="1" customWidth="1"/>
    <col min="25" max="37" width="8.7109375" style="1"/>
    <col min="38" max="38" width="8.7109375" style="1" customWidth="1"/>
    <col min="39" max="39" width="8.7109375" style="1"/>
    <col min="40" max="40" width="0" style="1" hidden="1" customWidth="1"/>
    <col min="41" max="42" width="8.7109375" style="1"/>
    <col min="43" max="43" width="10" style="1" bestFit="1" customWidth="1"/>
    <col min="44" max="44" width="10" style="1" customWidth="1"/>
    <col min="45" max="45" width="13" style="1" bestFit="1" customWidth="1"/>
    <col min="46" max="46" width="11.5703125" style="1" bestFit="1" customWidth="1"/>
    <col min="47" max="47" width="8.7109375" style="1"/>
    <col min="48" max="48" width="12.85546875" style="1" customWidth="1"/>
    <col min="49" max="49" width="16.5703125" style="1" customWidth="1"/>
    <col min="50" max="16384" width="8.7109375" style="1"/>
  </cols>
  <sheetData>
    <row r="1" spans="2:53" x14ac:dyDescent="0.25">
      <c r="R1" s="17"/>
      <c r="U1" s="17"/>
    </row>
    <row r="2" spans="2:53" x14ac:dyDescent="0.25">
      <c r="B2" s="4" t="s">
        <v>99</v>
      </c>
      <c r="C2" s="88" t="s">
        <v>100</v>
      </c>
      <c r="D2" s="88"/>
      <c r="R2" s="17"/>
      <c r="U2" s="17"/>
    </row>
    <row r="3" spans="2:53" x14ac:dyDescent="0.25">
      <c r="B3" s="89">
        <f ca="1">TODAY()</f>
        <v>46309</v>
      </c>
      <c r="C3" s="4" t="s">
        <v>97</v>
      </c>
      <c r="D3" s="2" t="s">
        <v>127</v>
      </c>
      <c r="H3" s="4" t="s">
        <v>84</v>
      </c>
      <c r="R3" s="17"/>
      <c r="U3" s="17"/>
    </row>
    <row r="4" spans="2:53" x14ac:dyDescent="0.25">
      <c r="B4" s="89"/>
      <c r="C4" s="4" t="s">
        <v>98</v>
      </c>
      <c r="D4" s="2"/>
      <c r="H4" s="4" t="s">
        <v>85</v>
      </c>
      <c r="I4" s="90" t="s">
        <v>146</v>
      </c>
      <c r="J4" s="90"/>
      <c r="K4" s="90"/>
      <c r="L4" s="90"/>
      <c r="M4" s="90"/>
      <c r="O4" s="87">
        <v>46272</v>
      </c>
      <c r="P4" s="87"/>
      <c r="Q4" s="87">
        <v>46273</v>
      </c>
      <c r="R4" s="87"/>
      <c r="S4" s="87">
        <v>46274</v>
      </c>
      <c r="T4" s="87"/>
      <c r="U4" s="87">
        <v>46275</v>
      </c>
      <c r="V4" s="87"/>
      <c r="W4" s="87">
        <v>46276</v>
      </c>
      <c r="X4" s="87"/>
      <c r="Y4" s="87">
        <v>46279</v>
      </c>
      <c r="Z4" s="87"/>
      <c r="AA4" s="87">
        <v>46280</v>
      </c>
      <c r="AB4" s="87"/>
      <c r="AC4" s="87">
        <v>46281</v>
      </c>
      <c r="AD4" s="87"/>
      <c r="AE4" s="87">
        <v>46282</v>
      </c>
      <c r="AF4" s="87"/>
      <c r="AG4" s="87">
        <v>46283</v>
      </c>
      <c r="AH4" s="87"/>
      <c r="AI4" s="6" t="s">
        <v>92</v>
      </c>
    </row>
    <row r="5" spans="2:53" x14ac:dyDescent="0.25">
      <c r="B5" s="4" t="s">
        <v>0</v>
      </c>
      <c r="C5" s="4" t="s">
        <v>86</v>
      </c>
      <c r="D5" s="4" t="s">
        <v>89</v>
      </c>
      <c r="E5" s="4" t="s">
        <v>81</v>
      </c>
      <c r="F5" s="4" t="s">
        <v>82</v>
      </c>
      <c r="G5" s="4" t="s">
        <v>83</v>
      </c>
      <c r="H5" s="5">
        <v>38</v>
      </c>
      <c r="I5" s="4" t="s">
        <v>183</v>
      </c>
      <c r="J5" s="4" t="s">
        <v>91</v>
      </c>
      <c r="K5" s="4" t="s">
        <v>93</v>
      </c>
      <c r="L5" s="4" t="s">
        <v>94</v>
      </c>
      <c r="M5" s="4" t="s">
        <v>95</v>
      </c>
      <c r="N5" s="4" t="s">
        <v>96</v>
      </c>
      <c r="O5" s="4" t="s">
        <v>97</v>
      </c>
      <c r="P5" s="4" t="s">
        <v>98</v>
      </c>
      <c r="Q5" s="4" t="s">
        <v>97</v>
      </c>
      <c r="R5" s="18" t="s">
        <v>98</v>
      </c>
      <c r="S5" s="4" t="s">
        <v>97</v>
      </c>
      <c r="T5" s="4" t="s">
        <v>98</v>
      </c>
      <c r="U5" s="18" t="s">
        <v>97</v>
      </c>
      <c r="V5" s="4" t="s">
        <v>98</v>
      </c>
      <c r="W5" s="4" t="s">
        <v>97</v>
      </c>
      <c r="X5" s="4" t="s">
        <v>98</v>
      </c>
      <c r="Y5" s="4"/>
      <c r="Z5" s="4"/>
      <c r="AA5" s="4"/>
      <c r="AB5" s="4"/>
      <c r="AC5" s="4"/>
      <c r="AD5" s="4"/>
      <c r="AE5" s="4"/>
      <c r="AF5" s="4"/>
      <c r="AG5" s="4"/>
      <c r="AH5" s="4"/>
      <c r="AI5" s="4" t="s">
        <v>104</v>
      </c>
      <c r="AJ5" s="4" t="s">
        <v>90</v>
      </c>
      <c r="AK5" s="4" t="s">
        <v>126</v>
      </c>
      <c r="AL5" s="4" t="s">
        <v>105</v>
      </c>
      <c r="AM5" s="4" t="s">
        <v>105</v>
      </c>
      <c r="AN5" s="4" t="s">
        <v>106</v>
      </c>
      <c r="AO5" s="4" t="s">
        <v>106</v>
      </c>
      <c r="AP5" s="4" t="s">
        <v>107</v>
      </c>
      <c r="AQ5" s="4" t="s">
        <v>109</v>
      </c>
      <c r="AR5" s="4" t="s">
        <v>122</v>
      </c>
      <c r="AS5" s="4" t="s">
        <v>118</v>
      </c>
      <c r="AT5" s="4" t="s">
        <v>120</v>
      </c>
      <c r="AV5" s="15" t="s">
        <v>123</v>
      </c>
      <c r="AW5" s="15" t="s">
        <v>125</v>
      </c>
      <c r="AX5"/>
    </row>
    <row r="6" spans="2:53" x14ac:dyDescent="0.25">
      <c r="B6" s="2" t="s">
        <v>87</v>
      </c>
      <c r="C6" s="2" t="s">
        <v>88</v>
      </c>
      <c r="D6" s="2" t="s">
        <v>1</v>
      </c>
      <c r="E6" s="2" t="s">
        <v>2</v>
      </c>
      <c r="F6" s="2">
        <v>0.42</v>
      </c>
      <c r="G6" s="3">
        <v>0.02</v>
      </c>
      <c r="H6" s="2">
        <v>4200</v>
      </c>
      <c r="I6" s="2">
        <v>1990</v>
      </c>
      <c r="J6" s="2"/>
      <c r="K6" s="2"/>
      <c r="L6" s="2"/>
      <c r="M6" s="2"/>
      <c r="N6" s="8">
        <f t="shared" ref="N6:N37" si="0">+H6+I6+J6+K6+L6+M6-SUM(O6:AI6)</f>
        <v>2040</v>
      </c>
      <c r="O6" s="2"/>
      <c r="P6" s="2"/>
      <c r="Q6" s="2"/>
      <c r="R6" s="19"/>
      <c r="S6" s="2"/>
      <c r="T6" s="2"/>
      <c r="U6" s="19"/>
      <c r="V6" s="2"/>
      <c r="W6" s="2"/>
      <c r="X6" s="2"/>
      <c r="Y6" s="2"/>
      <c r="Z6" s="2">
        <v>2000</v>
      </c>
      <c r="AA6" s="2"/>
      <c r="AB6" s="2"/>
      <c r="AC6" s="2"/>
      <c r="AD6" s="2"/>
      <c r="AE6" s="2"/>
      <c r="AF6" s="2">
        <v>2150</v>
      </c>
      <c r="AG6" s="2"/>
      <c r="AH6" s="2"/>
      <c r="AI6" s="2"/>
      <c r="AJ6" s="7">
        <f t="shared" ref="AJ6:AJ37" si="1">+G6*SUM(H6:M6)</f>
        <v>123.8</v>
      </c>
      <c r="AK6" s="7">
        <v>1000</v>
      </c>
      <c r="AL6" s="7">
        <v>0</v>
      </c>
      <c r="AM6" s="8">
        <f t="shared" ref="AM6:AM37" si="2">+H6*AL6</f>
        <v>0</v>
      </c>
      <c r="AN6" s="8">
        <v>0</v>
      </c>
      <c r="AO6" s="8">
        <f t="shared" ref="AO6:AO37" si="3">+H6*AN6</f>
        <v>0</v>
      </c>
      <c r="AP6" s="8">
        <f>+AO6*2</f>
        <v>0</v>
      </c>
      <c r="AQ6" s="8">
        <v>0</v>
      </c>
      <c r="AR6" s="8">
        <v>0</v>
      </c>
      <c r="AS6" s="8" t="s">
        <v>119</v>
      </c>
      <c r="AT6" s="8" t="s">
        <v>121</v>
      </c>
      <c r="AV6" s="14">
        <v>0</v>
      </c>
      <c r="AW6" s="15">
        <v>0</v>
      </c>
      <c r="AX6"/>
      <c r="BA6" s="1">
        <v>5600</v>
      </c>
    </row>
    <row r="7" spans="2:53" x14ac:dyDescent="0.25">
      <c r="B7" s="2" t="s">
        <v>87</v>
      </c>
      <c r="C7" s="2" t="s">
        <v>88</v>
      </c>
      <c r="D7" s="2" t="s">
        <v>3</v>
      </c>
      <c r="E7" s="2" t="s">
        <v>2</v>
      </c>
      <c r="F7" s="2">
        <v>0.42</v>
      </c>
      <c r="G7" s="3">
        <v>3.1E-2</v>
      </c>
      <c r="H7" s="2">
        <v>4200</v>
      </c>
      <c r="I7" s="2">
        <v>3000</v>
      </c>
      <c r="J7" s="2"/>
      <c r="K7" s="2"/>
      <c r="L7" s="2"/>
      <c r="M7" s="2"/>
      <c r="N7" s="8">
        <f t="shared" si="0"/>
        <v>1400</v>
      </c>
      <c r="O7" s="2"/>
      <c r="P7" s="2"/>
      <c r="Q7" s="2"/>
      <c r="R7" s="19"/>
      <c r="S7" s="2"/>
      <c r="T7" s="2"/>
      <c r="U7" s="19"/>
      <c r="V7" s="2"/>
      <c r="W7" s="2"/>
      <c r="X7" s="2"/>
      <c r="Y7" s="2"/>
      <c r="Z7" s="2"/>
      <c r="AA7" s="2"/>
      <c r="AB7" s="2">
        <v>2400</v>
      </c>
      <c r="AC7" s="2"/>
      <c r="AD7" s="2"/>
      <c r="AE7" s="2"/>
      <c r="AF7" s="2">
        <v>600</v>
      </c>
      <c r="AG7" s="2"/>
      <c r="AH7" s="2">
        <v>2800</v>
      </c>
      <c r="AI7" s="2"/>
      <c r="AJ7" s="7">
        <f t="shared" si="1"/>
        <v>223.2</v>
      </c>
      <c r="AK7" s="7">
        <v>1000</v>
      </c>
      <c r="AL7" s="7">
        <v>0</v>
      </c>
      <c r="AM7" s="8">
        <f t="shared" si="2"/>
        <v>0</v>
      </c>
      <c r="AN7" s="8">
        <v>0</v>
      </c>
      <c r="AO7" s="8">
        <f t="shared" si="3"/>
        <v>0</v>
      </c>
      <c r="AP7" s="8">
        <f t="shared" ref="AP7:AP70" si="4">+AO7*2</f>
        <v>0</v>
      </c>
      <c r="AQ7" s="8">
        <v>0</v>
      </c>
      <c r="AR7" s="8">
        <v>0</v>
      </c>
      <c r="AS7" s="8" t="s">
        <v>119</v>
      </c>
      <c r="AT7" s="8" t="s">
        <v>121</v>
      </c>
      <c r="AV7" s="14" t="s">
        <v>117</v>
      </c>
      <c r="AW7" s="15">
        <v>128</v>
      </c>
      <c r="AX7"/>
      <c r="BA7" s="1">
        <v>4338</v>
      </c>
    </row>
    <row r="8" spans="2:53" x14ac:dyDescent="0.25">
      <c r="B8" s="2" t="s">
        <v>87</v>
      </c>
      <c r="C8" s="2" t="s">
        <v>88</v>
      </c>
      <c r="D8" s="2" t="s">
        <v>4</v>
      </c>
      <c r="E8" s="2" t="s">
        <v>2</v>
      </c>
      <c r="F8" s="2">
        <v>0.42</v>
      </c>
      <c r="G8" s="3">
        <v>3.3000000000000002E-2</v>
      </c>
      <c r="H8" s="2">
        <v>1200</v>
      </c>
      <c r="I8" s="2">
        <v>300</v>
      </c>
      <c r="J8" s="2"/>
      <c r="K8" s="2"/>
      <c r="L8" s="2"/>
      <c r="M8" s="2"/>
      <c r="N8" s="8">
        <f t="shared" si="0"/>
        <v>0</v>
      </c>
      <c r="O8" s="2"/>
      <c r="P8" s="2"/>
      <c r="Q8" s="2"/>
      <c r="R8" s="19"/>
      <c r="S8" s="2"/>
      <c r="T8" s="2"/>
      <c r="U8" s="19"/>
      <c r="V8" s="2"/>
      <c r="W8" s="2"/>
      <c r="X8" s="2"/>
      <c r="Y8" s="2"/>
      <c r="Z8" s="2">
        <v>1500</v>
      </c>
      <c r="AA8" s="2"/>
      <c r="AB8" s="2"/>
      <c r="AC8" s="2"/>
      <c r="AD8" s="2"/>
      <c r="AE8" s="2"/>
      <c r="AF8" s="2"/>
      <c r="AG8" s="2"/>
      <c r="AH8" s="2"/>
      <c r="AI8" s="2"/>
      <c r="AJ8" s="7">
        <f t="shared" si="1"/>
        <v>49.5</v>
      </c>
      <c r="AK8" s="7">
        <v>1000</v>
      </c>
      <c r="AL8" s="7">
        <v>0</v>
      </c>
      <c r="AM8" s="8">
        <f t="shared" si="2"/>
        <v>0</v>
      </c>
      <c r="AN8" s="8">
        <v>0</v>
      </c>
      <c r="AO8" s="8">
        <f t="shared" si="3"/>
        <v>0</v>
      </c>
      <c r="AP8" s="8">
        <f t="shared" si="4"/>
        <v>0</v>
      </c>
      <c r="AQ8" s="8">
        <v>0</v>
      </c>
      <c r="AR8" s="8">
        <v>0</v>
      </c>
      <c r="AS8" s="8" t="s">
        <v>119</v>
      </c>
      <c r="AT8" s="8" t="s">
        <v>121</v>
      </c>
      <c r="AV8" s="14" t="s">
        <v>113</v>
      </c>
      <c r="AW8" s="15">
        <v>0</v>
      </c>
      <c r="AX8"/>
      <c r="BA8" s="1">
        <v>1300</v>
      </c>
    </row>
    <row r="9" spans="2:53" x14ac:dyDescent="0.25">
      <c r="B9" s="2" t="s">
        <v>87</v>
      </c>
      <c r="C9" s="2" t="s">
        <v>88</v>
      </c>
      <c r="D9" s="2" t="s">
        <v>5</v>
      </c>
      <c r="E9" s="2" t="s">
        <v>2</v>
      </c>
      <c r="F9" s="2">
        <v>0.42</v>
      </c>
      <c r="G9" s="3">
        <v>1.9E-2</v>
      </c>
      <c r="H9" s="2">
        <v>200</v>
      </c>
      <c r="I9" s="2">
        <v>500</v>
      </c>
      <c r="J9" s="2"/>
      <c r="K9" s="2"/>
      <c r="L9" s="2"/>
      <c r="M9" s="2"/>
      <c r="N9" s="8">
        <f t="shared" si="0"/>
        <v>0</v>
      </c>
      <c r="O9" s="2"/>
      <c r="P9" s="2"/>
      <c r="Q9" s="2"/>
      <c r="R9" s="19"/>
      <c r="S9" s="2"/>
      <c r="T9" s="2"/>
      <c r="U9" s="19"/>
      <c r="V9" s="2"/>
      <c r="W9" s="2"/>
      <c r="X9" s="2"/>
      <c r="Y9" s="2"/>
      <c r="Z9" s="2"/>
      <c r="AA9" s="2"/>
      <c r="AB9" s="2"/>
      <c r="AC9" s="2"/>
      <c r="AD9" s="2"/>
      <c r="AE9" s="2"/>
      <c r="AF9" s="2">
        <v>700</v>
      </c>
      <c r="AG9" s="2"/>
      <c r="AH9" s="2"/>
      <c r="AI9" s="2"/>
      <c r="AJ9" s="7">
        <f t="shared" si="1"/>
        <v>13.299999999999999</v>
      </c>
      <c r="AK9" s="7">
        <v>1000</v>
      </c>
      <c r="AL9" s="7">
        <v>0</v>
      </c>
      <c r="AM9" s="8">
        <f t="shared" si="2"/>
        <v>0</v>
      </c>
      <c r="AN9" s="8">
        <v>0</v>
      </c>
      <c r="AO9" s="8">
        <f t="shared" si="3"/>
        <v>0</v>
      </c>
      <c r="AP9" s="8">
        <f t="shared" si="4"/>
        <v>0</v>
      </c>
      <c r="AQ9" s="8">
        <v>0</v>
      </c>
      <c r="AR9" s="8">
        <v>0</v>
      </c>
      <c r="AS9" s="8" t="s">
        <v>119</v>
      </c>
      <c r="AT9" s="8" t="s">
        <v>121</v>
      </c>
      <c r="AV9" s="14" t="s">
        <v>110</v>
      </c>
      <c r="AW9" s="15">
        <v>864</v>
      </c>
      <c r="AX9"/>
      <c r="BA9" s="1">
        <v>0</v>
      </c>
    </row>
    <row r="10" spans="2:53" x14ac:dyDescent="0.25">
      <c r="B10" s="2" t="s">
        <v>87</v>
      </c>
      <c r="C10" s="2" t="s">
        <v>88</v>
      </c>
      <c r="D10" s="2" t="s">
        <v>6</v>
      </c>
      <c r="E10" s="2" t="s">
        <v>2</v>
      </c>
      <c r="F10" s="2">
        <v>0.42</v>
      </c>
      <c r="G10" s="3">
        <v>0.03</v>
      </c>
      <c r="H10" s="2">
        <v>400</v>
      </c>
      <c r="I10" s="2">
        <v>0</v>
      </c>
      <c r="J10" s="2"/>
      <c r="K10" s="2"/>
      <c r="L10" s="2"/>
      <c r="M10" s="2"/>
      <c r="N10" s="8">
        <f t="shared" si="0"/>
        <v>400</v>
      </c>
      <c r="O10" s="2"/>
      <c r="P10" s="2"/>
      <c r="Q10" s="2"/>
      <c r="R10" s="19"/>
      <c r="S10" s="2"/>
      <c r="T10" s="2"/>
      <c r="U10" s="19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7">
        <f t="shared" si="1"/>
        <v>12</v>
      </c>
      <c r="AK10" s="7">
        <v>1000</v>
      </c>
      <c r="AL10" s="7">
        <v>0</v>
      </c>
      <c r="AM10" s="8">
        <f t="shared" si="2"/>
        <v>0</v>
      </c>
      <c r="AN10" s="8">
        <v>0</v>
      </c>
      <c r="AO10" s="8">
        <f t="shared" si="3"/>
        <v>0</v>
      </c>
      <c r="AP10" s="8">
        <f t="shared" si="4"/>
        <v>0</v>
      </c>
      <c r="AQ10" s="8">
        <v>0</v>
      </c>
      <c r="AR10" s="8">
        <v>0</v>
      </c>
      <c r="AS10" s="8" t="s">
        <v>119</v>
      </c>
      <c r="AT10" s="8" t="s">
        <v>121</v>
      </c>
      <c r="AV10" s="14" t="s">
        <v>116</v>
      </c>
      <c r="AW10" s="15">
        <v>0</v>
      </c>
      <c r="AX10"/>
      <c r="BA10" s="1">
        <v>1000</v>
      </c>
    </row>
    <row r="11" spans="2:53" x14ac:dyDescent="0.25">
      <c r="B11" s="2" t="s">
        <v>87</v>
      </c>
      <c r="C11" s="2" t="s">
        <v>88</v>
      </c>
      <c r="D11" s="2" t="s">
        <v>7</v>
      </c>
      <c r="E11" s="2" t="s">
        <v>2</v>
      </c>
      <c r="F11" s="2">
        <v>0.42</v>
      </c>
      <c r="G11" s="3">
        <v>2.1999999999999999E-2</v>
      </c>
      <c r="H11" s="2">
        <v>1000</v>
      </c>
      <c r="I11" s="2">
        <v>1000</v>
      </c>
      <c r="J11" s="2"/>
      <c r="K11" s="2"/>
      <c r="L11" s="2"/>
      <c r="M11" s="2"/>
      <c r="N11" s="8">
        <f t="shared" si="0"/>
        <v>0</v>
      </c>
      <c r="O11" s="2"/>
      <c r="P11" s="2"/>
      <c r="Q11" s="2"/>
      <c r="R11" s="19"/>
      <c r="S11" s="2"/>
      <c r="T11" s="2"/>
      <c r="U11" s="19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>
        <v>2000</v>
      </c>
      <c r="AG11" s="2"/>
      <c r="AH11" s="2"/>
      <c r="AI11" s="2"/>
      <c r="AJ11" s="7">
        <f t="shared" si="1"/>
        <v>44</v>
      </c>
      <c r="AK11" s="7">
        <v>1000</v>
      </c>
      <c r="AL11" s="7">
        <v>0</v>
      </c>
      <c r="AM11" s="8">
        <f t="shared" si="2"/>
        <v>0</v>
      </c>
      <c r="AN11" s="8">
        <v>0</v>
      </c>
      <c r="AO11" s="8">
        <f t="shared" si="3"/>
        <v>0</v>
      </c>
      <c r="AP11" s="8">
        <f t="shared" si="4"/>
        <v>0</v>
      </c>
      <c r="AQ11" s="8">
        <v>0</v>
      </c>
      <c r="AR11" s="8">
        <v>0</v>
      </c>
      <c r="AS11" s="8" t="s">
        <v>119</v>
      </c>
      <c r="AT11" s="8" t="s">
        <v>121</v>
      </c>
      <c r="AV11" s="14" t="s">
        <v>111</v>
      </c>
      <c r="AW11" s="15">
        <v>7704</v>
      </c>
      <c r="AX11"/>
      <c r="BA11" s="1">
        <v>1707</v>
      </c>
    </row>
    <row r="12" spans="2:53" x14ac:dyDescent="0.25">
      <c r="B12" s="2" t="s">
        <v>87</v>
      </c>
      <c r="C12" s="2" t="s">
        <v>88</v>
      </c>
      <c r="D12" s="2" t="s">
        <v>8</v>
      </c>
      <c r="E12" s="2" t="s">
        <v>2</v>
      </c>
      <c r="F12" s="2">
        <v>0.42</v>
      </c>
      <c r="G12" s="3">
        <v>2.3E-2</v>
      </c>
      <c r="H12" s="2">
        <v>0</v>
      </c>
      <c r="I12" s="2">
        <v>500</v>
      </c>
      <c r="J12" s="2"/>
      <c r="K12" s="2"/>
      <c r="L12" s="2"/>
      <c r="M12" s="2"/>
      <c r="N12" s="8">
        <f t="shared" si="0"/>
        <v>0</v>
      </c>
      <c r="O12" s="2"/>
      <c r="P12" s="2"/>
      <c r="Q12" s="2"/>
      <c r="R12" s="19"/>
      <c r="S12" s="2"/>
      <c r="T12" s="2"/>
      <c r="U12" s="19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>
        <v>500</v>
      </c>
      <c r="AG12" s="2"/>
      <c r="AH12" s="2"/>
      <c r="AI12" s="2"/>
      <c r="AJ12" s="7">
        <f t="shared" si="1"/>
        <v>11.5</v>
      </c>
      <c r="AK12" s="7">
        <v>1000</v>
      </c>
      <c r="AL12" s="7">
        <v>0</v>
      </c>
      <c r="AM12" s="8">
        <f t="shared" si="2"/>
        <v>0</v>
      </c>
      <c r="AN12" s="8">
        <v>0</v>
      </c>
      <c r="AO12" s="8">
        <f t="shared" si="3"/>
        <v>0</v>
      </c>
      <c r="AP12" s="8">
        <f t="shared" si="4"/>
        <v>0</v>
      </c>
      <c r="AQ12" s="8">
        <v>0</v>
      </c>
      <c r="AR12" s="8">
        <v>0</v>
      </c>
      <c r="AS12" s="8" t="s">
        <v>119</v>
      </c>
      <c r="AT12" s="8" t="s">
        <v>121</v>
      </c>
      <c r="AV12" s="14" t="s">
        <v>112</v>
      </c>
      <c r="AW12" s="15">
        <v>3840</v>
      </c>
      <c r="AX12"/>
      <c r="BA12" s="1">
        <v>0</v>
      </c>
    </row>
    <row r="13" spans="2:53" x14ac:dyDescent="0.25">
      <c r="B13" s="2" t="s">
        <v>87</v>
      </c>
      <c r="C13" s="2" t="s">
        <v>88</v>
      </c>
      <c r="D13" s="2" t="s">
        <v>9</v>
      </c>
      <c r="E13" s="2" t="s">
        <v>10</v>
      </c>
      <c r="F13" s="2">
        <v>2.8000000000000001E-2</v>
      </c>
      <c r="G13" s="3">
        <v>5.7000000000000002E-2</v>
      </c>
      <c r="H13" s="2">
        <v>1600</v>
      </c>
      <c r="I13" s="2">
        <v>0</v>
      </c>
      <c r="J13" s="2"/>
      <c r="K13" s="2"/>
      <c r="L13" s="2"/>
      <c r="M13" s="2"/>
      <c r="N13" s="8">
        <f t="shared" si="0"/>
        <v>0</v>
      </c>
      <c r="O13" s="2"/>
      <c r="P13" s="2"/>
      <c r="Q13" s="2"/>
      <c r="R13" s="19"/>
      <c r="S13" s="2"/>
      <c r="T13" s="2"/>
      <c r="U13" s="19"/>
      <c r="V13" s="2">
        <v>300</v>
      </c>
      <c r="W13" s="2"/>
      <c r="X13" s="2"/>
      <c r="Y13" s="2"/>
      <c r="Z13" s="2"/>
      <c r="AA13" s="2">
        <v>1300</v>
      </c>
      <c r="AB13" s="2"/>
      <c r="AC13" s="2"/>
      <c r="AD13" s="2"/>
      <c r="AE13" s="2"/>
      <c r="AF13" s="2"/>
      <c r="AG13" s="2"/>
      <c r="AH13" s="2"/>
      <c r="AI13" s="2"/>
      <c r="AJ13" s="7">
        <f t="shared" si="1"/>
        <v>91.2</v>
      </c>
      <c r="AK13" s="7">
        <v>1000</v>
      </c>
      <c r="AL13" s="7">
        <v>0</v>
      </c>
      <c r="AM13" s="8">
        <f t="shared" si="2"/>
        <v>0</v>
      </c>
      <c r="AN13" s="8">
        <v>0</v>
      </c>
      <c r="AO13" s="8">
        <f t="shared" si="3"/>
        <v>0</v>
      </c>
      <c r="AP13" s="8">
        <f t="shared" si="4"/>
        <v>0</v>
      </c>
      <c r="AQ13" s="8">
        <v>0</v>
      </c>
      <c r="AR13" s="8">
        <v>0</v>
      </c>
      <c r="AS13" s="8" t="s">
        <v>119</v>
      </c>
      <c r="AT13" s="8" t="s">
        <v>121</v>
      </c>
      <c r="AV13" s="14" t="s">
        <v>114</v>
      </c>
      <c r="AW13" s="15">
        <v>1280</v>
      </c>
      <c r="AX13"/>
      <c r="BA13" s="1">
        <v>-3900</v>
      </c>
    </row>
    <row r="14" spans="2:53" x14ac:dyDescent="0.25">
      <c r="B14" s="2" t="s">
        <v>87</v>
      </c>
      <c r="C14" s="2" t="s">
        <v>88</v>
      </c>
      <c r="D14" s="2" t="s">
        <v>11</v>
      </c>
      <c r="E14" s="2" t="s">
        <v>10</v>
      </c>
      <c r="F14" s="2">
        <v>2.8000000000000001E-2</v>
      </c>
      <c r="G14" s="3">
        <v>4.3999999999999997E-2</v>
      </c>
      <c r="H14" s="2">
        <v>2500</v>
      </c>
      <c r="I14" s="2">
        <v>0</v>
      </c>
      <c r="J14" s="2"/>
      <c r="K14" s="2"/>
      <c r="L14" s="2"/>
      <c r="M14" s="2"/>
      <c r="N14" s="8">
        <f t="shared" si="0"/>
        <v>1500</v>
      </c>
      <c r="O14" s="2"/>
      <c r="P14" s="2"/>
      <c r="Q14" s="2"/>
      <c r="R14" s="19"/>
      <c r="S14" s="2"/>
      <c r="T14" s="2"/>
      <c r="U14" s="19"/>
      <c r="V14" s="2"/>
      <c r="W14" s="2"/>
      <c r="X14" s="2"/>
      <c r="Y14" s="2"/>
      <c r="Z14" s="2"/>
      <c r="AA14" s="2"/>
      <c r="AB14" s="2"/>
      <c r="AC14" s="2"/>
      <c r="AD14" s="2"/>
      <c r="AE14" s="2">
        <v>1000</v>
      </c>
      <c r="AF14" s="2"/>
      <c r="AG14" s="2"/>
      <c r="AH14" s="2"/>
      <c r="AI14" s="2"/>
      <c r="AJ14" s="7">
        <f t="shared" si="1"/>
        <v>110</v>
      </c>
      <c r="AK14" s="7">
        <v>1000</v>
      </c>
      <c r="AL14" s="7">
        <v>0</v>
      </c>
      <c r="AM14" s="8">
        <f t="shared" si="2"/>
        <v>0</v>
      </c>
      <c r="AN14" s="8">
        <v>0</v>
      </c>
      <c r="AO14" s="8">
        <f t="shared" si="3"/>
        <v>0</v>
      </c>
      <c r="AP14" s="8">
        <f t="shared" si="4"/>
        <v>0</v>
      </c>
      <c r="AQ14" s="8">
        <v>0</v>
      </c>
      <c r="AR14" s="8">
        <v>0</v>
      </c>
      <c r="AS14" s="8" t="s">
        <v>119</v>
      </c>
      <c r="AT14" s="8" t="s">
        <v>121</v>
      </c>
      <c r="AV14" s="14" t="s">
        <v>115</v>
      </c>
      <c r="AW14" s="15">
        <v>384</v>
      </c>
      <c r="AX14"/>
      <c r="BA14" s="1">
        <v>-2966</v>
      </c>
    </row>
    <row r="15" spans="2:53" x14ac:dyDescent="0.25">
      <c r="B15" s="2" t="s">
        <v>87</v>
      </c>
      <c r="C15" s="2" t="s">
        <v>88</v>
      </c>
      <c r="D15" s="2" t="s">
        <v>12</v>
      </c>
      <c r="E15" s="2" t="s">
        <v>10</v>
      </c>
      <c r="F15" s="2">
        <v>2.8000000000000001E-2</v>
      </c>
      <c r="G15" s="3">
        <v>1.4999999999999999E-2</v>
      </c>
      <c r="H15" s="2">
        <v>2500</v>
      </c>
      <c r="I15" s="2">
        <v>0</v>
      </c>
      <c r="J15" s="2"/>
      <c r="K15" s="2"/>
      <c r="L15" s="2"/>
      <c r="M15" s="2"/>
      <c r="N15" s="8">
        <f t="shared" si="0"/>
        <v>800</v>
      </c>
      <c r="O15" s="2"/>
      <c r="P15" s="2"/>
      <c r="Q15" s="2"/>
      <c r="R15" s="19"/>
      <c r="S15" s="2"/>
      <c r="T15" s="2"/>
      <c r="U15" s="19"/>
      <c r="V15" s="2"/>
      <c r="W15" s="2"/>
      <c r="X15" s="2"/>
      <c r="Y15" s="2"/>
      <c r="Z15" s="2">
        <v>900</v>
      </c>
      <c r="AA15" s="2"/>
      <c r="AB15" s="2"/>
      <c r="AC15" s="2"/>
      <c r="AD15" s="2"/>
      <c r="AE15" s="2"/>
      <c r="AF15" s="2"/>
      <c r="AG15" s="2">
        <v>800</v>
      </c>
      <c r="AH15" s="2"/>
      <c r="AI15" s="2"/>
      <c r="AJ15" s="7">
        <f t="shared" si="1"/>
        <v>37.5</v>
      </c>
      <c r="AK15" s="7">
        <v>1000</v>
      </c>
      <c r="AL15" s="7">
        <v>0</v>
      </c>
      <c r="AM15" s="8">
        <f t="shared" si="2"/>
        <v>0</v>
      </c>
      <c r="AN15" s="8">
        <v>0</v>
      </c>
      <c r="AO15" s="8">
        <f t="shared" si="3"/>
        <v>0</v>
      </c>
      <c r="AP15" s="8">
        <f t="shared" si="4"/>
        <v>0</v>
      </c>
      <c r="AQ15" s="8">
        <v>0</v>
      </c>
      <c r="AR15" s="8">
        <v>0</v>
      </c>
      <c r="AS15" s="8" t="s">
        <v>119</v>
      </c>
      <c r="AT15" s="8" t="s">
        <v>121</v>
      </c>
      <c r="AV15" s="14" t="s">
        <v>124</v>
      </c>
      <c r="AW15" s="15">
        <v>14200</v>
      </c>
      <c r="AX15"/>
      <c r="BA15" s="1">
        <v>2400</v>
      </c>
    </row>
    <row r="16" spans="2:53" x14ac:dyDescent="0.25">
      <c r="B16" s="2" t="s">
        <v>87</v>
      </c>
      <c r="C16" s="2" t="s">
        <v>88</v>
      </c>
      <c r="D16" s="2" t="s">
        <v>13</v>
      </c>
      <c r="E16" s="2" t="s">
        <v>10</v>
      </c>
      <c r="F16" s="2">
        <v>2.8000000000000001E-2</v>
      </c>
      <c r="G16" s="3">
        <v>1.9E-2</v>
      </c>
      <c r="H16" s="2">
        <v>500</v>
      </c>
      <c r="I16" s="2">
        <v>0</v>
      </c>
      <c r="J16" s="2"/>
      <c r="K16" s="2"/>
      <c r="L16" s="2"/>
      <c r="M16" s="2"/>
      <c r="N16" s="8">
        <f t="shared" si="0"/>
        <v>100</v>
      </c>
      <c r="O16" s="2"/>
      <c r="P16" s="2"/>
      <c r="Q16" s="2"/>
      <c r="R16" s="19"/>
      <c r="S16" s="2"/>
      <c r="T16" s="2"/>
      <c r="U16" s="19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>
        <v>400</v>
      </c>
      <c r="AH16" s="2"/>
      <c r="AI16" s="2"/>
      <c r="AJ16" s="7">
        <f t="shared" si="1"/>
        <v>9.5</v>
      </c>
      <c r="AK16" s="7">
        <v>1000</v>
      </c>
      <c r="AL16" s="7">
        <v>0</v>
      </c>
      <c r="AM16" s="8">
        <f t="shared" si="2"/>
        <v>0</v>
      </c>
      <c r="AN16" s="8">
        <v>0</v>
      </c>
      <c r="AO16" s="8">
        <f t="shared" si="3"/>
        <v>0</v>
      </c>
      <c r="AP16" s="8">
        <f t="shared" si="4"/>
        <v>0</v>
      </c>
      <c r="AQ16" s="8">
        <v>0</v>
      </c>
      <c r="AR16" s="8">
        <v>0</v>
      </c>
      <c r="AS16" s="8" t="s">
        <v>119</v>
      </c>
      <c r="AT16" s="8" t="s">
        <v>121</v>
      </c>
      <c r="AV16"/>
      <c r="AW16"/>
      <c r="AX16"/>
      <c r="BA16" s="1">
        <v>400</v>
      </c>
    </row>
    <row r="17" spans="2:53" x14ac:dyDescent="0.25">
      <c r="B17" s="2" t="s">
        <v>87</v>
      </c>
      <c r="C17" s="2" t="s">
        <v>88</v>
      </c>
      <c r="D17" s="2" t="s">
        <v>14</v>
      </c>
      <c r="E17" s="2" t="s">
        <v>10</v>
      </c>
      <c r="F17" s="2">
        <v>2.8000000000000001E-2</v>
      </c>
      <c r="G17" s="3">
        <v>2.4E-2</v>
      </c>
      <c r="H17" s="2">
        <v>3700</v>
      </c>
      <c r="I17" s="2">
        <v>0</v>
      </c>
      <c r="J17" s="2"/>
      <c r="K17" s="2"/>
      <c r="L17" s="2"/>
      <c r="M17" s="2"/>
      <c r="N17" s="8">
        <f t="shared" si="0"/>
        <v>-900</v>
      </c>
      <c r="O17" s="2"/>
      <c r="P17" s="2"/>
      <c r="Q17" s="2"/>
      <c r="R17" s="19"/>
      <c r="S17" s="2"/>
      <c r="T17" s="2"/>
      <c r="U17" s="19"/>
      <c r="V17" s="2">
        <v>300</v>
      </c>
      <c r="W17" s="2"/>
      <c r="X17" s="2">
        <v>1200</v>
      </c>
      <c r="Y17" s="2">
        <v>1500</v>
      </c>
      <c r="Z17" s="2"/>
      <c r="AA17" s="2">
        <v>200</v>
      </c>
      <c r="AB17" s="2">
        <v>1400</v>
      </c>
      <c r="AC17" s="2"/>
      <c r="AD17" s="2"/>
      <c r="AE17" s="2"/>
      <c r="AF17" s="2"/>
      <c r="AG17" s="2"/>
      <c r="AH17" s="2"/>
      <c r="AI17" s="2"/>
      <c r="AJ17" s="7">
        <f t="shared" si="1"/>
        <v>88.8</v>
      </c>
      <c r="AK17" s="7">
        <v>1000</v>
      </c>
      <c r="AL17" s="7">
        <v>0</v>
      </c>
      <c r="AM17" s="8">
        <f t="shared" si="2"/>
        <v>0</v>
      </c>
      <c r="AN17" s="8">
        <v>0</v>
      </c>
      <c r="AO17" s="8">
        <f t="shared" si="3"/>
        <v>0</v>
      </c>
      <c r="AP17" s="8">
        <f t="shared" si="4"/>
        <v>0</v>
      </c>
      <c r="AQ17" s="8">
        <v>0</v>
      </c>
      <c r="AR17" s="8">
        <v>0</v>
      </c>
      <c r="AS17" s="8" t="s">
        <v>119</v>
      </c>
      <c r="AT17" s="8" t="s">
        <v>121</v>
      </c>
      <c r="AV17"/>
      <c r="AW17"/>
      <c r="AX17"/>
      <c r="BA17" s="1">
        <v>3600</v>
      </c>
    </row>
    <row r="18" spans="2:53" x14ac:dyDescent="0.25">
      <c r="B18" s="2" t="s">
        <v>87</v>
      </c>
      <c r="C18" s="2" t="s">
        <v>88</v>
      </c>
      <c r="D18" s="2" t="s">
        <v>15</v>
      </c>
      <c r="E18" s="2" t="s">
        <v>10</v>
      </c>
      <c r="F18" s="2">
        <v>2.8000000000000001E-2</v>
      </c>
      <c r="G18" s="3">
        <v>1.9E-2</v>
      </c>
      <c r="H18" s="2">
        <v>800</v>
      </c>
      <c r="I18" s="2">
        <v>0</v>
      </c>
      <c r="J18" s="2"/>
      <c r="K18" s="2"/>
      <c r="L18" s="2"/>
      <c r="M18" s="2"/>
      <c r="N18" s="8">
        <f t="shared" si="0"/>
        <v>800</v>
      </c>
      <c r="O18" s="2"/>
      <c r="P18" s="2"/>
      <c r="Q18" s="2"/>
      <c r="R18" s="19"/>
      <c r="S18" s="2"/>
      <c r="T18" s="2"/>
      <c r="U18" s="19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7">
        <f t="shared" si="1"/>
        <v>15.2</v>
      </c>
      <c r="AK18" s="7">
        <v>1000</v>
      </c>
      <c r="AL18" s="7">
        <v>0</v>
      </c>
      <c r="AM18" s="8">
        <f t="shared" si="2"/>
        <v>0</v>
      </c>
      <c r="AN18" s="8">
        <v>0</v>
      </c>
      <c r="AO18" s="8">
        <f t="shared" si="3"/>
        <v>0</v>
      </c>
      <c r="AP18" s="8">
        <f t="shared" si="4"/>
        <v>0</v>
      </c>
      <c r="AQ18" s="8">
        <v>0</v>
      </c>
      <c r="AR18" s="8">
        <v>0</v>
      </c>
      <c r="AS18" s="8" t="s">
        <v>119</v>
      </c>
      <c r="AT18" s="8" t="s">
        <v>121</v>
      </c>
      <c r="AV18"/>
      <c r="AW18"/>
      <c r="AX18"/>
      <c r="BA18" s="1">
        <v>0</v>
      </c>
    </row>
    <row r="19" spans="2:53" x14ac:dyDescent="0.25">
      <c r="B19" s="2" t="s">
        <v>87</v>
      </c>
      <c r="C19" s="2" t="s">
        <v>88</v>
      </c>
      <c r="D19" s="2" t="s">
        <v>16</v>
      </c>
      <c r="E19" s="2" t="s">
        <v>17</v>
      </c>
      <c r="F19" s="2">
        <v>2.8000000000000001E-2</v>
      </c>
      <c r="G19" s="3">
        <v>8.5999999999999993E-2</v>
      </c>
      <c r="H19" s="2">
        <v>0</v>
      </c>
      <c r="I19" s="2">
        <v>0</v>
      </c>
      <c r="J19" s="2"/>
      <c r="K19" s="2"/>
      <c r="L19" s="2"/>
      <c r="M19" s="2"/>
      <c r="N19" s="8">
        <f t="shared" si="0"/>
        <v>0</v>
      </c>
      <c r="O19" s="2"/>
      <c r="P19" s="2"/>
      <c r="Q19" s="2"/>
      <c r="R19" s="19"/>
      <c r="S19" s="2"/>
      <c r="T19" s="2"/>
      <c r="U19" s="19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7">
        <f t="shared" si="1"/>
        <v>0</v>
      </c>
      <c r="AK19" s="7">
        <v>100</v>
      </c>
      <c r="AL19" s="7">
        <v>0</v>
      </c>
      <c r="AM19" s="8">
        <f t="shared" si="2"/>
        <v>0</v>
      </c>
      <c r="AN19" s="8">
        <v>0</v>
      </c>
      <c r="AO19" s="8">
        <f t="shared" si="3"/>
        <v>0</v>
      </c>
      <c r="AP19" s="8">
        <f t="shared" si="4"/>
        <v>0</v>
      </c>
      <c r="AQ19" s="8">
        <v>0</v>
      </c>
      <c r="AR19" s="8">
        <v>0</v>
      </c>
      <c r="AS19" s="8" t="s">
        <v>119</v>
      </c>
      <c r="AT19" s="8" t="s">
        <v>121</v>
      </c>
      <c r="AV19"/>
      <c r="AW19"/>
      <c r="AX19"/>
      <c r="BA19" s="1">
        <v>-55</v>
      </c>
    </row>
    <row r="20" spans="2:53" x14ac:dyDescent="0.25">
      <c r="B20" s="2" t="s">
        <v>87</v>
      </c>
      <c r="C20" s="2" t="s">
        <v>88</v>
      </c>
      <c r="D20" s="2" t="s">
        <v>18</v>
      </c>
      <c r="E20" s="2" t="s">
        <v>17</v>
      </c>
      <c r="F20" s="2">
        <v>2.8000000000000001E-2</v>
      </c>
      <c r="G20" s="3">
        <v>0.11700000000000001</v>
      </c>
      <c r="H20" s="2">
        <v>0</v>
      </c>
      <c r="I20" s="2">
        <v>0</v>
      </c>
      <c r="J20" s="2"/>
      <c r="K20" s="2"/>
      <c r="L20" s="2"/>
      <c r="M20" s="2"/>
      <c r="N20" s="8">
        <f t="shared" si="0"/>
        <v>0</v>
      </c>
      <c r="O20" s="2"/>
      <c r="P20" s="2"/>
      <c r="Q20" s="2"/>
      <c r="R20" s="19"/>
      <c r="S20" s="2"/>
      <c r="T20" s="2"/>
      <c r="U20" s="19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7">
        <f t="shared" si="1"/>
        <v>0</v>
      </c>
      <c r="AK20" s="7">
        <v>100</v>
      </c>
      <c r="AL20" s="7">
        <v>0</v>
      </c>
      <c r="AM20" s="8">
        <f t="shared" si="2"/>
        <v>0</v>
      </c>
      <c r="AN20" s="8">
        <v>0</v>
      </c>
      <c r="AO20" s="8">
        <f t="shared" si="3"/>
        <v>0</v>
      </c>
      <c r="AP20" s="8">
        <f t="shared" si="4"/>
        <v>0</v>
      </c>
      <c r="AQ20" s="8">
        <v>0</v>
      </c>
      <c r="AR20" s="8">
        <v>0</v>
      </c>
      <c r="AS20" s="8" t="s">
        <v>119</v>
      </c>
      <c r="AT20" s="8" t="s">
        <v>121</v>
      </c>
      <c r="AV20"/>
      <c r="AW20"/>
      <c r="AX20"/>
      <c r="BA20" s="1">
        <v>0</v>
      </c>
    </row>
    <row r="21" spans="2:53" x14ac:dyDescent="0.25">
      <c r="B21" s="2" t="s">
        <v>87</v>
      </c>
      <c r="C21" s="2" t="s">
        <v>88</v>
      </c>
      <c r="D21" s="2" t="s">
        <v>19</v>
      </c>
      <c r="E21" s="2" t="s">
        <v>17</v>
      </c>
      <c r="F21" s="2">
        <v>2.8000000000000001E-2</v>
      </c>
      <c r="G21" s="3">
        <v>0.129</v>
      </c>
      <c r="H21" s="2">
        <v>600</v>
      </c>
      <c r="I21" s="2">
        <v>0</v>
      </c>
      <c r="J21" s="2"/>
      <c r="K21" s="2"/>
      <c r="L21" s="2"/>
      <c r="M21" s="2"/>
      <c r="N21" s="8">
        <f t="shared" si="0"/>
        <v>0</v>
      </c>
      <c r="O21" s="2"/>
      <c r="P21" s="2"/>
      <c r="Q21" s="2"/>
      <c r="R21" s="19"/>
      <c r="S21" s="2"/>
      <c r="T21" s="2"/>
      <c r="U21" s="19"/>
      <c r="V21" s="2"/>
      <c r="W21" s="2"/>
      <c r="X21" s="2">
        <v>457</v>
      </c>
      <c r="Y21" s="2">
        <v>84</v>
      </c>
      <c r="Z21" s="2"/>
      <c r="AA21" s="2"/>
      <c r="AB21" s="2"/>
      <c r="AC21" s="2"/>
      <c r="AD21" s="2"/>
      <c r="AE21" s="2">
        <v>59</v>
      </c>
      <c r="AF21" s="2"/>
      <c r="AG21" s="2"/>
      <c r="AH21" s="2"/>
      <c r="AI21" s="2"/>
      <c r="AJ21" s="7">
        <f t="shared" si="1"/>
        <v>77.400000000000006</v>
      </c>
      <c r="AK21" s="7">
        <v>100</v>
      </c>
      <c r="AL21" s="7">
        <v>0</v>
      </c>
      <c r="AM21" s="8">
        <f t="shared" si="2"/>
        <v>0</v>
      </c>
      <c r="AN21" s="8">
        <v>0</v>
      </c>
      <c r="AO21" s="8">
        <f t="shared" si="3"/>
        <v>0</v>
      </c>
      <c r="AP21" s="8">
        <f t="shared" si="4"/>
        <v>0</v>
      </c>
      <c r="AQ21" s="8">
        <v>0</v>
      </c>
      <c r="AR21" s="8">
        <v>0</v>
      </c>
      <c r="AS21" s="8" t="s">
        <v>119</v>
      </c>
      <c r="AT21" s="8" t="s">
        <v>121</v>
      </c>
      <c r="AV21"/>
      <c r="AW21"/>
      <c r="AX21"/>
      <c r="BA21" s="1">
        <v>-25</v>
      </c>
    </row>
    <row r="22" spans="2:53" x14ac:dyDescent="0.25">
      <c r="B22" s="2" t="s">
        <v>87</v>
      </c>
      <c r="C22" s="2" t="s">
        <v>88</v>
      </c>
      <c r="D22" s="2" t="s">
        <v>20</v>
      </c>
      <c r="E22" s="2" t="s">
        <v>17</v>
      </c>
      <c r="F22" s="2">
        <v>2.8000000000000001E-2</v>
      </c>
      <c r="G22" s="3">
        <v>0.11899999999999999</v>
      </c>
      <c r="H22" s="2">
        <v>1800</v>
      </c>
      <c r="I22" s="2">
        <v>0</v>
      </c>
      <c r="J22" s="2"/>
      <c r="K22" s="2"/>
      <c r="L22" s="2"/>
      <c r="M22" s="2"/>
      <c r="N22" s="8">
        <f t="shared" si="0"/>
        <v>-15</v>
      </c>
      <c r="O22" s="2"/>
      <c r="P22" s="2"/>
      <c r="Q22" s="2"/>
      <c r="R22" s="19"/>
      <c r="S22" s="2"/>
      <c r="T22" s="2">
        <v>800</v>
      </c>
      <c r="U22" s="19">
        <v>1000</v>
      </c>
      <c r="V22" s="2"/>
      <c r="W22" s="2"/>
      <c r="X22" s="2"/>
      <c r="Y22" s="2">
        <v>15</v>
      </c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7">
        <f t="shared" si="1"/>
        <v>214.2</v>
      </c>
      <c r="AK22" s="7">
        <v>100</v>
      </c>
      <c r="AL22" s="7">
        <v>0</v>
      </c>
      <c r="AM22" s="8">
        <f t="shared" si="2"/>
        <v>0</v>
      </c>
      <c r="AN22" s="8">
        <v>0</v>
      </c>
      <c r="AO22" s="8">
        <f t="shared" si="3"/>
        <v>0</v>
      </c>
      <c r="AP22" s="8">
        <f t="shared" si="4"/>
        <v>0</v>
      </c>
      <c r="AQ22" s="8">
        <v>0</v>
      </c>
      <c r="AR22" s="8">
        <v>0</v>
      </c>
      <c r="AS22" s="8" t="s">
        <v>119</v>
      </c>
      <c r="AT22" s="8" t="s">
        <v>121</v>
      </c>
      <c r="AV22"/>
      <c r="AW22"/>
      <c r="AX22"/>
      <c r="BA22" s="1">
        <v>-250</v>
      </c>
    </row>
    <row r="23" spans="2:53" x14ac:dyDescent="0.25">
      <c r="B23" s="2" t="s">
        <v>87</v>
      </c>
      <c r="C23" s="2" t="s">
        <v>88</v>
      </c>
      <c r="D23" s="2" t="s">
        <v>21</v>
      </c>
      <c r="E23" s="2" t="s">
        <v>17</v>
      </c>
      <c r="F23" s="2">
        <v>2.8000000000000001E-2</v>
      </c>
      <c r="G23" s="3">
        <v>0.127</v>
      </c>
      <c r="H23" s="2">
        <v>0</v>
      </c>
      <c r="I23" s="2">
        <v>0</v>
      </c>
      <c r="J23" s="2"/>
      <c r="K23" s="2"/>
      <c r="L23" s="2"/>
      <c r="M23" s="2"/>
      <c r="N23" s="8">
        <f t="shared" si="0"/>
        <v>0</v>
      </c>
      <c r="O23" s="2"/>
      <c r="P23" s="2"/>
      <c r="Q23" s="2"/>
      <c r="R23" s="19"/>
      <c r="S23" s="2"/>
      <c r="T23" s="2"/>
      <c r="U23" s="19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7">
        <f t="shared" si="1"/>
        <v>0</v>
      </c>
      <c r="AK23" s="7">
        <v>100</v>
      </c>
      <c r="AL23" s="7">
        <v>0</v>
      </c>
      <c r="AM23" s="8">
        <f t="shared" si="2"/>
        <v>0</v>
      </c>
      <c r="AN23" s="8">
        <v>0</v>
      </c>
      <c r="AO23" s="8">
        <f t="shared" si="3"/>
        <v>0</v>
      </c>
      <c r="AP23" s="8">
        <f t="shared" si="4"/>
        <v>0</v>
      </c>
      <c r="AQ23" s="8">
        <v>0</v>
      </c>
      <c r="AR23" s="8">
        <v>0</v>
      </c>
      <c r="AS23" s="8" t="s">
        <v>119</v>
      </c>
      <c r="AT23" s="8" t="s">
        <v>121</v>
      </c>
      <c r="BA23" s="1">
        <v>0</v>
      </c>
    </row>
    <row r="24" spans="2:53" x14ac:dyDescent="0.25">
      <c r="B24" s="2" t="s">
        <v>87</v>
      </c>
      <c r="C24" s="2" t="s">
        <v>88</v>
      </c>
      <c r="D24" s="2" t="s">
        <v>22</v>
      </c>
      <c r="E24" s="2" t="s">
        <v>17</v>
      </c>
      <c r="F24" s="2">
        <v>2.8000000000000001E-2</v>
      </c>
      <c r="G24" s="3">
        <v>0.114</v>
      </c>
      <c r="H24" s="2">
        <v>600</v>
      </c>
      <c r="I24" s="2">
        <v>0</v>
      </c>
      <c r="J24" s="2"/>
      <c r="K24" s="2"/>
      <c r="L24" s="2"/>
      <c r="M24" s="2"/>
      <c r="N24" s="8">
        <f t="shared" si="0"/>
        <v>0</v>
      </c>
      <c r="O24" s="2"/>
      <c r="P24" s="2"/>
      <c r="Q24" s="2"/>
      <c r="R24" s="19"/>
      <c r="S24" s="2"/>
      <c r="T24" s="2"/>
      <c r="U24" s="19"/>
      <c r="V24" s="2"/>
      <c r="W24" s="2">
        <v>425</v>
      </c>
      <c r="X24" s="2">
        <v>166</v>
      </c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>
        <v>9</v>
      </c>
      <c r="AJ24" s="7">
        <f t="shared" si="1"/>
        <v>68.400000000000006</v>
      </c>
      <c r="AK24" s="7">
        <v>100</v>
      </c>
      <c r="AL24" s="7">
        <v>0</v>
      </c>
      <c r="AM24" s="8">
        <f t="shared" si="2"/>
        <v>0</v>
      </c>
      <c r="AN24" s="8">
        <v>0</v>
      </c>
      <c r="AO24" s="8">
        <f t="shared" si="3"/>
        <v>0</v>
      </c>
      <c r="AP24" s="8">
        <f t="shared" si="4"/>
        <v>0</v>
      </c>
      <c r="AQ24" s="8">
        <v>0</v>
      </c>
      <c r="AR24" s="8">
        <v>0</v>
      </c>
      <c r="AS24" s="8" t="s">
        <v>119</v>
      </c>
      <c r="AT24" s="8" t="s">
        <v>121</v>
      </c>
      <c r="BA24" s="1">
        <v>-55</v>
      </c>
    </row>
    <row r="25" spans="2:53" x14ac:dyDescent="0.25">
      <c r="B25" s="2" t="s">
        <v>87</v>
      </c>
      <c r="C25" s="2" t="s">
        <v>88</v>
      </c>
      <c r="D25" s="2" t="s">
        <v>23</v>
      </c>
      <c r="E25" s="2" t="s">
        <v>17</v>
      </c>
      <c r="F25" s="2">
        <v>2.8000000000000001E-2</v>
      </c>
      <c r="G25" s="3">
        <v>6.9000000000000006E-2</v>
      </c>
      <c r="H25" s="2">
        <v>1200</v>
      </c>
      <c r="I25" s="2">
        <v>0</v>
      </c>
      <c r="J25" s="2"/>
      <c r="K25" s="2"/>
      <c r="L25" s="2"/>
      <c r="M25" s="2"/>
      <c r="N25" s="8">
        <f t="shared" si="0"/>
        <v>-60</v>
      </c>
      <c r="O25" s="2"/>
      <c r="P25" s="2"/>
      <c r="Q25" s="2"/>
      <c r="R25" s="19"/>
      <c r="S25" s="2"/>
      <c r="T25" s="2"/>
      <c r="U25" s="19"/>
      <c r="V25" s="2"/>
      <c r="W25" s="2">
        <v>1260</v>
      </c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7">
        <f t="shared" si="1"/>
        <v>82.800000000000011</v>
      </c>
      <c r="AK25" s="7">
        <v>100</v>
      </c>
      <c r="AL25" s="7">
        <v>0</v>
      </c>
      <c r="AM25" s="8">
        <f t="shared" si="2"/>
        <v>0</v>
      </c>
      <c r="AN25" s="8">
        <v>0</v>
      </c>
      <c r="AO25" s="8">
        <f t="shared" si="3"/>
        <v>0</v>
      </c>
      <c r="AP25" s="8">
        <f t="shared" si="4"/>
        <v>0</v>
      </c>
      <c r="AQ25" s="8">
        <v>0</v>
      </c>
      <c r="AR25" s="8">
        <v>0</v>
      </c>
      <c r="AS25" s="8" t="s">
        <v>119</v>
      </c>
      <c r="AT25" s="8" t="s">
        <v>121</v>
      </c>
      <c r="BA25" s="1">
        <v>-50</v>
      </c>
    </row>
    <row r="26" spans="2:53" x14ac:dyDescent="0.25">
      <c r="B26" s="2" t="s">
        <v>87</v>
      </c>
      <c r="C26" s="2" t="s">
        <v>88</v>
      </c>
      <c r="D26" s="2" t="s">
        <v>24</v>
      </c>
      <c r="E26" s="2" t="s">
        <v>17</v>
      </c>
      <c r="F26" s="2">
        <v>2.8000000000000001E-2</v>
      </c>
      <c r="G26" s="3">
        <v>0.129</v>
      </c>
      <c r="H26" s="2">
        <v>600</v>
      </c>
      <c r="I26" s="2">
        <v>0</v>
      </c>
      <c r="J26" s="2"/>
      <c r="K26" s="2"/>
      <c r="L26" s="2"/>
      <c r="M26" s="2"/>
      <c r="N26" s="8">
        <f t="shared" si="0"/>
        <v>0</v>
      </c>
      <c r="O26" s="2"/>
      <c r="P26" s="2"/>
      <c r="Q26" s="2"/>
      <c r="R26" s="19"/>
      <c r="S26" s="2"/>
      <c r="T26" s="2"/>
      <c r="U26" s="19"/>
      <c r="V26" s="2"/>
      <c r="W26" s="2"/>
      <c r="X26" s="2"/>
      <c r="Y26" s="2"/>
      <c r="Z26" s="2">
        <v>600</v>
      </c>
      <c r="AA26" s="2"/>
      <c r="AB26" s="2"/>
      <c r="AC26" s="2"/>
      <c r="AD26" s="2"/>
      <c r="AE26" s="2"/>
      <c r="AF26" s="2"/>
      <c r="AG26" s="2"/>
      <c r="AH26" s="2"/>
      <c r="AI26" s="2"/>
      <c r="AJ26" s="7">
        <f t="shared" si="1"/>
        <v>77.400000000000006</v>
      </c>
      <c r="AK26" s="7">
        <v>100</v>
      </c>
      <c r="AL26" s="7">
        <v>0</v>
      </c>
      <c r="AM26" s="8">
        <f t="shared" si="2"/>
        <v>0</v>
      </c>
      <c r="AN26" s="8">
        <v>0</v>
      </c>
      <c r="AO26" s="8">
        <f t="shared" si="3"/>
        <v>0</v>
      </c>
      <c r="AP26" s="8">
        <f t="shared" si="4"/>
        <v>0</v>
      </c>
      <c r="AQ26" s="8">
        <v>0</v>
      </c>
      <c r="AR26" s="8">
        <v>0</v>
      </c>
      <c r="AS26" s="8" t="s">
        <v>119</v>
      </c>
      <c r="AT26" s="8" t="s">
        <v>121</v>
      </c>
      <c r="BA26" s="1">
        <v>0</v>
      </c>
    </row>
    <row r="27" spans="2:53" x14ac:dyDescent="0.25">
      <c r="B27" s="2" t="s">
        <v>87</v>
      </c>
      <c r="C27" s="2" t="s">
        <v>88</v>
      </c>
      <c r="D27" s="2" t="s">
        <v>25</v>
      </c>
      <c r="E27" s="2" t="s">
        <v>17</v>
      </c>
      <c r="F27" s="2">
        <v>2.8000000000000001E-2</v>
      </c>
      <c r="G27" s="3">
        <v>7.8E-2</v>
      </c>
      <c r="H27" s="2">
        <v>600</v>
      </c>
      <c r="I27" s="2">
        <v>0</v>
      </c>
      <c r="J27" s="2"/>
      <c r="K27" s="2"/>
      <c r="L27" s="2"/>
      <c r="M27" s="2"/>
      <c r="N27" s="8">
        <f t="shared" si="0"/>
        <v>0</v>
      </c>
      <c r="O27" s="2"/>
      <c r="P27" s="2"/>
      <c r="Q27" s="2"/>
      <c r="R27" s="19"/>
      <c r="S27" s="2"/>
      <c r="T27" s="2"/>
      <c r="U27" s="19"/>
      <c r="V27" s="2"/>
      <c r="W27" s="2"/>
      <c r="X27" s="2"/>
      <c r="Y27" s="2">
        <v>600</v>
      </c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7">
        <f t="shared" si="1"/>
        <v>46.8</v>
      </c>
      <c r="AK27" s="7">
        <v>100</v>
      </c>
      <c r="AL27" s="7">
        <v>0</v>
      </c>
      <c r="AM27" s="8">
        <f t="shared" si="2"/>
        <v>0</v>
      </c>
      <c r="AN27" s="8">
        <v>0</v>
      </c>
      <c r="AO27" s="8">
        <f t="shared" si="3"/>
        <v>0</v>
      </c>
      <c r="AP27" s="8">
        <f t="shared" si="4"/>
        <v>0</v>
      </c>
      <c r="AQ27" s="8">
        <v>0</v>
      </c>
      <c r="AR27" s="8">
        <v>0</v>
      </c>
      <c r="AS27" s="8" t="s">
        <v>119</v>
      </c>
      <c r="AT27" s="8" t="s">
        <v>121</v>
      </c>
      <c r="BA27" s="1">
        <v>307</v>
      </c>
    </row>
    <row r="28" spans="2:53" x14ac:dyDescent="0.25">
      <c r="B28" s="2" t="s">
        <v>87</v>
      </c>
      <c r="C28" s="2" t="s">
        <v>88</v>
      </c>
      <c r="D28" s="2" t="s">
        <v>26</v>
      </c>
      <c r="E28" s="2" t="s">
        <v>17</v>
      </c>
      <c r="F28" s="2">
        <v>2.8000000000000001E-2</v>
      </c>
      <c r="G28" s="3">
        <v>0.10100000000000001</v>
      </c>
      <c r="H28" s="2">
        <v>0</v>
      </c>
      <c r="I28" s="2">
        <v>0</v>
      </c>
      <c r="J28" s="2"/>
      <c r="K28" s="2"/>
      <c r="L28" s="2"/>
      <c r="M28" s="2"/>
      <c r="N28" s="8">
        <f t="shared" si="0"/>
        <v>0</v>
      </c>
      <c r="O28" s="2"/>
      <c r="P28" s="2"/>
      <c r="Q28" s="2"/>
      <c r="R28" s="19"/>
      <c r="S28" s="2"/>
      <c r="T28" s="2"/>
      <c r="U28" s="19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7">
        <f t="shared" si="1"/>
        <v>0</v>
      </c>
      <c r="AK28" s="7">
        <v>100</v>
      </c>
      <c r="AL28" s="7">
        <v>0</v>
      </c>
      <c r="AM28" s="8">
        <f t="shared" si="2"/>
        <v>0</v>
      </c>
      <c r="AN28" s="8">
        <v>0</v>
      </c>
      <c r="AO28" s="8">
        <f t="shared" si="3"/>
        <v>0</v>
      </c>
      <c r="AP28" s="8">
        <f t="shared" si="4"/>
        <v>0</v>
      </c>
      <c r="AQ28" s="8">
        <v>0</v>
      </c>
      <c r="AR28" s="8">
        <v>0</v>
      </c>
      <c r="AS28" s="8" t="s">
        <v>119</v>
      </c>
      <c r="AT28" s="8" t="s">
        <v>121</v>
      </c>
      <c r="BA28" s="1">
        <v>-77</v>
      </c>
    </row>
    <row r="29" spans="2:53" x14ac:dyDescent="0.25">
      <c r="B29" s="2" t="s">
        <v>87</v>
      </c>
      <c r="C29" s="2" t="s">
        <v>88</v>
      </c>
      <c r="D29" s="2" t="s">
        <v>27</v>
      </c>
      <c r="E29" s="2" t="s">
        <v>17</v>
      </c>
      <c r="F29" s="2">
        <v>2.8000000000000001E-2</v>
      </c>
      <c r="G29" s="3">
        <v>7.5999999999999998E-2</v>
      </c>
      <c r="H29" s="2">
        <v>0</v>
      </c>
      <c r="I29" s="2">
        <v>0</v>
      </c>
      <c r="J29" s="2"/>
      <c r="K29" s="2"/>
      <c r="L29" s="2"/>
      <c r="M29" s="2"/>
      <c r="N29" s="8">
        <f t="shared" si="0"/>
        <v>0</v>
      </c>
      <c r="O29" s="2"/>
      <c r="P29" s="2"/>
      <c r="Q29" s="2"/>
      <c r="R29" s="19"/>
      <c r="S29" s="2"/>
      <c r="T29" s="2"/>
      <c r="U29" s="19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7">
        <f t="shared" si="1"/>
        <v>0</v>
      </c>
      <c r="AK29" s="7">
        <v>100</v>
      </c>
      <c r="AL29" s="7">
        <v>0</v>
      </c>
      <c r="AM29" s="8">
        <f t="shared" si="2"/>
        <v>0</v>
      </c>
      <c r="AN29" s="8">
        <v>0</v>
      </c>
      <c r="AO29" s="8">
        <f t="shared" si="3"/>
        <v>0</v>
      </c>
      <c r="AP29" s="8">
        <f t="shared" si="4"/>
        <v>0</v>
      </c>
      <c r="AQ29" s="8">
        <v>0</v>
      </c>
      <c r="AR29" s="8">
        <v>0</v>
      </c>
      <c r="AS29" s="8" t="s">
        <v>119</v>
      </c>
      <c r="AT29" s="8" t="s">
        <v>121</v>
      </c>
      <c r="BA29" s="1">
        <v>300</v>
      </c>
    </row>
    <row r="30" spans="2:53" x14ac:dyDescent="0.25">
      <c r="B30" s="2" t="s">
        <v>87</v>
      </c>
      <c r="C30" s="2" t="s">
        <v>88</v>
      </c>
      <c r="D30" s="2" t="s">
        <v>28</v>
      </c>
      <c r="E30" s="2" t="s">
        <v>17</v>
      </c>
      <c r="F30" s="2">
        <v>2.8000000000000001E-2</v>
      </c>
      <c r="G30" s="3">
        <v>4.2000000000000003E-2</v>
      </c>
      <c r="H30" s="2">
        <v>1800</v>
      </c>
      <c r="I30" s="2">
        <v>0</v>
      </c>
      <c r="J30" s="2"/>
      <c r="K30" s="2"/>
      <c r="L30" s="2"/>
      <c r="M30" s="2"/>
      <c r="N30" s="8">
        <f t="shared" si="0"/>
        <v>0</v>
      </c>
      <c r="O30" s="2"/>
      <c r="P30" s="2"/>
      <c r="Q30" s="2"/>
      <c r="R30" s="19"/>
      <c r="S30" s="2">
        <v>1800</v>
      </c>
      <c r="T30" s="2"/>
      <c r="U30" s="19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7">
        <f t="shared" si="1"/>
        <v>75.600000000000009</v>
      </c>
      <c r="AK30" s="7">
        <v>100</v>
      </c>
      <c r="AL30" s="7">
        <v>0</v>
      </c>
      <c r="AM30" s="8">
        <f t="shared" si="2"/>
        <v>0</v>
      </c>
      <c r="AN30" s="8">
        <v>0</v>
      </c>
      <c r="AO30" s="8">
        <f t="shared" si="3"/>
        <v>0</v>
      </c>
      <c r="AP30" s="8">
        <f t="shared" si="4"/>
        <v>0</v>
      </c>
      <c r="AQ30" s="8">
        <v>0</v>
      </c>
      <c r="AR30" s="8">
        <v>0</v>
      </c>
      <c r="AS30" s="8" t="s">
        <v>119</v>
      </c>
      <c r="AT30" s="8" t="s">
        <v>121</v>
      </c>
      <c r="BA30" s="1">
        <v>-445</v>
      </c>
    </row>
    <row r="31" spans="2:53" x14ac:dyDescent="0.25">
      <c r="B31" s="2" t="s">
        <v>87</v>
      </c>
      <c r="C31" s="2" t="s">
        <v>88</v>
      </c>
      <c r="D31" s="2" t="s">
        <v>29</v>
      </c>
      <c r="E31" s="2" t="s">
        <v>17</v>
      </c>
      <c r="F31" s="2">
        <v>2.8000000000000001E-2</v>
      </c>
      <c r="G31" s="3">
        <v>0.105</v>
      </c>
      <c r="H31" s="2">
        <v>1200</v>
      </c>
      <c r="I31" s="2">
        <v>0</v>
      </c>
      <c r="J31" s="2"/>
      <c r="K31" s="2"/>
      <c r="L31" s="2"/>
      <c r="M31" s="2"/>
      <c r="N31" s="8">
        <f t="shared" si="0"/>
        <v>0</v>
      </c>
      <c r="O31" s="2"/>
      <c r="P31" s="2"/>
      <c r="Q31" s="2"/>
      <c r="R31" s="19"/>
      <c r="S31" s="2"/>
      <c r="T31" s="2"/>
      <c r="U31" s="19"/>
      <c r="V31" s="2">
        <v>1174</v>
      </c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>
        <v>26</v>
      </c>
      <c r="AJ31" s="7">
        <f t="shared" si="1"/>
        <v>126</v>
      </c>
      <c r="AK31" s="7">
        <v>100</v>
      </c>
      <c r="AL31" s="7">
        <v>0</v>
      </c>
      <c r="AM31" s="8">
        <f t="shared" si="2"/>
        <v>0</v>
      </c>
      <c r="AN31" s="8">
        <v>0</v>
      </c>
      <c r="AO31" s="8">
        <f t="shared" si="3"/>
        <v>0</v>
      </c>
      <c r="AP31" s="8">
        <f t="shared" si="4"/>
        <v>0</v>
      </c>
      <c r="AQ31" s="8">
        <v>0</v>
      </c>
      <c r="AR31" s="8">
        <v>0</v>
      </c>
      <c r="AS31" s="8" t="s">
        <v>119</v>
      </c>
      <c r="AT31" s="8" t="s">
        <v>121</v>
      </c>
      <c r="BA31" s="1">
        <v>-83</v>
      </c>
    </row>
    <row r="32" spans="2:53" x14ac:dyDescent="0.25">
      <c r="B32" s="2" t="s">
        <v>87</v>
      </c>
      <c r="C32" s="2" t="s">
        <v>88</v>
      </c>
      <c r="D32" s="2" t="s">
        <v>30</v>
      </c>
      <c r="E32" s="2" t="s">
        <v>17</v>
      </c>
      <c r="F32" s="2">
        <v>2.8000000000000001E-2</v>
      </c>
      <c r="G32" s="3">
        <v>0.14299999999999999</v>
      </c>
      <c r="H32" s="2">
        <v>600</v>
      </c>
      <c r="I32" s="2">
        <v>0</v>
      </c>
      <c r="J32" s="2"/>
      <c r="K32" s="2"/>
      <c r="L32" s="2"/>
      <c r="M32" s="2"/>
      <c r="N32" s="8">
        <f t="shared" si="0"/>
        <v>-5</v>
      </c>
      <c r="O32" s="2"/>
      <c r="P32" s="2"/>
      <c r="Q32" s="2"/>
      <c r="R32" s="19"/>
      <c r="S32" s="2"/>
      <c r="T32" s="2"/>
      <c r="U32" s="19"/>
      <c r="V32" s="2"/>
      <c r="W32" s="2"/>
      <c r="X32" s="2">
        <v>240</v>
      </c>
      <c r="Y32" s="2">
        <v>365</v>
      </c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7">
        <f t="shared" si="1"/>
        <v>85.8</v>
      </c>
      <c r="AK32" s="7">
        <v>100</v>
      </c>
      <c r="AL32" s="7">
        <v>0</v>
      </c>
      <c r="AM32" s="8">
        <f t="shared" si="2"/>
        <v>0</v>
      </c>
      <c r="AN32" s="8">
        <v>0</v>
      </c>
      <c r="AO32" s="8">
        <f t="shared" si="3"/>
        <v>0</v>
      </c>
      <c r="AP32" s="8">
        <f t="shared" si="4"/>
        <v>0</v>
      </c>
      <c r="AQ32" s="8">
        <v>0</v>
      </c>
      <c r="AR32" s="8">
        <v>0</v>
      </c>
      <c r="AS32" s="8" t="s">
        <v>119</v>
      </c>
      <c r="AT32" s="8" t="s">
        <v>121</v>
      </c>
      <c r="BA32" s="1">
        <v>0</v>
      </c>
    </row>
    <row r="33" spans="2:53" x14ac:dyDescent="0.25">
      <c r="B33" s="2" t="s">
        <v>87</v>
      </c>
      <c r="C33" s="2" t="s">
        <v>88</v>
      </c>
      <c r="D33" s="2" t="s">
        <v>31</v>
      </c>
      <c r="E33" s="2" t="s">
        <v>17</v>
      </c>
      <c r="F33" s="2">
        <v>2.8000000000000001E-2</v>
      </c>
      <c r="G33" s="3">
        <v>4.5999999999999999E-2</v>
      </c>
      <c r="H33" s="2">
        <v>0</v>
      </c>
      <c r="I33" s="2">
        <v>0</v>
      </c>
      <c r="J33" s="2"/>
      <c r="K33" s="2"/>
      <c r="L33" s="2"/>
      <c r="M33" s="2"/>
      <c r="N33" s="8">
        <f t="shared" si="0"/>
        <v>-91</v>
      </c>
      <c r="O33" s="2"/>
      <c r="P33" s="2"/>
      <c r="Q33" s="2"/>
      <c r="R33" s="19"/>
      <c r="S33" s="2"/>
      <c r="T33" s="2"/>
      <c r="U33" s="19"/>
      <c r="V33" s="2"/>
      <c r="W33" s="2"/>
      <c r="X33" s="2"/>
      <c r="Y33" s="2">
        <v>91</v>
      </c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7">
        <f t="shared" si="1"/>
        <v>0</v>
      </c>
      <c r="AK33" s="7">
        <v>100</v>
      </c>
      <c r="AL33" s="7">
        <v>0</v>
      </c>
      <c r="AM33" s="8">
        <f t="shared" si="2"/>
        <v>0</v>
      </c>
      <c r="AN33" s="8">
        <v>0</v>
      </c>
      <c r="AO33" s="8">
        <f t="shared" si="3"/>
        <v>0</v>
      </c>
      <c r="AP33" s="8">
        <f t="shared" si="4"/>
        <v>0</v>
      </c>
      <c r="AQ33" s="8">
        <v>0</v>
      </c>
      <c r="AR33" s="8">
        <v>0</v>
      </c>
      <c r="AS33" s="8" t="s">
        <v>119</v>
      </c>
      <c r="AT33" s="8" t="s">
        <v>121</v>
      </c>
      <c r="BA33" s="1">
        <v>300</v>
      </c>
    </row>
    <row r="34" spans="2:53" x14ac:dyDescent="0.25">
      <c r="B34" s="2" t="s">
        <v>87</v>
      </c>
      <c r="C34" s="2" t="s">
        <v>88</v>
      </c>
      <c r="D34" s="2" t="s">
        <v>32</v>
      </c>
      <c r="E34" s="2" t="s">
        <v>17</v>
      </c>
      <c r="F34" s="2">
        <v>2.8000000000000001E-2</v>
      </c>
      <c r="G34" s="3">
        <v>0.129</v>
      </c>
      <c r="H34" s="2">
        <v>0</v>
      </c>
      <c r="I34" s="2">
        <v>0</v>
      </c>
      <c r="J34" s="2"/>
      <c r="K34" s="2"/>
      <c r="L34" s="2"/>
      <c r="M34" s="2"/>
      <c r="N34" s="8">
        <f t="shared" si="0"/>
        <v>0</v>
      </c>
      <c r="O34" s="2"/>
      <c r="P34" s="2"/>
      <c r="Q34" s="2"/>
      <c r="R34" s="19"/>
      <c r="S34" s="2"/>
      <c r="T34" s="2"/>
      <c r="U34" s="19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7">
        <f t="shared" si="1"/>
        <v>0</v>
      </c>
      <c r="AK34" s="7">
        <v>100</v>
      </c>
      <c r="AL34" s="7">
        <v>0</v>
      </c>
      <c r="AM34" s="8">
        <f t="shared" si="2"/>
        <v>0</v>
      </c>
      <c r="AN34" s="8">
        <v>0</v>
      </c>
      <c r="AO34" s="8">
        <f t="shared" si="3"/>
        <v>0</v>
      </c>
      <c r="AP34" s="8">
        <f t="shared" si="4"/>
        <v>0</v>
      </c>
      <c r="AQ34" s="8">
        <v>0</v>
      </c>
      <c r="AR34" s="8">
        <v>0</v>
      </c>
      <c r="AS34" s="8" t="s">
        <v>119</v>
      </c>
      <c r="AT34" s="8" t="s">
        <v>121</v>
      </c>
      <c r="BA34" s="1">
        <v>500</v>
      </c>
    </row>
    <row r="35" spans="2:53" x14ac:dyDescent="0.25">
      <c r="B35" s="2" t="s">
        <v>87</v>
      </c>
      <c r="C35" s="2" t="s">
        <v>88</v>
      </c>
      <c r="D35" s="2" t="s">
        <v>33</v>
      </c>
      <c r="E35" s="2" t="s">
        <v>17</v>
      </c>
      <c r="F35" s="2">
        <v>2.8000000000000001E-2</v>
      </c>
      <c r="G35" s="3">
        <v>0.13400000000000001</v>
      </c>
      <c r="H35" s="2">
        <v>0</v>
      </c>
      <c r="I35" s="2">
        <v>0</v>
      </c>
      <c r="J35" s="2"/>
      <c r="K35" s="2"/>
      <c r="L35" s="2"/>
      <c r="M35" s="2"/>
      <c r="N35" s="8">
        <f t="shared" si="0"/>
        <v>0</v>
      </c>
      <c r="O35" s="2"/>
      <c r="P35" s="2"/>
      <c r="Q35" s="2"/>
      <c r="R35" s="19"/>
      <c r="S35" s="2"/>
      <c r="T35" s="2"/>
      <c r="U35" s="19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7">
        <f t="shared" si="1"/>
        <v>0</v>
      </c>
      <c r="AK35" s="7">
        <v>100</v>
      </c>
      <c r="AL35" s="7">
        <v>0</v>
      </c>
      <c r="AM35" s="8">
        <f t="shared" si="2"/>
        <v>0</v>
      </c>
      <c r="AN35" s="8">
        <v>0</v>
      </c>
      <c r="AO35" s="8">
        <f t="shared" si="3"/>
        <v>0</v>
      </c>
      <c r="AP35" s="8">
        <f t="shared" si="4"/>
        <v>0</v>
      </c>
      <c r="AQ35" s="8">
        <v>0</v>
      </c>
      <c r="AR35" s="8">
        <v>0</v>
      </c>
      <c r="AS35" s="8" t="s">
        <v>119</v>
      </c>
      <c r="AT35" s="8" t="s">
        <v>121</v>
      </c>
      <c r="BA35" s="1">
        <v>300</v>
      </c>
    </row>
    <row r="36" spans="2:53" x14ac:dyDescent="0.25">
      <c r="B36" s="2" t="s">
        <v>87</v>
      </c>
      <c r="C36" s="2" t="s">
        <v>88</v>
      </c>
      <c r="D36" s="2" t="s">
        <v>34</v>
      </c>
      <c r="E36" s="2" t="s">
        <v>17</v>
      </c>
      <c r="F36" s="2">
        <v>2.8000000000000001E-2</v>
      </c>
      <c r="G36" s="3">
        <v>0.105</v>
      </c>
      <c r="H36" s="2">
        <v>0</v>
      </c>
      <c r="I36" s="2">
        <v>0</v>
      </c>
      <c r="J36" s="2"/>
      <c r="K36" s="2"/>
      <c r="L36" s="2"/>
      <c r="M36" s="2"/>
      <c r="N36" s="8">
        <f t="shared" si="0"/>
        <v>-22</v>
      </c>
      <c r="O36" s="2"/>
      <c r="P36" s="2"/>
      <c r="Q36" s="2"/>
      <c r="R36" s="19"/>
      <c r="S36" s="2"/>
      <c r="T36" s="2"/>
      <c r="U36" s="19"/>
      <c r="V36" s="2"/>
      <c r="W36" s="2"/>
      <c r="X36" s="2"/>
      <c r="Y36" s="2">
        <v>22</v>
      </c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7">
        <f t="shared" si="1"/>
        <v>0</v>
      </c>
      <c r="AK36" s="7">
        <v>100</v>
      </c>
      <c r="AL36" s="7">
        <v>0</v>
      </c>
      <c r="AM36" s="8">
        <f t="shared" si="2"/>
        <v>0</v>
      </c>
      <c r="AN36" s="8">
        <v>0</v>
      </c>
      <c r="AO36" s="8">
        <f t="shared" si="3"/>
        <v>0</v>
      </c>
      <c r="AP36" s="8">
        <f t="shared" si="4"/>
        <v>0</v>
      </c>
      <c r="AQ36" s="8">
        <v>0</v>
      </c>
      <c r="AR36" s="8">
        <v>0</v>
      </c>
      <c r="AS36" s="8" t="s">
        <v>119</v>
      </c>
      <c r="AT36" s="8" t="s">
        <v>121</v>
      </c>
      <c r="BA36" s="1">
        <v>0</v>
      </c>
    </row>
    <row r="37" spans="2:53" x14ac:dyDescent="0.25">
      <c r="B37" s="2" t="s">
        <v>87</v>
      </c>
      <c r="C37" s="2" t="s">
        <v>88</v>
      </c>
      <c r="D37" s="2" t="s">
        <v>35</v>
      </c>
      <c r="E37" s="2" t="s">
        <v>17</v>
      </c>
      <c r="F37" s="2">
        <v>2.8000000000000001E-2</v>
      </c>
      <c r="G37" s="3">
        <v>9.9000000000000005E-2</v>
      </c>
      <c r="H37" s="2">
        <v>0</v>
      </c>
      <c r="I37" s="2">
        <v>0</v>
      </c>
      <c r="J37" s="2"/>
      <c r="K37" s="2"/>
      <c r="L37" s="2"/>
      <c r="M37" s="2"/>
      <c r="N37" s="8">
        <f t="shared" si="0"/>
        <v>0</v>
      </c>
      <c r="O37" s="2"/>
      <c r="P37" s="2"/>
      <c r="Q37" s="2"/>
      <c r="R37" s="19"/>
      <c r="S37" s="2"/>
      <c r="T37" s="2"/>
      <c r="U37" s="19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7">
        <f t="shared" si="1"/>
        <v>0</v>
      </c>
      <c r="AK37" s="7">
        <v>100</v>
      </c>
      <c r="AL37" s="7">
        <v>0</v>
      </c>
      <c r="AM37" s="8">
        <f t="shared" si="2"/>
        <v>0</v>
      </c>
      <c r="AN37" s="8">
        <v>0</v>
      </c>
      <c r="AO37" s="8">
        <f t="shared" si="3"/>
        <v>0</v>
      </c>
      <c r="AP37" s="8">
        <f t="shared" si="4"/>
        <v>0</v>
      </c>
      <c r="AQ37" s="8">
        <v>0</v>
      </c>
      <c r="AR37" s="8">
        <v>0</v>
      </c>
      <c r="AS37" s="8" t="s">
        <v>119</v>
      </c>
      <c r="AT37" s="8" t="s">
        <v>121</v>
      </c>
      <c r="BA37" s="1">
        <v>300</v>
      </c>
    </row>
    <row r="38" spans="2:53" x14ac:dyDescent="0.25">
      <c r="B38" s="2" t="s">
        <v>87</v>
      </c>
      <c r="C38" s="2" t="s">
        <v>88</v>
      </c>
      <c r="D38" s="2" t="s">
        <v>36</v>
      </c>
      <c r="E38" s="2" t="s">
        <v>17</v>
      </c>
      <c r="F38" s="2">
        <v>2.8000000000000001E-2</v>
      </c>
      <c r="G38" s="3">
        <v>0.13100000000000001</v>
      </c>
      <c r="H38" s="2">
        <v>0</v>
      </c>
      <c r="I38" s="2">
        <v>0</v>
      </c>
      <c r="J38" s="2"/>
      <c r="K38" s="2"/>
      <c r="L38" s="2"/>
      <c r="M38" s="2"/>
      <c r="N38" s="8">
        <f t="shared" ref="N38:N69" si="5">+H38+I38+J38+K38+L38+M38-SUM(O38:AI38)</f>
        <v>0</v>
      </c>
      <c r="O38" s="2"/>
      <c r="P38" s="2"/>
      <c r="Q38" s="2"/>
      <c r="R38" s="19"/>
      <c r="S38" s="2"/>
      <c r="T38" s="2"/>
      <c r="U38" s="19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7">
        <f t="shared" ref="AJ38:AJ69" si="6">+G38*SUM(H38:M38)</f>
        <v>0</v>
      </c>
      <c r="AK38" s="7">
        <v>100</v>
      </c>
      <c r="AL38" s="7">
        <v>0</v>
      </c>
      <c r="AM38" s="8">
        <f t="shared" ref="AM38:AM69" si="7">+H38*AL38</f>
        <v>0</v>
      </c>
      <c r="AN38" s="8">
        <v>0</v>
      </c>
      <c r="AO38" s="8">
        <f t="shared" ref="AO38:AO69" si="8">+H38*AN38</f>
        <v>0</v>
      </c>
      <c r="AP38" s="8">
        <f t="shared" si="4"/>
        <v>0</v>
      </c>
      <c r="AQ38" s="8">
        <v>0</v>
      </c>
      <c r="AR38" s="8">
        <v>0</v>
      </c>
      <c r="AS38" s="8" t="s">
        <v>119</v>
      </c>
      <c r="AT38" s="8" t="s">
        <v>121</v>
      </c>
      <c r="BA38" s="1">
        <v>0</v>
      </c>
    </row>
    <row r="39" spans="2:53" x14ac:dyDescent="0.25">
      <c r="B39" s="2" t="s">
        <v>87</v>
      </c>
      <c r="C39" s="2" t="s">
        <v>88</v>
      </c>
      <c r="D39" s="2" t="s">
        <v>37</v>
      </c>
      <c r="E39" s="2" t="s">
        <v>17</v>
      </c>
      <c r="F39" s="2">
        <v>2.8000000000000001E-2</v>
      </c>
      <c r="G39" s="3">
        <v>9.4E-2</v>
      </c>
      <c r="H39" s="2">
        <v>0</v>
      </c>
      <c r="I39" s="2">
        <v>0</v>
      </c>
      <c r="J39" s="2"/>
      <c r="K39" s="2"/>
      <c r="L39" s="2"/>
      <c r="M39" s="2"/>
      <c r="N39" s="8">
        <f t="shared" si="5"/>
        <v>0</v>
      </c>
      <c r="O39" s="2"/>
      <c r="P39" s="2"/>
      <c r="Q39" s="2"/>
      <c r="R39" s="19"/>
      <c r="S39" s="2"/>
      <c r="T39" s="2"/>
      <c r="U39" s="19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7">
        <f t="shared" si="6"/>
        <v>0</v>
      </c>
      <c r="AK39" s="7">
        <v>100</v>
      </c>
      <c r="AL39" s="7">
        <v>0</v>
      </c>
      <c r="AM39" s="8">
        <f t="shared" si="7"/>
        <v>0</v>
      </c>
      <c r="AN39" s="8">
        <v>0</v>
      </c>
      <c r="AO39" s="8">
        <f t="shared" si="8"/>
        <v>0</v>
      </c>
      <c r="AP39" s="8">
        <f t="shared" si="4"/>
        <v>0</v>
      </c>
      <c r="AQ39" s="8">
        <v>0</v>
      </c>
      <c r="AR39" s="8">
        <v>0</v>
      </c>
      <c r="AS39" s="8" t="s">
        <v>119</v>
      </c>
      <c r="AT39" s="8" t="s">
        <v>121</v>
      </c>
      <c r="BA39" s="1">
        <v>0</v>
      </c>
    </row>
    <row r="40" spans="2:53" x14ac:dyDescent="0.25">
      <c r="B40" s="2" t="s">
        <v>87</v>
      </c>
      <c r="C40" s="2" t="s">
        <v>88</v>
      </c>
      <c r="D40" s="2" t="s">
        <v>38</v>
      </c>
      <c r="E40" s="2" t="s">
        <v>17</v>
      </c>
      <c r="F40" s="2">
        <v>2.8000000000000001E-2</v>
      </c>
      <c r="G40" s="3">
        <v>0.122</v>
      </c>
      <c r="H40" s="2">
        <v>0</v>
      </c>
      <c r="I40" s="2">
        <v>0</v>
      </c>
      <c r="J40" s="2"/>
      <c r="K40" s="2"/>
      <c r="L40" s="2"/>
      <c r="M40" s="2"/>
      <c r="N40" s="8">
        <f t="shared" si="5"/>
        <v>0</v>
      </c>
      <c r="O40" s="2"/>
      <c r="P40" s="2"/>
      <c r="Q40" s="2"/>
      <c r="R40" s="19"/>
      <c r="S40" s="2"/>
      <c r="T40" s="2"/>
      <c r="U40" s="19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7">
        <f t="shared" si="6"/>
        <v>0</v>
      </c>
      <c r="AK40" s="7">
        <v>100</v>
      </c>
      <c r="AL40" s="7">
        <v>0</v>
      </c>
      <c r="AM40" s="8">
        <f t="shared" si="7"/>
        <v>0</v>
      </c>
      <c r="AN40" s="8">
        <v>0</v>
      </c>
      <c r="AO40" s="8">
        <f t="shared" si="8"/>
        <v>0</v>
      </c>
      <c r="AP40" s="8">
        <f t="shared" si="4"/>
        <v>0</v>
      </c>
      <c r="AQ40" s="8">
        <v>0</v>
      </c>
      <c r="AR40" s="8">
        <v>0</v>
      </c>
      <c r="AS40" s="8" t="s">
        <v>119</v>
      </c>
      <c r="AT40" s="8" t="s">
        <v>121</v>
      </c>
      <c r="BA40" s="1">
        <v>0</v>
      </c>
    </row>
    <row r="41" spans="2:53" x14ac:dyDescent="0.25">
      <c r="B41" s="2" t="s">
        <v>87</v>
      </c>
      <c r="C41" s="2" t="s">
        <v>88</v>
      </c>
      <c r="D41" s="2" t="s">
        <v>39</v>
      </c>
      <c r="E41" s="2" t="s">
        <v>17</v>
      </c>
      <c r="F41" s="2">
        <v>2.8000000000000001E-2</v>
      </c>
      <c r="G41" s="3">
        <v>0.10100000000000001</v>
      </c>
      <c r="H41" s="2">
        <v>0</v>
      </c>
      <c r="I41" s="2">
        <v>0</v>
      </c>
      <c r="J41" s="2"/>
      <c r="K41" s="2"/>
      <c r="L41" s="2"/>
      <c r="M41" s="2"/>
      <c r="N41" s="8">
        <f t="shared" si="5"/>
        <v>0</v>
      </c>
      <c r="O41" s="2"/>
      <c r="P41" s="2"/>
      <c r="Q41" s="2"/>
      <c r="R41" s="19"/>
      <c r="S41" s="2"/>
      <c r="T41" s="2"/>
      <c r="U41" s="19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7">
        <f t="shared" si="6"/>
        <v>0</v>
      </c>
      <c r="AK41" s="7">
        <v>100</v>
      </c>
      <c r="AL41" s="7">
        <v>0</v>
      </c>
      <c r="AM41" s="8">
        <f t="shared" si="7"/>
        <v>0</v>
      </c>
      <c r="AN41" s="8">
        <v>0</v>
      </c>
      <c r="AO41" s="8">
        <f t="shared" si="8"/>
        <v>0</v>
      </c>
      <c r="AP41" s="8">
        <f t="shared" si="4"/>
        <v>0</v>
      </c>
      <c r="AQ41" s="8">
        <v>0</v>
      </c>
      <c r="AR41" s="8">
        <v>0</v>
      </c>
      <c r="AS41" s="8" t="s">
        <v>119</v>
      </c>
      <c r="AT41" s="8" t="s">
        <v>121</v>
      </c>
      <c r="BA41" s="1">
        <v>0</v>
      </c>
    </row>
    <row r="42" spans="2:53" x14ac:dyDescent="0.25">
      <c r="B42" s="2" t="s">
        <v>87</v>
      </c>
      <c r="C42" s="2" t="s">
        <v>88</v>
      </c>
      <c r="D42" s="2" t="s">
        <v>40</v>
      </c>
      <c r="E42" s="2" t="s">
        <v>17</v>
      </c>
      <c r="F42" s="2">
        <v>2.8000000000000001E-2</v>
      </c>
      <c r="G42" s="3">
        <v>0.11899999999999999</v>
      </c>
      <c r="H42" s="2">
        <v>0</v>
      </c>
      <c r="I42" s="2">
        <v>0</v>
      </c>
      <c r="J42" s="2"/>
      <c r="K42" s="2"/>
      <c r="L42" s="2"/>
      <c r="M42" s="2"/>
      <c r="N42" s="8">
        <f t="shared" si="5"/>
        <v>0</v>
      </c>
      <c r="O42" s="2"/>
      <c r="P42" s="2"/>
      <c r="Q42" s="2"/>
      <c r="R42" s="19"/>
      <c r="S42" s="2"/>
      <c r="T42" s="2"/>
      <c r="U42" s="19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7">
        <f t="shared" si="6"/>
        <v>0</v>
      </c>
      <c r="AK42" s="7">
        <v>100</v>
      </c>
      <c r="AL42" s="7">
        <v>0</v>
      </c>
      <c r="AM42" s="8">
        <f t="shared" si="7"/>
        <v>0</v>
      </c>
      <c r="AN42" s="8">
        <v>0</v>
      </c>
      <c r="AO42" s="8">
        <f t="shared" si="8"/>
        <v>0</v>
      </c>
      <c r="AP42" s="8">
        <f t="shared" si="4"/>
        <v>0</v>
      </c>
      <c r="AQ42" s="8">
        <v>0</v>
      </c>
      <c r="AR42" s="8">
        <v>0</v>
      </c>
      <c r="AS42" s="8" t="s">
        <v>119</v>
      </c>
      <c r="AT42" s="8" t="s">
        <v>121</v>
      </c>
      <c r="BA42" s="1">
        <v>0</v>
      </c>
    </row>
    <row r="43" spans="2:53" x14ac:dyDescent="0.25">
      <c r="B43" s="2" t="s">
        <v>87</v>
      </c>
      <c r="C43" s="2" t="s">
        <v>88</v>
      </c>
      <c r="D43" s="2" t="s">
        <v>41</v>
      </c>
      <c r="E43" s="2" t="s">
        <v>17</v>
      </c>
      <c r="F43" s="2">
        <v>2.8000000000000001E-2</v>
      </c>
      <c r="G43" s="3">
        <v>0.121</v>
      </c>
      <c r="H43" s="2">
        <v>0</v>
      </c>
      <c r="I43" s="2">
        <v>0</v>
      </c>
      <c r="J43" s="2"/>
      <c r="K43" s="2"/>
      <c r="L43" s="2"/>
      <c r="M43" s="2"/>
      <c r="N43" s="8">
        <f t="shared" si="5"/>
        <v>0</v>
      </c>
      <c r="O43" s="2"/>
      <c r="P43" s="2"/>
      <c r="Q43" s="2"/>
      <c r="R43" s="19"/>
      <c r="S43" s="2"/>
      <c r="T43" s="2"/>
      <c r="U43" s="19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7">
        <f t="shared" si="6"/>
        <v>0</v>
      </c>
      <c r="AK43" s="7">
        <v>100</v>
      </c>
      <c r="AL43" s="7">
        <v>0</v>
      </c>
      <c r="AM43" s="8">
        <f t="shared" si="7"/>
        <v>0</v>
      </c>
      <c r="AN43" s="8">
        <v>0</v>
      </c>
      <c r="AO43" s="8">
        <f t="shared" si="8"/>
        <v>0</v>
      </c>
      <c r="AP43" s="8">
        <f t="shared" si="4"/>
        <v>0</v>
      </c>
      <c r="AQ43" s="8">
        <v>0</v>
      </c>
      <c r="AR43" s="8">
        <v>0</v>
      </c>
      <c r="AS43" s="8" t="s">
        <v>119</v>
      </c>
      <c r="AT43" s="8" t="s">
        <v>121</v>
      </c>
      <c r="BA43" s="1">
        <v>0</v>
      </c>
    </row>
    <row r="44" spans="2:53" x14ac:dyDescent="0.25">
      <c r="B44" s="2" t="s">
        <v>87</v>
      </c>
      <c r="C44" s="2" t="s">
        <v>88</v>
      </c>
      <c r="D44" s="2" t="s">
        <v>42</v>
      </c>
      <c r="E44" s="2" t="s">
        <v>17</v>
      </c>
      <c r="F44" s="2">
        <v>2.8000000000000001E-2</v>
      </c>
      <c r="G44" s="3">
        <v>0.127</v>
      </c>
      <c r="H44" s="2">
        <v>0</v>
      </c>
      <c r="I44" s="2">
        <v>0</v>
      </c>
      <c r="J44" s="2"/>
      <c r="K44" s="2"/>
      <c r="L44" s="2"/>
      <c r="M44" s="2"/>
      <c r="N44" s="8">
        <f t="shared" si="5"/>
        <v>0</v>
      </c>
      <c r="O44" s="2"/>
      <c r="P44" s="2"/>
      <c r="Q44" s="2"/>
      <c r="R44" s="19"/>
      <c r="S44" s="2"/>
      <c r="T44" s="2"/>
      <c r="U44" s="19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7">
        <f t="shared" si="6"/>
        <v>0</v>
      </c>
      <c r="AK44" s="7">
        <v>100</v>
      </c>
      <c r="AL44" s="7">
        <v>0</v>
      </c>
      <c r="AM44" s="8">
        <f t="shared" si="7"/>
        <v>0</v>
      </c>
      <c r="AN44" s="8">
        <v>0</v>
      </c>
      <c r="AO44" s="8">
        <f t="shared" si="8"/>
        <v>0</v>
      </c>
      <c r="AP44" s="8">
        <f t="shared" si="4"/>
        <v>0</v>
      </c>
      <c r="AQ44" s="8">
        <v>0</v>
      </c>
      <c r="AR44" s="8">
        <v>0</v>
      </c>
      <c r="AS44" s="8" t="s">
        <v>119</v>
      </c>
      <c r="AT44" s="8" t="s">
        <v>121</v>
      </c>
      <c r="BA44" s="1">
        <v>0</v>
      </c>
    </row>
    <row r="45" spans="2:53" x14ac:dyDescent="0.25">
      <c r="B45" s="2" t="s">
        <v>87</v>
      </c>
      <c r="C45" s="2" t="s">
        <v>88</v>
      </c>
      <c r="D45" s="2" t="s">
        <v>43</v>
      </c>
      <c r="E45" s="2" t="s">
        <v>17</v>
      </c>
      <c r="F45" s="2">
        <v>2.8000000000000001E-2</v>
      </c>
      <c r="G45" s="3">
        <v>0.10299999999999999</v>
      </c>
      <c r="H45" s="2">
        <v>600</v>
      </c>
      <c r="I45" s="2">
        <v>0</v>
      </c>
      <c r="J45" s="2"/>
      <c r="K45" s="2"/>
      <c r="L45" s="2"/>
      <c r="M45" s="2"/>
      <c r="N45" s="8">
        <f t="shared" si="5"/>
        <v>-254</v>
      </c>
      <c r="O45" s="2"/>
      <c r="P45" s="2"/>
      <c r="Q45" s="2"/>
      <c r="R45" s="19"/>
      <c r="S45" s="2"/>
      <c r="T45" s="2"/>
      <c r="U45" s="19"/>
      <c r="V45" s="2"/>
      <c r="W45" s="2">
        <v>378</v>
      </c>
      <c r="X45" s="2">
        <v>476</v>
      </c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7">
        <f t="shared" si="6"/>
        <v>61.8</v>
      </c>
      <c r="AK45" s="7">
        <v>100</v>
      </c>
      <c r="AL45" s="7">
        <v>0</v>
      </c>
      <c r="AM45" s="8">
        <f t="shared" si="7"/>
        <v>0</v>
      </c>
      <c r="AN45" s="8">
        <v>0</v>
      </c>
      <c r="AO45" s="8">
        <f t="shared" si="8"/>
        <v>0</v>
      </c>
      <c r="AP45" s="8">
        <f t="shared" si="4"/>
        <v>0</v>
      </c>
      <c r="AQ45" s="8">
        <v>0</v>
      </c>
      <c r="AR45" s="8">
        <v>0</v>
      </c>
      <c r="AS45" s="8" t="s">
        <v>119</v>
      </c>
      <c r="AT45" s="8" t="s">
        <v>121</v>
      </c>
      <c r="BA45" s="1">
        <v>328</v>
      </c>
    </row>
    <row r="46" spans="2:53" x14ac:dyDescent="0.25">
      <c r="B46" s="2" t="s">
        <v>87</v>
      </c>
      <c r="C46" s="2" t="s">
        <v>88</v>
      </c>
      <c r="D46" s="2" t="s">
        <v>44</v>
      </c>
      <c r="E46" s="2" t="s">
        <v>17</v>
      </c>
      <c r="F46" s="2">
        <v>2.8000000000000001E-2</v>
      </c>
      <c r="G46" s="3">
        <v>0.23799999999999999</v>
      </c>
      <c r="H46" s="2">
        <v>0</v>
      </c>
      <c r="I46" s="2">
        <v>37</v>
      </c>
      <c r="J46" s="2"/>
      <c r="K46" s="2"/>
      <c r="L46" s="2"/>
      <c r="M46" s="2"/>
      <c r="N46" s="8">
        <f t="shared" si="5"/>
        <v>0</v>
      </c>
      <c r="O46" s="2"/>
      <c r="P46" s="2"/>
      <c r="Q46" s="2"/>
      <c r="R46" s="19"/>
      <c r="S46" s="2"/>
      <c r="T46" s="2"/>
      <c r="U46" s="19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>
        <v>37</v>
      </c>
      <c r="AJ46" s="7">
        <f t="shared" si="6"/>
        <v>8.8059999999999992</v>
      </c>
      <c r="AK46" s="7">
        <v>100</v>
      </c>
      <c r="AL46" s="7">
        <v>0</v>
      </c>
      <c r="AM46" s="8">
        <f t="shared" si="7"/>
        <v>0</v>
      </c>
      <c r="AN46" s="8">
        <v>0</v>
      </c>
      <c r="AO46" s="8">
        <f t="shared" si="8"/>
        <v>0</v>
      </c>
      <c r="AP46" s="8">
        <f t="shared" si="4"/>
        <v>0</v>
      </c>
      <c r="AQ46" s="8">
        <v>0</v>
      </c>
      <c r="AR46" s="8">
        <v>0</v>
      </c>
      <c r="AS46" s="8" t="s">
        <v>119</v>
      </c>
      <c r="AT46" s="8" t="s">
        <v>121</v>
      </c>
      <c r="BA46" s="1">
        <v>400</v>
      </c>
    </row>
    <row r="47" spans="2:53" x14ac:dyDescent="0.25">
      <c r="B47" s="2" t="s">
        <v>87</v>
      </c>
      <c r="C47" s="2" t="s">
        <v>88</v>
      </c>
      <c r="D47" s="2" t="s">
        <v>45</v>
      </c>
      <c r="E47" s="2" t="s">
        <v>17</v>
      </c>
      <c r="F47" s="2">
        <v>2.8000000000000001E-2</v>
      </c>
      <c r="G47" s="3">
        <v>0.10100000000000001</v>
      </c>
      <c r="H47" s="2">
        <v>0</v>
      </c>
      <c r="I47" s="2">
        <v>0</v>
      </c>
      <c r="J47" s="2"/>
      <c r="K47" s="2"/>
      <c r="L47" s="2"/>
      <c r="M47" s="2"/>
      <c r="N47" s="8">
        <f t="shared" si="5"/>
        <v>-40</v>
      </c>
      <c r="O47" s="2"/>
      <c r="P47" s="2"/>
      <c r="Q47" s="2"/>
      <c r="R47" s="19"/>
      <c r="S47" s="2"/>
      <c r="T47" s="2"/>
      <c r="U47" s="19"/>
      <c r="V47" s="2"/>
      <c r="W47" s="2"/>
      <c r="X47" s="2"/>
      <c r="Y47" s="2">
        <v>40</v>
      </c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7">
        <f t="shared" si="6"/>
        <v>0</v>
      </c>
      <c r="AK47" s="7">
        <v>100</v>
      </c>
      <c r="AL47" s="7">
        <v>0</v>
      </c>
      <c r="AM47" s="8">
        <f t="shared" si="7"/>
        <v>0</v>
      </c>
      <c r="AN47" s="8">
        <v>0</v>
      </c>
      <c r="AO47" s="8">
        <f t="shared" si="8"/>
        <v>0</v>
      </c>
      <c r="AP47" s="8">
        <f t="shared" si="4"/>
        <v>0</v>
      </c>
      <c r="AQ47" s="8">
        <v>0</v>
      </c>
      <c r="AR47" s="8">
        <v>0</v>
      </c>
      <c r="AS47" s="8" t="s">
        <v>119</v>
      </c>
      <c r="AT47" s="8" t="s">
        <v>121</v>
      </c>
      <c r="BA47" s="1">
        <v>-1493</v>
      </c>
    </row>
    <row r="48" spans="2:53" x14ac:dyDescent="0.25">
      <c r="B48" s="2" t="s">
        <v>87</v>
      </c>
      <c r="C48" s="2" t="s">
        <v>88</v>
      </c>
      <c r="D48" s="2" t="s">
        <v>46</v>
      </c>
      <c r="E48" s="2" t="s">
        <v>17</v>
      </c>
      <c r="F48" s="2">
        <v>2.8000000000000001E-2</v>
      </c>
      <c r="G48" s="3">
        <v>3.9E-2</v>
      </c>
      <c r="H48" s="2">
        <v>600</v>
      </c>
      <c r="I48" s="2">
        <v>0</v>
      </c>
      <c r="J48" s="2"/>
      <c r="K48" s="2"/>
      <c r="L48" s="2"/>
      <c r="M48" s="2"/>
      <c r="N48" s="8">
        <f t="shared" si="5"/>
        <v>0</v>
      </c>
      <c r="O48" s="2"/>
      <c r="P48" s="2"/>
      <c r="Q48" s="2"/>
      <c r="R48" s="19"/>
      <c r="S48" s="2"/>
      <c r="T48" s="2"/>
      <c r="U48" s="19">
        <v>200</v>
      </c>
      <c r="V48" s="2">
        <v>400</v>
      </c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7">
        <f t="shared" si="6"/>
        <v>23.4</v>
      </c>
      <c r="AK48" s="7">
        <v>100</v>
      </c>
      <c r="AL48" s="7">
        <v>0</v>
      </c>
      <c r="AM48" s="8">
        <f t="shared" si="7"/>
        <v>0</v>
      </c>
      <c r="AN48" s="8">
        <v>0</v>
      </c>
      <c r="AO48" s="8">
        <f t="shared" si="8"/>
        <v>0</v>
      </c>
      <c r="AP48" s="8">
        <f t="shared" si="4"/>
        <v>0</v>
      </c>
      <c r="AQ48" s="8">
        <v>0</v>
      </c>
      <c r="AR48" s="8">
        <v>0</v>
      </c>
      <c r="AS48" s="8" t="s">
        <v>119</v>
      </c>
      <c r="AT48" s="8" t="s">
        <v>121</v>
      </c>
      <c r="BA48" s="1">
        <v>-66</v>
      </c>
    </row>
    <row r="49" spans="2:53" x14ac:dyDescent="0.25">
      <c r="B49" s="2" t="s">
        <v>87</v>
      </c>
      <c r="C49" s="2" t="s">
        <v>88</v>
      </c>
      <c r="D49" s="2" t="s">
        <v>47</v>
      </c>
      <c r="E49" s="2" t="s">
        <v>48</v>
      </c>
      <c r="F49" s="2">
        <v>3.5000000000000003E-2</v>
      </c>
      <c r="G49" s="3">
        <v>0.14799999999999999</v>
      </c>
      <c r="H49" s="2">
        <v>1000</v>
      </c>
      <c r="I49" s="2">
        <v>0</v>
      </c>
      <c r="J49" s="2"/>
      <c r="K49" s="2"/>
      <c r="L49" s="2"/>
      <c r="M49" s="2"/>
      <c r="N49" s="8">
        <f t="shared" si="5"/>
        <v>0</v>
      </c>
      <c r="O49" s="2"/>
      <c r="P49" s="2"/>
      <c r="Q49" s="2"/>
      <c r="R49" s="19"/>
      <c r="S49" s="2"/>
      <c r="T49" s="2"/>
      <c r="U49" s="19"/>
      <c r="V49" s="2"/>
      <c r="W49" s="2"/>
      <c r="X49" s="2"/>
      <c r="Y49" s="2"/>
      <c r="Z49" s="2"/>
      <c r="AA49" s="2"/>
      <c r="AB49" s="2"/>
      <c r="AC49" s="2"/>
      <c r="AD49" s="2"/>
      <c r="AE49" s="2">
        <v>400</v>
      </c>
      <c r="AF49" s="2">
        <v>480</v>
      </c>
      <c r="AG49" s="2">
        <v>120</v>
      </c>
      <c r="AH49" s="2"/>
      <c r="AI49" s="2"/>
      <c r="AJ49" s="7">
        <f t="shared" si="6"/>
        <v>148</v>
      </c>
      <c r="AK49" s="7">
        <v>500</v>
      </c>
      <c r="AL49" s="7">
        <v>0</v>
      </c>
      <c r="AM49" s="8">
        <f t="shared" si="7"/>
        <v>0</v>
      </c>
      <c r="AN49" s="8">
        <v>0</v>
      </c>
      <c r="AO49" s="8">
        <f t="shared" si="8"/>
        <v>0</v>
      </c>
      <c r="AP49" s="8">
        <f t="shared" si="4"/>
        <v>0</v>
      </c>
      <c r="AQ49" s="8">
        <v>0</v>
      </c>
      <c r="AR49" s="8">
        <v>0</v>
      </c>
      <c r="AS49" s="8" t="s">
        <v>119</v>
      </c>
      <c r="AT49" s="8" t="s">
        <v>121</v>
      </c>
      <c r="BA49" s="1">
        <v>0</v>
      </c>
    </row>
    <row r="50" spans="2:53" x14ac:dyDescent="0.25">
      <c r="B50" s="2" t="s">
        <v>87</v>
      </c>
      <c r="C50" s="2" t="s">
        <v>88</v>
      </c>
      <c r="D50" s="2" t="s">
        <v>49</v>
      </c>
      <c r="E50" s="2" t="s">
        <v>48</v>
      </c>
      <c r="F50" s="2">
        <v>3.5000000000000003E-2</v>
      </c>
      <c r="G50" s="3">
        <v>0.14399999999999999</v>
      </c>
      <c r="H50" s="2">
        <v>0</v>
      </c>
      <c r="I50" s="2">
        <v>238</v>
      </c>
      <c r="J50" s="2"/>
      <c r="K50" s="2"/>
      <c r="L50" s="2"/>
      <c r="M50" s="2"/>
      <c r="N50" s="8">
        <f t="shared" si="5"/>
        <v>-183</v>
      </c>
      <c r="O50" s="2"/>
      <c r="P50" s="2"/>
      <c r="Q50" s="2"/>
      <c r="R50" s="19"/>
      <c r="S50" s="2"/>
      <c r="T50" s="2"/>
      <c r="U50" s="19"/>
      <c r="V50" s="2"/>
      <c r="W50" s="2"/>
      <c r="X50" s="2"/>
      <c r="Y50" s="2"/>
      <c r="Z50" s="2">
        <v>421</v>
      </c>
      <c r="AA50" s="2"/>
      <c r="AB50" s="2"/>
      <c r="AC50" s="2"/>
      <c r="AD50" s="2"/>
      <c r="AE50" s="2"/>
      <c r="AF50" s="2"/>
      <c r="AG50" s="2"/>
      <c r="AH50" s="2"/>
      <c r="AI50" s="2"/>
      <c r="AJ50" s="7">
        <f t="shared" si="6"/>
        <v>34.271999999999998</v>
      </c>
      <c r="AK50" s="7">
        <v>500</v>
      </c>
      <c r="AL50" s="7">
        <v>0</v>
      </c>
      <c r="AM50" s="8">
        <f t="shared" si="7"/>
        <v>0</v>
      </c>
      <c r="AN50" s="8">
        <v>0</v>
      </c>
      <c r="AO50" s="8">
        <f t="shared" si="8"/>
        <v>0</v>
      </c>
      <c r="AP50" s="8">
        <f t="shared" si="4"/>
        <v>0</v>
      </c>
      <c r="AQ50" s="8">
        <v>0</v>
      </c>
      <c r="AR50" s="8">
        <v>0</v>
      </c>
      <c r="AS50" s="8" t="s">
        <v>119</v>
      </c>
      <c r="AT50" s="8" t="s">
        <v>121</v>
      </c>
      <c r="BA50" s="1">
        <v>0</v>
      </c>
    </row>
    <row r="51" spans="2:53" x14ac:dyDescent="0.25">
      <c r="B51" s="2" t="s">
        <v>87</v>
      </c>
      <c r="C51" s="2" t="s">
        <v>88</v>
      </c>
      <c r="D51" s="2" t="s">
        <v>50</v>
      </c>
      <c r="E51" s="2" t="s">
        <v>48</v>
      </c>
      <c r="F51" s="2">
        <v>3.5000000000000003E-2</v>
      </c>
      <c r="G51" s="3">
        <v>5.2999999999999999E-2</v>
      </c>
      <c r="H51" s="2">
        <v>1100</v>
      </c>
      <c r="I51" s="2">
        <v>0</v>
      </c>
      <c r="J51" s="2"/>
      <c r="K51" s="2"/>
      <c r="L51" s="2"/>
      <c r="M51" s="2"/>
      <c r="N51" s="8">
        <f t="shared" si="5"/>
        <v>-72</v>
      </c>
      <c r="O51" s="2"/>
      <c r="P51" s="2"/>
      <c r="Q51" s="2"/>
      <c r="R51" s="19"/>
      <c r="S51" s="2"/>
      <c r="T51" s="2"/>
      <c r="U51" s="19"/>
      <c r="V51" s="2"/>
      <c r="W51" s="2"/>
      <c r="X51" s="2"/>
      <c r="Y51" s="2">
        <v>872</v>
      </c>
      <c r="Z51" s="2"/>
      <c r="AA51" s="2"/>
      <c r="AB51" s="2"/>
      <c r="AC51" s="2"/>
      <c r="AD51" s="2"/>
      <c r="AE51" s="2">
        <v>300</v>
      </c>
      <c r="AF51" s="2"/>
      <c r="AG51" s="2"/>
      <c r="AH51" s="2"/>
      <c r="AI51" s="2"/>
      <c r="AJ51" s="7">
        <f t="shared" si="6"/>
        <v>58.3</v>
      </c>
      <c r="AK51" s="7">
        <v>1000</v>
      </c>
      <c r="AL51" s="7">
        <v>0</v>
      </c>
      <c r="AM51" s="8">
        <f t="shared" si="7"/>
        <v>0</v>
      </c>
      <c r="AN51" s="8">
        <v>0</v>
      </c>
      <c r="AO51" s="8">
        <f t="shared" si="8"/>
        <v>0</v>
      </c>
      <c r="AP51" s="8">
        <f t="shared" si="4"/>
        <v>0</v>
      </c>
      <c r="AQ51" s="8">
        <v>0</v>
      </c>
      <c r="AR51" s="8">
        <v>0</v>
      </c>
      <c r="AS51" s="8" t="s">
        <v>119</v>
      </c>
      <c r="AT51" s="8" t="s">
        <v>121</v>
      </c>
      <c r="BA51" s="1">
        <v>1200</v>
      </c>
    </row>
    <row r="52" spans="2:53" x14ac:dyDescent="0.25">
      <c r="B52" s="2" t="s">
        <v>87</v>
      </c>
      <c r="C52" s="2" t="s">
        <v>88</v>
      </c>
      <c r="D52" s="2" t="s">
        <v>51</v>
      </c>
      <c r="E52" s="2" t="s">
        <v>48</v>
      </c>
      <c r="F52" s="2">
        <v>3.5000000000000003E-2</v>
      </c>
      <c r="G52" s="3">
        <v>0.13800000000000001</v>
      </c>
      <c r="H52" s="2">
        <v>0</v>
      </c>
      <c r="I52" s="2">
        <v>0</v>
      </c>
      <c r="J52" s="2"/>
      <c r="K52" s="2"/>
      <c r="L52" s="2"/>
      <c r="M52" s="2"/>
      <c r="N52" s="8">
        <f t="shared" si="5"/>
        <v>0</v>
      </c>
      <c r="O52" s="2"/>
      <c r="P52" s="2"/>
      <c r="Q52" s="2"/>
      <c r="R52" s="19"/>
      <c r="S52" s="2"/>
      <c r="T52" s="2"/>
      <c r="U52" s="19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7">
        <f t="shared" si="6"/>
        <v>0</v>
      </c>
      <c r="AK52" s="7">
        <v>500</v>
      </c>
      <c r="AL52" s="7">
        <v>0</v>
      </c>
      <c r="AM52" s="8">
        <f t="shared" si="7"/>
        <v>0</v>
      </c>
      <c r="AN52" s="8">
        <v>0</v>
      </c>
      <c r="AO52" s="8">
        <f t="shared" si="8"/>
        <v>0</v>
      </c>
      <c r="AP52" s="8">
        <f t="shared" si="4"/>
        <v>0</v>
      </c>
      <c r="AQ52" s="8">
        <v>0</v>
      </c>
      <c r="AR52" s="8">
        <v>0</v>
      </c>
      <c r="AS52" s="8" t="s">
        <v>119</v>
      </c>
      <c r="AT52" s="8" t="s">
        <v>121</v>
      </c>
      <c r="BA52" s="1">
        <v>0</v>
      </c>
    </row>
    <row r="53" spans="2:53" x14ac:dyDescent="0.25">
      <c r="B53" s="2" t="s">
        <v>87</v>
      </c>
      <c r="C53" s="2" t="s">
        <v>88</v>
      </c>
      <c r="D53" s="2" t="s">
        <v>52</v>
      </c>
      <c r="E53" s="2" t="s">
        <v>48</v>
      </c>
      <c r="F53" s="2">
        <v>3.5000000000000003E-2</v>
      </c>
      <c r="G53" s="3">
        <v>0.11</v>
      </c>
      <c r="H53" s="2">
        <v>1300</v>
      </c>
      <c r="I53" s="2">
        <v>0</v>
      </c>
      <c r="J53" s="2"/>
      <c r="K53" s="2"/>
      <c r="L53" s="2"/>
      <c r="M53" s="2"/>
      <c r="N53" s="8">
        <f t="shared" si="5"/>
        <v>0</v>
      </c>
      <c r="O53" s="2"/>
      <c r="P53" s="2"/>
      <c r="Q53" s="2"/>
      <c r="R53" s="19"/>
      <c r="S53" s="2"/>
      <c r="T53" s="2"/>
      <c r="U53" s="19"/>
      <c r="V53" s="2"/>
      <c r="W53" s="2"/>
      <c r="X53" s="2"/>
      <c r="Y53" s="2">
        <v>270</v>
      </c>
      <c r="Z53" s="2"/>
      <c r="AA53" s="2">
        <v>850</v>
      </c>
      <c r="AB53" s="2"/>
      <c r="AC53" s="2"/>
      <c r="AD53" s="2"/>
      <c r="AE53" s="2">
        <v>180</v>
      </c>
      <c r="AF53" s="2"/>
      <c r="AG53" s="2"/>
      <c r="AH53" s="2"/>
      <c r="AI53" s="2"/>
      <c r="AJ53" s="7">
        <f t="shared" si="6"/>
        <v>143</v>
      </c>
      <c r="AK53" s="7">
        <v>500</v>
      </c>
      <c r="AL53" s="7">
        <v>0</v>
      </c>
      <c r="AM53" s="8">
        <f t="shared" si="7"/>
        <v>0</v>
      </c>
      <c r="AN53" s="8">
        <v>0</v>
      </c>
      <c r="AO53" s="8">
        <f t="shared" si="8"/>
        <v>0</v>
      </c>
      <c r="AP53" s="8">
        <f t="shared" si="4"/>
        <v>0</v>
      </c>
      <c r="AQ53" s="8">
        <v>0</v>
      </c>
      <c r="AR53" s="8">
        <v>0</v>
      </c>
      <c r="AS53" s="8" t="s">
        <v>119</v>
      </c>
      <c r="AT53" s="8" t="s">
        <v>121</v>
      </c>
      <c r="BA53" s="1">
        <v>1000</v>
      </c>
    </row>
    <row r="54" spans="2:53" x14ac:dyDescent="0.25">
      <c r="B54" s="2" t="s">
        <v>87</v>
      </c>
      <c r="C54" s="2" t="s">
        <v>88</v>
      </c>
      <c r="D54" s="2" t="s">
        <v>53</v>
      </c>
      <c r="E54" s="2" t="s">
        <v>54</v>
      </c>
      <c r="F54" s="2">
        <v>4.1000000000000002E-2</v>
      </c>
      <c r="G54" s="3">
        <v>7.3999999999999996E-2</v>
      </c>
      <c r="H54" s="2">
        <v>0</v>
      </c>
      <c r="I54" s="2">
        <v>0</v>
      </c>
      <c r="J54" s="2"/>
      <c r="K54" s="2"/>
      <c r="L54" s="2"/>
      <c r="M54" s="2"/>
      <c r="N54" s="8">
        <f t="shared" si="5"/>
        <v>0</v>
      </c>
      <c r="O54" s="2"/>
      <c r="P54" s="2"/>
      <c r="Q54" s="2"/>
      <c r="R54" s="19"/>
      <c r="S54" s="2"/>
      <c r="T54" s="2"/>
      <c r="U54" s="19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7">
        <f t="shared" si="6"/>
        <v>0</v>
      </c>
      <c r="AK54" s="7">
        <v>1000</v>
      </c>
      <c r="AL54" s="7">
        <v>0</v>
      </c>
      <c r="AM54" s="8">
        <f t="shared" si="7"/>
        <v>0</v>
      </c>
      <c r="AN54" s="8">
        <v>0</v>
      </c>
      <c r="AO54" s="8">
        <f t="shared" si="8"/>
        <v>0</v>
      </c>
      <c r="AP54" s="8">
        <f t="shared" si="4"/>
        <v>0</v>
      </c>
      <c r="AQ54" s="8">
        <v>0</v>
      </c>
      <c r="AR54" s="8">
        <v>0</v>
      </c>
      <c r="AS54" s="8" t="s">
        <v>119</v>
      </c>
      <c r="AT54" s="8" t="s">
        <v>121</v>
      </c>
      <c r="BA54" s="1">
        <v>2800</v>
      </c>
    </row>
    <row r="55" spans="2:53" x14ac:dyDescent="0.25">
      <c r="B55" s="2" t="s">
        <v>87</v>
      </c>
      <c r="C55" s="2" t="s">
        <v>88</v>
      </c>
      <c r="D55" s="2" t="s">
        <v>55</v>
      </c>
      <c r="E55" s="2" t="s">
        <v>54</v>
      </c>
      <c r="F55" s="2">
        <v>4.4999999999999998E-2</v>
      </c>
      <c r="G55" s="3">
        <v>0.46</v>
      </c>
      <c r="H55" s="2">
        <v>1000</v>
      </c>
      <c r="I55" s="2">
        <v>0</v>
      </c>
      <c r="J55" s="2"/>
      <c r="K55" s="2"/>
      <c r="L55" s="2"/>
      <c r="M55" s="2"/>
      <c r="N55" s="8">
        <f t="shared" si="5"/>
        <v>528</v>
      </c>
      <c r="O55" s="2"/>
      <c r="P55" s="2"/>
      <c r="Q55" s="2"/>
      <c r="R55" s="19"/>
      <c r="S55" s="2"/>
      <c r="T55" s="2"/>
      <c r="U55" s="19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>
        <v>300</v>
      </c>
      <c r="AH55" s="2">
        <v>172</v>
      </c>
      <c r="AI55" s="2"/>
      <c r="AJ55" s="7">
        <f t="shared" si="6"/>
        <v>460</v>
      </c>
      <c r="AK55" s="7">
        <v>200</v>
      </c>
      <c r="AL55" s="7">
        <v>0</v>
      </c>
      <c r="AM55" s="8">
        <f t="shared" si="7"/>
        <v>0</v>
      </c>
      <c r="AN55" s="8">
        <v>0</v>
      </c>
      <c r="AO55" s="8">
        <f t="shared" si="8"/>
        <v>0</v>
      </c>
      <c r="AP55" s="8">
        <f t="shared" si="4"/>
        <v>0</v>
      </c>
      <c r="AQ55" s="8">
        <v>0</v>
      </c>
      <c r="AR55" s="8">
        <v>0</v>
      </c>
      <c r="AS55" s="8" t="s">
        <v>119</v>
      </c>
      <c r="AT55" s="8" t="s">
        <v>121</v>
      </c>
      <c r="BA55" s="1">
        <v>1000</v>
      </c>
    </row>
    <row r="56" spans="2:53" x14ac:dyDescent="0.25">
      <c r="B56" s="2" t="s">
        <v>87</v>
      </c>
      <c r="C56" s="2" t="s">
        <v>88</v>
      </c>
      <c r="D56" s="2" t="s">
        <v>56</v>
      </c>
      <c r="E56" s="2" t="s">
        <v>54</v>
      </c>
      <c r="F56" s="2">
        <v>4.4999999999999998E-2</v>
      </c>
      <c r="G56" s="3">
        <v>0.23300000000000001</v>
      </c>
      <c r="H56" s="2">
        <v>2100</v>
      </c>
      <c r="I56" s="2">
        <v>0</v>
      </c>
      <c r="J56" s="2"/>
      <c r="K56" s="2"/>
      <c r="L56" s="2"/>
      <c r="M56" s="2"/>
      <c r="N56" s="8">
        <f t="shared" si="5"/>
        <v>72</v>
      </c>
      <c r="O56" s="2"/>
      <c r="P56" s="2"/>
      <c r="Q56" s="2"/>
      <c r="R56" s="19"/>
      <c r="S56" s="2"/>
      <c r="T56" s="2">
        <v>316</v>
      </c>
      <c r="U56" s="19"/>
      <c r="V56" s="2">
        <v>152</v>
      </c>
      <c r="W56" s="2">
        <v>355</v>
      </c>
      <c r="X56" s="2">
        <v>745</v>
      </c>
      <c r="Y56" s="2"/>
      <c r="Z56" s="2">
        <v>460</v>
      </c>
      <c r="AA56" s="2"/>
      <c r="AB56" s="2"/>
      <c r="AC56" s="2"/>
      <c r="AD56" s="2"/>
      <c r="AE56" s="2"/>
      <c r="AF56" s="2"/>
      <c r="AG56" s="2"/>
      <c r="AH56" s="2"/>
      <c r="AI56" s="2"/>
      <c r="AJ56" s="7">
        <f t="shared" si="6"/>
        <v>489.3</v>
      </c>
      <c r="AK56" s="7">
        <v>500</v>
      </c>
      <c r="AL56" s="7">
        <v>0</v>
      </c>
      <c r="AM56" s="8">
        <f t="shared" si="7"/>
        <v>0</v>
      </c>
      <c r="AN56" s="8">
        <v>0</v>
      </c>
      <c r="AO56" s="8">
        <f t="shared" si="8"/>
        <v>0</v>
      </c>
      <c r="AP56" s="8">
        <f t="shared" si="4"/>
        <v>0</v>
      </c>
      <c r="AQ56" s="8">
        <v>0</v>
      </c>
      <c r="AR56" s="8">
        <v>0</v>
      </c>
      <c r="AS56" s="8" t="s">
        <v>119</v>
      </c>
      <c r="AT56" s="8" t="s">
        <v>121</v>
      </c>
      <c r="BA56" s="1">
        <v>416</v>
      </c>
    </row>
    <row r="57" spans="2:53" x14ac:dyDescent="0.25">
      <c r="B57" s="2" t="s">
        <v>87</v>
      </c>
      <c r="C57" s="2" t="s">
        <v>88</v>
      </c>
      <c r="D57" s="2" t="s">
        <v>57</v>
      </c>
      <c r="E57" s="2" t="s">
        <v>54</v>
      </c>
      <c r="F57" s="2">
        <v>4.1000000000000002E-2</v>
      </c>
      <c r="G57" s="3">
        <v>0.19700000000000001</v>
      </c>
      <c r="H57" s="2">
        <v>0</v>
      </c>
      <c r="I57" s="2">
        <v>1312</v>
      </c>
      <c r="J57" s="2"/>
      <c r="K57" s="2"/>
      <c r="L57" s="2"/>
      <c r="M57" s="2"/>
      <c r="N57" s="8">
        <f t="shared" si="5"/>
        <v>-88</v>
      </c>
      <c r="O57" s="2"/>
      <c r="P57" s="2"/>
      <c r="Q57" s="2"/>
      <c r="R57" s="19"/>
      <c r="S57" s="2"/>
      <c r="T57" s="2"/>
      <c r="U57" s="19"/>
      <c r="V57" s="2"/>
      <c r="W57" s="2"/>
      <c r="X57" s="2"/>
      <c r="Y57" s="2">
        <v>600</v>
      </c>
      <c r="Z57" s="2"/>
      <c r="AA57" s="2">
        <v>600</v>
      </c>
      <c r="AB57" s="2">
        <v>200</v>
      </c>
      <c r="AC57" s="2"/>
      <c r="AD57" s="2"/>
      <c r="AE57" s="2"/>
      <c r="AF57" s="2"/>
      <c r="AG57" s="2"/>
      <c r="AH57" s="2"/>
      <c r="AI57" s="2"/>
      <c r="AJ57" s="7">
        <f t="shared" si="6"/>
        <v>258.464</v>
      </c>
      <c r="AK57" s="7">
        <v>500</v>
      </c>
      <c r="AL57" s="7">
        <v>0</v>
      </c>
      <c r="AM57" s="8">
        <f t="shared" si="7"/>
        <v>0</v>
      </c>
      <c r="AN57" s="8">
        <v>0</v>
      </c>
      <c r="AO57" s="8">
        <f t="shared" si="8"/>
        <v>0</v>
      </c>
      <c r="AP57" s="8">
        <f t="shared" si="4"/>
        <v>0</v>
      </c>
      <c r="AQ57" s="8">
        <v>0</v>
      </c>
      <c r="AR57" s="8">
        <v>0</v>
      </c>
      <c r="AS57" s="8" t="s">
        <v>119</v>
      </c>
      <c r="AT57" s="8" t="s">
        <v>121</v>
      </c>
      <c r="BA57" s="1">
        <v>2200</v>
      </c>
    </row>
    <row r="58" spans="2:53" x14ac:dyDescent="0.25">
      <c r="B58" s="2" t="s">
        <v>87</v>
      </c>
      <c r="C58" s="2" t="s">
        <v>88</v>
      </c>
      <c r="D58" s="2" t="s">
        <v>58</v>
      </c>
      <c r="E58" s="2" t="s">
        <v>54</v>
      </c>
      <c r="F58" s="2">
        <v>4.4999999999999998E-2</v>
      </c>
      <c r="G58" s="3">
        <v>0.17299999999999999</v>
      </c>
      <c r="H58" s="2">
        <v>1600</v>
      </c>
      <c r="I58" s="2">
        <v>0</v>
      </c>
      <c r="J58" s="2"/>
      <c r="K58" s="2"/>
      <c r="L58" s="2"/>
      <c r="M58" s="2"/>
      <c r="N58" s="8">
        <f t="shared" si="5"/>
        <v>-191</v>
      </c>
      <c r="O58" s="2"/>
      <c r="P58" s="2"/>
      <c r="Q58" s="2"/>
      <c r="R58" s="19"/>
      <c r="S58" s="2"/>
      <c r="T58" s="2"/>
      <c r="U58" s="19">
        <v>100</v>
      </c>
      <c r="V58" s="2"/>
      <c r="W58" s="2"/>
      <c r="X58" s="2"/>
      <c r="Y58" s="2">
        <v>165</v>
      </c>
      <c r="Z58" s="2"/>
      <c r="AA58" s="2"/>
      <c r="AB58" s="2"/>
      <c r="AC58" s="2"/>
      <c r="AD58" s="2"/>
      <c r="AE58" s="2"/>
      <c r="AF58" s="2">
        <v>1100</v>
      </c>
      <c r="AG58" s="2">
        <v>426</v>
      </c>
      <c r="AH58" s="2"/>
      <c r="AI58" s="2"/>
      <c r="AJ58" s="7">
        <f t="shared" si="6"/>
        <v>276.79999999999995</v>
      </c>
      <c r="AK58" s="7">
        <v>500</v>
      </c>
      <c r="AL58" s="7">
        <v>0</v>
      </c>
      <c r="AM58" s="8">
        <f t="shared" si="7"/>
        <v>0</v>
      </c>
      <c r="AN58" s="8">
        <v>0</v>
      </c>
      <c r="AO58" s="8">
        <f t="shared" si="8"/>
        <v>0</v>
      </c>
      <c r="AP58" s="8">
        <f t="shared" si="4"/>
        <v>0</v>
      </c>
      <c r="AQ58" s="8">
        <v>0</v>
      </c>
      <c r="AR58" s="8">
        <v>0</v>
      </c>
      <c r="AS58" s="8" t="s">
        <v>119</v>
      </c>
      <c r="AT58" s="8" t="s">
        <v>121</v>
      </c>
      <c r="BA58" s="1">
        <v>1720</v>
      </c>
    </row>
    <row r="59" spans="2:53" ht="14.25" customHeight="1" x14ac:dyDescent="0.25">
      <c r="B59" s="2" t="s">
        <v>87</v>
      </c>
      <c r="C59" s="2" t="s">
        <v>88</v>
      </c>
      <c r="D59" s="2" t="s">
        <v>59</v>
      </c>
      <c r="E59" s="2" t="s">
        <v>60</v>
      </c>
      <c r="F59" s="2">
        <v>3.5000000000000003E-2</v>
      </c>
      <c r="G59" s="3">
        <v>0.29799999999999999</v>
      </c>
      <c r="H59" s="2">
        <v>0</v>
      </c>
      <c r="I59" s="2">
        <v>0</v>
      </c>
      <c r="J59" s="2"/>
      <c r="K59" s="2"/>
      <c r="L59" s="2"/>
      <c r="M59" s="2"/>
      <c r="N59" s="8">
        <f t="shared" si="5"/>
        <v>-144</v>
      </c>
      <c r="O59" s="2"/>
      <c r="P59" s="2"/>
      <c r="Q59" s="2"/>
      <c r="R59" s="19"/>
      <c r="S59" s="2"/>
      <c r="T59" s="2"/>
      <c r="U59" s="19"/>
      <c r="V59" s="2"/>
      <c r="W59" s="2"/>
      <c r="X59" s="2"/>
      <c r="Y59" s="2"/>
      <c r="Z59" s="2">
        <v>144</v>
      </c>
      <c r="AA59" s="2"/>
      <c r="AB59" s="2"/>
      <c r="AC59" s="2"/>
      <c r="AD59" s="2"/>
      <c r="AE59" s="2"/>
      <c r="AF59" s="2"/>
      <c r="AG59" s="2"/>
      <c r="AH59" s="2"/>
      <c r="AI59" s="2"/>
      <c r="AJ59" s="7">
        <f t="shared" si="6"/>
        <v>0</v>
      </c>
      <c r="AK59" s="7">
        <v>144</v>
      </c>
      <c r="AL59" s="7">
        <v>0</v>
      </c>
      <c r="AM59" s="8">
        <f t="shared" si="7"/>
        <v>0</v>
      </c>
      <c r="AN59" s="8">
        <v>0</v>
      </c>
      <c r="AO59" s="8">
        <f t="shared" si="8"/>
        <v>0</v>
      </c>
      <c r="AP59" s="8">
        <f t="shared" si="4"/>
        <v>0</v>
      </c>
      <c r="AQ59" s="8" t="s">
        <v>110</v>
      </c>
      <c r="AR59" s="8">
        <f t="shared" ref="AR59:AR78" si="9">+SUM(H59:M59)</f>
        <v>0</v>
      </c>
      <c r="AS59" s="8" t="s">
        <v>119</v>
      </c>
      <c r="AT59" s="8" t="s">
        <v>121</v>
      </c>
      <c r="BA59" s="1">
        <v>0</v>
      </c>
    </row>
    <row r="60" spans="2:53" x14ac:dyDescent="0.25">
      <c r="B60" s="2" t="s">
        <v>87</v>
      </c>
      <c r="C60" s="2" t="s">
        <v>88</v>
      </c>
      <c r="D60" s="2" t="s">
        <v>61</v>
      </c>
      <c r="E60" s="2" t="s">
        <v>60</v>
      </c>
      <c r="F60" s="2">
        <v>3.5000000000000003E-2</v>
      </c>
      <c r="G60" s="3">
        <v>0.249</v>
      </c>
      <c r="H60" s="2">
        <v>0</v>
      </c>
      <c r="I60" s="2">
        <v>0</v>
      </c>
      <c r="J60" s="2"/>
      <c r="K60" s="2"/>
      <c r="L60" s="2"/>
      <c r="M60" s="2"/>
      <c r="N60" s="8">
        <f t="shared" si="5"/>
        <v>0</v>
      </c>
      <c r="O60" s="2"/>
      <c r="P60" s="2"/>
      <c r="Q60" s="2"/>
      <c r="R60" s="19"/>
      <c r="S60" s="2"/>
      <c r="T60" s="2"/>
      <c r="U60" s="19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7">
        <f t="shared" si="6"/>
        <v>0</v>
      </c>
      <c r="AK60" s="7">
        <v>144</v>
      </c>
      <c r="AL60" s="7">
        <v>1</v>
      </c>
      <c r="AM60" s="8">
        <f t="shared" si="7"/>
        <v>0</v>
      </c>
      <c r="AN60" s="8">
        <v>0</v>
      </c>
      <c r="AO60" s="8">
        <f t="shared" si="8"/>
        <v>0</v>
      </c>
      <c r="AP60" s="8">
        <f t="shared" si="4"/>
        <v>0</v>
      </c>
      <c r="AQ60" s="8" t="s">
        <v>111</v>
      </c>
      <c r="AR60" s="8">
        <f t="shared" si="9"/>
        <v>0</v>
      </c>
      <c r="AS60" s="8" t="s">
        <v>119</v>
      </c>
      <c r="AT60" s="8" t="s">
        <v>121</v>
      </c>
      <c r="BA60" s="1">
        <v>-576</v>
      </c>
    </row>
    <row r="61" spans="2:53" x14ac:dyDescent="0.25">
      <c r="B61" s="2" t="s">
        <v>87</v>
      </c>
      <c r="C61" s="2" t="s">
        <v>88</v>
      </c>
      <c r="D61" s="2" t="s">
        <v>62</v>
      </c>
      <c r="E61" s="2" t="s">
        <v>60</v>
      </c>
      <c r="F61" s="2">
        <v>3.5000000000000003E-2</v>
      </c>
      <c r="G61" s="3">
        <v>0.253</v>
      </c>
      <c r="H61" s="2">
        <v>0</v>
      </c>
      <c r="I61" s="2">
        <v>0</v>
      </c>
      <c r="J61" s="2"/>
      <c r="K61" s="2"/>
      <c r="L61" s="2"/>
      <c r="M61" s="2"/>
      <c r="N61" s="8">
        <f t="shared" si="5"/>
        <v>0</v>
      </c>
      <c r="O61" s="2"/>
      <c r="P61" s="2"/>
      <c r="Q61" s="2"/>
      <c r="R61" s="19"/>
      <c r="S61" s="2"/>
      <c r="T61" s="2"/>
      <c r="U61" s="19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7">
        <f t="shared" si="6"/>
        <v>0</v>
      </c>
      <c r="AK61" s="7">
        <v>144</v>
      </c>
      <c r="AL61" s="7">
        <v>1</v>
      </c>
      <c r="AM61" s="8">
        <f t="shared" si="7"/>
        <v>0</v>
      </c>
      <c r="AN61" s="8">
        <v>0</v>
      </c>
      <c r="AO61" s="8">
        <f t="shared" si="8"/>
        <v>0</v>
      </c>
      <c r="AP61" s="8">
        <f t="shared" si="4"/>
        <v>0</v>
      </c>
      <c r="AQ61" s="8" t="s">
        <v>111</v>
      </c>
      <c r="AR61" s="8">
        <f t="shared" si="9"/>
        <v>0</v>
      </c>
      <c r="AS61" s="8" t="s">
        <v>119</v>
      </c>
      <c r="AT61" s="8" t="s">
        <v>121</v>
      </c>
      <c r="BA61" s="1">
        <v>0</v>
      </c>
    </row>
    <row r="62" spans="2:53" x14ac:dyDescent="0.25">
      <c r="B62" s="2" t="s">
        <v>87</v>
      </c>
      <c r="C62" s="2" t="s">
        <v>88</v>
      </c>
      <c r="D62" s="2" t="s">
        <v>63</v>
      </c>
      <c r="E62" s="2" t="s">
        <v>60</v>
      </c>
      <c r="F62" s="2">
        <v>3.5000000000000003E-2</v>
      </c>
      <c r="G62" s="3">
        <v>0.215</v>
      </c>
      <c r="H62" s="2">
        <v>720</v>
      </c>
      <c r="I62" s="2">
        <v>0</v>
      </c>
      <c r="J62" s="2"/>
      <c r="K62" s="2"/>
      <c r="L62" s="2"/>
      <c r="M62" s="2"/>
      <c r="N62" s="8">
        <f t="shared" si="5"/>
        <v>144</v>
      </c>
      <c r="O62" s="2"/>
      <c r="P62" s="2"/>
      <c r="Q62" s="2"/>
      <c r="R62" s="19"/>
      <c r="S62" s="2"/>
      <c r="T62" s="2"/>
      <c r="U62" s="19"/>
      <c r="V62" s="2">
        <v>576</v>
      </c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7">
        <f t="shared" si="6"/>
        <v>154.80000000000001</v>
      </c>
      <c r="AK62" s="7">
        <v>144</v>
      </c>
      <c r="AL62" s="7">
        <v>1</v>
      </c>
      <c r="AM62" s="8">
        <f t="shared" si="7"/>
        <v>720</v>
      </c>
      <c r="AN62" s="8">
        <v>0</v>
      </c>
      <c r="AO62" s="8">
        <f t="shared" si="8"/>
        <v>0</v>
      </c>
      <c r="AP62" s="8">
        <f t="shared" si="4"/>
        <v>0</v>
      </c>
      <c r="AQ62" s="8" t="s">
        <v>111</v>
      </c>
      <c r="AR62" s="8">
        <f t="shared" si="9"/>
        <v>720</v>
      </c>
      <c r="AS62" s="8" t="s">
        <v>119</v>
      </c>
      <c r="AT62" s="8" t="s">
        <v>121</v>
      </c>
      <c r="BA62" s="1">
        <v>144</v>
      </c>
    </row>
    <row r="63" spans="2:53" x14ac:dyDescent="0.25">
      <c r="B63" s="2" t="s">
        <v>87</v>
      </c>
      <c r="C63" s="2" t="s">
        <v>88</v>
      </c>
      <c r="D63" s="2" t="s">
        <v>64</v>
      </c>
      <c r="E63" s="2" t="s">
        <v>60</v>
      </c>
      <c r="F63" s="2">
        <v>3.5000000000000003E-2</v>
      </c>
      <c r="G63" s="3">
        <v>0.253</v>
      </c>
      <c r="H63" s="2">
        <v>1296</v>
      </c>
      <c r="I63" s="2">
        <v>0</v>
      </c>
      <c r="J63" s="2"/>
      <c r="K63" s="2"/>
      <c r="L63" s="2"/>
      <c r="M63" s="2"/>
      <c r="N63" s="8">
        <f t="shared" si="5"/>
        <v>0</v>
      </c>
      <c r="O63" s="2"/>
      <c r="P63" s="2"/>
      <c r="Q63" s="2"/>
      <c r="R63" s="19"/>
      <c r="S63" s="2"/>
      <c r="T63" s="2"/>
      <c r="U63" s="19"/>
      <c r="V63" s="2"/>
      <c r="W63" s="2"/>
      <c r="X63" s="2">
        <v>288</v>
      </c>
      <c r="Y63" s="2"/>
      <c r="Z63" s="2">
        <v>144</v>
      </c>
      <c r="AA63" s="2">
        <v>432</v>
      </c>
      <c r="AB63" s="2">
        <v>144</v>
      </c>
      <c r="AC63" s="2"/>
      <c r="AD63" s="2"/>
      <c r="AE63" s="2">
        <v>288</v>
      </c>
      <c r="AF63" s="2"/>
      <c r="AG63" s="2"/>
      <c r="AH63" s="2"/>
      <c r="AI63" s="2"/>
      <c r="AJ63" s="7">
        <f t="shared" si="6"/>
        <v>327.88799999999998</v>
      </c>
      <c r="AK63" s="7">
        <v>144</v>
      </c>
      <c r="AL63" s="7">
        <v>1</v>
      </c>
      <c r="AM63" s="8">
        <f t="shared" si="7"/>
        <v>1296</v>
      </c>
      <c r="AN63" s="8">
        <v>0</v>
      </c>
      <c r="AO63" s="8">
        <f t="shared" si="8"/>
        <v>0</v>
      </c>
      <c r="AP63" s="8">
        <f t="shared" si="4"/>
        <v>0</v>
      </c>
      <c r="AQ63" s="8" t="s">
        <v>111</v>
      </c>
      <c r="AR63" s="8">
        <f t="shared" si="9"/>
        <v>1296</v>
      </c>
      <c r="AS63" s="8" t="s">
        <v>119</v>
      </c>
      <c r="AT63" s="8" t="s">
        <v>121</v>
      </c>
      <c r="BA63" s="1">
        <v>0</v>
      </c>
    </row>
    <row r="64" spans="2:53" x14ac:dyDescent="0.25">
      <c r="B64" s="2" t="s">
        <v>87</v>
      </c>
      <c r="C64" s="2" t="s">
        <v>88</v>
      </c>
      <c r="D64" s="2" t="s">
        <v>65</v>
      </c>
      <c r="E64" s="2" t="s">
        <v>60</v>
      </c>
      <c r="F64" s="2">
        <v>3.5000000000000003E-2</v>
      </c>
      <c r="G64" s="3">
        <v>0.249</v>
      </c>
      <c r="H64" s="2">
        <v>864</v>
      </c>
      <c r="I64" s="2">
        <v>0</v>
      </c>
      <c r="J64" s="2"/>
      <c r="K64" s="2"/>
      <c r="L64" s="2"/>
      <c r="M64" s="2"/>
      <c r="N64" s="8">
        <f t="shared" si="5"/>
        <v>0</v>
      </c>
      <c r="O64" s="2"/>
      <c r="P64" s="2"/>
      <c r="Q64" s="2"/>
      <c r="R64" s="19"/>
      <c r="S64" s="2"/>
      <c r="T64" s="2"/>
      <c r="U64" s="19"/>
      <c r="V64" s="2"/>
      <c r="W64" s="2"/>
      <c r="X64" s="2"/>
      <c r="Y64" s="2">
        <v>288</v>
      </c>
      <c r="Z64" s="2">
        <v>144</v>
      </c>
      <c r="AA64" s="2"/>
      <c r="AB64" s="2"/>
      <c r="AC64" s="2"/>
      <c r="AD64" s="2"/>
      <c r="AE64" s="2"/>
      <c r="AF64" s="2"/>
      <c r="AG64" s="2">
        <v>432</v>
      </c>
      <c r="AH64" s="2"/>
      <c r="AI64" s="2"/>
      <c r="AJ64" s="7">
        <f t="shared" si="6"/>
        <v>215.136</v>
      </c>
      <c r="AK64" s="7">
        <v>144</v>
      </c>
      <c r="AL64" s="7">
        <v>1</v>
      </c>
      <c r="AM64" s="8">
        <f t="shared" si="7"/>
        <v>864</v>
      </c>
      <c r="AN64" s="8">
        <v>0</v>
      </c>
      <c r="AO64" s="8">
        <f t="shared" si="8"/>
        <v>0</v>
      </c>
      <c r="AP64" s="8">
        <f t="shared" si="4"/>
        <v>0</v>
      </c>
      <c r="AQ64" s="8" t="s">
        <v>111</v>
      </c>
      <c r="AR64" s="8">
        <f t="shared" si="9"/>
        <v>864</v>
      </c>
      <c r="AS64" s="8" t="s">
        <v>119</v>
      </c>
      <c r="AT64" s="8" t="s">
        <v>121</v>
      </c>
      <c r="BA64" s="1">
        <v>576</v>
      </c>
    </row>
    <row r="65" spans="2:53" x14ac:dyDescent="0.25">
      <c r="B65" s="2" t="s">
        <v>87</v>
      </c>
      <c r="C65" s="2" t="s">
        <v>88</v>
      </c>
      <c r="D65" s="2" t="s">
        <v>66</v>
      </c>
      <c r="E65" s="2" t="s">
        <v>60</v>
      </c>
      <c r="F65" s="2">
        <v>3.5000000000000003E-2</v>
      </c>
      <c r="G65" s="3">
        <v>0.30299999999999999</v>
      </c>
      <c r="H65" s="2">
        <v>432</v>
      </c>
      <c r="I65" s="2">
        <v>0</v>
      </c>
      <c r="J65" s="2"/>
      <c r="K65" s="2"/>
      <c r="L65" s="2"/>
      <c r="M65" s="2"/>
      <c r="N65" s="8">
        <f t="shared" si="5"/>
        <v>0</v>
      </c>
      <c r="O65" s="2"/>
      <c r="P65" s="2"/>
      <c r="Q65" s="2"/>
      <c r="R65" s="19"/>
      <c r="S65" s="2"/>
      <c r="T65" s="2"/>
      <c r="U65" s="19"/>
      <c r="V65" s="2"/>
      <c r="W65" s="2">
        <v>288</v>
      </c>
      <c r="X65" s="2"/>
      <c r="Y65" s="2"/>
      <c r="Z65" s="2"/>
      <c r="AA65" s="2"/>
      <c r="AB65" s="2">
        <v>144</v>
      </c>
      <c r="AC65" s="2"/>
      <c r="AD65" s="2"/>
      <c r="AE65" s="2"/>
      <c r="AF65" s="2"/>
      <c r="AG65" s="2"/>
      <c r="AH65" s="2"/>
      <c r="AI65" s="2"/>
      <c r="AJ65" s="7">
        <f t="shared" si="6"/>
        <v>130.89599999999999</v>
      </c>
      <c r="AK65" s="7">
        <v>144</v>
      </c>
      <c r="AL65" s="7">
        <v>0</v>
      </c>
      <c r="AM65" s="8">
        <f t="shared" si="7"/>
        <v>0</v>
      </c>
      <c r="AN65" s="8">
        <v>0</v>
      </c>
      <c r="AO65" s="8">
        <f t="shared" si="8"/>
        <v>0</v>
      </c>
      <c r="AP65" s="8">
        <f t="shared" si="4"/>
        <v>0</v>
      </c>
      <c r="AQ65" s="8" t="s">
        <v>110</v>
      </c>
      <c r="AR65" s="8">
        <f t="shared" si="9"/>
        <v>432</v>
      </c>
      <c r="AS65" s="8" t="s">
        <v>119</v>
      </c>
      <c r="AT65" s="8" t="s">
        <v>121</v>
      </c>
      <c r="BA65" s="1">
        <v>0</v>
      </c>
    </row>
    <row r="66" spans="2:53" x14ac:dyDescent="0.25">
      <c r="B66" s="2" t="s">
        <v>87</v>
      </c>
      <c r="C66" s="2" t="s">
        <v>88</v>
      </c>
      <c r="D66" s="2" t="s">
        <v>67</v>
      </c>
      <c r="E66" s="2" t="s">
        <v>60</v>
      </c>
      <c r="F66" s="2">
        <v>3.5000000000000003E-2</v>
      </c>
      <c r="G66" s="3">
        <v>0.216</v>
      </c>
      <c r="H66" s="2">
        <v>144</v>
      </c>
      <c r="I66" s="2">
        <v>0</v>
      </c>
      <c r="J66" s="2"/>
      <c r="K66" s="2"/>
      <c r="L66" s="2"/>
      <c r="M66" s="2"/>
      <c r="N66" s="8">
        <f t="shared" si="5"/>
        <v>0</v>
      </c>
      <c r="O66" s="2"/>
      <c r="P66" s="2"/>
      <c r="Q66" s="2"/>
      <c r="R66" s="19"/>
      <c r="S66" s="2"/>
      <c r="T66" s="2"/>
      <c r="U66" s="19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>
        <v>144</v>
      </c>
      <c r="AG66" s="2"/>
      <c r="AH66" s="2"/>
      <c r="AI66" s="2"/>
      <c r="AJ66" s="7">
        <f t="shared" si="6"/>
        <v>31.103999999999999</v>
      </c>
      <c r="AK66" s="7">
        <v>144</v>
      </c>
      <c r="AL66" s="7">
        <v>1</v>
      </c>
      <c r="AM66" s="8">
        <f t="shared" si="7"/>
        <v>144</v>
      </c>
      <c r="AN66" s="8">
        <v>0</v>
      </c>
      <c r="AO66" s="8">
        <f t="shared" si="8"/>
        <v>0</v>
      </c>
      <c r="AP66" s="8">
        <f t="shared" si="4"/>
        <v>0</v>
      </c>
      <c r="AQ66" s="8" t="s">
        <v>111</v>
      </c>
      <c r="AR66" s="8">
        <f t="shared" si="9"/>
        <v>144</v>
      </c>
      <c r="AS66" s="8" t="s">
        <v>119</v>
      </c>
      <c r="AT66" s="8" t="s">
        <v>121</v>
      </c>
      <c r="BA66" s="1">
        <v>0</v>
      </c>
    </row>
    <row r="67" spans="2:53" x14ac:dyDescent="0.25">
      <c r="B67" s="2" t="s">
        <v>87</v>
      </c>
      <c r="C67" s="2" t="s">
        <v>88</v>
      </c>
      <c r="D67" s="2" t="s">
        <v>68</v>
      </c>
      <c r="E67" s="2" t="s">
        <v>60</v>
      </c>
      <c r="F67" s="2">
        <v>3.5000000000000003E-2</v>
      </c>
      <c r="G67" s="3">
        <v>0.28399999999999997</v>
      </c>
      <c r="H67" s="2">
        <v>0</v>
      </c>
      <c r="I67" s="2">
        <v>0</v>
      </c>
      <c r="J67" s="2"/>
      <c r="K67" s="2"/>
      <c r="L67" s="2"/>
      <c r="M67" s="2"/>
      <c r="N67" s="8">
        <f t="shared" si="5"/>
        <v>0</v>
      </c>
      <c r="O67" s="2"/>
      <c r="P67" s="2"/>
      <c r="Q67" s="2"/>
      <c r="R67" s="19"/>
      <c r="S67" s="2"/>
      <c r="T67" s="2"/>
      <c r="U67" s="19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7">
        <f t="shared" si="6"/>
        <v>0</v>
      </c>
      <c r="AK67" s="7">
        <v>144</v>
      </c>
      <c r="AL67" s="7">
        <v>0</v>
      </c>
      <c r="AM67" s="8">
        <f t="shared" si="7"/>
        <v>0</v>
      </c>
      <c r="AN67" s="8">
        <v>0</v>
      </c>
      <c r="AO67" s="8">
        <f t="shared" si="8"/>
        <v>0</v>
      </c>
      <c r="AP67" s="8">
        <f t="shared" si="4"/>
        <v>0</v>
      </c>
      <c r="AQ67" s="8" t="s">
        <v>110</v>
      </c>
      <c r="AR67" s="8">
        <f t="shared" si="9"/>
        <v>0</v>
      </c>
      <c r="AS67" s="8" t="s">
        <v>119</v>
      </c>
      <c r="AT67" s="8" t="s">
        <v>121</v>
      </c>
      <c r="BA67" s="1">
        <v>0</v>
      </c>
    </row>
    <row r="68" spans="2:53" x14ac:dyDescent="0.25">
      <c r="B68" s="2" t="s">
        <v>87</v>
      </c>
      <c r="C68" s="2" t="s">
        <v>88</v>
      </c>
      <c r="D68" s="2" t="s">
        <v>69</v>
      </c>
      <c r="E68" s="2" t="s">
        <v>60</v>
      </c>
      <c r="F68" s="2">
        <v>3.5000000000000003E-2</v>
      </c>
      <c r="G68" s="3">
        <v>0.252</v>
      </c>
      <c r="H68" s="2">
        <v>864</v>
      </c>
      <c r="I68" s="2">
        <v>324</v>
      </c>
      <c r="J68" s="2"/>
      <c r="K68" s="2"/>
      <c r="L68" s="2"/>
      <c r="M68" s="2"/>
      <c r="N68" s="8">
        <f t="shared" si="5"/>
        <v>-1116</v>
      </c>
      <c r="O68" s="2"/>
      <c r="P68" s="2"/>
      <c r="Q68" s="2"/>
      <c r="R68" s="19"/>
      <c r="S68" s="2"/>
      <c r="T68" s="2"/>
      <c r="U68" s="19">
        <v>432</v>
      </c>
      <c r="V68" s="2"/>
      <c r="W68" s="2"/>
      <c r="X68" s="2"/>
      <c r="Y68" s="2">
        <v>432</v>
      </c>
      <c r="Z68" s="2">
        <v>144</v>
      </c>
      <c r="AA68" s="2">
        <v>576</v>
      </c>
      <c r="AB68" s="2">
        <v>432</v>
      </c>
      <c r="AC68" s="2"/>
      <c r="AD68" s="2"/>
      <c r="AE68" s="2">
        <v>288</v>
      </c>
      <c r="AF68" s="2"/>
      <c r="AG68" s="2"/>
      <c r="AH68" s="2"/>
      <c r="AI68" s="2"/>
      <c r="AJ68" s="7">
        <f t="shared" si="6"/>
        <v>299.37599999999998</v>
      </c>
      <c r="AK68" s="7">
        <v>144</v>
      </c>
      <c r="AL68" s="7">
        <v>1</v>
      </c>
      <c r="AM68" s="8">
        <f t="shared" si="7"/>
        <v>864</v>
      </c>
      <c r="AN68" s="8">
        <v>0</v>
      </c>
      <c r="AO68" s="8">
        <f t="shared" si="8"/>
        <v>0</v>
      </c>
      <c r="AP68" s="8">
        <f t="shared" si="4"/>
        <v>0</v>
      </c>
      <c r="AQ68" s="8" t="s">
        <v>111</v>
      </c>
      <c r="AR68" s="8">
        <f t="shared" si="9"/>
        <v>1188</v>
      </c>
      <c r="AS68" s="8" t="s">
        <v>119</v>
      </c>
      <c r="AT68" s="8" t="s">
        <v>121</v>
      </c>
      <c r="BA68" s="1">
        <v>-144</v>
      </c>
    </row>
    <row r="69" spans="2:53" x14ac:dyDescent="0.25">
      <c r="B69" s="2" t="s">
        <v>87</v>
      </c>
      <c r="C69" s="2" t="s">
        <v>88</v>
      </c>
      <c r="D69" s="2" t="s">
        <v>70</v>
      </c>
      <c r="E69" s="2" t="s">
        <v>71</v>
      </c>
      <c r="F69" s="2">
        <v>4.4999999999999998E-2</v>
      </c>
      <c r="G69" s="3">
        <v>0.373</v>
      </c>
      <c r="H69" s="2">
        <v>0</v>
      </c>
      <c r="I69" s="2">
        <v>0</v>
      </c>
      <c r="J69" s="2"/>
      <c r="K69" s="2"/>
      <c r="L69" s="2"/>
      <c r="M69" s="2"/>
      <c r="N69" s="8">
        <f t="shared" si="5"/>
        <v>0</v>
      </c>
      <c r="O69" s="2"/>
      <c r="P69" s="2"/>
      <c r="Q69" s="2"/>
      <c r="R69" s="19"/>
      <c r="S69" s="2"/>
      <c r="T69" s="2"/>
      <c r="U69" s="19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7">
        <f t="shared" si="6"/>
        <v>0</v>
      </c>
      <c r="AK69" s="7">
        <v>288</v>
      </c>
      <c r="AL69" s="7">
        <v>1</v>
      </c>
      <c r="AM69" s="8">
        <f t="shared" si="7"/>
        <v>0</v>
      </c>
      <c r="AN69" s="8">
        <v>0</v>
      </c>
      <c r="AO69" s="8">
        <f t="shared" si="8"/>
        <v>0</v>
      </c>
      <c r="AP69" s="8">
        <f t="shared" si="4"/>
        <v>0</v>
      </c>
      <c r="AQ69" s="8" t="s">
        <v>112</v>
      </c>
      <c r="AR69" s="8">
        <f t="shared" si="9"/>
        <v>0</v>
      </c>
      <c r="AS69" s="8" t="s">
        <v>119</v>
      </c>
      <c r="AT69" s="8" t="s">
        <v>121</v>
      </c>
      <c r="BA69" s="1">
        <v>512</v>
      </c>
    </row>
    <row r="70" spans="2:53" x14ac:dyDescent="0.25">
      <c r="B70" s="2" t="s">
        <v>87</v>
      </c>
      <c r="C70" s="2" t="s">
        <v>88</v>
      </c>
      <c r="D70" s="2" t="s">
        <v>72</v>
      </c>
      <c r="E70" s="2" t="s">
        <v>71</v>
      </c>
      <c r="F70" s="2">
        <v>4.1000000000000002E-2</v>
      </c>
      <c r="G70" s="3">
        <v>0.375</v>
      </c>
      <c r="H70" s="2">
        <v>256</v>
      </c>
      <c r="I70" s="2">
        <v>256</v>
      </c>
      <c r="J70" s="2"/>
      <c r="K70" s="2"/>
      <c r="L70" s="2"/>
      <c r="M70" s="2"/>
      <c r="N70" s="8">
        <f t="shared" ref="N70:N78" si="10">+H70+I70+J70+K70+L70+M70-SUM(O70:AI70)</f>
        <v>512</v>
      </c>
      <c r="O70" s="2"/>
      <c r="P70" s="2"/>
      <c r="Q70" s="2"/>
      <c r="R70" s="19"/>
      <c r="S70" s="2"/>
      <c r="T70" s="2"/>
      <c r="U70" s="19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7">
        <f t="shared" ref="AJ70:AJ78" si="11">+G70*SUM(H70:M70)</f>
        <v>192</v>
      </c>
      <c r="AK70" s="7">
        <v>288</v>
      </c>
      <c r="AL70" s="7">
        <v>0</v>
      </c>
      <c r="AM70" s="8">
        <f t="shared" ref="AM70:AM78" si="12">+H70*AL70</f>
        <v>0</v>
      </c>
      <c r="AN70" s="8">
        <v>1</v>
      </c>
      <c r="AO70" s="8">
        <f t="shared" ref="AO70:AO78" si="13">+H70*AN70</f>
        <v>256</v>
      </c>
      <c r="AP70" s="8">
        <f t="shared" si="4"/>
        <v>512</v>
      </c>
      <c r="AQ70" s="8" t="s">
        <v>113</v>
      </c>
      <c r="AR70" s="8">
        <f t="shared" si="9"/>
        <v>512</v>
      </c>
      <c r="AS70" s="8" t="s">
        <v>119</v>
      </c>
      <c r="AT70" s="8" t="s">
        <v>121</v>
      </c>
      <c r="BA70" s="1">
        <v>0</v>
      </c>
    </row>
    <row r="71" spans="2:53" x14ac:dyDescent="0.25">
      <c r="B71" s="2" t="s">
        <v>87</v>
      </c>
      <c r="C71" s="2" t="s">
        <v>88</v>
      </c>
      <c r="D71" s="2" t="s">
        <v>73</v>
      </c>
      <c r="E71" s="2" t="s">
        <v>71</v>
      </c>
      <c r="F71" s="2">
        <v>4.4999999999999998E-2</v>
      </c>
      <c r="G71" s="3">
        <v>0.35599999999999998</v>
      </c>
      <c r="H71" s="2">
        <v>128</v>
      </c>
      <c r="I71" s="2">
        <v>0</v>
      </c>
      <c r="J71" s="2"/>
      <c r="K71" s="2"/>
      <c r="L71" s="2"/>
      <c r="M71" s="2"/>
      <c r="N71" s="8">
        <f t="shared" si="10"/>
        <v>0</v>
      </c>
      <c r="O71" s="2"/>
      <c r="P71" s="2"/>
      <c r="Q71" s="2"/>
      <c r="R71" s="19"/>
      <c r="S71" s="2"/>
      <c r="T71" s="2"/>
      <c r="U71" s="19"/>
      <c r="V71" s="2"/>
      <c r="W71" s="2"/>
      <c r="X71" s="2"/>
      <c r="Y71" s="2"/>
      <c r="Z71" s="2"/>
      <c r="AA71" s="2">
        <v>128</v>
      </c>
      <c r="AB71" s="2"/>
      <c r="AC71" s="2"/>
      <c r="AD71" s="2"/>
      <c r="AE71" s="2"/>
      <c r="AF71" s="2"/>
      <c r="AG71" s="2"/>
      <c r="AH71" s="2"/>
      <c r="AI71" s="2"/>
      <c r="AJ71" s="7">
        <f t="shared" si="11"/>
        <v>45.567999999999998</v>
      </c>
      <c r="AK71" s="7">
        <v>288</v>
      </c>
      <c r="AL71" s="7">
        <v>1</v>
      </c>
      <c r="AM71" s="8">
        <f t="shared" si="12"/>
        <v>128</v>
      </c>
      <c r="AN71" s="8">
        <v>0</v>
      </c>
      <c r="AO71" s="8">
        <f t="shared" si="13"/>
        <v>0</v>
      </c>
      <c r="AP71" s="8">
        <f t="shared" ref="AP71:AP78" si="14">+AO71*2</f>
        <v>0</v>
      </c>
      <c r="AQ71" s="8" t="s">
        <v>112</v>
      </c>
      <c r="AR71" s="8">
        <f t="shared" si="9"/>
        <v>128</v>
      </c>
      <c r="AS71" s="8" t="s">
        <v>119</v>
      </c>
      <c r="AT71" s="8" t="s">
        <v>121</v>
      </c>
      <c r="BA71" s="1">
        <v>0</v>
      </c>
    </row>
    <row r="72" spans="2:53" x14ac:dyDescent="0.25">
      <c r="B72" s="2" t="s">
        <v>87</v>
      </c>
      <c r="C72" s="2" t="s">
        <v>88</v>
      </c>
      <c r="D72" s="2" t="s">
        <v>74</v>
      </c>
      <c r="E72" s="2" t="s">
        <v>71</v>
      </c>
      <c r="F72" s="2">
        <v>4.4999999999999998E-2</v>
      </c>
      <c r="G72" s="3">
        <v>0.35199999999999998</v>
      </c>
      <c r="H72" s="2">
        <v>0</v>
      </c>
      <c r="I72" s="2">
        <v>0</v>
      </c>
      <c r="J72" s="2"/>
      <c r="K72" s="2"/>
      <c r="L72" s="2"/>
      <c r="M72" s="2"/>
      <c r="N72" s="8">
        <f t="shared" si="10"/>
        <v>0</v>
      </c>
      <c r="O72" s="2"/>
      <c r="P72" s="2"/>
      <c r="Q72" s="2"/>
      <c r="R72" s="19"/>
      <c r="S72" s="2"/>
      <c r="T72" s="2"/>
      <c r="U72" s="19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7">
        <f t="shared" si="11"/>
        <v>0</v>
      </c>
      <c r="AK72" s="7">
        <v>288</v>
      </c>
      <c r="AL72" s="7">
        <v>1</v>
      </c>
      <c r="AM72" s="8">
        <f t="shared" si="12"/>
        <v>0</v>
      </c>
      <c r="AN72" s="8">
        <v>0</v>
      </c>
      <c r="AO72" s="8">
        <f t="shared" si="13"/>
        <v>0</v>
      </c>
      <c r="AP72" s="8">
        <f t="shared" si="14"/>
        <v>0</v>
      </c>
      <c r="AQ72" s="8" t="s">
        <v>114</v>
      </c>
      <c r="AR72" s="8">
        <f t="shared" si="9"/>
        <v>0</v>
      </c>
      <c r="AS72" s="8" t="s">
        <v>119</v>
      </c>
      <c r="AT72" s="8" t="s">
        <v>121</v>
      </c>
      <c r="BA72" s="1">
        <v>0</v>
      </c>
    </row>
    <row r="73" spans="2:53" x14ac:dyDescent="0.25">
      <c r="B73" s="2" t="s">
        <v>87</v>
      </c>
      <c r="C73" s="2" t="s">
        <v>88</v>
      </c>
      <c r="D73" s="2" t="s">
        <v>75</v>
      </c>
      <c r="E73" s="2" t="s">
        <v>71</v>
      </c>
      <c r="F73" s="2">
        <v>4.4999999999999998E-2</v>
      </c>
      <c r="G73" s="3">
        <v>0.35299999999999998</v>
      </c>
      <c r="H73" s="2">
        <v>0</v>
      </c>
      <c r="I73" s="2">
        <v>0</v>
      </c>
      <c r="J73" s="2"/>
      <c r="K73" s="2"/>
      <c r="L73" s="2"/>
      <c r="M73" s="2"/>
      <c r="N73" s="8">
        <f t="shared" si="10"/>
        <v>0</v>
      </c>
      <c r="O73" s="2"/>
      <c r="P73" s="2"/>
      <c r="Q73" s="2"/>
      <c r="R73" s="19"/>
      <c r="S73" s="2"/>
      <c r="T73" s="2"/>
      <c r="U73" s="19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7">
        <f t="shared" si="11"/>
        <v>0</v>
      </c>
      <c r="AK73" s="7">
        <v>288</v>
      </c>
      <c r="AL73" s="7">
        <v>1</v>
      </c>
      <c r="AM73" s="8">
        <f t="shared" si="12"/>
        <v>0</v>
      </c>
      <c r="AN73" s="8">
        <v>0</v>
      </c>
      <c r="AO73" s="8">
        <f t="shared" si="13"/>
        <v>0</v>
      </c>
      <c r="AP73" s="8">
        <f t="shared" si="14"/>
        <v>0</v>
      </c>
      <c r="AQ73" s="8" t="s">
        <v>115</v>
      </c>
      <c r="AR73" s="8">
        <f t="shared" si="9"/>
        <v>0</v>
      </c>
      <c r="AS73" s="8" t="s">
        <v>119</v>
      </c>
      <c r="AT73" s="8" t="s">
        <v>121</v>
      </c>
      <c r="BA73" s="1">
        <v>0</v>
      </c>
    </row>
    <row r="74" spans="2:53" x14ac:dyDescent="0.25">
      <c r="B74" s="2" t="s">
        <v>87</v>
      </c>
      <c r="C74" s="2" t="s">
        <v>88</v>
      </c>
      <c r="D74" s="2" t="s">
        <v>76</v>
      </c>
      <c r="E74" s="2" t="s">
        <v>71</v>
      </c>
      <c r="F74" s="2">
        <v>4.4999999999999998E-2</v>
      </c>
      <c r="G74" s="3">
        <v>0.35599999999999998</v>
      </c>
      <c r="H74" s="2">
        <v>0</v>
      </c>
      <c r="I74" s="2">
        <v>0</v>
      </c>
      <c r="J74" s="2"/>
      <c r="K74" s="2"/>
      <c r="L74" s="2"/>
      <c r="M74" s="2"/>
      <c r="N74" s="8">
        <f t="shared" si="10"/>
        <v>0</v>
      </c>
      <c r="O74" s="2"/>
      <c r="P74" s="2"/>
      <c r="Q74" s="2"/>
      <c r="R74" s="19"/>
      <c r="S74" s="2"/>
      <c r="T74" s="2"/>
      <c r="U74" s="19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7">
        <f t="shared" si="11"/>
        <v>0</v>
      </c>
      <c r="AK74" s="7">
        <v>288</v>
      </c>
      <c r="AL74" s="7">
        <v>1</v>
      </c>
      <c r="AM74" s="8">
        <f t="shared" si="12"/>
        <v>0</v>
      </c>
      <c r="AN74" s="8">
        <v>0</v>
      </c>
      <c r="AO74" s="8">
        <f t="shared" si="13"/>
        <v>0</v>
      </c>
      <c r="AP74" s="8">
        <f t="shared" si="14"/>
        <v>0</v>
      </c>
      <c r="AQ74" s="8" t="s">
        <v>115</v>
      </c>
      <c r="AR74" s="8">
        <f t="shared" si="9"/>
        <v>0</v>
      </c>
      <c r="AS74" s="8" t="s">
        <v>119</v>
      </c>
      <c r="AT74" s="8" t="s">
        <v>121</v>
      </c>
      <c r="BA74" s="1">
        <v>0</v>
      </c>
    </row>
    <row r="75" spans="2:53" x14ac:dyDescent="0.25">
      <c r="B75" s="2" t="s">
        <v>87</v>
      </c>
      <c r="C75" s="2" t="s">
        <v>88</v>
      </c>
      <c r="D75" s="2" t="s">
        <v>77</v>
      </c>
      <c r="E75" s="2" t="s">
        <v>71</v>
      </c>
      <c r="F75" s="2">
        <v>4.1000000000000002E-2</v>
      </c>
      <c r="G75" s="3">
        <v>0.441</v>
      </c>
      <c r="H75" s="2">
        <v>0</v>
      </c>
      <c r="I75" s="2">
        <v>0</v>
      </c>
      <c r="J75" s="2"/>
      <c r="K75" s="2"/>
      <c r="L75" s="2"/>
      <c r="M75" s="2"/>
      <c r="N75" s="8">
        <f t="shared" si="10"/>
        <v>0</v>
      </c>
      <c r="O75" s="2"/>
      <c r="P75" s="2"/>
      <c r="Q75" s="2"/>
      <c r="R75" s="19"/>
      <c r="S75" s="2"/>
      <c r="T75" s="2"/>
      <c r="U75" s="19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7">
        <f t="shared" si="11"/>
        <v>0</v>
      </c>
      <c r="AK75" s="7">
        <v>288</v>
      </c>
      <c r="AL75" s="7">
        <v>0</v>
      </c>
      <c r="AM75" s="8">
        <f t="shared" si="12"/>
        <v>0</v>
      </c>
      <c r="AN75" s="8">
        <v>0</v>
      </c>
      <c r="AO75" s="8">
        <f t="shared" si="13"/>
        <v>0</v>
      </c>
      <c r="AP75" s="8">
        <f t="shared" si="14"/>
        <v>0</v>
      </c>
      <c r="AQ75" s="8" t="s">
        <v>116</v>
      </c>
      <c r="AR75" s="8">
        <f t="shared" si="9"/>
        <v>0</v>
      </c>
      <c r="AS75" s="8" t="s">
        <v>119</v>
      </c>
      <c r="AT75" s="8" t="s">
        <v>121</v>
      </c>
      <c r="BA75" s="1">
        <v>0</v>
      </c>
    </row>
    <row r="76" spans="2:53" x14ac:dyDescent="0.25">
      <c r="B76" s="2" t="s">
        <v>87</v>
      </c>
      <c r="C76" s="2" t="s">
        <v>88</v>
      </c>
      <c r="D76" s="2" t="s">
        <v>78</v>
      </c>
      <c r="E76" s="2" t="s">
        <v>71</v>
      </c>
      <c r="F76" s="2">
        <v>4.4999999999999998E-2</v>
      </c>
      <c r="G76" s="3">
        <v>0.374</v>
      </c>
      <c r="H76" s="2">
        <v>512</v>
      </c>
      <c r="I76" s="2">
        <v>0</v>
      </c>
      <c r="J76" s="2"/>
      <c r="K76" s="2"/>
      <c r="L76" s="2"/>
      <c r="M76" s="2"/>
      <c r="N76" s="8">
        <f t="shared" si="10"/>
        <v>0</v>
      </c>
      <c r="O76" s="2"/>
      <c r="P76" s="2"/>
      <c r="Q76" s="2"/>
      <c r="R76" s="19"/>
      <c r="S76" s="2"/>
      <c r="T76" s="2"/>
      <c r="U76" s="19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>
        <v>256</v>
      </c>
      <c r="AG76" s="2">
        <v>128</v>
      </c>
      <c r="AH76" s="2">
        <v>128</v>
      </c>
      <c r="AI76" s="2"/>
      <c r="AJ76" s="7">
        <f t="shared" si="11"/>
        <v>191.488</v>
      </c>
      <c r="AK76" s="7">
        <v>288</v>
      </c>
      <c r="AL76" s="7">
        <v>1</v>
      </c>
      <c r="AM76" s="8">
        <f t="shared" si="12"/>
        <v>512</v>
      </c>
      <c r="AN76" s="8">
        <v>0</v>
      </c>
      <c r="AO76" s="8">
        <f t="shared" si="13"/>
        <v>0</v>
      </c>
      <c r="AP76" s="8">
        <f t="shared" si="14"/>
        <v>0</v>
      </c>
      <c r="AQ76" s="8" t="s">
        <v>112</v>
      </c>
      <c r="AR76" s="8">
        <f t="shared" si="9"/>
        <v>512</v>
      </c>
      <c r="AS76" s="8" t="s">
        <v>119</v>
      </c>
      <c r="AT76" s="8" t="s">
        <v>121</v>
      </c>
      <c r="BA76" s="1">
        <v>128</v>
      </c>
    </row>
    <row r="77" spans="2:53" x14ac:dyDescent="0.25">
      <c r="B77" s="2" t="s">
        <v>87</v>
      </c>
      <c r="C77" s="2" t="s">
        <v>88</v>
      </c>
      <c r="D77" s="2" t="s">
        <v>79</v>
      </c>
      <c r="E77" s="2" t="s">
        <v>71</v>
      </c>
      <c r="F77" s="2">
        <v>4.1000000000000002E-2</v>
      </c>
      <c r="G77" s="3">
        <v>0.41599999999999998</v>
      </c>
      <c r="H77" s="2">
        <v>0</v>
      </c>
      <c r="I77" s="2">
        <v>0</v>
      </c>
      <c r="J77" s="2"/>
      <c r="K77" s="2"/>
      <c r="L77" s="2"/>
      <c r="M77" s="2"/>
      <c r="N77" s="8">
        <f t="shared" si="10"/>
        <v>0</v>
      </c>
      <c r="O77" s="2"/>
      <c r="P77" s="2"/>
      <c r="Q77" s="2"/>
      <c r="R77" s="19"/>
      <c r="S77" s="2"/>
      <c r="T77" s="2"/>
      <c r="U77" s="19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7">
        <f t="shared" si="11"/>
        <v>0</v>
      </c>
      <c r="AK77" s="7">
        <v>288</v>
      </c>
      <c r="AL77" s="7">
        <v>0</v>
      </c>
      <c r="AM77" s="8">
        <f t="shared" si="12"/>
        <v>0</v>
      </c>
      <c r="AN77" s="8">
        <v>1</v>
      </c>
      <c r="AO77" s="8">
        <f t="shared" si="13"/>
        <v>0</v>
      </c>
      <c r="AP77" s="8">
        <f t="shared" si="14"/>
        <v>0</v>
      </c>
      <c r="AQ77" s="8" t="s">
        <v>117</v>
      </c>
      <c r="AR77" s="8">
        <f t="shared" si="9"/>
        <v>0</v>
      </c>
      <c r="AS77" s="8" t="s">
        <v>119</v>
      </c>
      <c r="AT77" s="8" t="s">
        <v>121</v>
      </c>
      <c r="BA77" s="1">
        <v>0</v>
      </c>
    </row>
    <row r="78" spans="2:53" x14ac:dyDescent="0.25">
      <c r="B78" s="2" t="s">
        <v>87</v>
      </c>
      <c r="C78" s="2" t="s">
        <v>88</v>
      </c>
      <c r="D78" s="2" t="s">
        <v>80</v>
      </c>
      <c r="E78" s="2" t="s">
        <v>71</v>
      </c>
      <c r="F78" s="2">
        <v>4.4999999999999998E-2</v>
      </c>
      <c r="G78" s="3">
        <v>0.39500000000000002</v>
      </c>
      <c r="H78" s="2">
        <v>128</v>
      </c>
      <c r="I78" s="2">
        <v>0</v>
      </c>
      <c r="J78" s="2"/>
      <c r="K78" s="2"/>
      <c r="L78" s="2"/>
      <c r="M78" s="2"/>
      <c r="N78" s="8">
        <f t="shared" si="10"/>
        <v>128</v>
      </c>
      <c r="O78" s="2"/>
      <c r="P78" s="2"/>
      <c r="Q78" s="2"/>
      <c r="R78" s="19"/>
      <c r="S78" s="2"/>
      <c r="T78" s="2"/>
      <c r="U78" s="19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7">
        <f t="shared" si="11"/>
        <v>50.56</v>
      </c>
      <c r="AK78" s="7">
        <v>288</v>
      </c>
      <c r="AL78" s="7">
        <v>1</v>
      </c>
      <c r="AM78" s="8">
        <f t="shared" si="12"/>
        <v>128</v>
      </c>
      <c r="AN78" s="8">
        <v>0</v>
      </c>
      <c r="AO78" s="8">
        <f t="shared" si="13"/>
        <v>0</v>
      </c>
      <c r="AP78" s="8">
        <f t="shared" si="14"/>
        <v>0</v>
      </c>
      <c r="AQ78" s="8" t="s">
        <v>112</v>
      </c>
      <c r="AR78" s="8">
        <f t="shared" si="9"/>
        <v>128</v>
      </c>
      <c r="AS78" s="8" t="s">
        <v>119</v>
      </c>
      <c r="AT78" s="8" t="s">
        <v>121</v>
      </c>
      <c r="BA78" s="1">
        <v>0</v>
      </c>
    </row>
    <row r="79" spans="2:53" x14ac:dyDescent="0.25">
      <c r="G79" s="4" t="s">
        <v>102</v>
      </c>
      <c r="H79" s="9">
        <f>SUM(H6:H78)</f>
        <v>46444</v>
      </c>
      <c r="I79" s="9">
        <f t="shared" ref="I79:M79" si="15">SUM(I6:I78)</f>
        <v>9457</v>
      </c>
      <c r="J79" s="9">
        <f t="shared" si="15"/>
        <v>0</v>
      </c>
      <c r="K79" s="9">
        <f t="shared" si="15"/>
        <v>0</v>
      </c>
      <c r="L79" s="9">
        <f t="shared" si="15"/>
        <v>0</v>
      </c>
      <c r="M79" s="9">
        <f t="shared" si="15"/>
        <v>0</v>
      </c>
      <c r="N79" s="13">
        <f>SUM(N6:N78)</f>
        <v>5243</v>
      </c>
      <c r="O79" s="9">
        <f>SUM(O13:O78)</f>
        <v>0</v>
      </c>
      <c r="P79" s="9">
        <f t="shared" ref="P79:AI79" si="16">SUM(P13:P78)</f>
        <v>0</v>
      </c>
      <c r="Q79" s="9">
        <f t="shared" si="16"/>
        <v>0</v>
      </c>
      <c r="R79" s="9">
        <f t="shared" si="16"/>
        <v>0</v>
      </c>
      <c r="S79" s="9">
        <f t="shared" si="16"/>
        <v>1800</v>
      </c>
      <c r="T79" s="9">
        <f t="shared" si="16"/>
        <v>1116</v>
      </c>
      <c r="U79" s="9">
        <f>SUM(U13:U78)</f>
        <v>1732</v>
      </c>
      <c r="V79" s="9">
        <f t="shared" si="16"/>
        <v>2902</v>
      </c>
      <c r="W79" s="9">
        <f t="shared" si="16"/>
        <v>2706</v>
      </c>
      <c r="X79" s="9">
        <f t="shared" si="16"/>
        <v>3572</v>
      </c>
      <c r="Y79" s="9">
        <f t="shared" si="16"/>
        <v>5344</v>
      </c>
      <c r="Z79" s="9">
        <f t="shared" si="16"/>
        <v>2957</v>
      </c>
      <c r="AA79" s="9">
        <f t="shared" si="16"/>
        <v>4086</v>
      </c>
      <c r="AB79" s="9">
        <f t="shared" si="16"/>
        <v>2320</v>
      </c>
      <c r="AC79" s="9">
        <f t="shared" si="16"/>
        <v>0</v>
      </c>
      <c r="AD79" s="9">
        <f t="shared" si="16"/>
        <v>0</v>
      </c>
      <c r="AE79" s="9">
        <f t="shared" si="16"/>
        <v>2515</v>
      </c>
      <c r="AF79" s="9">
        <f t="shared" si="16"/>
        <v>1980</v>
      </c>
      <c r="AG79" s="9">
        <f t="shared" si="16"/>
        <v>2606</v>
      </c>
      <c r="AH79" s="9">
        <f t="shared" si="16"/>
        <v>300</v>
      </c>
      <c r="AI79" s="9">
        <f t="shared" si="16"/>
        <v>72</v>
      </c>
      <c r="AJ79" s="9">
        <f t="shared" ref="AJ79:AP79" si="17">SUM(AJ6:AJ78)</f>
        <v>5284.858000000002</v>
      </c>
      <c r="AK79" s="9"/>
      <c r="AL79" s="10">
        <f t="shared" si="17"/>
        <v>14</v>
      </c>
      <c r="AM79" s="11">
        <f t="shared" si="17"/>
        <v>4656</v>
      </c>
      <c r="AN79" s="11">
        <f t="shared" si="17"/>
        <v>2</v>
      </c>
      <c r="AO79" s="11">
        <f t="shared" si="17"/>
        <v>256</v>
      </c>
      <c r="AP79" s="11">
        <f t="shared" si="17"/>
        <v>512</v>
      </c>
      <c r="AR79" s="11">
        <f>SUM(AR6:AR78)</f>
        <v>5924</v>
      </c>
    </row>
    <row r="80" spans="2:53" x14ac:dyDescent="0.25">
      <c r="G80" s="4" t="s">
        <v>108</v>
      </c>
      <c r="H80" s="91">
        <f>+H79+I79+J79+K79+L79+M79</f>
        <v>55901</v>
      </c>
      <c r="I80" s="91"/>
      <c r="J80" s="91"/>
      <c r="K80" s="91"/>
      <c r="L80" s="91"/>
      <c r="M80" s="91"/>
      <c r="O80" s="108">
        <f>+O79+P79</f>
        <v>0</v>
      </c>
      <c r="P80" s="86"/>
      <c r="Q80" s="108">
        <f>+Q79+R79</f>
        <v>0</v>
      </c>
      <c r="R80" s="86"/>
      <c r="S80" s="108">
        <f>+S79+T79</f>
        <v>2916</v>
      </c>
      <c r="T80" s="86"/>
      <c r="U80" s="108">
        <f t="shared" ref="U80" si="18">+U79+V79</f>
        <v>4634</v>
      </c>
      <c r="V80" s="86"/>
      <c r="W80" s="108">
        <f>+W79+X79</f>
        <v>6278</v>
      </c>
      <c r="X80" s="86"/>
      <c r="Y80" s="108">
        <f t="shared" ref="Y80" si="19">+Y79+Z79</f>
        <v>8301</v>
      </c>
      <c r="Z80" s="86"/>
      <c r="AA80" s="108">
        <f t="shared" ref="AA80" si="20">+AA79+AB79</f>
        <v>6406</v>
      </c>
      <c r="AB80" s="86"/>
      <c r="AC80" s="108">
        <f t="shared" ref="AC80" si="21">+AC79+AD79</f>
        <v>0</v>
      </c>
      <c r="AD80" s="86"/>
      <c r="AE80" s="108">
        <f t="shared" ref="AE80" si="22">+AE79+AF79</f>
        <v>4495</v>
      </c>
      <c r="AF80" s="86"/>
      <c r="AG80" s="108">
        <f t="shared" ref="AG80" si="23">+AG79+AH79</f>
        <v>2906</v>
      </c>
      <c r="AH80" s="86"/>
      <c r="AI80" s="12">
        <f>+AI79</f>
        <v>72</v>
      </c>
    </row>
    <row r="81" spans="1:35" x14ac:dyDescent="0.25">
      <c r="H81" s="1">
        <v>0</v>
      </c>
      <c r="I81" s="1">
        <f>SUM(I13:I78)</f>
        <v>2167</v>
      </c>
      <c r="J81" s="1">
        <f>SUM(J13:J78)</f>
        <v>0</v>
      </c>
      <c r="K81" s="1">
        <f t="shared" ref="K81:M81" si="24">SUM(K13:K78)</f>
        <v>0</v>
      </c>
      <c r="L81" s="1">
        <f t="shared" si="24"/>
        <v>0</v>
      </c>
      <c r="M81" s="1">
        <f t="shared" si="24"/>
        <v>0</v>
      </c>
      <c r="O81" s="90">
        <f>SUM(O6:P12)</f>
        <v>0</v>
      </c>
      <c r="P81" s="90"/>
      <c r="Q81" s="90">
        <f t="shared" ref="Q81" si="25">SUM(Q6:R12)</f>
        <v>0</v>
      </c>
      <c r="R81" s="90"/>
      <c r="S81" s="90">
        <f t="shared" ref="S81" si="26">SUM(S6:T12)</f>
        <v>0</v>
      </c>
      <c r="T81" s="90"/>
      <c r="U81" s="90">
        <f t="shared" ref="U81" si="27">SUM(U6:V12)</f>
        <v>0</v>
      </c>
      <c r="V81" s="90"/>
      <c r="W81" s="90">
        <f t="shared" ref="W81" si="28">SUM(W6:X12)</f>
        <v>0</v>
      </c>
      <c r="X81" s="90"/>
      <c r="Y81" s="132">
        <f>SUM(Y6:Z12)</f>
        <v>3500</v>
      </c>
      <c r="Z81" s="133"/>
      <c r="AA81" s="132">
        <f t="shared" ref="AA81" si="29">SUM(AA6:AB12)</f>
        <v>2400</v>
      </c>
      <c r="AB81" s="133"/>
      <c r="AC81" s="132">
        <f t="shared" ref="AC81" si="30">SUM(AC6:AD12)</f>
        <v>0</v>
      </c>
      <c r="AD81" s="133"/>
      <c r="AE81" s="132">
        <f t="shared" ref="AE81" si="31">SUM(AE6:AF12)</f>
        <v>5950</v>
      </c>
      <c r="AF81" s="133"/>
      <c r="AG81" s="132">
        <f t="shared" ref="AG81" si="32">SUM(AG6:AH12)</f>
        <v>2800</v>
      </c>
      <c r="AH81" s="133"/>
    </row>
    <row r="83" spans="1:35" x14ac:dyDescent="0.25">
      <c r="C83" s="2" t="s">
        <v>143</v>
      </c>
      <c r="D83" s="2" t="s">
        <v>144</v>
      </c>
      <c r="E83" s="2" t="s">
        <v>145</v>
      </c>
      <c r="F83" s="2" t="s">
        <v>179</v>
      </c>
      <c r="O83" s="19" t="s">
        <v>97</v>
      </c>
      <c r="P83" s="19" t="s">
        <v>98</v>
      </c>
      <c r="Q83" s="19" t="s">
        <v>97</v>
      </c>
      <c r="R83" s="19" t="s">
        <v>98</v>
      </c>
      <c r="S83" s="19" t="s">
        <v>97</v>
      </c>
      <c r="T83" s="19" t="s">
        <v>98</v>
      </c>
      <c r="U83" s="19" t="s">
        <v>97</v>
      </c>
      <c r="V83" s="19" t="s">
        <v>98</v>
      </c>
      <c r="W83" s="19" t="s">
        <v>97</v>
      </c>
      <c r="X83" s="19" t="s">
        <v>98</v>
      </c>
      <c r="Y83" s="19" t="s">
        <v>97</v>
      </c>
      <c r="Z83" s="19" t="s">
        <v>98</v>
      </c>
      <c r="AA83" s="19" t="s">
        <v>97</v>
      </c>
      <c r="AB83" s="19" t="s">
        <v>98</v>
      </c>
      <c r="AC83" s="19" t="s">
        <v>97</v>
      </c>
      <c r="AD83" s="19" t="s">
        <v>98</v>
      </c>
      <c r="AE83" s="19" t="s">
        <v>97</v>
      </c>
      <c r="AF83" s="19" t="s">
        <v>98</v>
      </c>
      <c r="AG83" s="19" t="s">
        <v>97</v>
      </c>
      <c r="AH83" s="19" t="s">
        <v>98</v>
      </c>
      <c r="AI83" s="19"/>
    </row>
    <row r="84" spans="1:35" x14ac:dyDescent="0.25">
      <c r="B84" s="2" t="s">
        <v>138</v>
      </c>
      <c r="C84" s="8">
        <v>37411</v>
      </c>
      <c r="D84" s="2">
        <f>+C84/4</f>
        <v>9352.75</v>
      </c>
      <c r="E84" s="2">
        <f>+D84/2</f>
        <v>4676.375</v>
      </c>
      <c r="F84" s="8">
        <v>18490</v>
      </c>
      <c r="O84" s="48">
        <f>+O79/$E$84</f>
        <v>0</v>
      </c>
      <c r="P84" s="48">
        <f t="shared" ref="P84:AH84" si="33">+P79/$E$84</f>
        <v>0</v>
      </c>
      <c r="Q84" s="48">
        <f>+Q79/$E$84</f>
        <v>0</v>
      </c>
      <c r="R84" s="48">
        <f t="shared" si="33"/>
        <v>0</v>
      </c>
      <c r="S84" s="48">
        <f t="shared" si="33"/>
        <v>0.38491352810670659</v>
      </c>
      <c r="T84" s="48">
        <f t="shared" si="33"/>
        <v>0.23864638742615807</v>
      </c>
      <c r="U84" s="48">
        <f t="shared" si="33"/>
        <v>0.37037235037823102</v>
      </c>
      <c r="V84" s="48">
        <f t="shared" si="33"/>
        <v>0.62056614364759033</v>
      </c>
      <c r="W84" s="48">
        <f t="shared" si="33"/>
        <v>0.5786533372537489</v>
      </c>
      <c r="X84" s="48">
        <f t="shared" si="33"/>
        <v>0.76383951244286441</v>
      </c>
      <c r="Y84" s="48">
        <f t="shared" si="33"/>
        <v>1.1427654967790222</v>
      </c>
      <c r="Z84" s="48">
        <f t="shared" si="33"/>
        <v>0.63232739033973961</v>
      </c>
      <c r="AA84" s="48">
        <f t="shared" si="33"/>
        <v>0.87375370880222392</v>
      </c>
      <c r="AB84" s="48">
        <f t="shared" si="33"/>
        <v>0.49611076955975514</v>
      </c>
      <c r="AC84" s="48">
        <f t="shared" si="33"/>
        <v>0</v>
      </c>
      <c r="AD84" s="48">
        <f t="shared" si="33"/>
        <v>0</v>
      </c>
      <c r="AE84" s="48">
        <f t="shared" si="33"/>
        <v>0.53780973510464836</v>
      </c>
      <c r="AF84" s="48">
        <f t="shared" si="33"/>
        <v>0.42340488091737727</v>
      </c>
      <c r="AG84" s="48">
        <f t="shared" si="33"/>
        <v>0.55726925235893188</v>
      </c>
      <c r="AH84" s="48">
        <f t="shared" si="33"/>
        <v>6.4152254684451099E-2</v>
      </c>
      <c r="AI84" s="19"/>
    </row>
    <row r="85" spans="1:35" x14ac:dyDescent="0.25">
      <c r="B85" s="2" t="s">
        <v>142</v>
      </c>
      <c r="C85" s="8">
        <v>4584</v>
      </c>
      <c r="F85" s="2" t="s">
        <v>180</v>
      </c>
      <c r="O85" s="81">
        <f>+O81/$F$86</f>
        <v>0</v>
      </c>
      <c r="P85" s="82"/>
      <c r="Q85" s="81">
        <f t="shared" ref="Q85" si="34">+Q81/$F$86</f>
        <v>0</v>
      </c>
      <c r="R85" s="82"/>
      <c r="S85" s="81">
        <f t="shared" ref="S85" si="35">+S81/$F$86</f>
        <v>0</v>
      </c>
      <c r="T85" s="82"/>
      <c r="U85" s="81">
        <f t="shared" ref="U85" si="36">+U81/$F$86</f>
        <v>0</v>
      </c>
      <c r="V85" s="82"/>
      <c r="W85" s="81">
        <f t="shared" ref="W85:AG85" si="37">+W81/$F$86</f>
        <v>0</v>
      </c>
      <c r="X85" s="82"/>
      <c r="Y85" s="81">
        <f t="shared" si="37"/>
        <v>0.75716603569497021</v>
      </c>
      <c r="Z85" s="82"/>
      <c r="AA85" s="81">
        <f t="shared" si="37"/>
        <v>0.51919956733369388</v>
      </c>
      <c r="AB85" s="82"/>
      <c r="AC85" s="81">
        <f t="shared" si="37"/>
        <v>0</v>
      </c>
      <c r="AD85" s="82"/>
      <c r="AE85" s="81">
        <f t="shared" si="37"/>
        <v>1.2871822606814494</v>
      </c>
      <c r="AF85" s="82"/>
      <c r="AG85" s="81">
        <f t="shared" si="37"/>
        <v>0.60573282855597621</v>
      </c>
      <c r="AH85" s="82"/>
      <c r="AI85" s="19"/>
    </row>
    <row r="86" spans="1:35" x14ac:dyDescent="0.25">
      <c r="B86" s="2" t="s">
        <v>139</v>
      </c>
      <c r="C86" s="2">
        <f>+C84-C85</f>
        <v>32827</v>
      </c>
      <c r="F86" s="2">
        <f>+F84/4</f>
        <v>4622.5</v>
      </c>
    </row>
    <row r="87" spans="1:35" x14ac:dyDescent="0.25">
      <c r="B87" s="2" t="s">
        <v>136</v>
      </c>
      <c r="C87" s="25">
        <f>+C86/C84</f>
        <v>0.87746919355269837</v>
      </c>
    </row>
    <row r="88" spans="1:35" x14ac:dyDescent="0.25">
      <c r="B88" s="2" t="s">
        <v>137</v>
      </c>
      <c r="C88" s="25">
        <f>+C85/C84</f>
        <v>0.12253080644730159</v>
      </c>
    </row>
    <row r="90" spans="1:35" x14ac:dyDescent="0.25">
      <c r="A90" s="83" t="s">
        <v>184</v>
      </c>
      <c r="B90" s="84"/>
      <c r="C90" s="84"/>
      <c r="D90" s="84"/>
      <c r="E90" s="84"/>
      <c r="F90" s="85"/>
    </row>
    <row r="91" spans="1:35" x14ac:dyDescent="0.25">
      <c r="A91" s="86" t="s">
        <v>185</v>
      </c>
      <c r="B91" s="44">
        <v>46272</v>
      </c>
      <c r="C91" s="44">
        <v>46273</v>
      </c>
      <c r="D91" s="44">
        <v>46274</v>
      </c>
      <c r="E91" s="44">
        <v>46275</v>
      </c>
      <c r="F91" s="44">
        <v>46276</v>
      </c>
    </row>
    <row r="92" spans="1:35" x14ac:dyDescent="0.25">
      <c r="A92" s="86"/>
      <c r="B92" s="45" t="s">
        <v>148</v>
      </c>
      <c r="C92" s="4" t="s">
        <v>149</v>
      </c>
      <c r="D92" s="4" t="s">
        <v>150</v>
      </c>
      <c r="E92" s="4" t="s">
        <v>151</v>
      </c>
      <c r="F92" s="4" t="s">
        <v>160</v>
      </c>
    </row>
    <row r="93" spans="1:35" x14ac:dyDescent="0.25">
      <c r="A93" s="11" t="s">
        <v>153</v>
      </c>
      <c r="B93" s="35"/>
      <c r="C93" s="35"/>
      <c r="D93" s="35">
        <v>0.08</v>
      </c>
      <c r="E93" s="35">
        <v>0.21</v>
      </c>
      <c r="F93" s="35">
        <v>0.38</v>
      </c>
    </row>
    <row r="94" spans="1:35" x14ac:dyDescent="0.25">
      <c r="A94" s="11" t="s">
        <v>154</v>
      </c>
      <c r="B94" s="35"/>
      <c r="C94" s="35"/>
      <c r="D94" s="35">
        <v>0.92</v>
      </c>
      <c r="E94" s="35">
        <v>0.79</v>
      </c>
      <c r="F94" s="35">
        <v>0.62</v>
      </c>
    </row>
    <row r="96" spans="1:35" x14ac:dyDescent="0.25">
      <c r="A96" s="83" t="s">
        <v>186</v>
      </c>
      <c r="B96" s="84"/>
      <c r="C96" s="84"/>
      <c r="D96" s="84"/>
      <c r="E96" s="84"/>
      <c r="F96" s="85"/>
    </row>
    <row r="97" spans="1:6" x14ac:dyDescent="0.25">
      <c r="A97" s="86" t="s">
        <v>185</v>
      </c>
      <c r="B97" s="44">
        <v>46279</v>
      </c>
      <c r="C97" s="44">
        <v>46280</v>
      </c>
      <c r="D97" s="44">
        <v>46281</v>
      </c>
      <c r="E97" s="44">
        <v>46282</v>
      </c>
      <c r="F97" s="44">
        <v>46283</v>
      </c>
    </row>
    <row r="98" spans="1:6" x14ac:dyDescent="0.25">
      <c r="A98" s="86"/>
      <c r="B98" s="45" t="s">
        <v>148</v>
      </c>
      <c r="C98" s="4" t="s">
        <v>149</v>
      </c>
      <c r="D98" s="4" t="s">
        <v>150</v>
      </c>
      <c r="E98" s="4" t="s">
        <v>151</v>
      </c>
      <c r="F98" s="4" t="s">
        <v>160</v>
      </c>
    </row>
    <row r="99" spans="1:6" x14ac:dyDescent="0.25">
      <c r="A99" s="11" t="s">
        <v>153</v>
      </c>
      <c r="B99" s="35">
        <v>0.56999999999999995</v>
      </c>
      <c r="C99" s="35">
        <v>0.69</v>
      </c>
      <c r="D99" s="74" t="s">
        <v>187</v>
      </c>
      <c r="E99" s="35">
        <v>0.8</v>
      </c>
      <c r="F99" s="35">
        <v>0.88</v>
      </c>
    </row>
    <row r="100" spans="1:6" x14ac:dyDescent="0.25">
      <c r="A100" s="11" t="s">
        <v>154</v>
      </c>
      <c r="B100" s="35">
        <v>0.43</v>
      </c>
      <c r="C100" s="35">
        <v>0.31</v>
      </c>
      <c r="D100" s="74" t="s">
        <v>187</v>
      </c>
      <c r="E100" s="35">
        <v>0.2</v>
      </c>
      <c r="F100" s="35">
        <v>0.12</v>
      </c>
    </row>
  </sheetData>
  <autoFilter ref="B5:AT80" xr:uid="{00000000-0009-0000-0000-00000B000000}"/>
  <mergeCells count="48">
    <mergeCell ref="AE4:AF4"/>
    <mergeCell ref="AG4:AH4"/>
    <mergeCell ref="A96:F96"/>
    <mergeCell ref="A97:A98"/>
    <mergeCell ref="Y4:Z4"/>
    <mergeCell ref="AA4:AB4"/>
    <mergeCell ref="AC4:AD4"/>
    <mergeCell ref="A90:F90"/>
    <mergeCell ref="A91:A92"/>
    <mergeCell ref="O81:P81"/>
    <mergeCell ref="Q81:R81"/>
    <mergeCell ref="S81:T81"/>
    <mergeCell ref="U81:V81"/>
    <mergeCell ref="W81:X81"/>
    <mergeCell ref="O85:P85"/>
    <mergeCell ref="Q85:R85"/>
    <mergeCell ref="S85:T85"/>
    <mergeCell ref="U85:V85"/>
    <mergeCell ref="W85:X85"/>
    <mergeCell ref="U4:V4"/>
    <mergeCell ref="W4:X4"/>
    <mergeCell ref="W80:X80"/>
    <mergeCell ref="S4:T4"/>
    <mergeCell ref="H80:M80"/>
    <mergeCell ref="O80:P80"/>
    <mergeCell ref="Q80:R80"/>
    <mergeCell ref="S80:T80"/>
    <mergeCell ref="U80:V80"/>
    <mergeCell ref="C2:D2"/>
    <mergeCell ref="B3:B4"/>
    <mergeCell ref="I4:M4"/>
    <mergeCell ref="O4:P4"/>
    <mergeCell ref="Q4:R4"/>
    <mergeCell ref="Y80:Z80"/>
    <mergeCell ref="AA80:AB80"/>
    <mergeCell ref="AC80:AD80"/>
    <mergeCell ref="AE80:AF80"/>
    <mergeCell ref="AG80:AH80"/>
    <mergeCell ref="Y85:Z85"/>
    <mergeCell ref="AA85:AB85"/>
    <mergeCell ref="AC85:AD85"/>
    <mergeCell ref="AE85:AF85"/>
    <mergeCell ref="AG85:AH85"/>
    <mergeCell ref="Y81:Z81"/>
    <mergeCell ref="AA81:AB81"/>
    <mergeCell ref="AC81:AD81"/>
    <mergeCell ref="AE81:AF81"/>
    <mergeCell ref="AG81:AH81"/>
  </mergeCells>
  <conditionalFormatting sqref="O84:AH84">
    <cfRule type="cellIs" dxfId="17" priority="1" operator="between">
      <formula>1</formula>
      <formula>5</formula>
    </cfRule>
    <cfRule type="cellIs" dxfId="16" priority="2" operator="between">
      <formula>0.85</formula>
      <formula>0.99</formula>
    </cfRule>
    <cfRule type="cellIs" dxfId="15" priority="3" operator="between">
      <formula>0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scale="17" orientation="portrait"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>
    <pageSetUpPr fitToPage="1"/>
  </sheetPr>
  <dimension ref="A2:BA100"/>
  <sheetViews>
    <sheetView zoomScale="69" zoomScaleNormal="70" workbookViewId="0">
      <pane xSplit="14" topLeftCell="AC1" activePane="topRight" state="frozen"/>
      <selection activeCell="B2" sqref="B2"/>
      <selection pane="topRight" activeCell="AH10" sqref="AH10"/>
    </sheetView>
  </sheetViews>
  <sheetFormatPr baseColWidth="10" defaultColWidth="8.7109375" defaultRowHeight="15" x14ac:dyDescent="0.25"/>
  <cols>
    <col min="1" max="1" width="10.140625" style="1" bestFit="1" customWidth="1"/>
    <col min="2" max="2" width="17.7109375" style="1" bestFit="1" customWidth="1"/>
    <col min="3" max="3" width="14.42578125" style="1" bestFit="1" customWidth="1"/>
    <col min="4" max="4" width="19.140625" style="1" customWidth="1"/>
    <col min="5" max="5" width="14.5703125" style="1" bestFit="1" customWidth="1"/>
    <col min="6" max="6" width="19.7109375" style="1" customWidth="1"/>
    <col min="7" max="8" width="15.42578125" style="1" bestFit="1" customWidth="1"/>
    <col min="9" max="9" width="13.42578125" style="1" bestFit="1" customWidth="1"/>
    <col min="10" max="10" width="6.42578125" style="1" hidden="1" customWidth="1"/>
    <col min="11" max="11" width="10" style="1" hidden="1" customWidth="1"/>
    <col min="12" max="12" width="9" style="1" hidden="1" customWidth="1"/>
    <col min="13" max="13" width="5.5703125" style="1" hidden="1" customWidth="1"/>
    <col min="14" max="14" width="19.28515625" style="1" bestFit="1" customWidth="1"/>
    <col min="15" max="24" width="8.7109375" style="1" customWidth="1"/>
    <col min="25" max="37" width="8.7109375" style="1"/>
    <col min="38" max="38" width="8.7109375" style="1" customWidth="1"/>
    <col min="39" max="39" width="8.7109375" style="1"/>
    <col min="40" max="40" width="0" style="1" hidden="1" customWidth="1"/>
    <col min="41" max="42" width="8.7109375" style="1"/>
    <col min="43" max="43" width="10" style="1" bestFit="1" customWidth="1"/>
    <col min="44" max="44" width="10" style="1" customWidth="1"/>
    <col min="45" max="45" width="13" style="1" bestFit="1" customWidth="1"/>
    <col min="46" max="46" width="11.5703125" style="1" bestFit="1" customWidth="1"/>
    <col min="47" max="47" width="8.7109375" style="1"/>
    <col min="48" max="48" width="12.85546875" style="1" customWidth="1"/>
    <col min="49" max="49" width="16.5703125" style="1" customWidth="1"/>
    <col min="50" max="16384" width="8.7109375" style="1"/>
  </cols>
  <sheetData>
    <row r="2" spans="2:53" x14ac:dyDescent="0.25">
      <c r="B2" s="4" t="s">
        <v>99</v>
      </c>
      <c r="C2" s="88" t="s">
        <v>100</v>
      </c>
      <c r="D2" s="88"/>
    </row>
    <row r="3" spans="2:53" x14ac:dyDescent="0.25">
      <c r="B3" s="89">
        <f ca="1">TODAY()</f>
        <v>46309</v>
      </c>
      <c r="C3" s="4" t="s">
        <v>97</v>
      </c>
      <c r="D3" s="2" t="s">
        <v>127</v>
      </c>
      <c r="H3" s="4" t="s">
        <v>84</v>
      </c>
    </row>
    <row r="4" spans="2:53" x14ac:dyDescent="0.25">
      <c r="B4" s="89"/>
      <c r="C4" s="4" t="s">
        <v>98</v>
      </c>
      <c r="D4" s="2"/>
      <c r="H4" s="4" t="s">
        <v>85</v>
      </c>
      <c r="I4" s="90" t="s">
        <v>146</v>
      </c>
      <c r="J4" s="90"/>
      <c r="K4" s="90"/>
      <c r="L4" s="90"/>
      <c r="M4" s="90"/>
      <c r="O4" s="87">
        <v>46279</v>
      </c>
      <c r="P4" s="87"/>
      <c r="Q4" s="87">
        <v>46280</v>
      </c>
      <c r="R4" s="87"/>
      <c r="S4" s="87">
        <v>46281</v>
      </c>
      <c r="T4" s="87"/>
      <c r="U4" s="87">
        <v>46282</v>
      </c>
      <c r="V4" s="87"/>
      <c r="W4" s="87">
        <v>46283</v>
      </c>
      <c r="X4" s="87"/>
      <c r="Y4" s="87">
        <v>46286</v>
      </c>
      <c r="Z4" s="87"/>
      <c r="AA4" s="87">
        <v>46287</v>
      </c>
      <c r="AB4" s="87"/>
      <c r="AC4" s="87">
        <v>46288</v>
      </c>
      <c r="AD4" s="87"/>
      <c r="AE4" s="87">
        <v>46289</v>
      </c>
      <c r="AF4" s="87"/>
      <c r="AG4" s="87">
        <v>46290</v>
      </c>
      <c r="AH4" s="87"/>
      <c r="AI4" s="6" t="s">
        <v>92</v>
      </c>
    </row>
    <row r="5" spans="2:53" x14ac:dyDescent="0.25">
      <c r="B5" s="4" t="s">
        <v>0</v>
      </c>
      <c r="C5" s="4" t="s">
        <v>86</v>
      </c>
      <c r="D5" s="4" t="s">
        <v>89</v>
      </c>
      <c r="E5" s="4" t="s">
        <v>81</v>
      </c>
      <c r="F5" s="4" t="s">
        <v>82</v>
      </c>
      <c r="G5" s="4" t="s">
        <v>83</v>
      </c>
      <c r="H5" s="5">
        <v>39</v>
      </c>
      <c r="I5" s="4" t="s">
        <v>190</v>
      </c>
      <c r="J5" s="4" t="s">
        <v>91</v>
      </c>
      <c r="K5" s="4" t="s">
        <v>93</v>
      </c>
      <c r="L5" s="4" t="s">
        <v>94</v>
      </c>
      <c r="M5" s="4" t="s">
        <v>95</v>
      </c>
      <c r="N5" s="4" t="s">
        <v>96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 t="s">
        <v>104</v>
      </c>
      <c r="AJ5" s="4" t="s">
        <v>90</v>
      </c>
      <c r="AK5" s="4" t="s">
        <v>126</v>
      </c>
      <c r="AL5" s="4" t="s">
        <v>105</v>
      </c>
      <c r="AM5" s="4" t="s">
        <v>105</v>
      </c>
      <c r="AN5" s="4" t="s">
        <v>106</v>
      </c>
      <c r="AO5" s="4" t="s">
        <v>106</v>
      </c>
      <c r="AP5" s="4" t="s">
        <v>107</v>
      </c>
      <c r="AQ5" s="4" t="s">
        <v>109</v>
      </c>
      <c r="AR5" s="4" t="s">
        <v>122</v>
      </c>
      <c r="AS5" s="4" t="s">
        <v>118</v>
      </c>
      <c r="AT5" s="4" t="s">
        <v>120</v>
      </c>
      <c r="AV5" s="15" t="s">
        <v>123</v>
      </c>
      <c r="AW5" s="15" t="s">
        <v>125</v>
      </c>
      <c r="AX5"/>
    </row>
    <row r="6" spans="2:53" x14ac:dyDescent="0.25">
      <c r="B6" s="2" t="s">
        <v>87</v>
      </c>
      <c r="C6" s="2" t="s">
        <v>88</v>
      </c>
      <c r="D6" s="2" t="s">
        <v>1</v>
      </c>
      <c r="E6" s="2" t="s">
        <v>2</v>
      </c>
      <c r="F6" s="2">
        <v>0.42</v>
      </c>
      <c r="G6" s="3">
        <v>0.02</v>
      </c>
      <c r="H6" s="2">
        <v>4900</v>
      </c>
      <c r="I6" s="2">
        <v>2040</v>
      </c>
      <c r="J6" s="2"/>
      <c r="K6" s="2"/>
      <c r="L6" s="2"/>
      <c r="M6" s="2"/>
      <c r="N6" s="8">
        <f t="shared" ref="N6:N37" si="0">+H6+I6+J6+K6+L6+M6-SUM(O6:AI6)</f>
        <v>-30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>
        <v>2050</v>
      </c>
      <c r="AB6" s="2">
        <f>2000+2920</f>
        <v>4920</v>
      </c>
      <c r="AC6" s="2"/>
      <c r="AD6" s="2"/>
      <c r="AE6" s="2"/>
      <c r="AF6" s="2"/>
      <c r="AG6" s="2"/>
      <c r="AH6" s="2"/>
      <c r="AI6" s="2"/>
      <c r="AJ6" s="7">
        <f t="shared" ref="AJ6:AJ37" si="1">+G6*SUM(H6:M6)</f>
        <v>138.80000000000001</v>
      </c>
      <c r="AK6" s="7">
        <v>1000</v>
      </c>
      <c r="AL6" s="7">
        <v>0</v>
      </c>
      <c r="AM6" s="8">
        <f t="shared" ref="AM6:AM37" si="2">+H6*AL6</f>
        <v>0</v>
      </c>
      <c r="AN6" s="8">
        <v>0</v>
      </c>
      <c r="AO6" s="8">
        <f t="shared" ref="AO6:AO37" si="3">+H6*AN6</f>
        <v>0</v>
      </c>
      <c r="AP6" s="8">
        <f>+AO6*2</f>
        <v>0</v>
      </c>
      <c r="AQ6" s="8">
        <v>0</v>
      </c>
      <c r="AR6" s="8">
        <v>0</v>
      </c>
      <c r="AS6" s="8" t="s">
        <v>119</v>
      </c>
      <c r="AT6" s="8" t="s">
        <v>121</v>
      </c>
      <c r="AV6" s="14">
        <v>0</v>
      </c>
      <c r="AW6" s="15">
        <v>0</v>
      </c>
      <c r="AX6"/>
      <c r="BA6" s="1">
        <v>5600</v>
      </c>
    </row>
    <row r="7" spans="2:53" x14ac:dyDescent="0.25">
      <c r="B7" s="2" t="s">
        <v>87</v>
      </c>
      <c r="C7" s="2" t="s">
        <v>88</v>
      </c>
      <c r="D7" s="2" t="s">
        <v>3</v>
      </c>
      <c r="E7" s="2" t="s">
        <v>2</v>
      </c>
      <c r="F7" s="2">
        <v>0.42</v>
      </c>
      <c r="G7" s="3">
        <v>3.1E-2</v>
      </c>
      <c r="H7" s="2">
        <v>4000</v>
      </c>
      <c r="I7" s="2">
        <v>1400</v>
      </c>
      <c r="J7" s="2"/>
      <c r="K7" s="2"/>
      <c r="L7" s="2"/>
      <c r="M7" s="2"/>
      <c r="N7" s="8">
        <f t="shared" si="0"/>
        <v>0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>
        <v>1400</v>
      </c>
      <c r="AB7" s="2">
        <v>1900</v>
      </c>
      <c r="AC7" s="2"/>
      <c r="AD7" s="2">
        <v>1200</v>
      </c>
      <c r="AE7" s="2"/>
      <c r="AF7" s="2">
        <v>900</v>
      </c>
      <c r="AG7" s="2"/>
      <c r="AH7" s="2"/>
      <c r="AI7" s="2"/>
      <c r="AJ7" s="7">
        <f t="shared" si="1"/>
        <v>167.4</v>
      </c>
      <c r="AK7" s="7">
        <v>1000</v>
      </c>
      <c r="AL7" s="7">
        <v>0</v>
      </c>
      <c r="AM7" s="8">
        <f t="shared" si="2"/>
        <v>0</v>
      </c>
      <c r="AN7" s="8">
        <v>0</v>
      </c>
      <c r="AO7" s="8">
        <f t="shared" si="3"/>
        <v>0</v>
      </c>
      <c r="AP7" s="8">
        <f t="shared" ref="AP7:AP70" si="4">+AO7*2</f>
        <v>0</v>
      </c>
      <c r="AQ7" s="8">
        <v>0</v>
      </c>
      <c r="AR7" s="8">
        <v>0</v>
      </c>
      <c r="AS7" s="8" t="s">
        <v>119</v>
      </c>
      <c r="AT7" s="8" t="s">
        <v>121</v>
      </c>
      <c r="AV7" s="14" t="s">
        <v>117</v>
      </c>
      <c r="AW7" s="15">
        <v>128</v>
      </c>
      <c r="AX7"/>
      <c r="BA7" s="1">
        <v>4338</v>
      </c>
    </row>
    <row r="8" spans="2:53" x14ac:dyDescent="0.25">
      <c r="B8" s="2" t="s">
        <v>87</v>
      </c>
      <c r="C8" s="2" t="s">
        <v>88</v>
      </c>
      <c r="D8" s="2" t="s">
        <v>4</v>
      </c>
      <c r="E8" s="2" t="s">
        <v>2</v>
      </c>
      <c r="F8" s="2">
        <v>0.42</v>
      </c>
      <c r="G8" s="3">
        <v>3.3000000000000002E-2</v>
      </c>
      <c r="H8" s="2">
        <v>800</v>
      </c>
      <c r="I8" s="2">
        <v>0</v>
      </c>
      <c r="J8" s="2"/>
      <c r="K8" s="2"/>
      <c r="L8" s="2"/>
      <c r="M8" s="2"/>
      <c r="N8" s="8">
        <f t="shared" si="0"/>
        <v>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>
        <v>800</v>
      </c>
      <c r="AI8" s="2"/>
      <c r="AJ8" s="7">
        <f t="shared" si="1"/>
        <v>26.400000000000002</v>
      </c>
      <c r="AK8" s="7">
        <v>1000</v>
      </c>
      <c r="AL8" s="7">
        <v>0</v>
      </c>
      <c r="AM8" s="8">
        <f t="shared" si="2"/>
        <v>0</v>
      </c>
      <c r="AN8" s="8">
        <v>0</v>
      </c>
      <c r="AO8" s="8">
        <f t="shared" si="3"/>
        <v>0</v>
      </c>
      <c r="AP8" s="8">
        <f t="shared" si="4"/>
        <v>0</v>
      </c>
      <c r="AQ8" s="8">
        <v>0</v>
      </c>
      <c r="AR8" s="8">
        <v>0</v>
      </c>
      <c r="AS8" s="8" t="s">
        <v>119</v>
      </c>
      <c r="AT8" s="8" t="s">
        <v>121</v>
      </c>
      <c r="AV8" s="14" t="s">
        <v>113</v>
      </c>
      <c r="AW8" s="15">
        <v>0</v>
      </c>
      <c r="AX8"/>
      <c r="BA8" s="1">
        <v>1300</v>
      </c>
    </row>
    <row r="9" spans="2:53" x14ac:dyDescent="0.25">
      <c r="B9" s="2" t="s">
        <v>87</v>
      </c>
      <c r="C9" s="2" t="s">
        <v>88</v>
      </c>
      <c r="D9" s="2" t="s">
        <v>5</v>
      </c>
      <c r="E9" s="2" t="s">
        <v>2</v>
      </c>
      <c r="F9" s="2">
        <v>0.42</v>
      </c>
      <c r="G9" s="3">
        <v>1.9E-2</v>
      </c>
      <c r="H9" s="2">
        <v>700</v>
      </c>
      <c r="I9" s="2">
        <v>0</v>
      </c>
      <c r="J9" s="2"/>
      <c r="K9" s="2"/>
      <c r="L9" s="2"/>
      <c r="M9" s="2"/>
      <c r="N9" s="8">
        <f t="shared" si="0"/>
        <v>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>
        <v>700</v>
      </c>
      <c r="AE9" s="2"/>
      <c r="AF9" s="2"/>
      <c r="AG9" s="2"/>
      <c r="AH9" s="2"/>
      <c r="AI9" s="2"/>
      <c r="AJ9" s="7">
        <f t="shared" si="1"/>
        <v>13.299999999999999</v>
      </c>
      <c r="AK9" s="7">
        <v>1000</v>
      </c>
      <c r="AL9" s="7">
        <v>0</v>
      </c>
      <c r="AM9" s="8">
        <f t="shared" si="2"/>
        <v>0</v>
      </c>
      <c r="AN9" s="8">
        <v>0</v>
      </c>
      <c r="AO9" s="8">
        <f t="shared" si="3"/>
        <v>0</v>
      </c>
      <c r="AP9" s="8">
        <f t="shared" si="4"/>
        <v>0</v>
      </c>
      <c r="AQ9" s="8">
        <v>0</v>
      </c>
      <c r="AR9" s="8">
        <v>0</v>
      </c>
      <c r="AS9" s="8" t="s">
        <v>119</v>
      </c>
      <c r="AT9" s="8" t="s">
        <v>121</v>
      </c>
      <c r="AV9" s="14" t="s">
        <v>110</v>
      </c>
      <c r="AW9" s="15">
        <v>864</v>
      </c>
      <c r="AX9"/>
      <c r="BA9" s="1">
        <v>0</v>
      </c>
    </row>
    <row r="10" spans="2:53" x14ac:dyDescent="0.25">
      <c r="B10" s="2" t="s">
        <v>87</v>
      </c>
      <c r="C10" s="2" t="s">
        <v>88</v>
      </c>
      <c r="D10" s="2" t="s">
        <v>6</v>
      </c>
      <c r="E10" s="2" t="s">
        <v>2</v>
      </c>
      <c r="F10" s="2">
        <v>0.42</v>
      </c>
      <c r="G10" s="3">
        <v>0.03</v>
      </c>
      <c r="H10" s="2">
        <v>1300</v>
      </c>
      <c r="I10" s="2">
        <v>400</v>
      </c>
      <c r="J10" s="2"/>
      <c r="K10" s="2"/>
      <c r="L10" s="2"/>
      <c r="M10" s="2"/>
      <c r="N10" s="8">
        <f t="shared" si="0"/>
        <v>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>
        <v>400</v>
      </c>
      <c r="AB10" s="2">
        <v>480</v>
      </c>
      <c r="AC10" s="2"/>
      <c r="AD10" s="2"/>
      <c r="AE10" s="2"/>
      <c r="AF10" s="2"/>
      <c r="AG10" s="2"/>
      <c r="AH10" s="2">
        <v>820</v>
      </c>
      <c r="AI10" s="2"/>
      <c r="AJ10" s="7">
        <f t="shared" si="1"/>
        <v>51</v>
      </c>
      <c r="AK10" s="7">
        <v>1000</v>
      </c>
      <c r="AL10" s="7">
        <v>0</v>
      </c>
      <c r="AM10" s="8">
        <f t="shared" si="2"/>
        <v>0</v>
      </c>
      <c r="AN10" s="8">
        <v>0</v>
      </c>
      <c r="AO10" s="8">
        <f t="shared" si="3"/>
        <v>0</v>
      </c>
      <c r="AP10" s="8">
        <f t="shared" si="4"/>
        <v>0</v>
      </c>
      <c r="AQ10" s="8">
        <v>0</v>
      </c>
      <c r="AR10" s="8">
        <v>0</v>
      </c>
      <c r="AS10" s="8" t="s">
        <v>119</v>
      </c>
      <c r="AT10" s="8" t="s">
        <v>121</v>
      </c>
      <c r="AV10" s="14" t="s">
        <v>116</v>
      </c>
      <c r="AW10" s="15">
        <v>0</v>
      </c>
      <c r="AX10"/>
      <c r="BA10" s="1">
        <v>1000</v>
      </c>
    </row>
    <row r="11" spans="2:53" x14ac:dyDescent="0.25">
      <c r="B11" s="2" t="s">
        <v>87</v>
      </c>
      <c r="C11" s="2" t="s">
        <v>88</v>
      </c>
      <c r="D11" s="2" t="s">
        <v>7</v>
      </c>
      <c r="E11" s="2" t="s">
        <v>2</v>
      </c>
      <c r="F11" s="2">
        <v>0.42</v>
      </c>
      <c r="G11" s="3">
        <v>2.1999999999999999E-2</v>
      </c>
      <c r="H11" s="2">
        <v>1700</v>
      </c>
      <c r="I11" s="2">
        <v>0</v>
      </c>
      <c r="J11" s="2"/>
      <c r="K11" s="2"/>
      <c r="L11" s="2"/>
      <c r="M11" s="2"/>
      <c r="N11" s="8">
        <f t="shared" si="0"/>
        <v>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>
        <v>1700</v>
      </c>
      <c r="AI11" s="2"/>
      <c r="AJ11" s="7">
        <f t="shared" si="1"/>
        <v>37.4</v>
      </c>
      <c r="AK11" s="7">
        <v>1000</v>
      </c>
      <c r="AL11" s="7">
        <v>0</v>
      </c>
      <c r="AM11" s="8">
        <f t="shared" si="2"/>
        <v>0</v>
      </c>
      <c r="AN11" s="8">
        <v>0</v>
      </c>
      <c r="AO11" s="8">
        <f t="shared" si="3"/>
        <v>0</v>
      </c>
      <c r="AP11" s="8">
        <f t="shared" si="4"/>
        <v>0</v>
      </c>
      <c r="AQ11" s="8">
        <v>0</v>
      </c>
      <c r="AR11" s="8">
        <v>0</v>
      </c>
      <c r="AS11" s="8" t="s">
        <v>119</v>
      </c>
      <c r="AT11" s="8" t="s">
        <v>121</v>
      </c>
      <c r="AV11" s="14" t="s">
        <v>111</v>
      </c>
      <c r="AW11" s="15">
        <v>7704</v>
      </c>
      <c r="AX11"/>
      <c r="BA11" s="1">
        <v>1707</v>
      </c>
    </row>
    <row r="12" spans="2:53" x14ac:dyDescent="0.25">
      <c r="B12" s="2" t="s">
        <v>87</v>
      </c>
      <c r="C12" s="2" t="s">
        <v>88</v>
      </c>
      <c r="D12" s="2" t="s">
        <v>8</v>
      </c>
      <c r="E12" s="2" t="s">
        <v>2</v>
      </c>
      <c r="F12" s="2">
        <v>0.42</v>
      </c>
      <c r="G12" s="3">
        <v>2.3E-2</v>
      </c>
      <c r="H12" s="2">
        <v>600</v>
      </c>
      <c r="I12" s="2">
        <v>0</v>
      </c>
      <c r="J12" s="2"/>
      <c r="K12" s="2"/>
      <c r="L12" s="2"/>
      <c r="M12" s="2"/>
      <c r="N12" s="8">
        <f t="shared" si="0"/>
        <v>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>
        <v>600</v>
      </c>
      <c r="AG12" s="2"/>
      <c r="AH12" s="2"/>
      <c r="AI12" s="2"/>
      <c r="AJ12" s="7">
        <f t="shared" si="1"/>
        <v>13.799999999999999</v>
      </c>
      <c r="AK12" s="7">
        <v>1000</v>
      </c>
      <c r="AL12" s="7">
        <v>0</v>
      </c>
      <c r="AM12" s="8">
        <f t="shared" si="2"/>
        <v>0</v>
      </c>
      <c r="AN12" s="8">
        <v>0</v>
      </c>
      <c r="AO12" s="8">
        <f t="shared" si="3"/>
        <v>0</v>
      </c>
      <c r="AP12" s="8">
        <f t="shared" si="4"/>
        <v>0</v>
      </c>
      <c r="AQ12" s="8">
        <v>0</v>
      </c>
      <c r="AR12" s="8">
        <v>0</v>
      </c>
      <c r="AS12" s="8" t="s">
        <v>119</v>
      </c>
      <c r="AT12" s="8" t="s">
        <v>121</v>
      </c>
      <c r="AV12" s="14" t="s">
        <v>112</v>
      </c>
      <c r="AW12" s="15">
        <v>3840</v>
      </c>
      <c r="AX12"/>
      <c r="BA12" s="1">
        <v>0</v>
      </c>
    </row>
    <row r="13" spans="2:53" x14ac:dyDescent="0.25">
      <c r="B13" s="2" t="s">
        <v>87</v>
      </c>
      <c r="C13" s="2" t="s">
        <v>88</v>
      </c>
      <c r="D13" s="2" t="s">
        <v>9</v>
      </c>
      <c r="E13" s="2" t="s">
        <v>10</v>
      </c>
      <c r="F13" s="2">
        <v>2.8000000000000001E-2</v>
      </c>
      <c r="G13" s="3">
        <v>5.7000000000000002E-2</v>
      </c>
      <c r="H13" s="2">
        <v>1500</v>
      </c>
      <c r="I13" s="2">
        <v>0</v>
      </c>
      <c r="J13" s="2"/>
      <c r="K13" s="2"/>
      <c r="L13" s="2"/>
      <c r="M13" s="2"/>
      <c r="N13" s="8">
        <f t="shared" si="0"/>
        <v>0</v>
      </c>
      <c r="O13" s="2"/>
      <c r="P13" s="2"/>
      <c r="Q13" s="2">
        <v>200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>
        <v>300</v>
      </c>
      <c r="AE13" s="2">
        <v>1000</v>
      </c>
      <c r="AF13" s="2"/>
      <c r="AG13" s="2"/>
      <c r="AH13" s="2"/>
      <c r="AI13" s="2"/>
      <c r="AJ13" s="7">
        <f t="shared" si="1"/>
        <v>85.5</v>
      </c>
      <c r="AK13" s="7">
        <v>1000</v>
      </c>
      <c r="AL13" s="7">
        <v>0</v>
      </c>
      <c r="AM13" s="8">
        <f t="shared" si="2"/>
        <v>0</v>
      </c>
      <c r="AN13" s="8">
        <v>0</v>
      </c>
      <c r="AO13" s="8">
        <f t="shared" si="3"/>
        <v>0</v>
      </c>
      <c r="AP13" s="8">
        <f t="shared" si="4"/>
        <v>0</v>
      </c>
      <c r="AQ13" s="8">
        <v>0</v>
      </c>
      <c r="AR13" s="8">
        <v>0</v>
      </c>
      <c r="AS13" s="8" t="s">
        <v>119</v>
      </c>
      <c r="AT13" s="8" t="s">
        <v>121</v>
      </c>
      <c r="AV13" s="14" t="s">
        <v>114</v>
      </c>
      <c r="AW13" s="15">
        <v>1280</v>
      </c>
      <c r="AX13"/>
      <c r="BA13" s="1">
        <v>-3900</v>
      </c>
    </row>
    <row r="14" spans="2:53" x14ac:dyDescent="0.25">
      <c r="B14" s="2" t="s">
        <v>87</v>
      </c>
      <c r="C14" s="2" t="s">
        <v>88</v>
      </c>
      <c r="D14" s="2" t="s">
        <v>11</v>
      </c>
      <c r="E14" s="2" t="s">
        <v>10</v>
      </c>
      <c r="F14" s="2">
        <v>2.8000000000000001E-2</v>
      </c>
      <c r="G14" s="3">
        <v>4.3999999999999997E-2</v>
      </c>
      <c r="H14" s="2">
        <v>3000</v>
      </c>
      <c r="I14" s="2">
        <v>1500</v>
      </c>
      <c r="J14" s="2"/>
      <c r="K14" s="2"/>
      <c r="L14" s="2"/>
      <c r="M14" s="2"/>
      <c r="N14" s="8">
        <f t="shared" si="0"/>
        <v>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>
        <v>500</v>
      </c>
      <c r="AB14" s="2"/>
      <c r="AC14" s="2">
        <v>1500</v>
      </c>
      <c r="AD14" s="2"/>
      <c r="AE14" s="2"/>
      <c r="AF14" s="2">
        <v>1500</v>
      </c>
      <c r="AG14" s="2"/>
      <c r="AH14" s="2"/>
      <c r="AI14" s="2">
        <v>1000</v>
      </c>
      <c r="AJ14" s="7">
        <f t="shared" si="1"/>
        <v>198</v>
      </c>
      <c r="AK14" s="7">
        <v>1000</v>
      </c>
      <c r="AL14" s="7">
        <v>0</v>
      </c>
      <c r="AM14" s="8">
        <f t="shared" si="2"/>
        <v>0</v>
      </c>
      <c r="AN14" s="8">
        <v>0</v>
      </c>
      <c r="AO14" s="8">
        <f t="shared" si="3"/>
        <v>0</v>
      </c>
      <c r="AP14" s="8">
        <f t="shared" si="4"/>
        <v>0</v>
      </c>
      <c r="AQ14" s="8">
        <v>0</v>
      </c>
      <c r="AR14" s="8">
        <v>0</v>
      </c>
      <c r="AS14" s="8" t="s">
        <v>119</v>
      </c>
      <c r="AT14" s="8" t="s">
        <v>121</v>
      </c>
      <c r="AV14" s="14" t="s">
        <v>115</v>
      </c>
      <c r="AW14" s="15">
        <v>384</v>
      </c>
      <c r="AX14"/>
      <c r="BA14" s="1">
        <v>-2966</v>
      </c>
    </row>
    <row r="15" spans="2:53" x14ac:dyDescent="0.25">
      <c r="B15" s="2" t="s">
        <v>87</v>
      </c>
      <c r="C15" s="2" t="s">
        <v>88</v>
      </c>
      <c r="D15" s="2" t="s">
        <v>12</v>
      </c>
      <c r="E15" s="2" t="s">
        <v>10</v>
      </c>
      <c r="F15" s="2">
        <v>2.8000000000000001E-2</v>
      </c>
      <c r="G15" s="3">
        <v>1.4999999999999999E-2</v>
      </c>
      <c r="H15" s="2">
        <v>1500</v>
      </c>
      <c r="I15" s="2">
        <v>800</v>
      </c>
      <c r="J15" s="2"/>
      <c r="K15" s="2"/>
      <c r="L15" s="2"/>
      <c r="M15" s="2"/>
      <c r="N15" s="8">
        <f t="shared" si="0"/>
        <v>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>
        <v>1400</v>
      </c>
      <c r="AB15" s="2">
        <v>700</v>
      </c>
      <c r="AC15" s="2"/>
      <c r="AD15" s="2">
        <v>200</v>
      </c>
      <c r="AE15" s="2"/>
      <c r="AF15" s="2"/>
      <c r="AG15" s="2"/>
      <c r="AH15" s="2"/>
      <c r="AI15" s="2"/>
      <c r="AJ15" s="7">
        <f t="shared" si="1"/>
        <v>34.5</v>
      </c>
      <c r="AK15" s="7">
        <v>1000</v>
      </c>
      <c r="AL15" s="7">
        <v>0</v>
      </c>
      <c r="AM15" s="8">
        <f t="shared" si="2"/>
        <v>0</v>
      </c>
      <c r="AN15" s="8">
        <v>0</v>
      </c>
      <c r="AO15" s="8">
        <f t="shared" si="3"/>
        <v>0</v>
      </c>
      <c r="AP15" s="8">
        <f t="shared" si="4"/>
        <v>0</v>
      </c>
      <c r="AQ15" s="8">
        <v>0</v>
      </c>
      <c r="AR15" s="8">
        <v>0</v>
      </c>
      <c r="AS15" s="8" t="s">
        <v>119</v>
      </c>
      <c r="AT15" s="8" t="s">
        <v>121</v>
      </c>
      <c r="AV15" s="14" t="s">
        <v>124</v>
      </c>
      <c r="AW15" s="15">
        <v>14200</v>
      </c>
      <c r="AX15"/>
      <c r="BA15" s="1">
        <v>2400</v>
      </c>
    </row>
    <row r="16" spans="2:53" x14ac:dyDescent="0.25">
      <c r="B16" s="2" t="s">
        <v>87</v>
      </c>
      <c r="C16" s="2" t="s">
        <v>88</v>
      </c>
      <c r="D16" s="2" t="s">
        <v>13</v>
      </c>
      <c r="E16" s="2" t="s">
        <v>10</v>
      </c>
      <c r="F16" s="2">
        <v>2.8000000000000001E-2</v>
      </c>
      <c r="G16" s="3">
        <v>1.9E-2</v>
      </c>
      <c r="H16" s="2">
        <v>500</v>
      </c>
      <c r="I16" s="2">
        <v>100</v>
      </c>
      <c r="J16" s="2"/>
      <c r="K16" s="2"/>
      <c r="L16" s="2"/>
      <c r="M16" s="2"/>
      <c r="N16" s="8">
        <f t="shared" si="0"/>
        <v>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>
        <v>500</v>
      </c>
      <c r="AE16" s="2"/>
      <c r="AF16" s="2">
        <v>100</v>
      </c>
      <c r="AG16" s="2"/>
      <c r="AH16" s="2"/>
      <c r="AI16" s="2"/>
      <c r="AJ16" s="7">
        <f t="shared" si="1"/>
        <v>11.4</v>
      </c>
      <c r="AK16" s="7">
        <v>1000</v>
      </c>
      <c r="AL16" s="7">
        <v>0</v>
      </c>
      <c r="AM16" s="8">
        <f t="shared" si="2"/>
        <v>0</v>
      </c>
      <c r="AN16" s="8">
        <v>0</v>
      </c>
      <c r="AO16" s="8">
        <f t="shared" si="3"/>
        <v>0</v>
      </c>
      <c r="AP16" s="8">
        <f t="shared" si="4"/>
        <v>0</v>
      </c>
      <c r="AQ16" s="8">
        <v>0</v>
      </c>
      <c r="AR16" s="8">
        <v>0</v>
      </c>
      <c r="AS16" s="8" t="s">
        <v>119</v>
      </c>
      <c r="AT16" s="8" t="s">
        <v>121</v>
      </c>
      <c r="AV16"/>
      <c r="AW16"/>
      <c r="AX16"/>
      <c r="BA16" s="1">
        <v>400</v>
      </c>
    </row>
    <row r="17" spans="2:53" x14ac:dyDescent="0.25">
      <c r="B17" s="2" t="s">
        <v>87</v>
      </c>
      <c r="C17" s="2" t="s">
        <v>88</v>
      </c>
      <c r="D17" s="2" t="s">
        <v>14</v>
      </c>
      <c r="E17" s="2" t="s">
        <v>10</v>
      </c>
      <c r="F17" s="2">
        <v>2.8000000000000001E-2</v>
      </c>
      <c r="G17" s="3">
        <v>2.4E-2</v>
      </c>
      <c r="H17" s="2">
        <v>3000</v>
      </c>
      <c r="I17" s="2">
        <v>0</v>
      </c>
      <c r="J17" s="2"/>
      <c r="K17" s="2"/>
      <c r="L17" s="2"/>
      <c r="M17" s="2"/>
      <c r="N17" s="8">
        <f t="shared" si="0"/>
        <v>0</v>
      </c>
      <c r="O17" s="2"/>
      <c r="P17" s="2"/>
      <c r="Q17" s="2"/>
      <c r="R17" s="2"/>
      <c r="S17" s="2"/>
      <c r="T17" s="2"/>
      <c r="U17" s="2"/>
      <c r="V17" s="2"/>
      <c r="W17" s="2">
        <v>400</v>
      </c>
      <c r="X17" s="2"/>
      <c r="Y17" s="2"/>
      <c r="Z17" s="2"/>
      <c r="AA17" s="2"/>
      <c r="AB17" s="2"/>
      <c r="AC17" s="2">
        <v>1200</v>
      </c>
      <c r="AD17" s="2">
        <v>500</v>
      </c>
      <c r="AE17" s="2"/>
      <c r="AF17" s="2"/>
      <c r="AG17" s="2"/>
      <c r="AH17" s="2"/>
      <c r="AI17" s="2">
        <v>900</v>
      </c>
      <c r="AJ17" s="7">
        <f t="shared" si="1"/>
        <v>72</v>
      </c>
      <c r="AK17" s="7">
        <v>1000</v>
      </c>
      <c r="AL17" s="7">
        <v>0</v>
      </c>
      <c r="AM17" s="8">
        <f t="shared" si="2"/>
        <v>0</v>
      </c>
      <c r="AN17" s="8">
        <v>0</v>
      </c>
      <c r="AO17" s="8">
        <f t="shared" si="3"/>
        <v>0</v>
      </c>
      <c r="AP17" s="8">
        <f t="shared" si="4"/>
        <v>0</v>
      </c>
      <c r="AQ17" s="8">
        <v>0</v>
      </c>
      <c r="AR17" s="8">
        <v>0</v>
      </c>
      <c r="AS17" s="8" t="s">
        <v>119</v>
      </c>
      <c r="AT17" s="8" t="s">
        <v>121</v>
      </c>
      <c r="AV17"/>
      <c r="AW17"/>
      <c r="AX17"/>
      <c r="BA17" s="1">
        <v>3600</v>
      </c>
    </row>
    <row r="18" spans="2:53" x14ac:dyDescent="0.25">
      <c r="B18" s="2" t="s">
        <v>87</v>
      </c>
      <c r="C18" s="2" t="s">
        <v>88</v>
      </c>
      <c r="D18" s="2" t="s">
        <v>15</v>
      </c>
      <c r="E18" s="2" t="s">
        <v>10</v>
      </c>
      <c r="F18" s="2">
        <v>2.8000000000000001E-2</v>
      </c>
      <c r="G18" s="3">
        <v>1.9E-2</v>
      </c>
      <c r="H18" s="2">
        <v>0</v>
      </c>
      <c r="I18" s="2">
        <v>800</v>
      </c>
      <c r="J18" s="2"/>
      <c r="K18" s="2"/>
      <c r="L18" s="2"/>
      <c r="M18" s="2"/>
      <c r="N18" s="8">
        <f t="shared" si="0"/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>
        <v>300</v>
      </c>
      <c r="AF18" s="2">
        <v>500</v>
      </c>
      <c r="AG18" s="2"/>
      <c r="AH18" s="2"/>
      <c r="AI18" s="2"/>
      <c r="AJ18" s="7">
        <f t="shared" si="1"/>
        <v>15.2</v>
      </c>
      <c r="AK18" s="7">
        <v>1000</v>
      </c>
      <c r="AL18" s="7">
        <v>0</v>
      </c>
      <c r="AM18" s="8">
        <f t="shared" si="2"/>
        <v>0</v>
      </c>
      <c r="AN18" s="8">
        <v>0</v>
      </c>
      <c r="AO18" s="8">
        <f t="shared" si="3"/>
        <v>0</v>
      </c>
      <c r="AP18" s="8">
        <f t="shared" si="4"/>
        <v>0</v>
      </c>
      <c r="AQ18" s="8">
        <v>0</v>
      </c>
      <c r="AR18" s="8">
        <v>0</v>
      </c>
      <c r="AS18" s="8" t="s">
        <v>119</v>
      </c>
      <c r="AT18" s="8" t="s">
        <v>121</v>
      </c>
      <c r="AV18"/>
      <c r="AW18"/>
      <c r="AX18"/>
      <c r="BA18" s="1">
        <v>0</v>
      </c>
    </row>
    <row r="19" spans="2:53" x14ac:dyDescent="0.25">
      <c r="B19" s="2" t="s">
        <v>87</v>
      </c>
      <c r="C19" s="2" t="s">
        <v>88</v>
      </c>
      <c r="D19" s="2" t="s">
        <v>16</v>
      </c>
      <c r="E19" s="2" t="s">
        <v>17</v>
      </c>
      <c r="F19" s="2">
        <v>2.8000000000000001E-2</v>
      </c>
      <c r="G19" s="3">
        <v>8.5999999999999993E-2</v>
      </c>
      <c r="H19" s="2">
        <v>600</v>
      </c>
      <c r="I19" s="2">
        <v>0</v>
      </c>
      <c r="J19" s="2"/>
      <c r="K19" s="2"/>
      <c r="L19" s="2"/>
      <c r="M19" s="2"/>
      <c r="N19" s="8">
        <f t="shared" si="0"/>
        <v>0</v>
      </c>
      <c r="O19" s="2"/>
      <c r="P19" s="2"/>
      <c r="Q19" s="2"/>
      <c r="R19" s="2"/>
      <c r="S19" s="2"/>
      <c r="T19" s="2"/>
      <c r="U19" s="2"/>
      <c r="V19" s="2"/>
      <c r="W19" s="2">
        <v>600</v>
      </c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7">
        <f t="shared" si="1"/>
        <v>51.599999999999994</v>
      </c>
      <c r="AK19" s="7">
        <v>100</v>
      </c>
      <c r="AL19" s="7">
        <v>0</v>
      </c>
      <c r="AM19" s="8">
        <f t="shared" si="2"/>
        <v>0</v>
      </c>
      <c r="AN19" s="8">
        <v>0</v>
      </c>
      <c r="AO19" s="8">
        <f t="shared" si="3"/>
        <v>0</v>
      </c>
      <c r="AP19" s="8">
        <f t="shared" si="4"/>
        <v>0</v>
      </c>
      <c r="AQ19" s="8">
        <v>0</v>
      </c>
      <c r="AR19" s="8">
        <v>0</v>
      </c>
      <c r="AS19" s="8" t="s">
        <v>119</v>
      </c>
      <c r="AT19" s="8" t="s">
        <v>121</v>
      </c>
      <c r="AV19"/>
      <c r="AW19"/>
      <c r="AX19"/>
      <c r="BA19" s="1">
        <v>-55</v>
      </c>
    </row>
    <row r="20" spans="2:53" x14ac:dyDescent="0.25">
      <c r="B20" s="2" t="s">
        <v>87</v>
      </c>
      <c r="C20" s="2" t="s">
        <v>88</v>
      </c>
      <c r="D20" s="2" t="s">
        <v>18</v>
      </c>
      <c r="E20" s="2" t="s">
        <v>17</v>
      </c>
      <c r="F20" s="2">
        <v>2.8000000000000001E-2</v>
      </c>
      <c r="G20" s="3">
        <v>0.11700000000000001</v>
      </c>
      <c r="H20" s="2">
        <v>0</v>
      </c>
      <c r="I20" s="2">
        <v>0</v>
      </c>
      <c r="J20" s="2"/>
      <c r="K20" s="2"/>
      <c r="L20" s="2"/>
      <c r="M20" s="2"/>
      <c r="N20" s="8">
        <f t="shared" si="0"/>
        <v>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7">
        <f t="shared" si="1"/>
        <v>0</v>
      </c>
      <c r="AK20" s="7">
        <v>100</v>
      </c>
      <c r="AL20" s="7">
        <v>0</v>
      </c>
      <c r="AM20" s="8">
        <f t="shared" si="2"/>
        <v>0</v>
      </c>
      <c r="AN20" s="8">
        <v>0</v>
      </c>
      <c r="AO20" s="8">
        <f t="shared" si="3"/>
        <v>0</v>
      </c>
      <c r="AP20" s="8">
        <f t="shared" si="4"/>
        <v>0</v>
      </c>
      <c r="AQ20" s="8">
        <v>0</v>
      </c>
      <c r="AR20" s="8">
        <v>0</v>
      </c>
      <c r="AS20" s="8" t="s">
        <v>119</v>
      </c>
      <c r="AT20" s="8" t="s">
        <v>121</v>
      </c>
      <c r="AV20"/>
      <c r="AW20"/>
      <c r="AX20"/>
      <c r="BA20" s="1">
        <v>0</v>
      </c>
    </row>
    <row r="21" spans="2:53" x14ac:dyDescent="0.25">
      <c r="B21" s="2" t="s">
        <v>87</v>
      </c>
      <c r="C21" s="2" t="s">
        <v>88</v>
      </c>
      <c r="D21" s="2" t="s">
        <v>19</v>
      </c>
      <c r="E21" s="2" t="s">
        <v>17</v>
      </c>
      <c r="F21" s="2">
        <v>2.8000000000000001E-2</v>
      </c>
      <c r="G21" s="3">
        <v>0.129</v>
      </c>
      <c r="H21" s="2">
        <v>0</v>
      </c>
      <c r="I21" s="2">
        <v>0</v>
      </c>
      <c r="J21" s="2"/>
      <c r="K21" s="2"/>
      <c r="L21" s="2"/>
      <c r="M21" s="2"/>
      <c r="N21" s="8">
        <f t="shared" si="0"/>
        <v>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7">
        <f t="shared" si="1"/>
        <v>0</v>
      </c>
      <c r="AK21" s="7">
        <v>100</v>
      </c>
      <c r="AL21" s="7">
        <v>0</v>
      </c>
      <c r="AM21" s="8">
        <f t="shared" si="2"/>
        <v>0</v>
      </c>
      <c r="AN21" s="8">
        <v>0</v>
      </c>
      <c r="AO21" s="8">
        <f t="shared" si="3"/>
        <v>0</v>
      </c>
      <c r="AP21" s="8">
        <f t="shared" si="4"/>
        <v>0</v>
      </c>
      <c r="AQ21" s="8">
        <v>0</v>
      </c>
      <c r="AR21" s="8">
        <v>0</v>
      </c>
      <c r="AS21" s="8" t="s">
        <v>119</v>
      </c>
      <c r="AT21" s="8" t="s">
        <v>121</v>
      </c>
      <c r="AV21"/>
      <c r="AW21"/>
      <c r="AX21"/>
      <c r="BA21" s="1">
        <v>-25</v>
      </c>
    </row>
    <row r="22" spans="2:53" x14ac:dyDescent="0.25">
      <c r="B22" s="2" t="s">
        <v>87</v>
      </c>
      <c r="C22" s="2" t="s">
        <v>88</v>
      </c>
      <c r="D22" s="2" t="s">
        <v>20</v>
      </c>
      <c r="E22" s="2" t="s">
        <v>17</v>
      </c>
      <c r="F22" s="2">
        <v>2.8000000000000001E-2</v>
      </c>
      <c r="G22" s="3">
        <v>0.11899999999999999</v>
      </c>
      <c r="H22" s="2">
        <v>600</v>
      </c>
      <c r="I22" s="2">
        <v>0</v>
      </c>
      <c r="J22" s="2"/>
      <c r="K22" s="2"/>
      <c r="L22" s="2"/>
      <c r="M22" s="2"/>
      <c r="N22" s="8">
        <f t="shared" si="0"/>
        <v>0</v>
      </c>
      <c r="O22" s="2"/>
      <c r="P22" s="2"/>
      <c r="Q22" s="2"/>
      <c r="R22" s="2"/>
      <c r="S22" s="2"/>
      <c r="T22" s="2"/>
      <c r="U22" s="2">
        <v>450</v>
      </c>
      <c r="V22" s="2">
        <v>150</v>
      </c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7">
        <f t="shared" si="1"/>
        <v>71.399999999999991</v>
      </c>
      <c r="AK22" s="7">
        <v>100</v>
      </c>
      <c r="AL22" s="7">
        <v>0</v>
      </c>
      <c r="AM22" s="8">
        <f t="shared" si="2"/>
        <v>0</v>
      </c>
      <c r="AN22" s="8">
        <v>0</v>
      </c>
      <c r="AO22" s="8">
        <f t="shared" si="3"/>
        <v>0</v>
      </c>
      <c r="AP22" s="8">
        <f t="shared" si="4"/>
        <v>0</v>
      </c>
      <c r="AQ22" s="8">
        <v>0</v>
      </c>
      <c r="AR22" s="8">
        <v>0</v>
      </c>
      <c r="AS22" s="8" t="s">
        <v>119</v>
      </c>
      <c r="AT22" s="8" t="s">
        <v>121</v>
      </c>
      <c r="AV22"/>
      <c r="AW22"/>
      <c r="AX22"/>
      <c r="BA22" s="1">
        <v>-250</v>
      </c>
    </row>
    <row r="23" spans="2:53" x14ac:dyDescent="0.25">
      <c r="B23" s="2" t="s">
        <v>87</v>
      </c>
      <c r="C23" s="2" t="s">
        <v>88</v>
      </c>
      <c r="D23" s="2" t="s">
        <v>21</v>
      </c>
      <c r="E23" s="2" t="s">
        <v>17</v>
      </c>
      <c r="F23" s="2">
        <v>2.8000000000000001E-2</v>
      </c>
      <c r="G23" s="3">
        <v>0.127</v>
      </c>
      <c r="H23" s="2">
        <v>600</v>
      </c>
      <c r="I23" s="2">
        <v>0</v>
      </c>
      <c r="J23" s="2"/>
      <c r="K23" s="2"/>
      <c r="L23" s="2"/>
      <c r="M23" s="2"/>
      <c r="N23" s="8">
        <f t="shared" si="0"/>
        <v>0</v>
      </c>
      <c r="O23" s="2"/>
      <c r="P23" s="2"/>
      <c r="Q23" s="2"/>
      <c r="R23" s="2">
        <v>600</v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7">
        <f t="shared" si="1"/>
        <v>76.2</v>
      </c>
      <c r="AK23" s="7">
        <v>100</v>
      </c>
      <c r="AL23" s="7">
        <v>0</v>
      </c>
      <c r="AM23" s="8">
        <f t="shared" si="2"/>
        <v>0</v>
      </c>
      <c r="AN23" s="8">
        <v>0</v>
      </c>
      <c r="AO23" s="8">
        <f t="shared" si="3"/>
        <v>0</v>
      </c>
      <c r="AP23" s="8">
        <f t="shared" si="4"/>
        <v>0</v>
      </c>
      <c r="AQ23" s="8">
        <v>0</v>
      </c>
      <c r="AR23" s="8">
        <v>0</v>
      </c>
      <c r="AS23" s="8" t="s">
        <v>119</v>
      </c>
      <c r="AT23" s="8" t="s">
        <v>121</v>
      </c>
      <c r="BA23" s="1">
        <v>0</v>
      </c>
    </row>
    <row r="24" spans="2:53" x14ac:dyDescent="0.25">
      <c r="B24" s="2" t="s">
        <v>87</v>
      </c>
      <c r="C24" s="2" t="s">
        <v>88</v>
      </c>
      <c r="D24" s="2" t="s">
        <v>22</v>
      </c>
      <c r="E24" s="2" t="s">
        <v>17</v>
      </c>
      <c r="F24" s="2">
        <v>2.8000000000000001E-2</v>
      </c>
      <c r="G24" s="3">
        <v>0.114</v>
      </c>
      <c r="H24" s="2">
        <v>600</v>
      </c>
      <c r="I24" s="2">
        <v>0</v>
      </c>
      <c r="J24" s="2"/>
      <c r="K24" s="2"/>
      <c r="L24" s="2"/>
      <c r="M24" s="2"/>
      <c r="N24" s="8">
        <f t="shared" si="0"/>
        <v>0</v>
      </c>
      <c r="O24" s="2"/>
      <c r="P24" s="2"/>
      <c r="Q24" s="2">
        <v>600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7">
        <f t="shared" si="1"/>
        <v>68.400000000000006</v>
      </c>
      <c r="AK24" s="7">
        <v>100</v>
      </c>
      <c r="AL24" s="7">
        <v>0</v>
      </c>
      <c r="AM24" s="8">
        <f t="shared" si="2"/>
        <v>0</v>
      </c>
      <c r="AN24" s="8">
        <v>0</v>
      </c>
      <c r="AO24" s="8">
        <f t="shared" si="3"/>
        <v>0</v>
      </c>
      <c r="AP24" s="8">
        <f t="shared" si="4"/>
        <v>0</v>
      </c>
      <c r="AQ24" s="8">
        <v>0</v>
      </c>
      <c r="AR24" s="8">
        <v>0</v>
      </c>
      <c r="AS24" s="8" t="s">
        <v>119</v>
      </c>
      <c r="AT24" s="8" t="s">
        <v>121</v>
      </c>
      <c r="BA24" s="1">
        <v>-55</v>
      </c>
    </row>
    <row r="25" spans="2:53" x14ac:dyDescent="0.25">
      <c r="B25" s="2" t="s">
        <v>87</v>
      </c>
      <c r="C25" s="2" t="s">
        <v>88</v>
      </c>
      <c r="D25" s="2" t="s">
        <v>23</v>
      </c>
      <c r="E25" s="2" t="s">
        <v>17</v>
      </c>
      <c r="F25" s="2">
        <v>2.8000000000000001E-2</v>
      </c>
      <c r="G25" s="3">
        <v>6.9000000000000006E-2</v>
      </c>
      <c r="H25" s="2">
        <v>600</v>
      </c>
      <c r="I25" s="2">
        <v>0</v>
      </c>
      <c r="J25" s="2"/>
      <c r="K25" s="2"/>
      <c r="L25" s="2"/>
      <c r="M25" s="2"/>
      <c r="N25" s="8">
        <f t="shared" si="0"/>
        <v>0</v>
      </c>
      <c r="O25" s="2"/>
      <c r="P25" s="2"/>
      <c r="Q25" s="2"/>
      <c r="R25" s="2">
        <v>600</v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7">
        <f t="shared" si="1"/>
        <v>41.400000000000006</v>
      </c>
      <c r="AK25" s="7">
        <v>100</v>
      </c>
      <c r="AL25" s="7">
        <v>0</v>
      </c>
      <c r="AM25" s="8">
        <f t="shared" si="2"/>
        <v>0</v>
      </c>
      <c r="AN25" s="8">
        <v>0</v>
      </c>
      <c r="AO25" s="8">
        <f t="shared" si="3"/>
        <v>0</v>
      </c>
      <c r="AP25" s="8">
        <f t="shared" si="4"/>
        <v>0</v>
      </c>
      <c r="AQ25" s="8">
        <v>0</v>
      </c>
      <c r="AR25" s="8">
        <v>0</v>
      </c>
      <c r="AS25" s="8" t="s">
        <v>119</v>
      </c>
      <c r="AT25" s="8" t="s">
        <v>121</v>
      </c>
      <c r="BA25" s="1">
        <v>-50</v>
      </c>
    </row>
    <row r="26" spans="2:53" x14ac:dyDescent="0.25">
      <c r="B26" s="2" t="s">
        <v>87</v>
      </c>
      <c r="C26" s="2" t="s">
        <v>88</v>
      </c>
      <c r="D26" s="2" t="s">
        <v>24</v>
      </c>
      <c r="E26" s="2" t="s">
        <v>17</v>
      </c>
      <c r="F26" s="2">
        <v>2.8000000000000001E-2</v>
      </c>
      <c r="G26" s="3">
        <v>0.129</v>
      </c>
      <c r="H26" s="2">
        <v>600</v>
      </c>
      <c r="I26" s="2">
        <v>0</v>
      </c>
      <c r="J26" s="2"/>
      <c r="K26" s="2"/>
      <c r="L26" s="2"/>
      <c r="M26" s="2"/>
      <c r="N26" s="8">
        <f t="shared" si="0"/>
        <v>-20</v>
      </c>
      <c r="O26" s="2"/>
      <c r="P26" s="2"/>
      <c r="Q26" s="2"/>
      <c r="R26" s="2"/>
      <c r="S26" s="2"/>
      <c r="T26" s="2"/>
      <c r="U26" s="2">
        <v>300</v>
      </c>
      <c r="V26" s="2">
        <v>320</v>
      </c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7">
        <f t="shared" si="1"/>
        <v>77.400000000000006</v>
      </c>
      <c r="AK26" s="7">
        <v>100</v>
      </c>
      <c r="AL26" s="7">
        <v>0</v>
      </c>
      <c r="AM26" s="8">
        <f t="shared" si="2"/>
        <v>0</v>
      </c>
      <c r="AN26" s="8">
        <v>0</v>
      </c>
      <c r="AO26" s="8">
        <f t="shared" si="3"/>
        <v>0</v>
      </c>
      <c r="AP26" s="8">
        <f t="shared" si="4"/>
        <v>0</v>
      </c>
      <c r="AQ26" s="8">
        <v>0</v>
      </c>
      <c r="AR26" s="8">
        <v>0</v>
      </c>
      <c r="AS26" s="8" t="s">
        <v>119</v>
      </c>
      <c r="AT26" s="8" t="s">
        <v>121</v>
      </c>
      <c r="BA26" s="1">
        <v>0</v>
      </c>
    </row>
    <row r="27" spans="2:53" x14ac:dyDescent="0.25">
      <c r="B27" s="2" t="s">
        <v>87</v>
      </c>
      <c r="C27" s="2" t="s">
        <v>88</v>
      </c>
      <c r="D27" s="2" t="s">
        <v>25</v>
      </c>
      <c r="E27" s="2" t="s">
        <v>17</v>
      </c>
      <c r="F27" s="2">
        <v>2.8000000000000001E-2</v>
      </c>
      <c r="G27" s="3">
        <v>7.8E-2</v>
      </c>
      <c r="H27" s="2">
        <v>600</v>
      </c>
      <c r="I27" s="2">
        <v>0</v>
      </c>
      <c r="J27" s="2"/>
      <c r="K27" s="2"/>
      <c r="L27" s="2"/>
      <c r="M27" s="2"/>
      <c r="N27" s="8">
        <f t="shared" si="0"/>
        <v>-42</v>
      </c>
      <c r="O27" s="2"/>
      <c r="P27" s="2"/>
      <c r="Q27" s="2"/>
      <c r="R27" s="2"/>
      <c r="S27" s="2"/>
      <c r="T27" s="2"/>
      <c r="U27" s="2">
        <v>642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7">
        <f t="shared" si="1"/>
        <v>46.8</v>
      </c>
      <c r="AK27" s="7">
        <v>100</v>
      </c>
      <c r="AL27" s="7">
        <v>0</v>
      </c>
      <c r="AM27" s="8">
        <f t="shared" si="2"/>
        <v>0</v>
      </c>
      <c r="AN27" s="8">
        <v>0</v>
      </c>
      <c r="AO27" s="8">
        <f t="shared" si="3"/>
        <v>0</v>
      </c>
      <c r="AP27" s="8">
        <f t="shared" si="4"/>
        <v>0</v>
      </c>
      <c r="AQ27" s="8">
        <v>0</v>
      </c>
      <c r="AR27" s="8">
        <v>0</v>
      </c>
      <c r="AS27" s="8" t="s">
        <v>119</v>
      </c>
      <c r="AT27" s="8" t="s">
        <v>121</v>
      </c>
      <c r="BA27" s="1">
        <v>307</v>
      </c>
    </row>
    <row r="28" spans="2:53" x14ac:dyDescent="0.25">
      <c r="B28" s="2" t="s">
        <v>87</v>
      </c>
      <c r="C28" s="2" t="s">
        <v>88</v>
      </c>
      <c r="D28" s="2" t="s">
        <v>26</v>
      </c>
      <c r="E28" s="2" t="s">
        <v>17</v>
      </c>
      <c r="F28" s="2">
        <v>2.8000000000000001E-2</v>
      </c>
      <c r="G28" s="3">
        <v>0.10100000000000001</v>
      </c>
      <c r="H28" s="2">
        <v>0</v>
      </c>
      <c r="I28" s="2">
        <v>0</v>
      </c>
      <c r="J28" s="2"/>
      <c r="K28" s="2"/>
      <c r="L28" s="2"/>
      <c r="M28" s="2"/>
      <c r="N28" s="8">
        <f t="shared" si="0"/>
        <v>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7">
        <f t="shared" si="1"/>
        <v>0</v>
      </c>
      <c r="AK28" s="7">
        <v>100</v>
      </c>
      <c r="AL28" s="7">
        <v>0</v>
      </c>
      <c r="AM28" s="8">
        <f t="shared" si="2"/>
        <v>0</v>
      </c>
      <c r="AN28" s="8">
        <v>0</v>
      </c>
      <c r="AO28" s="8">
        <f t="shared" si="3"/>
        <v>0</v>
      </c>
      <c r="AP28" s="8">
        <f t="shared" si="4"/>
        <v>0</v>
      </c>
      <c r="AQ28" s="8">
        <v>0</v>
      </c>
      <c r="AR28" s="8">
        <v>0</v>
      </c>
      <c r="AS28" s="8" t="s">
        <v>119</v>
      </c>
      <c r="AT28" s="8" t="s">
        <v>121</v>
      </c>
      <c r="BA28" s="1">
        <v>-77</v>
      </c>
    </row>
    <row r="29" spans="2:53" x14ac:dyDescent="0.25">
      <c r="B29" s="2" t="s">
        <v>87</v>
      </c>
      <c r="C29" s="2" t="s">
        <v>88</v>
      </c>
      <c r="D29" s="2" t="s">
        <v>27</v>
      </c>
      <c r="E29" s="2" t="s">
        <v>17</v>
      </c>
      <c r="F29" s="2">
        <v>2.8000000000000001E-2</v>
      </c>
      <c r="G29" s="3">
        <v>7.5999999999999998E-2</v>
      </c>
      <c r="H29" s="2">
        <v>0</v>
      </c>
      <c r="I29" s="2">
        <v>0</v>
      </c>
      <c r="J29" s="2"/>
      <c r="K29" s="2"/>
      <c r="L29" s="2"/>
      <c r="M29" s="2"/>
      <c r="N29" s="8">
        <f t="shared" si="0"/>
        <v>0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7">
        <f t="shared" si="1"/>
        <v>0</v>
      </c>
      <c r="AK29" s="7">
        <v>100</v>
      </c>
      <c r="AL29" s="7">
        <v>0</v>
      </c>
      <c r="AM29" s="8">
        <f t="shared" si="2"/>
        <v>0</v>
      </c>
      <c r="AN29" s="8">
        <v>0</v>
      </c>
      <c r="AO29" s="8">
        <f t="shared" si="3"/>
        <v>0</v>
      </c>
      <c r="AP29" s="8">
        <f t="shared" si="4"/>
        <v>0</v>
      </c>
      <c r="AQ29" s="8">
        <v>0</v>
      </c>
      <c r="AR29" s="8">
        <v>0</v>
      </c>
      <c r="AS29" s="8" t="s">
        <v>119</v>
      </c>
      <c r="AT29" s="8" t="s">
        <v>121</v>
      </c>
      <c r="BA29" s="1">
        <v>300</v>
      </c>
    </row>
    <row r="30" spans="2:53" x14ac:dyDescent="0.25">
      <c r="B30" s="2" t="s">
        <v>87</v>
      </c>
      <c r="C30" s="2" t="s">
        <v>88</v>
      </c>
      <c r="D30" s="2" t="s">
        <v>28</v>
      </c>
      <c r="E30" s="2" t="s">
        <v>17</v>
      </c>
      <c r="F30" s="2">
        <v>2.8000000000000001E-2</v>
      </c>
      <c r="G30" s="3">
        <v>4.2000000000000003E-2</v>
      </c>
      <c r="H30" s="2">
        <v>1800</v>
      </c>
      <c r="I30" s="2">
        <v>0</v>
      </c>
      <c r="J30" s="2"/>
      <c r="K30" s="2"/>
      <c r="L30" s="2"/>
      <c r="M30" s="2"/>
      <c r="N30" s="8">
        <f t="shared" si="0"/>
        <v>0</v>
      </c>
      <c r="O30" s="2">
        <v>200</v>
      </c>
      <c r="P30" s="2"/>
      <c r="Q30" s="2">
        <v>1600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7">
        <f t="shared" si="1"/>
        <v>75.600000000000009</v>
      </c>
      <c r="AK30" s="7">
        <v>100</v>
      </c>
      <c r="AL30" s="7">
        <v>0</v>
      </c>
      <c r="AM30" s="8">
        <f t="shared" si="2"/>
        <v>0</v>
      </c>
      <c r="AN30" s="8">
        <v>0</v>
      </c>
      <c r="AO30" s="8">
        <f t="shared" si="3"/>
        <v>0</v>
      </c>
      <c r="AP30" s="8">
        <f t="shared" si="4"/>
        <v>0</v>
      </c>
      <c r="AQ30" s="8">
        <v>0</v>
      </c>
      <c r="AR30" s="8">
        <v>0</v>
      </c>
      <c r="AS30" s="8" t="s">
        <v>119</v>
      </c>
      <c r="AT30" s="8" t="s">
        <v>121</v>
      </c>
      <c r="BA30" s="1">
        <v>-445</v>
      </c>
    </row>
    <row r="31" spans="2:53" x14ac:dyDescent="0.25">
      <c r="B31" s="2" t="s">
        <v>87</v>
      </c>
      <c r="C31" s="2" t="s">
        <v>88</v>
      </c>
      <c r="D31" s="2" t="s">
        <v>29</v>
      </c>
      <c r="E31" s="2" t="s">
        <v>17</v>
      </c>
      <c r="F31" s="2">
        <v>2.8000000000000001E-2</v>
      </c>
      <c r="G31" s="3">
        <v>0.105</v>
      </c>
      <c r="H31" s="2">
        <v>600</v>
      </c>
      <c r="I31" s="2">
        <v>0</v>
      </c>
      <c r="J31" s="2"/>
      <c r="K31" s="2"/>
      <c r="L31" s="2"/>
      <c r="M31" s="2"/>
      <c r="N31" s="8">
        <f t="shared" si="0"/>
        <v>0</v>
      </c>
      <c r="O31" s="2"/>
      <c r="P31" s="2"/>
      <c r="Q31" s="2"/>
      <c r="R31" s="2">
        <v>600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7">
        <f t="shared" si="1"/>
        <v>63</v>
      </c>
      <c r="AK31" s="7">
        <v>100</v>
      </c>
      <c r="AL31" s="7">
        <v>0</v>
      </c>
      <c r="AM31" s="8">
        <f t="shared" si="2"/>
        <v>0</v>
      </c>
      <c r="AN31" s="8">
        <v>0</v>
      </c>
      <c r="AO31" s="8">
        <f t="shared" si="3"/>
        <v>0</v>
      </c>
      <c r="AP31" s="8">
        <f t="shared" si="4"/>
        <v>0</v>
      </c>
      <c r="AQ31" s="8">
        <v>0</v>
      </c>
      <c r="AR31" s="8">
        <v>0</v>
      </c>
      <c r="AS31" s="8" t="s">
        <v>119</v>
      </c>
      <c r="AT31" s="8" t="s">
        <v>121</v>
      </c>
      <c r="BA31" s="1">
        <v>-83</v>
      </c>
    </row>
    <row r="32" spans="2:53" x14ac:dyDescent="0.25">
      <c r="B32" s="2" t="s">
        <v>87</v>
      </c>
      <c r="C32" s="2" t="s">
        <v>88</v>
      </c>
      <c r="D32" s="2" t="s">
        <v>30</v>
      </c>
      <c r="E32" s="2" t="s">
        <v>17</v>
      </c>
      <c r="F32" s="2">
        <v>2.8000000000000001E-2</v>
      </c>
      <c r="G32" s="3">
        <v>0.14299999999999999</v>
      </c>
      <c r="H32" s="2">
        <v>0</v>
      </c>
      <c r="I32" s="2">
        <v>0</v>
      </c>
      <c r="J32" s="2"/>
      <c r="K32" s="2"/>
      <c r="L32" s="2"/>
      <c r="M32" s="2"/>
      <c r="N32" s="8">
        <f t="shared" si="0"/>
        <v>0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7">
        <f t="shared" si="1"/>
        <v>0</v>
      </c>
      <c r="AK32" s="7">
        <v>100</v>
      </c>
      <c r="AL32" s="7">
        <v>0</v>
      </c>
      <c r="AM32" s="8">
        <f t="shared" si="2"/>
        <v>0</v>
      </c>
      <c r="AN32" s="8">
        <v>0</v>
      </c>
      <c r="AO32" s="8">
        <f t="shared" si="3"/>
        <v>0</v>
      </c>
      <c r="AP32" s="8">
        <f t="shared" si="4"/>
        <v>0</v>
      </c>
      <c r="AQ32" s="8">
        <v>0</v>
      </c>
      <c r="AR32" s="8">
        <v>0</v>
      </c>
      <c r="AS32" s="8" t="s">
        <v>119</v>
      </c>
      <c r="AT32" s="8" t="s">
        <v>121</v>
      </c>
      <c r="BA32" s="1">
        <v>0</v>
      </c>
    </row>
    <row r="33" spans="2:53" x14ac:dyDescent="0.25">
      <c r="B33" s="2" t="s">
        <v>87</v>
      </c>
      <c r="C33" s="2" t="s">
        <v>88</v>
      </c>
      <c r="D33" s="2" t="s">
        <v>31</v>
      </c>
      <c r="E33" s="2" t="s">
        <v>17</v>
      </c>
      <c r="F33" s="2">
        <v>2.8000000000000001E-2</v>
      </c>
      <c r="G33" s="3">
        <v>4.5999999999999999E-2</v>
      </c>
      <c r="H33" s="2">
        <v>0</v>
      </c>
      <c r="I33" s="2">
        <v>0</v>
      </c>
      <c r="J33" s="2"/>
      <c r="K33" s="2"/>
      <c r="L33" s="2"/>
      <c r="M33" s="2"/>
      <c r="N33" s="8">
        <f t="shared" si="0"/>
        <v>0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7">
        <f t="shared" si="1"/>
        <v>0</v>
      </c>
      <c r="AK33" s="7">
        <v>100</v>
      </c>
      <c r="AL33" s="7">
        <v>0</v>
      </c>
      <c r="AM33" s="8">
        <f t="shared" si="2"/>
        <v>0</v>
      </c>
      <c r="AN33" s="8">
        <v>0</v>
      </c>
      <c r="AO33" s="8">
        <f t="shared" si="3"/>
        <v>0</v>
      </c>
      <c r="AP33" s="8">
        <f t="shared" si="4"/>
        <v>0</v>
      </c>
      <c r="AQ33" s="8">
        <v>0</v>
      </c>
      <c r="AR33" s="8">
        <v>0</v>
      </c>
      <c r="AS33" s="8" t="s">
        <v>119</v>
      </c>
      <c r="AT33" s="8" t="s">
        <v>121</v>
      </c>
      <c r="BA33" s="1">
        <v>300</v>
      </c>
    </row>
    <row r="34" spans="2:53" x14ac:dyDescent="0.25">
      <c r="B34" s="2" t="s">
        <v>87</v>
      </c>
      <c r="C34" s="2" t="s">
        <v>88</v>
      </c>
      <c r="D34" s="2" t="s">
        <v>32</v>
      </c>
      <c r="E34" s="2" t="s">
        <v>17</v>
      </c>
      <c r="F34" s="2">
        <v>2.8000000000000001E-2</v>
      </c>
      <c r="G34" s="3">
        <v>0.129</v>
      </c>
      <c r="H34" s="2">
        <v>0</v>
      </c>
      <c r="I34" s="2">
        <v>0</v>
      </c>
      <c r="J34" s="2"/>
      <c r="K34" s="2"/>
      <c r="L34" s="2"/>
      <c r="M34" s="2"/>
      <c r="N34" s="8">
        <f t="shared" si="0"/>
        <v>0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7">
        <f t="shared" si="1"/>
        <v>0</v>
      </c>
      <c r="AK34" s="7">
        <v>100</v>
      </c>
      <c r="AL34" s="7">
        <v>0</v>
      </c>
      <c r="AM34" s="8">
        <f t="shared" si="2"/>
        <v>0</v>
      </c>
      <c r="AN34" s="8">
        <v>0</v>
      </c>
      <c r="AO34" s="8">
        <f t="shared" si="3"/>
        <v>0</v>
      </c>
      <c r="AP34" s="8">
        <f t="shared" si="4"/>
        <v>0</v>
      </c>
      <c r="AQ34" s="8">
        <v>0</v>
      </c>
      <c r="AR34" s="8">
        <v>0</v>
      </c>
      <c r="AS34" s="8" t="s">
        <v>119</v>
      </c>
      <c r="AT34" s="8" t="s">
        <v>121</v>
      </c>
      <c r="BA34" s="1">
        <v>500</v>
      </c>
    </row>
    <row r="35" spans="2:53" x14ac:dyDescent="0.25">
      <c r="B35" s="2" t="s">
        <v>87</v>
      </c>
      <c r="C35" s="2" t="s">
        <v>88</v>
      </c>
      <c r="D35" s="2" t="s">
        <v>33</v>
      </c>
      <c r="E35" s="2" t="s">
        <v>17</v>
      </c>
      <c r="F35" s="2">
        <v>2.8000000000000001E-2</v>
      </c>
      <c r="G35" s="3">
        <v>0.13400000000000001</v>
      </c>
      <c r="H35" s="2">
        <v>0</v>
      </c>
      <c r="I35" s="2">
        <v>0</v>
      </c>
      <c r="J35" s="2"/>
      <c r="K35" s="2"/>
      <c r="L35" s="2"/>
      <c r="M35" s="2"/>
      <c r="N35" s="8">
        <f t="shared" si="0"/>
        <v>0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7">
        <f t="shared" si="1"/>
        <v>0</v>
      </c>
      <c r="AK35" s="7">
        <v>100</v>
      </c>
      <c r="AL35" s="7">
        <v>0</v>
      </c>
      <c r="AM35" s="8">
        <f t="shared" si="2"/>
        <v>0</v>
      </c>
      <c r="AN35" s="8">
        <v>0</v>
      </c>
      <c r="AO35" s="8">
        <f t="shared" si="3"/>
        <v>0</v>
      </c>
      <c r="AP35" s="8">
        <f t="shared" si="4"/>
        <v>0</v>
      </c>
      <c r="AQ35" s="8">
        <v>0</v>
      </c>
      <c r="AR35" s="8">
        <v>0</v>
      </c>
      <c r="AS35" s="8" t="s">
        <v>119</v>
      </c>
      <c r="AT35" s="8" t="s">
        <v>121</v>
      </c>
      <c r="BA35" s="1">
        <v>300</v>
      </c>
    </row>
    <row r="36" spans="2:53" x14ac:dyDescent="0.25">
      <c r="B36" s="2" t="s">
        <v>87</v>
      </c>
      <c r="C36" s="2" t="s">
        <v>88</v>
      </c>
      <c r="D36" s="2" t="s">
        <v>34</v>
      </c>
      <c r="E36" s="2" t="s">
        <v>17</v>
      </c>
      <c r="F36" s="2">
        <v>2.8000000000000001E-2</v>
      </c>
      <c r="G36" s="3">
        <v>0.105</v>
      </c>
      <c r="H36" s="2">
        <v>0</v>
      </c>
      <c r="I36" s="2">
        <v>0</v>
      </c>
      <c r="J36" s="2"/>
      <c r="K36" s="2"/>
      <c r="L36" s="2"/>
      <c r="M36" s="2"/>
      <c r="N36" s="8">
        <f t="shared" si="0"/>
        <v>0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7">
        <f t="shared" si="1"/>
        <v>0</v>
      </c>
      <c r="AK36" s="7">
        <v>100</v>
      </c>
      <c r="AL36" s="7">
        <v>0</v>
      </c>
      <c r="AM36" s="8">
        <f t="shared" si="2"/>
        <v>0</v>
      </c>
      <c r="AN36" s="8">
        <v>0</v>
      </c>
      <c r="AO36" s="8">
        <f t="shared" si="3"/>
        <v>0</v>
      </c>
      <c r="AP36" s="8">
        <f t="shared" si="4"/>
        <v>0</v>
      </c>
      <c r="AQ36" s="8">
        <v>0</v>
      </c>
      <c r="AR36" s="8">
        <v>0</v>
      </c>
      <c r="AS36" s="8" t="s">
        <v>119</v>
      </c>
      <c r="AT36" s="8" t="s">
        <v>121</v>
      </c>
      <c r="BA36" s="1">
        <v>0</v>
      </c>
    </row>
    <row r="37" spans="2:53" x14ac:dyDescent="0.25">
      <c r="B37" s="2" t="s">
        <v>87</v>
      </c>
      <c r="C37" s="2" t="s">
        <v>88</v>
      </c>
      <c r="D37" s="2" t="s">
        <v>35</v>
      </c>
      <c r="E37" s="2" t="s">
        <v>17</v>
      </c>
      <c r="F37" s="2">
        <v>2.8000000000000001E-2</v>
      </c>
      <c r="G37" s="3">
        <v>9.9000000000000005E-2</v>
      </c>
      <c r="H37" s="2">
        <v>0</v>
      </c>
      <c r="I37" s="2">
        <v>0</v>
      </c>
      <c r="J37" s="2"/>
      <c r="K37" s="2"/>
      <c r="L37" s="2"/>
      <c r="M37" s="2"/>
      <c r="N37" s="8">
        <f t="shared" si="0"/>
        <v>0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7">
        <f t="shared" si="1"/>
        <v>0</v>
      </c>
      <c r="AK37" s="7">
        <v>100</v>
      </c>
      <c r="AL37" s="7">
        <v>0</v>
      </c>
      <c r="AM37" s="8">
        <f t="shared" si="2"/>
        <v>0</v>
      </c>
      <c r="AN37" s="8">
        <v>0</v>
      </c>
      <c r="AO37" s="8">
        <f t="shared" si="3"/>
        <v>0</v>
      </c>
      <c r="AP37" s="8">
        <f t="shared" si="4"/>
        <v>0</v>
      </c>
      <c r="AQ37" s="8">
        <v>0</v>
      </c>
      <c r="AR37" s="8">
        <v>0</v>
      </c>
      <c r="AS37" s="8" t="s">
        <v>119</v>
      </c>
      <c r="AT37" s="8" t="s">
        <v>121</v>
      </c>
      <c r="BA37" s="1">
        <v>300</v>
      </c>
    </row>
    <row r="38" spans="2:53" x14ac:dyDescent="0.25">
      <c r="B38" s="2" t="s">
        <v>87</v>
      </c>
      <c r="C38" s="2" t="s">
        <v>88</v>
      </c>
      <c r="D38" s="2" t="s">
        <v>36</v>
      </c>
      <c r="E38" s="2" t="s">
        <v>17</v>
      </c>
      <c r="F38" s="2">
        <v>2.8000000000000001E-2</v>
      </c>
      <c r="G38" s="3">
        <v>0.13100000000000001</v>
      </c>
      <c r="H38" s="2">
        <v>0</v>
      </c>
      <c r="I38" s="2">
        <v>0</v>
      </c>
      <c r="J38" s="2"/>
      <c r="K38" s="2"/>
      <c r="L38" s="2"/>
      <c r="M38" s="2"/>
      <c r="N38" s="8">
        <f t="shared" ref="N38:N69" si="5">+H38+I38+J38+K38+L38+M38-SUM(O38:AI38)</f>
        <v>0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7">
        <f t="shared" ref="AJ38:AJ69" si="6">+G38*SUM(H38:M38)</f>
        <v>0</v>
      </c>
      <c r="AK38" s="7">
        <v>100</v>
      </c>
      <c r="AL38" s="7">
        <v>0</v>
      </c>
      <c r="AM38" s="8">
        <f t="shared" ref="AM38:AM69" si="7">+H38*AL38</f>
        <v>0</v>
      </c>
      <c r="AN38" s="8">
        <v>0</v>
      </c>
      <c r="AO38" s="8">
        <f t="shared" ref="AO38:AO69" si="8">+H38*AN38</f>
        <v>0</v>
      </c>
      <c r="AP38" s="8">
        <f t="shared" si="4"/>
        <v>0</v>
      </c>
      <c r="AQ38" s="8">
        <v>0</v>
      </c>
      <c r="AR38" s="8">
        <v>0</v>
      </c>
      <c r="AS38" s="8" t="s">
        <v>119</v>
      </c>
      <c r="AT38" s="8" t="s">
        <v>121</v>
      </c>
      <c r="BA38" s="1">
        <v>0</v>
      </c>
    </row>
    <row r="39" spans="2:53" x14ac:dyDescent="0.25">
      <c r="B39" s="2" t="s">
        <v>87</v>
      </c>
      <c r="C39" s="2" t="s">
        <v>88</v>
      </c>
      <c r="D39" s="2" t="s">
        <v>37</v>
      </c>
      <c r="E39" s="2" t="s">
        <v>17</v>
      </c>
      <c r="F39" s="2">
        <v>2.8000000000000001E-2</v>
      </c>
      <c r="G39" s="3">
        <v>9.4E-2</v>
      </c>
      <c r="H39" s="2">
        <v>600</v>
      </c>
      <c r="I39" s="2">
        <v>0</v>
      </c>
      <c r="J39" s="2"/>
      <c r="K39" s="2"/>
      <c r="L39" s="2"/>
      <c r="M39" s="2"/>
      <c r="N39" s="8">
        <f t="shared" si="5"/>
        <v>0</v>
      </c>
      <c r="O39" s="2"/>
      <c r="P39" s="2"/>
      <c r="Q39" s="2"/>
      <c r="R39" s="2">
        <v>500</v>
      </c>
      <c r="S39" s="2"/>
      <c r="T39" s="2"/>
      <c r="U39" s="2">
        <v>100</v>
      </c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7">
        <f t="shared" si="6"/>
        <v>56.4</v>
      </c>
      <c r="AK39" s="7">
        <v>100</v>
      </c>
      <c r="AL39" s="7">
        <v>0</v>
      </c>
      <c r="AM39" s="8">
        <f t="shared" si="7"/>
        <v>0</v>
      </c>
      <c r="AN39" s="8">
        <v>0</v>
      </c>
      <c r="AO39" s="8">
        <f t="shared" si="8"/>
        <v>0</v>
      </c>
      <c r="AP39" s="8">
        <f t="shared" si="4"/>
        <v>0</v>
      </c>
      <c r="AQ39" s="8">
        <v>0</v>
      </c>
      <c r="AR39" s="8">
        <v>0</v>
      </c>
      <c r="AS39" s="8" t="s">
        <v>119</v>
      </c>
      <c r="AT39" s="8" t="s">
        <v>121</v>
      </c>
      <c r="BA39" s="1">
        <v>0</v>
      </c>
    </row>
    <row r="40" spans="2:53" x14ac:dyDescent="0.25">
      <c r="B40" s="2" t="s">
        <v>87</v>
      </c>
      <c r="C40" s="2" t="s">
        <v>88</v>
      </c>
      <c r="D40" s="2" t="s">
        <v>38</v>
      </c>
      <c r="E40" s="2" t="s">
        <v>17</v>
      </c>
      <c r="F40" s="2">
        <v>2.8000000000000001E-2</v>
      </c>
      <c r="G40" s="3">
        <v>0.122</v>
      </c>
      <c r="H40" s="2">
        <v>0</v>
      </c>
      <c r="I40" s="2">
        <v>0</v>
      </c>
      <c r="J40" s="2"/>
      <c r="K40" s="2"/>
      <c r="L40" s="2"/>
      <c r="M40" s="2"/>
      <c r="N40" s="8">
        <f t="shared" si="5"/>
        <v>0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7">
        <f t="shared" si="6"/>
        <v>0</v>
      </c>
      <c r="AK40" s="7">
        <v>100</v>
      </c>
      <c r="AL40" s="7">
        <v>0</v>
      </c>
      <c r="AM40" s="8">
        <f t="shared" si="7"/>
        <v>0</v>
      </c>
      <c r="AN40" s="8">
        <v>0</v>
      </c>
      <c r="AO40" s="8">
        <f t="shared" si="8"/>
        <v>0</v>
      </c>
      <c r="AP40" s="8">
        <f t="shared" si="4"/>
        <v>0</v>
      </c>
      <c r="AQ40" s="8">
        <v>0</v>
      </c>
      <c r="AR40" s="8">
        <v>0</v>
      </c>
      <c r="AS40" s="8" t="s">
        <v>119</v>
      </c>
      <c r="AT40" s="8" t="s">
        <v>121</v>
      </c>
      <c r="BA40" s="1">
        <v>0</v>
      </c>
    </row>
    <row r="41" spans="2:53" x14ac:dyDescent="0.25">
      <c r="B41" s="2" t="s">
        <v>87</v>
      </c>
      <c r="C41" s="2" t="s">
        <v>88</v>
      </c>
      <c r="D41" s="2" t="s">
        <v>39</v>
      </c>
      <c r="E41" s="2" t="s">
        <v>17</v>
      </c>
      <c r="F41" s="2">
        <v>2.8000000000000001E-2</v>
      </c>
      <c r="G41" s="3">
        <v>0.10100000000000001</v>
      </c>
      <c r="H41" s="2">
        <v>600</v>
      </c>
      <c r="I41" s="2">
        <v>0</v>
      </c>
      <c r="J41" s="2"/>
      <c r="K41" s="2"/>
      <c r="L41" s="2"/>
      <c r="M41" s="2"/>
      <c r="N41" s="8">
        <f t="shared" si="5"/>
        <v>0</v>
      </c>
      <c r="O41" s="2"/>
      <c r="P41" s="2"/>
      <c r="Q41" s="2"/>
      <c r="R41" s="2"/>
      <c r="S41" s="2"/>
      <c r="T41" s="2"/>
      <c r="U41" s="2">
        <v>600</v>
      </c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7">
        <f t="shared" si="6"/>
        <v>60.6</v>
      </c>
      <c r="AK41" s="7">
        <v>100</v>
      </c>
      <c r="AL41" s="7">
        <v>0</v>
      </c>
      <c r="AM41" s="8">
        <f t="shared" si="7"/>
        <v>0</v>
      </c>
      <c r="AN41" s="8">
        <v>0</v>
      </c>
      <c r="AO41" s="8">
        <f t="shared" si="8"/>
        <v>0</v>
      </c>
      <c r="AP41" s="8">
        <f t="shared" si="4"/>
        <v>0</v>
      </c>
      <c r="AQ41" s="8">
        <v>0</v>
      </c>
      <c r="AR41" s="8">
        <v>0</v>
      </c>
      <c r="AS41" s="8" t="s">
        <v>119</v>
      </c>
      <c r="AT41" s="8" t="s">
        <v>121</v>
      </c>
      <c r="BA41" s="1">
        <v>0</v>
      </c>
    </row>
    <row r="42" spans="2:53" x14ac:dyDescent="0.25">
      <c r="B42" s="2" t="s">
        <v>87</v>
      </c>
      <c r="C42" s="2" t="s">
        <v>88</v>
      </c>
      <c r="D42" s="2" t="s">
        <v>40</v>
      </c>
      <c r="E42" s="2" t="s">
        <v>17</v>
      </c>
      <c r="F42" s="2">
        <v>2.8000000000000001E-2</v>
      </c>
      <c r="G42" s="3">
        <v>0.11899999999999999</v>
      </c>
      <c r="H42" s="2">
        <v>0</v>
      </c>
      <c r="I42" s="2">
        <v>0</v>
      </c>
      <c r="J42" s="2"/>
      <c r="K42" s="2"/>
      <c r="L42" s="2"/>
      <c r="M42" s="2"/>
      <c r="N42" s="8">
        <f t="shared" si="5"/>
        <v>0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7">
        <f t="shared" si="6"/>
        <v>0</v>
      </c>
      <c r="AK42" s="7">
        <v>100</v>
      </c>
      <c r="AL42" s="7">
        <v>0</v>
      </c>
      <c r="AM42" s="8">
        <f t="shared" si="7"/>
        <v>0</v>
      </c>
      <c r="AN42" s="8">
        <v>0</v>
      </c>
      <c r="AO42" s="8">
        <f t="shared" si="8"/>
        <v>0</v>
      </c>
      <c r="AP42" s="8">
        <f t="shared" si="4"/>
        <v>0</v>
      </c>
      <c r="AQ42" s="8">
        <v>0</v>
      </c>
      <c r="AR42" s="8">
        <v>0</v>
      </c>
      <c r="AS42" s="8" t="s">
        <v>119</v>
      </c>
      <c r="AT42" s="8" t="s">
        <v>121</v>
      </c>
      <c r="BA42" s="1">
        <v>0</v>
      </c>
    </row>
    <row r="43" spans="2:53" x14ac:dyDescent="0.25">
      <c r="B43" s="2" t="s">
        <v>87</v>
      </c>
      <c r="C43" s="2" t="s">
        <v>88</v>
      </c>
      <c r="D43" s="2" t="s">
        <v>41</v>
      </c>
      <c r="E43" s="2" t="s">
        <v>17</v>
      </c>
      <c r="F43" s="2">
        <v>2.8000000000000001E-2</v>
      </c>
      <c r="G43" s="3">
        <v>0.121</v>
      </c>
      <c r="H43" s="2">
        <v>0</v>
      </c>
      <c r="I43" s="2">
        <v>0</v>
      </c>
      <c r="J43" s="2"/>
      <c r="K43" s="2"/>
      <c r="L43" s="2"/>
      <c r="M43" s="2"/>
      <c r="N43" s="8">
        <f t="shared" si="5"/>
        <v>0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7">
        <f t="shared" si="6"/>
        <v>0</v>
      </c>
      <c r="AK43" s="7">
        <v>100</v>
      </c>
      <c r="AL43" s="7">
        <v>0</v>
      </c>
      <c r="AM43" s="8">
        <f t="shared" si="7"/>
        <v>0</v>
      </c>
      <c r="AN43" s="8">
        <v>0</v>
      </c>
      <c r="AO43" s="8">
        <f t="shared" si="8"/>
        <v>0</v>
      </c>
      <c r="AP43" s="8">
        <f t="shared" si="4"/>
        <v>0</v>
      </c>
      <c r="AQ43" s="8">
        <v>0</v>
      </c>
      <c r="AR43" s="8">
        <v>0</v>
      </c>
      <c r="AS43" s="8" t="s">
        <v>119</v>
      </c>
      <c r="AT43" s="8" t="s">
        <v>121</v>
      </c>
      <c r="BA43" s="1">
        <v>0</v>
      </c>
    </row>
    <row r="44" spans="2:53" x14ac:dyDescent="0.25">
      <c r="B44" s="2" t="s">
        <v>87</v>
      </c>
      <c r="C44" s="2" t="s">
        <v>88</v>
      </c>
      <c r="D44" s="2" t="s">
        <v>42</v>
      </c>
      <c r="E44" s="2" t="s">
        <v>17</v>
      </c>
      <c r="F44" s="2">
        <v>2.8000000000000001E-2</v>
      </c>
      <c r="G44" s="3">
        <v>0.127</v>
      </c>
      <c r="H44" s="2">
        <v>0</v>
      </c>
      <c r="I44" s="2">
        <v>0</v>
      </c>
      <c r="J44" s="2"/>
      <c r="K44" s="2"/>
      <c r="L44" s="2"/>
      <c r="M44" s="2"/>
      <c r="N44" s="8">
        <f t="shared" si="5"/>
        <v>0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7">
        <f t="shared" si="6"/>
        <v>0</v>
      </c>
      <c r="AK44" s="7">
        <v>100</v>
      </c>
      <c r="AL44" s="7">
        <v>0</v>
      </c>
      <c r="AM44" s="8">
        <f t="shared" si="7"/>
        <v>0</v>
      </c>
      <c r="AN44" s="8">
        <v>0</v>
      </c>
      <c r="AO44" s="8">
        <f t="shared" si="8"/>
        <v>0</v>
      </c>
      <c r="AP44" s="8">
        <f t="shared" si="4"/>
        <v>0</v>
      </c>
      <c r="AQ44" s="8">
        <v>0</v>
      </c>
      <c r="AR44" s="8">
        <v>0</v>
      </c>
      <c r="AS44" s="8" t="s">
        <v>119</v>
      </c>
      <c r="AT44" s="8" t="s">
        <v>121</v>
      </c>
      <c r="BA44" s="1">
        <v>0</v>
      </c>
    </row>
    <row r="45" spans="2:53" x14ac:dyDescent="0.25">
      <c r="B45" s="2" t="s">
        <v>87</v>
      </c>
      <c r="C45" s="2" t="s">
        <v>88</v>
      </c>
      <c r="D45" s="2" t="s">
        <v>43</v>
      </c>
      <c r="E45" s="2" t="s">
        <v>17</v>
      </c>
      <c r="F45" s="2">
        <v>2.8000000000000001E-2</v>
      </c>
      <c r="G45" s="3">
        <v>0.10299999999999999</v>
      </c>
      <c r="H45" s="2">
        <v>0</v>
      </c>
      <c r="I45" s="2">
        <v>0</v>
      </c>
      <c r="J45" s="2"/>
      <c r="K45" s="2"/>
      <c r="L45" s="2"/>
      <c r="M45" s="2"/>
      <c r="N45" s="8">
        <f t="shared" si="5"/>
        <v>0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7">
        <f t="shared" si="6"/>
        <v>0</v>
      </c>
      <c r="AK45" s="7">
        <v>100</v>
      </c>
      <c r="AL45" s="7">
        <v>0</v>
      </c>
      <c r="AM45" s="8">
        <f t="shared" si="7"/>
        <v>0</v>
      </c>
      <c r="AN45" s="8">
        <v>0</v>
      </c>
      <c r="AO45" s="8">
        <f t="shared" si="8"/>
        <v>0</v>
      </c>
      <c r="AP45" s="8">
        <f t="shared" si="4"/>
        <v>0</v>
      </c>
      <c r="AQ45" s="8">
        <v>0</v>
      </c>
      <c r="AR45" s="8">
        <v>0</v>
      </c>
      <c r="AS45" s="8" t="s">
        <v>119</v>
      </c>
      <c r="AT45" s="8" t="s">
        <v>121</v>
      </c>
      <c r="BA45" s="1">
        <v>328</v>
      </c>
    </row>
    <row r="46" spans="2:53" x14ac:dyDescent="0.25">
      <c r="B46" s="2" t="s">
        <v>87</v>
      </c>
      <c r="C46" s="2" t="s">
        <v>88</v>
      </c>
      <c r="D46" s="2" t="s">
        <v>44</v>
      </c>
      <c r="E46" s="2" t="s">
        <v>17</v>
      </c>
      <c r="F46" s="2">
        <v>2.8000000000000001E-2</v>
      </c>
      <c r="G46" s="3">
        <v>0.23799999999999999</v>
      </c>
      <c r="H46" s="2">
        <v>0</v>
      </c>
      <c r="I46" s="2">
        <v>0</v>
      </c>
      <c r="J46" s="2"/>
      <c r="K46" s="2"/>
      <c r="L46" s="2"/>
      <c r="M46" s="2"/>
      <c r="N46" s="8">
        <f t="shared" si="5"/>
        <v>0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7">
        <f t="shared" si="6"/>
        <v>0</v>
      </c>
      <c r="AK46" s="7">
        <v>100</v>
      </c>
      <c r="AL46" s="7">
        <v>0</v>
      </c>
      <c r="AM46" s="8">
        <f t="shared" si="7"/>
        <v>0</v>
      </c>
      <c r="AN46" s="8">
        <v>0</v>
      </c>
      <c r="AO46" s="8">
        <f t="shared" si="8"/>
        <v>0</v>
      </c>
      <c r="AP46" s="8">
        <f t="shared" si="4"/>
        <v>0</v>
      </c>
      <c r="AQ46" s="8">
        <v>0</v>
      </c>
      <c r="AR46" s="8">
        <v>0</v>
      </c>
      <c r="AS46" s="8" t="s">
        <v>119</v>
      </c>
      <c r="AT46" s="8" t="s">
        <v>121</v>
      </c>
      <c r="BA46" s="1">
        <v>400</v>
      </c>
    </row>
    <row r="47" spans="2:53" x14ac:dyDescent="0.25">
      <c r="B47" s="2" t="s">
        <v>87</v>
      </c>
      <c r="C47" s="2" t="s">
        <v>88</v>
      </c>
      <c r="D47" s="2" t="s">
        <v>45</v>
      </c>
      <c r="E47" s="2" t="s">
        <v>17</v>
      </c>
      <c r="F47" s="2">
        <v>2.8000000000000001E-2</v>
      </c>
      <c r="G47" s="3">
        <v>0.10100000000000001</v>
      </c>
      <c r="H47" s="2">
        <v>0</v>
      </c>
      <c r="I47" s="2">
        <v>0</v>
      </c>
      <c r="J47" s="2"/>
      <c r="K47" s="2"/>
      <c r="L47" s="2"/>
      <c r="M47" s="2"/>
      <c r="N47" s="8">
        <f t="shared" si="5"/>
        <v>0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7">
        <f t="shared" si="6"/>
        <v>0</v>
      </c>
      <c r="AK47" s="7">
        <v>100</v>
      </c>
      <c r="AL47" s="7">
        <v>0</v>
      </c>
      <c r="AM47" s="8">
        <f t="shared" si="7"/>
        <v>0</v>
      </c>
      <c r="AN47" s="8">
        <v>0</v>
      </c>
      <c r="AO47" s="8">
        <f t="shared" si="8"/>
        <v>0</v>
      </c>
      <c r="AP47" s="8">
        <f t="shared" si="4"/>
        <v>0</v>
      </c>
      <c r="AQ47" s="8">
        <v>0</v>
      </c>
      <c r="AR47" s="8">
        <v>0</v>
      </c>
      <c r="AS47" s="8" t="s">
        <v>119</v>
      </c>
      <c r="AT47" s="8" t="s">
        <v>121</v>
      </c>
      <c r="BA47" s="1">
        <v>-1493</v>
      </c>
    </row>
    <row r="48" spans="2:53" x14ac:dyDescent="0.25">
      <c r="B48" s="2" t="s">
        <v>87</v>
      </c>
      <c r="C48" s="2" t="s">
        <v>88</v>
      </c>
      <c r="D48" s="2" t="s">
        <v>46</v>
      </c>
      <c r="E48" s="2" t="s">
        <v>17</v>
      </c>
      <c r="F48" s="2">
        <v>2.8000000000000001E-2</v>
      </c>
      <c r="G48" s="3">
        <v>3.9E-2</v>
      </c>
      <c r="H48" s="2">
        <v>1200</v>
      </c>
      <c r="I48" s="2">
        <v>0</v>
      </c>
      <c r="J48" s="2"/>
      <c r="K48" s="2"/>
      <c r="L48" s="2"/>
      <c r="M48" s="2"/>
      <c r="N48" s="8">
        <f t="shared" si="5"/>
        <v>0</v>
      </c>
      <c r="O48" s="2"/>
      <c r="P48" s="2"/>
      <c r="Q48" s="2"/>
      <c r="R48" s="2">
        <v>1000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>
        <v>200</v>
      </c>
      <c r="AF48" s="2"/>
      <c r="AG48" s="2"/>
      <c r="AH48" s="2"/>
      <c r="AI48" s="2"/>
      <c r="AJ48" s="7">
        <f t="shared" si="6"/>
        <v>46.8</v>
      </c>
      <c r="AK48" s="7">
        <v>100</v>
      </c>
      <c r="AL48" s="7">
        <v>0</v>
      </c>
      <c r="AM48" s="8">
        <f t="shared" si="7"/>
        <v>0</v>
      </c>
      <c r="AN48" s="8">
        <v>0</v>
      </c>
      <c r="AO48" s="8">
        <f t="shared" si="8"/>
        <v>0</v>
      </c>
      <c r="AP48" s="8">
        <f t="shared" si="4"/>
        <v>0</v>
      </c>
      <c r="AQ48" s="8">
        <v>0</v>
      </c>
      <c r="AR48" s="8">
        <v>0</v>
      </c>
      <c r="AS48" s="8" t="s">
        <v>119</v>
      </c>
      <c r="AT48" s="8" t="s">
        <v>121</v>
      </c>
      <c r="BA48" s="1">
        <v>-66</v>
      </c>
    </row>
    <row r="49" spans="2:53" x14ac:dyDescent="0.25">
      <c r="B49" s="2" t="s">
        <v>87</v>
      </c>
      <c r="C49" s="2" t="s">
        <v>88</v>
      </c>
      <c r="D49" s="2" t="s">
        <v>47</v>
      </c>
      <c r="E49" s="2" t="s">
        <v>48</v>
      </c>
      <c r="F49" s="2">
        <v>3.5000000000000003E-2</v>
      </c>
      <c r="G49" s="3">
        <v>0.14799999999999999</v>
      </c>
      <c r="H49" s="2">
        <v>0</v>
      </c>
      <c r="I49" s="2">
        <v>0</v>
      </c>
      <c r="J49" s="2"/>
      <c r="K49" s="2"/>
      <c r="L49" s="2"/>
      <c r="M49" s="2"/>
      <c r="N49" s="8">
        <f t="shared" si="5"/>
        <v>0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7">
        <f t="shared" si="6"/>
        <v>0</v>
      </c>
      <c r="AK49" s="7">
        <v>500</v>
      </c>
      <c r="AL49" s="7">
        <v>0</v>
      </c>
      <c r="AM49" s="8">
        <f t="shared" si="7"/>
        <v>0</v>
      </c>
      <c r="AN49" s="8">
        <v>0</v>
      </c>
      <c r="AO49" s="8">
        <f t="shared" si="8"/>
        <v>0</v>
      </c>
      <c r="AP49" s="8">
        <f t="shared" si="4"/>
        <v>0</v>
      </c>
      <c r="AQ49" s="8">
        <v>0</v>
      </c>
      <c r="AR49" s="8">
        <v>0</v>
      </c>
      <c r="AS49" s="8" t="s">
        <v>119</v>
      </c>
      <c r="AT49" s="8" t="s">
        <v>121</v>
      </c>
      <c r="BA49" s="1">
        <v>0</v>
      </c>
    </row>
    <row r="50" spans="2:53" x14ac:dyDescent="0.25">
      <c r="B50" s="2" t="s">
        <v>87</v>
      </c>
      <c r="C50" s="2" t="s">
        <v>88</v>
      </c>
      <c r="D50" s="2" t="s">
        <v>49</v>
      </c>
      <c r="E50" s="2" t="s">
        <v>48</v>
      </c>
      <c r="F50" s="2">
        <v>3.5000000000000003E-2</v>
      </c>
      <c r="G50" s="3">
        <v>0.14399999999999999</v>
      </c>
      <c r="H50" s="2">
        <v>600</v>
      </c>
      <c r="I50" s="2">
        <v>0</v>
      </c>
      <c r="J50" s="2"/>
      <c r="K50" s="2"/>
      <c r="L50" s="2"/>
      <c r="M50" s="2"/>
      <c r="N50" s="8">
        <f t="shared" si="5"/>
        <v>-195</v>
      </c>
      <c r="O50" s="2"/>
      <c r="P50" s="2"/>
      <c r="Q50" s="2"/>
      <c r="R50" s="2"/>
      <c r="S50" s="2"/>
      <c r="T50" s="2"/>
      <c r="U50" s="2"/>
      <c r="V50" s="2"/>
      <c r="W50" s="2">
        <v>150</v>
      </c>
      <c r="X50" s="2"/>
      <c r="Y50" s="2"/>
      <c r="Z50" s="2"/>
      <c r="AA50" s="2">
        <v>462</v>
      </c>
      <c r="AB50" s="2"/>
      <c r="AC50" s="2"/>
      <c r="AD50" s="2"/>
      <c r="AE50" s="2"/>
      <c r="AF50" s="2"/>
      <c r="AG50" s="2"/>
      <c r="AH50" s="2"/>
      <c r="AI50" s="2">
        <v>183</v>
      </c>
      <c r="AJ50" s="7">
        <f t="shared" si="6"/>
        <v>86.399999999999991</v>
      </c>
      <c r="AK50" s="7">
        <v>500</v>
      </c>
      <c r="AL50" s="7">
        <v>0</v>
      </c>
      <c r="AM50" s="8">
        <f t="shared" si="7"/>
        <v>0</v>
      </c>
      <c r="AN50" s="8">
        <v>0</v>
      </c>
      <c r="AO50" s="8">
        <f t="shared" si="8"/>
        <v>0</v>
      </c>
      <c r="AP50" s="8">
        <f t="shared" si="4"/>
        <v>0</v>
      </c>
      <c r="AQ50" s="8">
        <v>0</v>
      </c>
      <c r="AR50" s="8">
        <v>0</v>
      </c>
      <c r="AS50" s="8" t="s">
        <v>119</v>
      </c>
      <c r="AT50" s="8" t="s">
        <v>121</v>
      </c>
      <c r="BA50" s="1">
        <v>0</v>
      </c>
    </row>
    <row r="51" spans="2:53" x14ac:dyDescent="0.25">
      <c r="B51" s="2" t="s">
        <v>87</v>
      </c>
      <c r="C51" s="2" t="s">
        <v>88</v>
      </c>
      <c r="D51" s="2" t="s">
        <v>50</v>
      </c>
      <c r="E51" s="2" t="s">
        <v>48</v>
      </c>
      <c r="F51" s="2">
        <v>3.5000000000000003E-2</v>
      </c>
      <c r="G51" s="3">
        <v>5.2999999999999999E-2</v>
      </c>
      <c r="H51" s="2">
        <v>1000</v>
      </c>
      <c r="I51" s="2">
        <v>0</v>
      </c>
      <c r="J51" s="2"/>
      <c r="K51" s="2"/>
      <c r="L51" s="2"/>
      <c r="M51" s="2"/>
      <c r="N51" s="8">
        <f t="shared" si="5"/>
        <v>-327</v>
      </c>
      <c r="O51" s="2"/>
      <c r="P51" s="2"/>
      <c r="Q51" s="2"/>
      <c r="R51" s="2"/>
      <c r="S51" s="2"/>
      <c r="T51" s="2"/>
      <c r="U51" s="2"/>
      <c r="V51" s="2">
        <v>1057</v>
      </c>
      <c r="W51" s="2"/>
      <c r="X51" s="2"/>
      <c r="Y51" s="2"/>
      <c r="Z51" s="2"/>
      <c r="AA51" s="2"/>
      <c r="AB51" s="2">
        <v>270</v>
      </c>
      <c r="AC51" s="2"/>
      <c r="AD51" s="2"/>
      <c r="AE51" s="2"/>
      <c r="AF51" s="2"/>
      <c r="AG51" s="2"/>
      <c r="AH51" s="2"/>
      <c r="AI51" s="2"/>
      <c r="AJ51" s="7">
        <f t="shared" si="6"/>
        <v>53</v>
      </c>
      <c r="AK51" s="7">
        <v>1000</v>
      </c>
      <c r="AL51" s="7">
        <v>0</v>
      </c>
      <c r="AM51" s="8">
        <f t="shared" si="7"/>
        <v>0</v>
      </c>
      <c r="AN51" s="8">
        <v>0</v>
      </c>
      <c r="AO51" s="8">
        <f t="shared" si="8"/>
        <v>0</v>
      </c>
      <c r="AP51" s="8">
        <f t="shared" si="4"/>
        <v>0</v>
      </c>
      <c r="AQ51" s="8">
        <v>0</v>
      </c>
      <c r="AR51" s="8">
        <v>0</v>
      </c>
      <c r="AS51" s="8" t="s">
        <v>119</v>
      </c>
      <c r="AT51" s="8" t="s">
        <v>121</v>
      </c>
      <c r="BA51" s="1">
        <v>1200</v>
      </c>
    </row>
    <row r="52" spans="2:53" x14ac:dyDescent="0.25">
      <c r="B52" s="2" t="s">
        <v>87</v>
      </c>
      <c r="C52" s="2" t="s">
        <v>88</v>
      </c>
      <c r="D52" s="2" t="s">
        <v>51</v>
      </c>
      <c r="E52" s="2" t="s">
        <v>48</v>
      </c>
      <c r="F52" s="2">
        <v>3.5000000000000003E-2</v>
      </c>
      <c r="G52" s="3">
        <v>0.13800000000000001</v>
      </c>
      <c r="H52" s="2">
        <v>0</v>
      </c>
      <c r="I52" s="2">
        <v>0</v>
      </c>
      <c r="J52" s="2"/>
      <c r="K52" s="2"/>
      <c r="L52" s="2"/>
      <c r="M52" s="2"/>
      <c r="N52" s="8">
        <f t="shared" si="5"/>
        <v>0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7">
        <f t="shared" si="6"/>
        <v>0</v>
      </c>
      <c r="AK52" s="7">
        <v>500</v>
      </c>
      <c r="AL52" s="7">
        <v>0</v>
      </c>
      <c r="AM52" s="8">
        <f t="shared" si="7"/>
        <v>0</v>
      </c>
      <c r="AN52" s="8">
        <v>0</v>
      </c>
      <c r="AO52" s="8">
        <f t="shared" si="8"/>
        <v>0</v>
      </c>
      <c r="AP52" s="8">
        <f t="shared" si="4"/>
        <v>0</v>
      </c>
      <c r="AQ52" s="8">
        <v>0</v>
      </c>
      <c r="AR52" s="8">
        <v>0</v>
      </c>
      <c r="AS52" s="8" t="s">
        <v>119</v>
      </c>
      <c r="AT52" s="8" t="s">
        <v>121</v>
      </c>
      <c r="BA52" s="1">
        <v>0</v>
      </c>
    </row>
    <row r="53" spans="2:53" x14ac:dyDescent="0.25">
      <c r="B53" s="2" t="s">
        <v>87</v>
      </c>
      <c r="C53" s="2" t="s">
        <v>88</v>
      </c>
      <c r="D53" s="2" t="s">
        <v>52</v>
      </c>
      <c r="E53" s="2" t="s">
        <v>48</v>
      </c>
      <c r="F53" s="2">
        <v>3.5000000000000003E-2</v>
      </c>
      <c r="G53" s="3">
        <v>0.11</v>
      </c>
      <c r="H53" s="2">
        <v>0</v>
      </c>
      <c r="I53" s="2">
        <v>0</v>
      </c>
      <c r="J53" s="2"/>
      <c r="K53" s="2"/>
      <c r="L53" s="2"/>
      <c r="M53" s="2"/>
      <c r="N53" s="8">
        <f t="shared" si="5"/>
        <v>0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7">
        <f t="shared" si="6"/>
        <v>0</v>
      </c>
      <c r="AK53" s="7">
        <v>500</v>
      </c>
      <c r="AL53" s="7">
        <v>0</v>
      </c>
      <c r="AM53" s="8">
        <f t="shared" si="7"/>
        <v>0</v>
      </c>
      <c r="AN53" s="8">
        <v>0</v>
      </c>
      <c r="AO53" s="8">
        <f t="shared" si="8"/>
        <v>0</v>
      </c>
      <c r="AP53" s="8">
        <f t="shared" si="4"/>
        <v>0</v>
      </c>
      <c r="AQ53" s="8">
        <v>0</v>
      </c>
      <c r="AR53" s="8">
        <v>0</v>
      </c>
      <c r="AS53" s="8" t="s">
        <v>119</v>
      </c>
      <c r="AT53" s="8" t="s">
        <v>121</v>
      </c>
      <c r="BA53" s="1">
        <v>1000</v>
      </c>
    </row>
    <row r="54" spans="2:53" x14ac:dyDescent="0.25">
      <c r="B54" s="2" t="s">
        <v>87</v>
      </c>
      <c r="C54" s="2" t="s">
        <v>88</v>
      </c>
      <c r="D54" s="2" t="s">
        <v>53</v>
      </c>
      <c r="E54" s="2" t="s">
        <v>54</v>
      </c>
      <c r="F54" s="2">
        <v>4.1000000000000002E-2</v>
      </c>
      <c r="G54" s="3">
        <v>7.3999999999999996E-2</v>
      </c>
      <c r="H54" s="2">
        <v>1000</v>
      </c>
      <c r="I54" s="2">
        <v>0</v>
      </c>
      <c r="J54" s="2"/>
      <c r="K54" s="2"/>
      <c r="L54" s="2"/>
      <c r="M54" s="2"/>
      <c r="N54" s="8">
        <f t="shared" si="5"/>
        <v>0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>
        <v>200</v>
      </c>
      <c r="AB54" s="2">
        <v>800</v>
      </c>
      <c r="AC54" s="2"/>
      <c r="AD54" s="2"/>
      <c r="AE54" s="2"/>
      <c r="AF54" s="2"/>
      <c r="AG54" s="2"/>
      <c r="AH54" s="2"/>
      <c r="AI54" s="2"/>
      <c r="AJ54" s="7">
        <f t="shared" si="6"/>
        <v>74</v>
      </c>
      <c r="AK54" s="7">
        <v>1000</v>
      </c>
      <c r="AL54" s="7">
        <v>0</v>
      </c>
      <c r="AM54" s="8">
        <f t="shared" si="7"/>
        <v>0</v>
      </c>
      <c r="AN54" s="8">
        <v>0</v>
      </c>
      <c r="AO54" s="8">
        <f t="shared" si="8"/>
        <v>0</v>
      </c>
      <c r="AP54" s="8">
        <f t="shared" si="4"/>
        <v>0</v>
      </c>
      <c r="AQ54" s="8">
        <v>0</v>
      </c>
      <c r="AR54" s="8">
        <v>0</v>
      </c>
      <c r="AS54" s="8" t="s">
        <v>119</v>
      </c>
      <c r="AT54" s="8" t="s">
        <v>121</v>
      </c>
      <c r="BA54" s="1">
        <v>2800</v>
      </c>
    </row>
    <row r="55" spans="2:53" x14ac:dyDescent="0.25">
      <c r="B55" s="2" t="s">
        <v>87</v>
      </c>
      <c r="C55" s="2" t="s">
        <v>88</v>
      </c>
      <c r="D55" s="2" t="s">
        <v>55</v>
      </c>
      <c r="E55" s="2" t="s">
        <v>54</v>
      </c>
      <c r="F55" s="2">
        <v>4.4999999999999998E-2</v>
      </c>
      <c r="G55" s="3">
        <v>0.46</v>
      </c>
      <c r="H55" s="2">
        <v>0</v>
      </c>
      <c r="I55" s="2">
        <v>528</v>
      </c>
      <c r="J55" s="2"/>
      <c r="K55" s="2"/>
      <c r="L55" s="2"/>
      <c r="M55" s="2"/>
      <c r="N55" s="8">
        <f t="shared" si="5"/>
        <v>-296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>
        <v>550</v>
      </c>
      <c r="AB55" s="2">
        <v>274</v>
      </c>
      <c r="AC55" s="2"/>
      <c r="AD55" s="2"/>
      <c r="AE55" s="2"/>
      <c r="AF55" s="2"/>
      <c r="AG55" s="2"/>
      <c r="AH55" s="2"/>
      <c r="AI55" s="2"/>
      <c r="AJ55" s="7">
        <f t="shared" si="6"/>
        <v>242.88000000000002</v>
      </c>
      <c r="AK55" s="7">
        <v>200</v>
      </c>
      <c r="AL55" s="7">
        <v>0</v>
      </c>
      <c r="AM55" s="8">
        <f t="shared" si="7"/>
        <v>0</v>
      </c>
      <c r="AN55" s="8">
        <v>0</v>
      </c>
      <c r="AO55" s="8">
        <f t="shared" si="8"/>
        <v>0</v>
      </c>
      <c r="AP55" s="8">
        <f t="shared" si="4"/>
        <v>0</v>
      </c>
      <c r="AQ55" s="8">
        <v>0</v>
      </c>
      <c r="AR55" s="8">
        <v>0</v>
      </c>
      <c r="AS55" s="8" t="s">
        <v>119</v>
      </c>
      <c r="AT55" s="8" t="s">
        <v>121</v>
      </c>
      <c r="BA55" s="1">
        <v>1000</v>
      </c>
    </row>
    <row r="56" spans="2:53" x14ac:dyDescent="0.25">
      <c r="B56" s="2" t="s">
        <v>87</v>
      </c>
      <c r="C56" s="2" t="s">
        <v>88</v>
      </c>
      <c r="D56" s="2" t="s">
        <v>56</v>
      </c>
      <c r="E56" s="2" t="s">
        <v>54</v>
      </c>
      <c r="F56" s="2">
        <v>4.4999999999999998E-2</v>
      </c>
      <c r="G56" s="3">
        <v>0.23300000000000001</v>
      </c>
      <c r="H56" s="2">
        <v>2300</v>
      </c>
      <c r="I56" s="2">
        <v>72</v>
      </c>
      <c r="J56" s="2"/>
      <c r="K56" s="2"/>
      <c r="L56" s="2"/>
      <c r="M56" s="2"/>
      <c r="N56" s="8">
        <f t="shared" si="5"/>
        <v>0</v>
      </c>
      <c r="O56" s="2"/>
      <c r="P56" s="2"/>
      <c r="Q56" s="2"/>
      <c r="R56" s="2"/>
      <c r="S56" s="2"/>
      <c r="T56" s="2"/>
      <c r="U56" s="2"/>
      <c r="V56" s="2"/>
      <c r="W56" s="2">
        <v>550</v>
      </c>
      <c r="X56" s="2"/>
      <c r="Y56" s="2"/>
      <c r="Z56" s="2"/>
      <c r="AA56" s="2">
        <v>1050</v>
      </c>
      <c r="AB56" s="2"/>
      <c r="AC56" s="2"/>
      <c r="AD56" s="2">
        <v>250</v>
      </c>
      <c r="AE56" s="2">
        <v>351</v>
      </c>
      <c r="AF56" s="2">
        <v>171</v>
      </c>
      <c r="AG56" s="2"/>
      <c r="AH56" s="2"/>
      <c r="AI56" s="2"/>
      <c r="AJ56" s="7">
        <f t="shared" si="6"/>
        <v>552.67600000000004</v>
      </c>
      <c r="AK56" s="7">
        <v>500</v>
      </c>
      <c r="AL56" s="7">
        <v>0</v>
      </c>
      <c r="AM56" s="8">
        <f t="shared" si="7"/>
        <v>0</v>
      </c>
      <c r="AN56" s="8">
        <v>0</v>
      </c>
      <c r="AO56" s="8">
        <f t="shared" si="8"/>
        <v>0</v>
      </c>
      <c r="AP56" s="8">
        <f t="shared" si="4"/>
        <v>0</v>
      </c>
      <c r="AQ56" s="8">
        <v>0</v>
      </c>
      <c r="AR56" s="8">
        <v>0</v>
      </c>
      <c r="AS56" s="8" t="s">
        <v>119</v>
      </c>
      <c r="AT56" s="8" t="s">
        <v>121</v>
      </c>
      <c r="BA56" s="1">
        <v>416</v>
      </c>
    </row>
    <row r="57" spans="2:53" x14ac:dyDescent="0.25">
      <c r="B57" s="2" t="s">
        <v>87</v>
      </c>
      <c r="C57" s="2" t="s">
        <v>88</v>
      </c>
      <c r="D57" s="2" t="s">
        <v>57</v>
      </c>
      <c r="E57" s="2" t="s">
        <v>54</v>
      </c>
      <c r="F57" s="2">
        <v>4.1000000000000002E-2</v>
      </c>
      <c r="G57" s="3">
        <v>0.19700000000000001</v>
      </c>
      <c r="H57" s="2">
        <v>1800</v>
      </c>
      <c r="I57" s="2">
        <v>0</v>
      </c>
      <c r="J57" s="2"/>
      <c r="K57" s="2"/>
      <c r="L57" s="2"/>
      <c r="M57" s="2"/>
      <c r="N57" s="8">
        <f t="shared" si="5"/>
        <v>-14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>
        <v>127</v>
      </c>
      <c r="AE57" s="2">
        <v>682</v>
      </c>
      <c r="AF57" s="2">
        <v>215</v>
      </c>
      <c r="AG57" s="2">
        <v>130</v>
      </c>
      <c r="AH57" s="2">
        <v>660</v>
      </c>
      <c r="AI57" s="2"/>
      <c r="AJ57" s="7">
        <f t="shared" si="6"/>
        <v>354.6</v>
      </c>
      <c r="AK57" s="7">
        <v>500</v>
      </c>
      <c r="AL57" s="7">
        <v>0</v>
      </c>
      <c r="AM57" s="8">
        <f t="shared" si="7"/>
        <v>0</v>
      </c>
      <c r="AN57" s="8">
        <v>0</v>
      </c>
      <c r="AO57" s="8">
        <f t="shared" si="8"/>
        <v>0</v>
      </c>
      <c r="AP57" s="8">
        <f t="shared" si="4"/>
        <v>0</v>
      </c>
      <c r="AQ57" s="8">
        <v>0</v>
      </c>
      <c r="AR57" s="8">
        <v>0</v>
      </c>
      <c r="AS57" s="8" t="s">
        <v>119</v>
      </c>
      <c r="AT57" s="8" t="s">
        <v>121</v>
      </c>
      <c r="BA57" s="1">
        <v>2200</v>
      </c>
    </row>
    <row r="58" spans="2:53" x14ac:dyDescent="0.25">
      <c r="B58" s="2" t="s">
        <v>87</v>
      </c>
      <c r="C58" s="2" t="s">
        <v>88</v>
      </c>
      <c r="D58" s="2" t="s">
        <v>58</v>
      </c>
      <c r="E58" s="2" t="s">
        <v>54</v>
      </c>
      <c r="F58" s="2">
        <v>4.4999999999999998E-2</v>
      </c>
      <c r="G58" s="3">
        <v>0.17299999999999999</v>
      </c>
      <c r="H58" s="2">
        <v>0</v>
      </c>
      <c r="I58" s="2">
        <v>0</v>
      </c>
      <c r="J58" s="2"/>
      <c r="K58" s="2"/>
      <c r="L58" s="2"/>
      <c r="M58" s="2"/>
      <c r="N58" s="8">
        <f t="shared" si="5"/>
        <v>0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7">
        <f t="shared" si="6"/>
        <v>0</v>
      </c>
      <c r="AK58" s="7">
        <v>500</v>
      </c>
      <c r="AL58" s="7">
        <v>0</v>
      </c>
      <c r="AM58" s="8">
        <f t="shared" si="7"/>
        <v>0</v>
      </c>
      <c r="AN58" s="8">
        <v>0</v>
      </c>
      <c r="AO58" s="8">
        <f t="shared" si="8"/>
        <v>0</v>
      </c>
      <c r="AP58" s="8">
        <f t="shared" si="4"/>
        <v>0</v>
      </c>
      <c r="AQ58" s="8">
        <v>0</v>
      </c>
      <c r="AR58" s="8">
        <v>0</v>
      </c>
      <c r="AS58" s="8" t="s">
        <v>119</v>
      </c>
      <c r="AT58" s="8" t="s">
        <v>121</v>
      </c>
      <c r="BA58" s="1">
        <v>1720</v>
      </c>
    </row>
    <row r="59" spans="2:53" ht="14.25" customHeight="1" x14ac:dyDescent="0.25">
      <c r="B59" s="2" t="s">
        <v>87</v>
      </c>
      <c r="C59" s="2" t="s">
        <v>88</v>
      </c>
      <c r="D59" s="2" t="s">
        <v>59</v>
      </c>
      <c r="E59" s="2" t="s">
        <v>60</v>
      </c>
      <c r="F59" s="2">
        <v>3.5000000000000003E-2</v>
      </c>
      <c r="G59" s="3">
        <v>0.29799999999999999</v>
      </c>
      <c r="H59" s="2">
        <v>0</v>
      </c>
      <c r="I59" s="2">
        <v>0</v>
      </c>
      <c r="J59" s="2"/>
      <c r="K59" s="2"/>
      <c r="L59" s="2"/>
      <c r="M59" s="2"/>
      <c r="N59" s="8">
        <f t="shared" si="5"/>
        <v>0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7">
        <f t="shared" si="6"/>
        <v>0</v>
      </c>
      <c r="AK59" s="7">
        <v>144</v>
      </c>
      <c r="AL59" s="7">
        <v>0</v>
      </c>
      <c r="AM59" s="8">
        <f t="shared" si="7"/>
        <v>0</v>
      </c>
      <c r="AN59" s="8">
        <v>0</v>
      </c>
      <c r="AO59" s="8">
        <f t="shared" si="8"/>
        <v>0</v>
      </c>
      <c r="AP59" s="8">
        <f t="shared" si="4"/>
        <v>0</v>
      </c>
      <c r="AQ59" s="8" t="s">
        <v>110</v>
      </c>
      <c r="AR59" s="8">
        <f t="shared" ref="AR59:AR78" si="9">+SUM(H59:M59)</f>
        <v>0</v>
      </c>
      <c r="AS59" s="8" t="s">
        <v>119</v>
      </c>
      <c r="AT59" s="8" t="s">
        <v>121</v>
      </c>
      <c r="BA59" s="1">
        <v>0</v>
      </c>
    </row>
    <row r="60" spans="2:53" x14ac:dyDescent="0.25">
      <c r="B60" s="2" t="s">
        <v>87</v>
      </c>
      <c r="C60" s="2" t="s">
        <v>88</v>
      </c>
      <c r="D60" s="2" t="s">
        <v>61</v>
      </c>
      <c r="E60" s="2" t="s">
        <v>60</v>
      </c>
      <c r="F60" s="2">
        <v>3.5000000000000003E-2</v>
      </c>
      <c r="G60" s="3">
        <v>0.249</v>
      </c>
      <c r="H60" s="2">
        <v>0</v>
      </c>
      <c r="I60" s="2">
        <v>0</v>
      </c>
      <c r="J60" s="2"/>
      <c r="K60" s="2"/>
      <c r="L60" s="2"/>
      <c r="M60" s="2"/>
      <c r="N60" s="8">
        <f t="shared" si="5"/>
        <v>0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7">
        <f t="shared" si="6"/>
        <v>0</v>
      </c>
      <c r="AK60" s="7">
        <v>144</v>
      </c>
      <c r="AL60" s="7">
        <v>1</v>
      </c>
      <c r="AM60" s="8">
        <f t="shared" si="7"/>
        <v>0</v>
      </c>
      <c r="AN60" s="8">
        <v>0</v>
      </c>
      <c r="AO60" s="8">
        <f t="shared" si="8"/>
        <v>0</v>
      </c>
      <c r="AP60" s="8">
        <f t="shared" si="4"/>
        <v>0</v>
      </c>
      <c r="AQ60" s="8" t="s">
        <v>111</v>
      </c>
      <c r="AR60" s="8">
        <f t="shared" si="9"/>
        <v>0</v>
      </c>
      <c r="AS60" s="8" t="s">
        <v>119</v>
      </c>
      <c r="AT60" s="8" t="s">
        <v>121</v>
      </c>
      <c r="BA60" s="1">
        <v>-576</v>
      </c>
    </row>
    <row r="61" spans="2:53" x14ac:dyDescent="0.25">
      <c r="B61" s="2" t="s">
        <v>87</v>
      </c>
      <c r="C61" s="2" t="s">
        <v>88</v>
      </c>
      <c r="D61" s="2" t="s">
        <v>62</v>
      </c>
      <c r="E61" s="2" t="s">
        <v>60</v>
      </c>
      <c r="F61" s="2">
        <v>3.5000000000000003E-2</v>
      </c>
      <c r="G61" s="3">
        <v>0.253</v>
      </c>
      <c r="H61" s="2">
        <v>0</v>
      </c>
      <c r="I61" s="2">
        <v>0</v>
      </c>
      <c r="J61" s="2"/>
      <c r="K61" s="2"/>
      <c r="L61" s="2"/>
      <c r="M61" s="2"/>
      <c r="N61" s="8">
        <f t="shared" si="5"/>
        <v>0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7">
        <f t="shared" si="6"/>
        <v>0</v>
      </c>
      <c r="AK61" s="7">
        <v>144</v>
      </c>
      <c r="AL61" s="7">
        <v>1</v>
      </c>
      <c r="AM61" s="8">
        <f t="shared" si="7"/>
        <v>0</v>
      </c>
      <c r="AN61" s="8">
        <v>0</v>
      </c>
      <c r="AO61" s="8">
        <f t="shared" si="8"/>
        <v>0</v>
      </c>
      <c r="AP61" s="8">
        <f t="shared" si="4"/>
        <v>0</v>
      </c>
      <c r="AQ61" s="8" t="s">
        <v>111</v>
      </c>
      <c r="AR61" s="8">
        <f t="shared" si="9"/>
        <v>0</v>
      </c>
      <c r="AS61" s="8" t="s">
        <v>119</v>
      </c>
      <c r="AT61" s="8" t="s">
        <v>121</v>
      </c>
      <c r="BA61" s="1">
        <v>0</v>
      </c>
    </row>
    <row r="62" spans="2:53" x14ac:dyDescent="0.25">
      <c r="B62" s="2" t="s">
        <v>87</v>
      </c>
      <c r="C62" s="2" t="s">
        <v>88</v>
      </c>
      <c r="D62" s="2" t="s">
        <v>63</v>
      </c>
      <c r="E62" s="2" t="s">
        <v>60</v>
      </c>
      <c r="F62" s="2">
        <v>3.5000000000000003E-2</v>
      </c>
      <c r="G62" s="3">
        <v>0.215</v>
      </c>
      <c r="H62" s="2">
        <v>144</v>
      </c>
      <c r="I62" s="2">
        <v>144</v>
      </c>
      <c r="J62" s="2"/>
      <c r="K62" s="2"/>
      <c r="L62" s="2"/>
      <c r="M62" s="2"/>
      <c r="N62" s="8">
        <f t="shared" si="5"/>
        <v>0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>
        <v>144</v>
      </c>
      <c r="AC62" s="2">
        <v>144</v>
      </c>
      <c r="AD62" s="2"/>
      <c r="AE62" s="2"/>
      <c r="AF62" s="2"/>
      <c r="AG62" s="2"/>
      <c r="AH62" s="2"/>
      <c r="AI62" s="2"/>
      <c r="AJ62" s="7">
        <f t="shared" si="6"/>
        <v>61.92</v>
      </c>
      <c r="AK62" s="7">
        <v>144</v>
      </c>
      <c r="AL62" s="7">
        <v>1</v>
      </c>
      <c r="AM62" s="8">
        <f t="shared" si="7"/>
        <v>144</v>
      </c>
      <c r="AN62" s="8">
        <v>0</v>
      </c>
      <c r="AO62" s="8">
        <f t="shared" si="8"/>
        <v>0</v>
      </c>
      <c r="AP62" s="8">
        <f t="shared" si="4"/>
        <v>0</v>
      </c>
      <c r="AQ62" s="8" t="s">
        <v>111</v>
      </c>
      <c r="AR62" s="8">
        <f t="shared" si="9"/>
        <v>288</v>
      </c>
      <c r="AS62" s="8" t="s">
        <v>119</v>
      </c>
      <c r="AT62" s="8" t="s">
        <v>121</v>
      </c>
      <c r="BA62" s="1">
        <v>144</v>
      </c>
    </row>
    <row r="63" spans="2:53" x14ac:dyDescent="0.25">
      <c r="B63" s="2" t="s">
        <v>87</v>
      </c>
      <c r="C63" s="2" t="s">
        <v>88</v>
      </c>
      <c r="D63" s="2" t="s">
        <v>64</v>
      </c>
      <c r="E63" s="2" t="s">
        <v>60</v>
      </c>
      <c r="F63" s="2">
        <v>3.5000000000000003E-2</v>
      </c>
      <c r="G63" s="3">
        <v>0.253</v>
      </c>
      <c r="H63" s="2">
        <v>432</v>
      </c>
      <c r="I63" s="2">
        <v>0</v>
      </c>
      <c r="J63" s="2"/>
      <c r="K63" s="2"/>
      <c r="L63" s="2"/>
      <c r="M63" s="2"/>
      <c r="N63" s="8">
        <f t="shared" si="5"/>
        <v>-576</v>
      </c>
      <c r="O63" s="2"/>
      <c r="P63" s="2"/>
      <c r="Q63" s="2"/>
      <c r="R63" s="2"/>
      <c r="S63" s="2"/>
      <c r="T63" s="2"/>
      <c r="U63" s="2">
        <v>288</v>
      </c>
      <c r="V63" s="2"/>
      <c r="W63" s="2">
        <v>288</v>
      </c>
      <c r="X63" s="2">
        <v>288</v>
      </c>
      <c r="Y63" s="2"/>
      <c r="Z63" s="2"/>
      <c r="AA63" s="2">
        <v>144</v>
      </c>
      <c r="AB63" s="2"/>
      <c r="AC63" s="2"/>
      <c r="AD63" s="2"/>
      <c r="AE63" s="2"/>
      <c r="AF63" s="2"/>
      <c r="AG63" s="2"/>
      <c r="AH63" s="2"/>
      <c r="AI63" s="2"/>
      <c r="AJ63" s="7">
        <f t="shared" si="6"/>
        <v>109.29600000000001</v>
      </c>
      <c r="AK63" s="7">
        <v>144</v>
      </c>
      <c r="AL63" s="7">
        <v>1</v>
      </c>
      <c r="AM63" s="8">
        <f t="shared" si="7"/>
        <v>432</v>
      </c>
      <c r="AN63" s="8">
        <v>0</v>
      </c>
      <c r="AO63" s="8">
        <f t="shared" si="8"/>
        <v>0</v>
      </c>
      <c r="AP63" s="8">
        <f t="shared" si="4"/>
        <v>0</v>
      </c>
      <c r="AQ63" s="8" t="s">
        <v>111</v>
      </c>
      <c r="AR63" s="8">
        <f t="shared" si="9"/>
        <v>432</v>
      </c>
      <c r="AS63" s="8" t="s">
        <v>119</v>
      </c>
      <c r="AT63" s="8" t="s">
        <v>121</v>
      </c>
      <c r="BA63" s="1">
        <v>0</v>
      </c>
    </row>
    <row r="64" spans="2:53" x14ac:dyDescent="0.25">
      <c r="B64" s="2" t="s">
        <v>87</v>
      </c>
      <c r="C64" s="2" t="s">
        <v>88</v>
      </c>
      <c r="D64" s="2" t="s">
        <v>65</v>
      </c>
      <c r="E64" s="2" t="s">
        <v>60</v>
      </c>
      <c r="F64" s="2">
        <v>3.5000000000000003E-2</v>
      </c>
      <c r="G64" s="3">
        <v>0.249</v>
      </c>
      <c r="H64" s="2">
        <v>288</v>
      </c>
      <c r="I64" s="2">
        <v>0</v>
      </c>
      <c r="J64" s="2"/>
      <c r="K64" s="2"/>
      <c r="L64" s="2"/>
      <c r="M64" s="2"/>
      <c r="N64" s="8">
        <f t="shared" si="5"/>
        <v>-144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>
        <v>288</v>
      </c>
      <c r="AB64" s="2">
        <v>144</v>
      </c>
      <c r="AC64" s="2"/>
      <c r="AD64" s="2"/>
      <c r="AE64" s="2"/>
      <c r="AF64" s="2"/>
      <c r="AG64" s="2"/>
      <c r="AH64" s="2"/>
      <c r="AI64" s="2"/>
      <c r="AJ64" s="7">
        <f t="shared" si="6"/>
        <v>71.712000000000003</v>
      </c>
      <c r="AK64" s="7">
        <v>144</v>
      </c>
      <c r="AL64" s="7">
        <v>1</v>
      </c>
      <c r="AM64" s="8">
        <f t="shared" si="7"/>
        <v>288</v>
      </c>
      <c r="AN64" s="8">
        <v>0</v>
      </c>
      <c r="AO64" s="8">
        <f t="shared" si="8"/>
        <v>0</v>
      </c>
      <c r="AP64" s="8">
        <f t="shared" si="4"/>
        <v>0</v>
      </c>
      <c r="AQ64" s="8" t="s">
        <v>111</v>
      </c>
      <c r="AR64" s="8">
        <f t="shared" si="9"/>
        <v>288</v>
      </c>
      <c r="AS64" s="8" t="s">
        <v>119</v>
      </c>
      <c r="AT64" s="8" t="s">
        <v>121</v>
      </c>
      <c r="BA64" s="1">
        <v>576</v>
      </c>
    </row>
    <row r="65" spans="2:53" x14ac:dyDescent="0.25">
      <c r="B65" s="2" t="s">
        <v>87</v>
      </c>
      <c r="C65" s="2" t="s">
        <v>88</v>
      </c>
      <c r="D65" s="2" t="s">
        <v>66</v>
      </c>
      <c r="E65" s="2" t="s">
        <v>60</v>
      </c>
      <c r="F65" s="2">
        <v>3.5000000000000003E-2</v>
      </c>
      <c r="G65" s="3">
        <v>0.30299999999999999</v>
      </c>
      <c r="H65" s="2">
        <v>0</v>
      </c>
      <c r="I65" s="2">
        <v>0</v>
      </c>
      <c r="J65" s="2"/>
      <c r="K65" s="2"/>
      <c r="L65" s="2"/>
      <c r="M65" s="2"/>
      <c r="N65" s="8">
        <f t="shared" si="5"/>
        <v>0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7">
        <f t="shared" si="6"/>
        <v>0</v>
      </c>
      <c r="AK65" s="7">
        <v>144</v>
      </c>
      <c r="AL65" s="7">
        <v>0</v>
      </c>
      <c r="AM65" s="8">
        <f t="shared" si="7"/>
        <v>0</v>
      </c>
      <c r="AN65" s="8">
        <v>0</v>
      </c>
      <c r="AO65" s="8">
        <f t="shared" si="8"/>
        <v>0</v>
      </c>
      <c r="AP65" s="8">
        <f t="shared" si="4"/>
        <v>0</v>
      </c>
      <c r="AQ65" s="8" t="s">
        <v>110</v>
      </c>
      <c r="AR65" s="8">
        <f t="shared" si="9"/>
        <v>0</v>
      </c>
      <c r="AS65" s="8" t="s">
        <v>119</v>
      </c>
      <c r="AT65" s="8" t="s">
        <v>121</v>
      </c>
      <c r="BA65" s="1">
        <v>0</v>
      </c>
    </row>
    <row r="66" spans="2:53" x14ac:dyDescent="0.25">
      <c r="B66" s="2" t="s">
        <v>87</v>
      </c>
      <c r="C66" s="2" t="s">
        <v>88</v>
      </c>
      <c r="D66" s="2" t="s">
        <v>67</v>
      </c>
      <c r="E66" s="2" t="s">
        <v>60</v>
      </c>
      <c r="F66" s="2">
        <v>3.5000000000000003E-2</v>
      </c>
      <c r="G66" s="3">
        <v>0.216</v>
      </c>
      <c r="H66" s="2">
        <v>288</v>
      </c>
      <c r="I66" s="2">
        <v>0</v>
      </c>
      <c r="J66" s="2"/>
      <c r="K66" s="2"/>
      <c r="L66" s="2"/>
      <c r="M66" s="2"/>
      <c r="N66" s="8">
        <f t="shared" si="5"/>
        <v>0</v>
      </c>
      <c r="O66" s="2"/>
      <c r="P66" s="2"/>
      <c r="Q66" s="2"/>
      <c r="R66" s="2"/>
      <c r="S66" s="2"/>
      <c r="T66" s="2"/>
      <c r="U66" s="2"/>
      <c r="V66" s="2">
        <v>144</v>
      </c>
      <c r="W66" s="2"/>
      <c r="X66" s="2"/>
      <c r="Y66" s="2"/>
      <c r="Z66" s="2"/>
      <c r="AA66" s="2"/>
      <c r="AB66" s="2">
        <v>144</v>
      </c>
      <c r="AC66" s="2"/>
      <c r="AD66" s="2"/>
      <c r="AE66" s="2"/>
      <c r="AF66" s="2"/>
      <c r="AG66" s="2"/>
      <c r="AH66" s="2"/>
      <c r="AI66" s="2"/>
      <c r="AJ66" s="7">
        <f t="shared" si="6"/>
        <v>62.207999999999998</v>
      </c>
      <c r="AK66" s="7">
        <v>144</v>
      </c>
      <c r="AL66" s="7">
        <v>1</v>
      </c>
      <c r="AM66" s="8">
        <f t="shared" si="7"/>
        <v>288</v>
      </c>
      <c r="AN66" s="8">
        <v>0</v>
      </c>
      <c r="AO66" s="8">
        <f t="shared" si="8"/>
        <v>0</v>
      </c>
      <c r="AP66" s="8">
        <f t="shared" si="4"/>
        <v>0</v>
      </c>
      <c r="AQ66" s="8" t="s">
        <v>111</v>
      </c>
      <c r="AR66" s="8">
        <f t="shared" si="9"/>
        <v>288</v>
      </c>
      <c r="AS66" s="8" t="s">
        <v>119</v>
      </c>
      <c r="AT66" s="8" t="s">
        <v>121</v>
      </c>
      <c r="BA66" s="1">
        <v>0</v>
      </c>
    </row>
    <row r="67" spans="2:53" x14ac:dyDescent="0.25">
      <c r="B67" s="2" t="s">
        <v>87</v>
      </c>
      <c r="C67" s="2" t="s">
        <v>88</v>
      </c>
      <c r="D67" s="2" t="s">
        <v>68</v>
      </c>
      <c r="E67" s="2" t="s">
        <v>60</v>
      </c>
      <c r="F67" s="2">
        <v>3.5000000000000003E-2</v>
      </c>
      <c r="G67" s="3">
        <v>0.28399999999999997</v>
      </c>
      <c r="H67" s="2">
        <v>0</v>
      </c>
      <c r="I67" s="2">
        <v>0</v>
      </c>
      <c r="J67" s="2"/>
      <c r="K67" s="2"/>
      <c r="L67" s="2"/>
      <c r="M67" s="2"/>
      <c r="N67" s="8">
        <f t="shared" si="5"/>
        <v>0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7">
        <f t="shared" si="6"/>
        <v>0</v>
      </c>
      <c r="AK67" s="7">
        <v>144</v>
      </c>
      <c r="AL67" s="7">
        <v>0</v>
      </c>
      <c r="AM67" s="8">
        <f t="shared" si="7"/>
        <v>0</v>
      </c>
      <c r="AN67" s="8">
        <v>0</v>
      </c>
      <c r="AO67" s="8">
        <f t="shared" si="8"/>
        <v>0</v>
      </c>
      <c r="AP67" s="8">
        <f t="shared" si="4"/>
        <v>0</v>
      </c>
      <c r="AQ67" s="8" t="s">
        <v>110</v>
      </c>
      <c r="AR67" s="8">
        <f t="shared" si="9"/>
        <v>0</v>
      </c>
      <c r="AS67" s="8" t="s">
        <v>119</v>
      </c>
      <c r="AT67" s="8" t="s">
        <v>121</v>
      </c>
      <c r="BA67" s="1">
        <v>0</v>
      </c>
    </row>
    <row r="68" spans="2:53" x14ac:dyDescent="0.25">
      <c r="B68" s="2" t="s">
        <v>87</v>
      </c>
      <c r="C68" s="2" t="s">
        <v>88</v>
      </c>
      <c r="D68" s="2" t="s">
        <v>69</v>
      </c>
      <c r="E68" s="2" t="s">
        <v>60</v>
      </c>
      <c r="F68" s="2">
        <v>3.5000000000000003E-2</v>
      </c>
      <c r="G68" s="3">
        <v>0.252</v>
      </c>
      <c r="H68" s="2">
        <v>0</v>
      </c>
      <c r="I68" s="2">
        <v>0</v>
      </c>
      <c r="J68" s="2"/>
      <c r="K68" s="2"/>
      <c r="L68" s="2"/>
      <c r="M68" s="2"/>
      <c r="N68" s="8">
        <f t="shared" si="5"/>
        <v>0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7">
        <f t="shared" si="6"/>
        <v>0</v>
      </c>
      <c r="AK68" s="7">
        <v>144</v>
      </c>
      <c r="AL68" s="7">
        <v>1</v>
      </c>
      <c r="AM68" s="8">
        <f t="shared" si="7"/>
        <v>0</v>
      </c>
      <c r="AN68" s="8">
        <v>0</v>
      </c>
      <c r="AO68" s="8">
        <f t="shared" si="8"/>
        <v>0</v>
      </c>
      <c r="AP68" s="8">
        <f t="shared" si="4"/>
        <v>0</v>
      </c>
      <c r="AQ68" s="8" t="s">
        <v>111</v>
      </c>
      <c r="AR68" s="8">
        <f t="shared" si="9"/>
        <v>0</v>
      </c>
      <c r="AS68" s="8" t="s">
        <v>119</v>
      </c>
      <c r="AT68" s="8" t="s">
        <v>121</v>
      </c>
      <c r="BA68" s="1">
        <v>-144</v>
      </c>
    </row>
    <row r="69" spans="2:53" x14ac:dyDescent="0.25">
      <c r="B69" s="2" t="s">
        <v>87</v>
      </c>
      <c r="C69" s="2" t="s">
        <v>88</v>
      </c>
      <c r="D69" s="2" t="s">
        <v>70</v>
      </c>
      <c r="E69" s="2" t="s">
        <v>71</v>
      </c>
      <c r="F69" s="2">
        <v>4.4999999999999998E-2</v>
      </c>
      <c r="G69" s="3">
        <v>0.373</v>
      </c>
      <c r="H69" s="2">
        <v>0</v>
      </c>
      <c r="I69" s="2">
        <v>0</v>
      </c>
      <c r="J69" s="2"/>
      <c r="K69" s="2"/>
      <c r="L69" s="2"/>
      <c r="M69" s="2"/>
      <c r="N69" s="8">
        <f t="shared" si="5"/>
        <v>0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7">
        <f t="shared" si="6"/>
        <v>0</v>
      </c>
      <c r="AK69" s="7">
        <v>288</v>
      </c>
      <c r="AL69" s="7">
        <v>1</v>
      </c>
      <c r="AM69" s="8">
        <f t="shared" si="7"/>
        <v>0</v>
      </c>
      <c r="AN69" s="8">
        <v>0</v>
      </c>
      <c r="AO69" s="8">
        <f t="shared" si="8"/>
        <v>0</v>
      </c>
      <c r="AP69" s="8">
        <f t="shared" si="4"/>
        <v>0</v>
      </c>
      <c r="AQ69" s="8" t="s">
        <v>112</v>
      </c>
      <c r="AR69" s="8">
        <f t="shared" si="9"/>
        <v>0</v>
      </c>
      <c r="AS69" s="8" t="s">
        <v>119</v>
      </c>
      <c r="AT69" s="8" t="s">
        <v>121</v>
      </c>
      <c r="BA69" s="1">
        <v>512</v>
      </c>
    </row>
    <row r="70" spans="2:53" x14ac:dyDescent="0.25">
      <c r="B70" s="2" t="s">
        <v>87</v>
      </c>
      <c r="C70" s="2" t="s">
        <v>88</v>
      </c>
      <c r="D70" s="2" t="s">
        <v>72</v>
      </c>
      <c r="E70" s="2" t="s">
        <v>71</v>
      </c>
      <c r="F70" s="2">
        <v>4.1000000000000002E-2</v>
      </c>
      <c r="G70" s="3">
        <v>0.375</v>
      </c>
      <c r="H70" s="2">
        <v>0</v>
      </c>
      <c r="I70" s="2">
        <v>512</v>
      </c>
      <c r="J70" s="2"/>
      <c r="K70" s="2"/>
      <c r="L70" s="2"/>
      <c r="M70" s="2"/>
      <c r="N70" s="8">
        <f t="shared" ref="N70:N78" si="10">+H70+I70+J70+K70+L70+M70-SUM(O70:AI70)</f>
        <v>0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>
        <v>512</v>
      </c>
      <c r="AJ70" s="7">
        <f t="shared" ref="AJ70:AJ78" si="11">+G70*SUM(H70:M70)</f>
        <v>192</v>
      </c>
      <c r="AK70" s="7">
        <v>288</v>
      </c>
      <c r="AL70" s="7">
        <v>0</v>
      </c>
      <c r="AM70" s="8">
        <f t="shared" ref="AM70:AM78" si="12">+H70*AL70</f>
        <v>0</v>
      </c>
      <c r="AN70" s="8">
        <v>1</v>
      </c>
      <c r="AO70" s="8">
        <f t="shared" ref="AO70:AO78" si="13">+H70*AN70</f>
        <v>0</v>
      </c>
      <c r="AP70" s="8">
        <f t="shared" si="4"/>
        <v>0</v>
      </c>
      <c r="AQ70" s="8" t="s">
        <v>113</v>
      </c>
      <c r="AR70" s="8">
        <f t="shared" si="9"/>
        <v>512</v>
      </c>
      <c r="AS70" s="8" t="s">
        <v>119</v>
      </c>
      <c r="AT70" s="8" t="s">
        <v>121</v>
      </c>
      <c r="BA70" s="1">
        <v>0</v>
      </c>
    </row>
    <row r="71" spans="2:53" x14ac:dyDescent="0.25">
      <c r="B71" s="2" t="s">
        <v>87</v>
      </c>
      <c r="C71" s="2" t="s">
        <v>88</v>
      </c>
      <c r="D71" s="2" t="s">
        <v>73</v>
      </c>
      <c r="E71" s="2" t="s">
        <v>71</v>
      </c>
      <c r="F71" s="2">
        <v>4.4999999999999998E-2</v>
      </c>
      <c r="G71" s="3">
        <v>0.35599999999999998</v>
      </c>
      <c r="H71" s="2">
        <v>128</v>
      </c>
      <c r="I71" s="2">
        <v>0</v>
      </c>
      <c r="J71" s="2"/>
      <c r="K71" s="2"/>
      <c r="L71" s="2"/>
      <c r="M71" s="2"/>
      <c r="N71" s="8">
        <f t="shared" si="10"/>
        <v>0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>
        <v>128</v>
      </c>
      <c r="AD71" s="2"/>
      <c r="AE71" s="2"/>
      <c r="AF71" s="2"/>
      <c r="AG71" s="2"/>
      <c r="AH71" s="2"/>
      <c r="AI71" s="2"/>
      <c r="AJ71" s="7">
        <f t="shared" si="11"/>
        <v>45.567999999999998</v>
      </c>
      <c r="AK71" s="7">
        <v>288</v>
      </c>
      <c r="AL71" s="7">
        <v>1</v>
      </c>
      <c r="AM71" s="8">
        <f t="shared" si="12"/>
        <v>128</v>
      </c>
      <c r="AN71" s="8">
        <v>0</v>
      </c>
      <c r="AO71" s="8">
        <f t="shared" si="13"/>
        <v>0</v>
      </c>
      <c r="AP71" s="8">
        <f t="shared" ref="AP71:AP78" si="14">+AO71*2</f>
        <v>0</v>
      </c>
      <c r="AQ71" s="8" t="s">
        <v>112</v>
      </c>
      <c r="AR71" s="8">
        <f t="shared" si="9"/>
        <v>128</v>
      </c>
      <c r="AS71" s="8" t="s">
        <v>119</v>
      </c>
      <c r="AT71" s="8" t="s">
        <v>121</v>
      </c>
      <c r="BA71" s="1">
        <v>0</v>
      </c>
    </row>
    <row r="72" spans="2:53" x14ac:dyDescent="0.25">
      <c r="B72" s="2" t="s">
        <v>87</v>
      </c>
      <c r="C72" s="2" t="s">
        <v>88</v>
      </c>
      <c r="D72" s="2" t="s">
        <v>74</v>
      </c>
      <c r="E72" s="2" t="s">
        <v>71</v>
      </c>
      <c r="F72" s="2">
        <v>4.4999999999999998E-2</v>
      </c>
      <c r="G72" s="3">
        <v>0.35199999999999998</v>
      </c>
      <c r="H72" s="2">
        <v>256</v>
      </c>
      <c r="I72" s="2">
        <v>0</v>
      </c>
      <c r="J72" s="2"/>
      <c r="K72" s="2"/>
      <c r="L72" s="2"/>
      <c r="M72" s="2"/>
      <c r="N72" s="8">
        <f t="shared" si="10"/>
        <v>0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>
        <v>128</v>
      </c>
      <c r="AC72" s="2"/>
      <c r="AD72" s="2"/>
      <c r="AE72" s="2">
        <v>128</v>
      </c>
      <c r="AF72" s="2"/>
      <c r="AG72" s="2"/>
      <c r="AH72" s="2"/>
      <c r="AI72" s="2"/>
      <c r="AJ72" s="7">
        <f t="shared" si="11"/>
        <v>90.111999999999995</v>
      </c>
      <c r="AK72" s="7">
        <v>288</v>
      </c>
      <c r="AL72" s="7">
        <v>1</v>
      </c>
      <c r="AM72" s="8">
        <f t="shared" si="12"/>
        <v>256</v>
      </c>
      <c r="AN72" s="8">
        <v>0</v>
      </c>
      <c r="AO72" s="8">
        <f t="shared" si="13"/>
        <v>0</v>
      </c>
      <c r="AP72" s="8">
        <f t="shared" si="14"/>
        <v>0</v>
      </c>
      <c r="AQ72" s="8" t="s">
        <v>114</v>
      </c>
      <c r="AR72" s="8">
        <f t="shared" si="9"/>
        <v>256</v>
      </c>
      <c r="AS72" s="8" t="s">
        <v>119</v>
      </c>
      <c r="AT72" s="8" t="s">
        <v>121</v>
      </c>
      <c r="BA72" s="1">
        <v>0</v>
      </c>
    </row>
    <row r="73" spans="2:53" x14ac:dyDescent="0.25">
      <c r="B73" s="2" t="s">
        <v>87</v>
      </c>
      <c r="C73" s="2" t="s">
        <v>88</v>
      </c>
      <c r="D73" s="2" t="s">
        <v>75</v>
      </c>
      <c r="E73" s="2" t="s">
        <v>71</v>
      </c>
      <c r="F73" s="2">
        <v>4.4999999999999998E-2</v>
      </c>
      <c r="G73" s="3">
        <v>0.35299999999999998</v>
      </c>
      <c r="H73" s="2">
        <v>0</v>
      </c>
      <c r="I73" s="2">
        <v>0</v>
      </c>
      <c r="J73" s="2"/>
      <c r="K73" s="2"/>
      <c r="L73" s="2"/>
      <c r="M73" s="2"/>
      <c r="N73" s="8">
        <f t="shared" si="10"/>
        <v>0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7">
        <f t="shared" si="11"/>
        <v>0</v>
      </c>
      <c r="AK73" s="7">
        <v>288</v>
      </c>
      <c r="AL73" s="7">
        <v>1</v>
      </c>
      <c r="AM73" s="8">
        <f t="shared" si="12"/>
        <v>0</v>
      </c>
      <c r="AN73" s="8">
        <v>0</v>
      </c>
      <c r="AO73" s="8">
        <f t="shared" si="13"/>
        <v>0</v>
      </c>
      <c r="AP73" s="8">
        <f t="shared" si="14"/>
        <v>0</v>
      </c>
      <c r="AQ73" s="8" t="s">
        <v>115</v>
      </c>
      <c r="AR73" s="8">
        <f t="shared" si="9"/>
        <v>0</v>
      </c>
      <c r="AS73" s="8" t="s">
        <v>119</v>
      </c>
      <c r="AT73" s="8" t="s">
        <v>121</v>
      </c>
      <c r="BA73" s="1">
        <v>0</v>
      </c>
    </row>
    <row r="74" spans="2:53" x14ac:dyDescent="0.25">
      <c r="B74" s="2" t="s">
        <v>87</v>
      </c>
      <c r="C74" s="2" t="s">
        <v>88</v>
      </c>
      <c r="D74" s="2" t="s">
        <v>76</v>
      </c>
      <c r="E74" s="2" t="s">
        <v>71</v>
      </c>
      <c r="F74" s="2">
        <v>4.4999999999999998E-2</v>
      </c>
      <c r="G74" s="3">
        <v>0.35599999999999998</v>
      </c>
      <c r="H74" s="2">
        <v>0</v>
      </c>
      <c r="I74" s="2">
        <v>0</v>
      </c>
      <c r="J74" s="2"/>
      <c r="K74" s="2"/>
      <c r="L74" s="2"/>
      <c r="M74" s="2"/>
      <c r="N74" s="8">
        <f t="shared" si="10"/>
        <v>0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7">
        <f t="shared" si="11"/>
        <v>0</v>
      </c>
      <c r="AK74" s="7">
        <v>288</v>
      </c>
      <c r="AL74" s="7">
        <v>1</v>
      </c>
      <c r="AM74" s="8">
        <f t="shared" si="12"/>
        <v>0</v>
      </c>
      <c r="AN74" s="8">
        <v>0</v>
      </c>
      <c r="AO74" s="8">
        <f t="shared" si="13"/>
        <v>0</v>
      </c>
      <c r="AP74" s="8">
        <f t="shared" si="14"/>
        <v>0</v>
      </c>
      <c r="AQ74" s="8" t="s">
        <v>115</v>
      </c>
      <c r="AR74" s="8">
        <f t="shared" si="9"/>
        <v>0</v>
      </c>
      <c r="AS74" s="8" t="s">
        <v>119</v>
      </c>
      <c r="AT74" s="8" t="s">
        <v>121</v>
      </c>
      <c r="BA74" s="1">
        <v>0</v>
      </c>
    </row>
    <row r="75" spans="2:53" x14ac:dyDescent="0.25">
      <c r="B75" s="2" t="s">
        <v>87</v>
      </c>
      <c r="C75" s="2" t="s">
        <v>88</v>
      </c>
      <c r="D75" s="2" t="s">
        <v>77</v>
      </c>
      <c r="E75" s="2" t="s">
        <v>71</v>
      </c>
      <c r="F75" s="2">
        <v>4.1000000000000002E-2</v>
      </c>
      <c r="G75" s="3">
        <v>0.441</v>
      </c>
      <c r="H75" s="2">
        <v>256</v>
      </c>
      <c r="I75" s="2">
        <v>0</v>
      </c>
      <c r="J75" s="2"/>
      <c r="K75" s="2"/>
      <c r="L75" s="2"/>
      <c r="M75" s="2"/>
      <c r="N75" s="8">
        <f t="shared" si="10"/>
        <v>0</v>
      </c>
      <c r="O75" s="2"/>
      <c r="P75" s="2"/>
      <c r="Q75" s="2"/>
      <c r="R75" s="2"/>
      <c r="S75" s="2"/>
      <c r="T75" s="2"/>
      <c r="U75" s="2"/>
      <c r="V75" s="2"/>
      <c r="W75" s="2"/>
      <c r="X75" s="2">
        <v>128</v>
      </c>
      <c r="Y75" s="2"/>
      <c r="Z75" s="2"/>
      <c r="AA75" s="2"/>
      <c r="AB75" s="2"/>
      <c r="AC75" s="2"/>
      <c r="AD75" s="2">
        <v>128</v>
      </c>
      <c r="AE75" s="2"/>
      <c r="AF75" s="2"/>
      <c r="AG75" s="2"/>
      <c r="AH75" s="2"/>
      <c r="AI75" s="2"/>
      <c r="AJ75" s="7">
        <f t="shared" si="11"/>
        <v>112.896</v>
      </c>
      <c r="AK75" s="7">
        <v>288</v>
      </c>
      <c r="AL75" s="7">
        <v>0</v>
      </c>
      <c r="AM75" s="8">
        <f t="shared" si="12"/>
        <v>0</v>
      </c>
      <c r="AN75" s="8">
        <v>0</v>
      </c>
      <c r="AO75" s="8">
        <f t="shared" si="13"/>
        <v>0</v>
      </c>
      <c r="AP75" s="8">
        <f t="shared" si="14"/>
        <v>0</v>
      </c>
      <c r="AQ75" s="8" t="s">
        <v>116</v>
      </c>
      <c r="AR75" s="8">
        <f t="shared" si="9"/>
        <v>256</v>
      </c>
      <c r="AS75" s="8" t="s">
        <v>119</v>
      </c>
      <c r="AT75" s="8" t="s">
        <v>121</v>
      </c>
      <c r="BA75" s="1">
        <v>0</v>
      </c>
    </row>
    <row r="76" spans="2:53" x14ac:dyDescent="0.25">
      <c r="B76" s="2" t="s">
        <v>87</v>
      </c>
      <c r="C76" s="2" t="s">
        <v>88</v>
      </c>
      <c r="D76" s="2" t="s">
        <v>78</v>
      </c>
      <c r="E76" s="2" t="s">
        <v>71</v>
      </c>
      <c r="F76" s="2">
        <v>4.4999999999999998E-2</v>
      </c>
      <c r="G76" s="3">
        <v>0.374</v>
      </c>
      <c r="H76" s="2">
        <v>256</v>
      </c>
      <c r="I76" s="2">
        <v>0</v>
      </c>
      <c r="J76" s="2"/>
      <c r="K76" s="2"/>
      <c r="L76" s="2"/>
      <c r="M76" s="2"/>
      <c r="N76" s="8">
        <f t="shared" si="10"/>
        <v>0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>
        <v>128</v>
      </c>
      <c r="AC76" s="2">
        <v>128</v>
      </c>
      <c r="AD76" s="2"/>
      <c r="AE76" s="2"/>
      <c r="AF76" s="2"/>
      <c r="AG76" s="2"/>
      <c r="AH76" s="2"/>
      <c r="AI76" s="2"/>
      <c r="AJ76" s="7">
        <f t="shared" si="11"/>
        <v>95.744</v>
      </c>
      <c r="AK76" s="7">
        <v>288</v>
      </c>
      <c r="AL76" s="7">
        <v>1</v>
      </c>
      <c r="AM76" s="8">
        <f t="shared" si="12"/>
        <v>256</v>
      </c>
      <c r="AN76" s="8">
        <v>0</v>
      </c>
      <c r="AO76" s="8">
        <f t="shared" si="13"/>
        <v>0</v>
      </c>
      <c r="AP76" s="8">
        <f t="shared" si="14"/>
        <v>0</v>
      </c>
      <c r="AQ76" s="8" t="s">
        <v>112</v>
      </c>
      <c r="AR76" s="8">
        <f t="shared" si="9"/>
        <v>256</v>
      </c>
      <c r="AS76" s="8" t="s">
        <v>119</v>
      </c>
      <c r="AT76" s="8" t="s">
        <v>121</v>
      </c>
      <c r="BA76" s="1">
        <v>128</v>
      </c>
    </row>
    <row r="77" spans="2:53" x14ac:dyDescent="0.25">
      <c r="B77" s="2" t="s">
        <v>87</v>
      </c>
      <c r="C77" s="2" t="s">
        <v>88</v>
      </c>
      <c r="D77" s="2" t="s">
        <v>79</v>
      </c>
      <c r="E77" s="2" t="s">
        <v>71</v>
      </c>
      <c r="F77" s="2">
        <v>4.1000000000000002E-2</v>
      </c>
      <c r="G77" s="3">
        <v>0.41599999999999998</v>
      </c>
      <c r="H77" s="2">
        <v>0</v>
      </c>
      <c r="I77" s="2">
        <v>0</v>
      </c>
      <c r="J77" s="2"/>
      <c r="K77" s="2"/>
      <c r="L77" s="2"/>
      <c r="M77" s="2"/>
      <c r="N77" s="8">
        <f t="shared" si="10"/>
        <v>0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7">
        <f t="shared" si="11"/>
        <v>0</v>
      </c>
      <c r="AK77" s="7">
        <v>288</v>
      </c>
      <c r="AL77" s="7">
        <v>0</v>
      </c>
      <c r="AM77" s="8">
        <f t="shared" si="12"/>
        <v>0</v>
      </c>
      <c r="AN77" s="8">
        <v>1</v>
      </c>
      <c r="AO77" s="8">
        <f t="shared" si="13"/>
        <v>0</v>
      </c>
      <c r="AP77" s="8">
        <f t="shared" si="14"/>
        <v>0</v>
      </c>
      <c r="AQ77" s="8" t="s">
        <v>117</v>
      </c>
      <c r="AR77" s="8">
        <f t="shared" si="9"/>
        <v>0</v>
      </c>
      <c r="AS77" s="8" t="s">
        <v>119</v>
      </c>
      <c r="AT77" s="8" t="s">
        <v>121</v>
      </c>
      <c r="BA77" s="1">
        <v>0</v>
      </c>
    </row>
    <row r="78" spans="2:53" x14ac:dyDescent="0.25">
      <c r="B78" s="2" t="s">
        <v>87</v>
      </c>
      <c r="C78" s="2" t="s">
        <v>88</v>
      </c>
      <c r="D78" s="2" t="s">
        <v>80</v>
      </c>
      <c r="E78" s="2" t="s">
        <v>71</v>
      </c>
      <c r="F78" s="2">
        <v>4.4999999999999998E-2</v>
      </c>
      <c r="G78" s="3">
        <v>0.39500000000000002</v>
      </c>
      <c r="H78" s="2">
        <v>0</v>
      </c>
      <c r="I78" s="2">
        <v>128</v>
      </c>
      <c r="J78" s="2"/>
      <c r="K78" s="2"/>
      <c r="L78" s="2"/>
      <c r="M78" s="2"/>
      <c r="N78" s="8">
        <f t="shared" si="10"/>
        <v>0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>
        <v>128</v>
      </c>
      <c r="AE78" s="2"/>
      <c r="AF78" s="2"/>
      <c r="AG78" s="2"/>
      <c r="AH78" s="2"/>
      <c r="AI78" s="2"/>
      <c r="AJ78" s="7">
        <f t="shared" si="11"/>
        <v>50.56</v>
      </c>
      <c r="AK78" s="7">
        <v>288</v>
      </c>
      <c r="AL78" s="7">
        <v>1</v>
      </c>
      <c r="AM78" s="8">
        <f t="shared" si="12"/>
        <v>0</v>
      </c>
      <c r="AN78" s="8">
        <v>0</v>
      </c>
      <c r="AO78" s="8">
        <f t="shared" si="13"/>
        <v>0</v>
      </c>
      <c r="AP78" s="8">
        <f t="shared" si="14"/>
        <v>0</v>
      </c>
      <c r="AQ78" s="8" t="s">
        <v>112</v>
      </c>
      <c r="AR78" s="8">
        <f t="shared" si="9"/>
        <v>128</v>
      </c>
      <c r="AS78" s="8" t="s">
        <v>119</v>
      </c>
      <c r="AT78" s="8" t="s">
        <v>121</v>
      </c>
      <c r="BA78" s="1">
        <v>0</v>
      </c>
    </row>
    <row r="79" spans="2:53" x14ac:dyDescent="0.25">
      <c r="G79" s="4" t="s">
        <v>102</v>
      </c>
      <c r="H79" s="9">
        <f>SUM(H6:H78)</f>
        <v>41248</v>
      </c>
      <c r="I79" s="9">
        <f t="shared" ref="I79:M79" si="15">SUM(I6:I78)</f>
        <v>8424</v>
      </c>
      <c r="J79" s="9">
        <f t="shared" si="15"/>
        <v>0</v>
      </c>
      <c r="K79" s="9">
        <f t="shared" si="15"/>
        <v>0</v>
      </c>
      <c r="L79" s="9">
        <f t="shared" si="15"/>
        <v>0</v>
      </c>
      <c r="M79" s="9">
        <f t="shared" si="15"/>
        <v>0</v>
      </c>
      <c r="N79" s="13">
        <f>SUM(N6:N78)</f>
        <v>-1644</v>
      </c>
      <c r="O79" s="9">
        <f t="shared" ref="O79:AI79" si="16">SUM(O13:O78)</f>
        <v>200</v>
      </c>
      <c r="P79" s="9">
        <f t="shared" si="16"/>
        <v>0</v>
      </c>
      <c r="Q79" s="9">
        <f t="shared" si="16"/>
        <v>2400</v>
      </c>
      <c r="R79" s="9">
        <f t="shared" si="16"/>
        <v>3300</v>
      </c>
      <c r="S79" s="9">
        <f t="shared" si="16"/>
        <v>0</v>
      </c>
      <c r="T79" s="9">
        <f t="shared" si="16"/>
        <v>0</v>
      </c>
      <c r="U79" s="9">
        <f t="shared" si="16"/>
        <v>2380</v>
      </c>
      <c r="V79" s="9">
        <f t="shared" si="16"/>
        <v>1671</v>
      </c>
      <c r="W79" s="9">
        <f t="shared" si="16"/>
        <v>1988</v>
      </c>
      <c r="X79" s="9">
        <f t="shared" si="16"/>
        <v>416</v>
      </c>
      <c r="Y79" s="9">
        <f t="shared" si="16"/>
        <v>0</v>
      </c>
      <c r="Z79" s="9">
        <f t="shared" si="16"/>
        <v>0</v>
      </c>
      <c r="AA79" s="9">
        <f t="shared" si="16"/>
        <v>4594</v>
      </c>
      <c r="AB79" s="9">
        <f t="shared" si="16"/>
        <v>2732</v>
      </c>
      <c r="AC79" s="9">
        <f t="shared" si="16"/>
        <v>3100</v>
      </c>
      <c r="AD79" s="9">
        <f t="shared" si="16"/>
        <v>2133</v>
      </c>
      <c r="AE79" s="9">
        <f t="shared" si="16"/>
        <v>2661</v>
      </c>
      <c r="AF79" s="9">
        <f t="shared" si="16"/>
        <v>2486</v>
      </c>
      <c r="AG79" s="9">
        <f t="shared" si="16"/>
        <v>130</v>
      </c>
      <c r="AH79" s="9">
        <f t="shared" si="16"/>
        <v>660</v>
      </c>
      <c r="AI79" s="9">
        <f t="shared" si="16"/>
        <v>2595</v>
      </c>
      <c r="AJ79" s="9">
        <f t="shared" ref="AJ79:AP79" si="17">SUM(AJ6:AJ78)</f>
        <v>3855.8720000000008</v>
      </c>
      <c r="AK79" s="9"/>
      <c r="AL79" s="10">
        <f t="shared" si="17"/>
        <v>14</v>
      </c>
      <c r="AM79" s="11">
        <f t="shared" si="17"/>
        <v>1792</v>
      </c>
      <c r="AN79" s="11">
        <f t="shared" si="17"/>
        <v>2</v>
      </c>
      <c r="AO79" s="11">
        <f t="shared" si="17"/>
        <v>0</v>
      </c>
      <c r="AP79" s="11">
        <f t="shared" si="17"/>
        <v>0</v>
      </c>
      <c r="AR79" s="11">
        <f>SUM(AR6:AR78)</f>
        <v>2832</v>
      </c>
    </row>
    <row r="80" spans="2:53" x14ac:dyDescent="0.25">
      <c r="G80" s="4" t="s">
        <v>108</v>
      </c>
      <c r="H80" s="91">
        <f>+H79+I79+J79+K79+L79+M79</f>
        <v>49672</v>
      </c>
      <c r="I80" s="91"/>
      <c r="J80" s="91"/>
      <c r="K80" s="91"/>
      <c r="L80" s="91"/>
      <c r="M80" s="91"/>
      <c r="O80" s="108">
        <f t="shared" ref="O80" si="18">+O79+P79</f>
        <v>200</v>
      </c>
      <c r="P80" s="86"/>
      <c r="Q80" s="108">
        <f t="shared" ref="Q80" si="19">+Q79+R79</f>
        <v>5700</v>
      </c>
      <c r="R80" s="86"/>
      <c r="S80" s="108">
        <f t="shared" ref="S80" si="20">+S79+T79</f>
        <v>0</v>
      </c>
      <c r="T80" s="86"/>
      <c r="U80" s="108">
        <f t="shared" ref="U80" si="21">+U79+V79</f>
        <v>4051</v>
      </c>
      <c r="V80" s="86"/>
      <c r="W80" s="108">
        <f t="shared" ref="W80" si="22">+W79+X79</f>
        <v>2404</v>
      </c>
      <c r="X80" s="86"/>
      <c r="Y80" s="108">
        <f t="shared" ref="Y80" si="23">+Y79+Z79</f>
        <v>0</v>
      </c>
      <c r="Z80" s="86"/>
      <c r="AA80" s="108">
        <f t="shared" ref="AA80" si="24">+AA79+AB79</f>
        <v>7326</v>
      </c>
      <c r="AB80" s="86"/>
      <c r="AC80" s="108">
        <f t="shared" ref="AC80" si="25">+AC79+AD79</f>
        <v>5233</v>
      </c>
      <c r="AD80" s="86"/>
      <c r="AE80" s="108">
        <f t="shared" ref="AE80" si="26">+AE79+AF79</f>
        <v>5147</v>
      </c>
      <c r="AF80" s="86"/>
      <c r="AG80" s="108">
        <f t="shared" ref="AG80" si="27">+AG79+AH79</f>
        <v>790</v>
      </c>
      <c r="AH80" s="86"/>
      <c r="AI80" s="12">
        <f>+AI79</f>
        <v>2595</v>
      </c>
    </row>
    <row r="81" spans="1:35" x14ac:dyDescent="0.25">
      <c r="H81" s="1">
        <v>0</v>
      </c>
      <c r="I81" s="1">
        <f>SUM(I13:I78)</f>
        <v>4584</v>
      </c>
      <c r="J81" s="1">
        <f>SUM(J13:J78)</f>
        <v>0</v>
      </c>
      <c r="K81" s="1">
        <f t="shared" ref="K81:M81" si="28">SUM(K13:K78)</f>
        <v>0</v>
      </c>
      <c r="L81" s="1">
        <f t="shared" si="28"/>
        <v>0</v>
      </c>
      <c r="M81" s="1">
        <f t="shared" si="28"/>
        <v>0</v>
      </c>
      <c r="O81" s="133">
        <f>SUBTOTAL(9,O6:P12)</f>
        <v>0</v>
      </c>
      <c r="P81" s="133"/>
      <c r="Q81" s="133">
        <f t="shared" ref="Q81" si="29">SUBTOTAL(9,Q6:R12)</f>
        <v>0</v>
      </c>
      <c r="R81" s="133"/>
      <c r="S81" s="133">
        <f t="shared" ref="S81" si="30">SUBTOTAL(9,S6:T12)</f>
        <v>0</v>
      </c>
      <c r="T81" s="133"/>
      <c r="U81" s="133">
        <f t="shared" ref="U81" si="31">SUBTOTAL(9,U6:V12)</f>
        <v>0</v>
      </c>
      <c r="V81" s="133"/>
      <c r="W81" s="133">
        <f t="shared" ref="W81" si="32">SUBTOTAL(9,W6:X12)</f>
        <v>0</v>
      </c>
      <c r="X81" s="133"/>
    </row>
    <row r="83" spans="1:35" x14ac:dyDescent="0.25">
      <c r="C83" s="2" t="s">
        <v>143</v>
      </c>
      <c r="D83" s="2" t="s">
        <v>144</v>
      </c>
      <c r="E83" s="2" t="s">
        <v>145</v>
      </c>
      <c r="F83" s="2" t="s">
        <v>179</v>
      </c>
      <c r="O83" s="19" t="s">
        <v>97</v>
      </c>
      <c r="P83" s="19" t="s">
        <v>98</v>
      </c>
      <c r="Q83" s="19" t="s">
        <v>97</v>
      </c>
      <c r="R83" s="19" t="s">
        <v>98</v>
      </c>
      <c r="S83" s="19" t="s">
        <v>97</v>
      </c>
      <c r="T83" s="19" t="s">
        <v>98</v>
      </c>
      <c r="U83" s="19" t="s">
        <v>97</v>
      </c>
      <c r="V83" s="19" t="s">
        <v>98</v>
      </c>
      <c r="W83" s="19" t="s">
        <v>97</v>
      </c>
      <c r="X83" s="19" t="s">
        <v>98</v>
      </c>
      <c r="Y83" s="19" t="s">
        <v>97</v>
      </c>
      <c r="Z83" s="19" t="s">
        <v>98</v>
      </c>
      <c r="AA83" s="19" t="s">
        <v>97</v>
      </c>
      <c r="AB83" s="19" t="s">
        <v>98</v>
      </c>
      <c r="AC83" s="19" t="s">
        <v>97</v>
      </c>
      <c r="AD83" s="19" t="s">
        <v>98</v>
      </c>
      <c r="AE83" s="19" t="s">
        <v>97</v>
      </c>
      <c r="AF83" s="19" t="s">
        <v>98</v>
      </c>
      <c r="AG83" s="19" t="s">
        <v>97</v>
      </c>
      <c r="AH83" s="19" t="s">
        <v>98</v>
      </c>
      <c r="AI83" s="19"/>
    </row>
    <row r="84" spans="1:35" x14ac:dyDescent="0.25">
      <c r="B84" s="2" t="s">
        <v>138</v>
      </c>
      <c r="C84" s="8">
        <v>31832</v>
      </c>
      <c r="D84" s="2">
        <f>+C84/5</f>
        <v>6366.4</v>
      </c>
      <c r="E84" s="2">
        <f>+D84/2</f>
        <v>3183.2</v>
      </c>
      <c r="F84" s="8">
        <v>17840</v>
      </c>
      <c r="O84" s="48">
        <f t="shared" ref="O84:AH84" si="33">+O79/$E$84</f>
        <v>6.2829856747926613E-2</v>
      </c>
      <c r="P84" s="48">
        <f t="shared" si="33"/>
        <v>0</v>
      </c>
      <c r="Q84" s="48">
        <f t="shared" si="33"/>
        <v>0.75395828097511941</v>
      </c>
      <c r="R84" s="48">
        <f t="shared" si="33"/>
        <v>1.0366926363407891</v>
      </c>
      <c r="S84" s="48">
        <f t="shared" si="33"/>
        <v>0</v>
      </c>
      <c r="T84" s="48">
        <f t="shared" si="33"/>
        <v>0</v>
      </c>
      <c r="U84" s="48">
        <f t="shared" si="33"/>
        <v>0.74767529530032673</v>
      </c>
      <c r="V84" s="48">
        <f t="shared" si="33"/>
        <v>0.52494345312892687</v>
      </c>
      <c r="W84" s="48">
        <f t="shared" si="33"/>
        <v>0.62452877607439061</v>
      </c>
      <c r="X84" s="48">
        <f t="shared" si="33"/>
        <v>0.13068610203568737</v>
      </c>
      <c r="Y84" s="48">
        <f t="shared" si="33"/>
        <v>0</v>
      </c>
      <c r="Z84" s="48">
        <f t="shared" si="33"/>
        <v>0</v>
      </c>
      <c r="AA84" s="48">
        <f t="shared" si="33"/>
        <v>1.4432018094998744</v>
      </c>
      <c r="AB84" s="48">
        <f t="shared" si="33"/>
        <v>0.85825584317667758</v>
      </c>
      <c r="AC84" s="48">
        <f t="shared" si="33"/>
        <v>0.9738627795928626</v>
      </c>
      <c r="AD84" s="48">
        <f t="shared" si="33"/>
        <v>0.67008042221663744</v>
      </c>
      <c r="AE84" s="48">
        <f t="shared" si="33"/>
        <v>0.83595124403116361</v>
      </c>
      <c r="AF84" s="48">
        <f t="shared" si="33"/>
        <v>0.78097511937672781</v>
      </c>
      <c r="AG84" s="48">
        <f t="shared" si="33"/>
        <v>4.0839406886152299E-2</v>
      </c>
      <c r="AH84" s="48">
        <f t="shared" si="33"/>
        <v>0.20733852726815785</v>
      </c>
      <c r="AI84" s="19"/>
    </row>
    <row r="85" spans="1:35" x14ac:dyDescent="0.25">
      <c r="B85" s="2" t="s">
        <v>142</v>
      </c>
      <c r="C85" s="8">
        <v>0</v>
      </c>
      <c r="F85" s="2" t="s">
        <v>180</v>
      </c>
      <c r="O85" s="81">
        <f>+O81/$F$86</f>
        <v>0</v>
      </c>
      <c r="P85" s="82"/>
      <c r="Q85" s="81">
        <f t="shared" ref="Q85:AG85" si="34">+Q81/$F$86</f>
        <v>0</v>
      </c>
      <c r="R85" s="82"/>
      <c r="S85" s="81">
        <f t="shared" si="34"/>
        <v>0</v>
      </c>
      <c r="T85" s="82"/>
      <c r="U85" s="81">
        <f t="shared" si="34"/>
        <v>0</v>
      </c>
      <c r="V85" s="82"/>
      <c r="W85" s="81">
        <f t="shared" si="34"/>
        <v>0</v>
      </c>
      <c r="X85" s="82"/>
      <c r="Y85" s="81">
        <f t="shared" si="34"/>
        <v>0</v>
      </c>
      <c r="Z85" s="82"/>
      <c r="AA85" s="81">
        <f t="shared" si="34"/>
        <v>0</v>
      </c>
      <c r="AB85" s="82"/>
      <c r="AC85" s="81">
        <f t="shared" si="34"/>
        <v>0</v>
      </c>
      <c r="AD85" s="82"/>
      <c r="AE85" s="81">
        <f t="shared" si="34"/>
        <v>0</v>
      </c>
      <c r="AF85" s="82"/>
      <c r="AG85" s="81">
        <f t="shared" si="34"/>
        <v>0</v>
      </c>
      <c r="AH85" s="82"/>
      <c r="AI85" s="19"/>
    </row>
    <row r="86" spans="1:35" x14ac:dyDescent="0.25">
      <c r="B86" s="2" t="s">
        <v>139</v>
      </c>
      <c r="C86" s="2">
        <f>+C84-C85</f>
        <v>31832</v>
      </c>
      <c r="F86" s="2">
        <f>+F84/5</f>
        <v>3568</v>
      </c>
    </row>
    <row r="87" spans="1:35" x14ac:dyDescent="0.25">
      <c r="B87" s="2" t="s">
        <v>136</v>
      </c>
      <c r="C87" s="25">
        <f>+C86/C84</f>
        <v>1</v>
      </c>
    </row>
    <row r="88" spans="1:35" x14ac:dyDescent="0.25">
      <c r="B88" s="2" t="s">
        <v>137</v>
      </c>
      <c r="C88" s="25">
        <f>+C85/C84</f>
        <v>0</v>
      </c>
    </row>
    <row r="90" spans="1:35" x14ac:dyDescent="0.25">
      <c r="A90" s="83" t="s">
        <v>189</v>
      </c>
      <c r="B90" s="84"/>
      <c r="C90" s="84"/>
      <c r="D90" s="84"/>
      <c r="E90" s="84"/>
      <c r="F90" s="85"/>
    </row>
    <row r="91" spans="1:35" x14ac:dyDescent="0.25">
      <c r="A91" s="86" t="s">
        <v>185</v>
      </c>
      <c r="B91" s="44">
        <v>46279</v>
      </c>
      <c r="C91" s="44">
        <v>46280</v>
      </c>
      <c r="D91" s="44">
        <v>46281</v>
      </c>
      <c r="E91" s="44">
        <v>46282</v>
      </c>
      <c r="F91" s="44">
        <v>46283</v>
      </c>
    </row>
    <row r="92" spans="1:35" x14ac:dyDescent="0.25">
      <c r="A92" s="86"/>
      <c r="B92" s="45" t="s">
        <v>148</v>
      </c>
      <c r="C92" s="4" t="s">
        <v>149</v>
      </c>
      <c r="D92" s="4" t="s">
        <v>150</v>
      </c>
      <c r="E92" s="4" t="s">
        <v>151</v>
      </c>
      <c r="F92" s="4" t="s">
        <v>160</v>
      </c>
    </row>
    <row r="93" spans="1:35" x14ac:dyDescent="0.25">
      <c r="A93" s="11" t="s">
        <v>153</v>
      </c>
      <c r="B93" s="35"/>
      <c r="C93" s="35"/>
      <c r="D93" s="35"/>
      <c r="E93" s="35">
        <v>0.36</v>
      </c>
      <c r="F93" s="35">
        <v>0.48</v>
      </c>
    </row>
    <row r="94" spans="1:35" x14ac:dyDescent="0.25">
      <c r="A94" s="11" t="s">
        <v>154</v>
      </c>
      <c r="B94" s="35"/>
      <c r="C94" s="35"/>
      <c r="D94" s="35"/>
      <c r="E94" s="35">
        <v>0.64</v>
      </c>
      <c r="F94" s="35">
        <v>0.52</v>
      </c>
    </row>
    <row r="96" spans="1:35" x14ac:dyDescent="0.25">
      <c r="A96" s="83" t="s">
        <v>171</v>
      </c>
      <c r="B96" s="84"/>
      <c r="C96" s="84"/>
      <c r="D96" s="84"/>
      <c r="E96" s="84"/>
      <c r="F96" s="85"/>
    </row>
    <row r="97" spans="1:6" x14ac:dyDescent="0.25">
      <c r="A97" s="86" t="s">
        <v>188</v>
      </c>
      <c r="B97" s="44">
        <v>46286</v>
      </c>
      <c r="C97" s="44">
        <v>46287</v>
      </c>
      <c r="D97" s="44">
        <v>46288</v>
      </c>
      <c r="E97" s="44">
        <v>46289</v>
      </c>
      <c r="F97" s="44">
        <v>46290</v>
      </c>
    </row>
    <row r="98" spans="1:6" x14ac:dyDescent="0.25">
      <c r="A98" s="86"/>
      <c r="B98" s="45" t="s">
        <v>148</v>
      </c>
      <c r="C98" s="4" t="s">
        <v>149</v>
      </c>
      <c r="D98" s="4" t="s">
        <v>150</v>
      </c>
      <c r="E98" s="4" t="s">
        <v>151</v>
      </c>
      <c r="F98" s="4" t="s">
        <v>160</v>
      </c>
    </row>
    <row r="99" spans="1:6" x14ac:dyDescent="0.25">
      <c r="A99" s="11" t="s">
        <v>153</v>
      </c>
      <c r="B99" s="35" t="s">
        <v>191</v>
      </c>
      <c r="C99" s="35">
        <v>0.6</v>
      </c>
      <c r="D99" s="35">
        <v>0.77</v>
      </c>
      <c r="E99" s="35">
        <v>0.97</v>
      </c>
      <c r="F99" s="35">
        <v>1</v>
      </c>
    </row>
    <row r="100" spans="1:6" x14ac:dyDescent="0.25">
      <c r="A100" s="11" t="s">
        <v>154</v>
      </c>
      <c r="B100" s="35" t="s">
        <v>191</v>
      </c>
      <c r="C100" s="35">
        <v>0.4</v>
      </c>
      <c r="D100" s="35">
        <v>0.23</v>
      </c>
      <c r="E100" s="35">
        <v>0.03</v>
      </c>
      <c r="F100" s="35">
        <v>0</v>
      </c>
    </row>
  </sheetData>
  <autoFilter ref="B5:AT80" xr:uid="{00000000-0009-0000-0000-00000C000000}"/>
  <mergeCells count="43">
    <mergeCell ref="Y85:Z85"/>
    <mergeCell ref="AA85:AB85"/>
    <mergeCell ref="AC85:AD85"/>
    <mergeCell ref="AE85:AF85"/>
    <mergeCell ref="AG85:AH85"/>
    <mergeCell ref="Y80:Z80"/>
    <mergeCell ref="AA80:AB80"/>
    <mergeCell ref="AC80:AD80"/>
    <mergeCell ref="AE80:AF80"/>
    <mergeCell ref="AG80:AH80"/>
    <mergeCell ref="Y4:Z4"/>
    <mergeCell ref="AA4:AB4"/>
    <mergeCell ref="AC4:AD4"/>
    <mergeCell ref="AE4:AF4"/>
    <mergeCell ref="AG4:AH4"/>
    <mergeCell ref="C2:D2"/>
    <mergeCell ref="B3:B4"/>
    <mergeCell ref="I4:M4"/>
    <mergeCell ref="U80:V80"/>
    <mergeCell ref="W80:X80"/>
    <mergeCell ref="W4:X4"/>
    <mergeCell ref="H80:M80"/>
    <mergeCell ref="O80:P80"/>
    <mergeCell ref="Q80:R80"/>
    <mergeCell ref="S80:T80"/>
    <mergeCell ref="O4:P4"/>
    <mergeCell ref="Q4:R4"/>
    <mergeCell ref="S4:T4"/>
    <mergeCell ref="U4:V4"/>
    <mergeCell ref="W81:X81"/>
    <mergeCell ref="A96:F96"/>
    <mergeCell ref="A97:A98"/>
    <mergeCell ref="O81:P81"/>
    <mergeCell ref="Q81:R81"/>
    <mergeCell ref="S81:T81"/>
    <mergeCell ref="U81:V81"/>
    <mergeCell ref="Q85:R85"/>
    <mergeCell ref="S85:T85"/>
    <mergeCell ref="U85:V85"/>
    <mergeCell ref="W85:X85"/>
    <mergeCell ref="A90:F90"/>
    <mergeCell ref="A91:A92"/>
    <mergeCell ref="O85:P85"/>
  </mergeCells>
  <conditionalFormatting sqref="O84:AH84">
    <cfRule type="cellIs" dxfId="14" priority="1" operator="between">
      <formula>1</formula>
      <formula>5</formula>
    </cfRule>
    <cfRule type="cellIs" dxfId="13" priority="2" operator="between">
      <formula>0.85</formula>
      <formula>0.99</formula>
    </cfRule>
    <cfRule type="cellIs" dxfId="12" priority="3" operator="between">
      <formula>0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scale="17" orientation="portrait"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>
    <pageSetUpPr fitToPage="1"/>
  </sheetPr>
  <dimension ref="A1:BA105"/>
  <sheetViews>
    <sheetView zoomScale="40" zoomScaleNormal="60" zoomScaleSheetLayoutView="85" workbookViewId="0">
      <pane xSplit="14" topLeftCell="O1" activePane="topRight" state="frozen"/>
      <selection activeCell="B2" sqref="B2"/>
      <selection pane="topRight" activeCell="AD11" sqref="AD11"/>
    </sheetView>
  </sheetViews>
  <sheetFormatPr baseColWidth="10" defaultColWidth="8.7109375" defaultRowHeight="15" x14ac:dyDescent="0.25"/>
  <cols>
    <col min="1" max="1" width="10.140625" style="1" bestFit="1" customWidth="1"/>
    <col min="2" max="2" width="17.7109375" style="1" bestFit="1" customWidth="1"/>
    <col min="3" max="3" width="14.42578125" style="1" bestFit="1" customWidth="1"/>
    <col min="4" max="4" width="19.140625" style="1" customWidth="1"/>
    <col min="5" max="5" width="14.5703125" style="1" bestFit="1" customWidth="1"/>
    <col min="6" max="6" width="19.7109375" style="1" customWidth="1"/>
    <col min="7" max="8" width="15.42578125" style="1" bestFit="1" customWidth="1"/>
    <col min="9" max="9" width="10.140625" style="1" hidden="1" customWidth="1"/>
    <col min="10" max="10" width="6.42578125" style="1" hidden="1" customWidth="1"/>
    <col min="11" max="11" width="10" style="1" hidden="1" customWidth="1"/>
    <col min="12" max="12" width="9" style="1" hidden="1" customWidth="1"/>
    <col min="13" max="13" width="5.5703125" style="1" hidden="1" customWidth="1"/>
    <col min="14" max="14" width="19.28515625" style="1" bestFit="1" customWidth="1"/>
    <col min="15" max="24" width="8.7109375" style="1" customWidth="1"/>
    <col min="25" max="37" width="8.7109375" style="1"/>
    <col min="38" max="38" width="8.7109375" style="1" customWidth="1"/>
    <col min="39" max="39" width="8.7109375" style="1"/>
    <col min="40" max="40" width="0" style="1" hidden="1" customWidth="1"/>
    <col min="41" max="42" width="8.7109375" style="1"/>
    <col min="43" max="43" width="10" style="1" bestFit="1" customWidth="1"/>
    <col min="44" max="44" width="10" style="1" customWidth="1"/>
    <col min="45" max="45" width="13" style="1" bestFit="1" customWidth="1"/>
    <col min="46" max="46" width="11.5703125" style="1" bestFit="1" customWidth="1"/>
    <col min="47" max="47" width="8.7109375" style="1"/>
    <col min="48" max="48" width="12.85546875" style="1" customWidth="1"/>
    <col min="49" max="49" width="16.5703125" style="1" customWidth="1"/>
    <col min="50" max="16384" width="8.7109375" style="1"/>
  </cols>
  <sheetData>
    <row r="1" spans="2:53" s="75" customFormat="1" x14ac:dyDescent="0.25">
      <c r="I1" s="1"/>
      <c r="J1" s="1"/>
      <c r="K1" s="1"/>
      <c r="L1" s="1"/>
      <c r="M1" s="1"/>
      <c r="AN1" s="1"/>
    </row>
    <row r="2" spans="2:53" s="75" customFormat="1" x14ac:dyDescent="0.25">
      <c r="I2" s="1"/>
      <c r="J2" s="1"/>
      <c r="K2" s="1"/>
      <c r="L2" s="1"/>
      <c r="M2" s="1"/>
      <c r="AN2" s="1"/>
    </row>
    <row r="3" spans="2:53" s="75" customFormat="1" x14ac:dyDescent="0.25">
      <c r="I3" s="1"/>
      <c r="J3" s="1"/>
      <c r="K3" s="1"/>
      <c r="L3" s="1"/>
      <c r="M3" s="1"/>
      <c r="AN3" s="1"/>
    </row>
    <row r="4" spans="2:53" s="75" customFormat="1" x14ac:dyDescent="0.25">
      <c r="I4" s="1"/>
      <c r="J4" s="1"/>
      <c r="K4" s="1"/>
      <c r="L4" s="1"/>
      <c r="M4" s="1"/>
      <c r="AN4" s="1"/>
    </row>
    <row r="5" spans="2:53" s="75" customFormat="1" x14ac:dyDescent="0.25">
      <c r="I5" s="1"/>
      <c r="J5" s="1"/>
      <c r="K5" s="1"/>
      <c r="L5" s="1"/>
      <c r="M5" s="1"/>
      <c r="AN5" s="1"/>
    </row>
    <row r="7" spans="2:53" x14ac:dyDescent="0.25">
      <c r="B7" s="4" t="s">
        <v>99</v>
      </c>
      <c r="C7" s="88" t="s">
        <v>100</v>
      </c>
      <c r="D7" s="88"/>
    </row>
    <row r="8" spans="2:53" x14ac:dyDescent="0.25">
      <c r="B8" s="89">
        <f ca="1">TODAY()</f>
        <v>46309</v>
      </c>
      <c r="C8" s="4" t="s">
        <v>97</v>
      </c>
      <c r="D8" s="2" t="s">
        <v>127</v>
      </c>
      <c r="H8" s="4" t="s">
        <v>84</v>
      </c>
    </row>
    <row r="9" spans="2:53" x14ac:dyDescent="0.25">
      <c r="B9" s="89"/>
      <c r="C9" s="4" t="s">
        <v>98</v>
      </c>
      <c r="D9" s="2"/>
      <c r="H9" s="4" t="s">
        <v>85</v>
      </c>
      <c r="I9" s="90" t="s">
        <v>146</v>
      </c>
      <c r="J9" s="90"/>
      <c r="K9" s="90"/>
      <c r="L9" s="90"/>
      <c r="M9" s="90"/>
      <c r="O9" s="87">
        <v>46286</v>
      </c>
      <c r="P9" s="87"/>
      <c r="Q9" s="87">
        <v>46287</v>
      </c>
      <c r="R9" s="87"/>
      <c r="S9" s="87">
        <v>46288</v>
      </c>
      <c r="T9" s="87"/>
      <c r="U9" s="87">
        <v>46289</v>
      </c>
      <c r="V9" s="87"/>
      <c r="W9" s="87">
        <v>46290</v>
      </c>
      <c r="X9" s="87"/>
      <c r="Y9" s="87">
        <v>46293</v>
      </c>
      <c r="Z9" s="87"/>
      <c r="AA9" s="87">
        <v>46294</v>
      </c>
      <c r="AB9" s="87"/>
      <c r="AC9" s="87">
        <v>46295</v>
      </c>
      <c r="AD9" s="87"/>
      <c r="AE9" s="87">
        <v>46296</v>
      </c>
      <c r="AF9" s="87"/>
      <c r="AG9" s="87">
        <v>46297</v>
      </c>
      <c r="AH9" s="87"/>
      <c r="AI9" s="6" t="s">
        <v>92</v>
      </c>
    </row>
    <row r="10" spans="2:53" x14ac:dyDescent="0.25">
      <c r="B10" s="4" t="s">
        <v>0</v>
      </c>
      <c r="C10" s="4" t="s">
        <v>86</v>
      </c>
      <c r="D10" s="4" t="s">
        <v>89</v>
      </c>
      <c r="E10" s="4" t="s">
        <v>81</v>
      </c>
      <c r="F10" s="4" t="s">
        <v>82</v>
      </c>
      <c r="G10" s="4" t="s">
        <v>83</v>
      </c>
      <c r="H10" s="5">
        <v>40</v>
      </c>
      <c r="I10" s="4"/>
      <c r="J10" s="4" t="s">
        <v>91</v>
      </c>
      <c r="K10" s="4" t="s">
        <v>93</v>
      </c>
      <c r="L10" s="4" t="s">
        <v>94</v>
      </c>
      <c r="M10" s="4" t="s">
        <v>95</v>
      </c>
      <c r="N10" s="4" t="s">
        <v>96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 t="s">
        <v>97</v>
      </c>
      <c r="Z10" s="4" t="s">
        <v>98</v>
      </c>
      <c r="AA10" s="4"/>
      <c r="AB10" s="4"/>
      <c r="AC10" s="4"/>
      <c r="AD10" s="4"/>
      <c r="AE10" s="4"/>
      <c r="AF10" s="4"/>
      <c r="AG10" s="4"/>
      <c r="AH10" s="4"/>
      <c r="AI10" s="4" t="s">
        <v>104</v>
      </c>
      <c r="AJ10" s="4" t="s">
        <v>90</v>
      </c>
      <c r="AK10" s="4" t="s">
        <v>126</v>
      </c>
      <c r="AL10" s="4" t="s">
        <v>105</v>
      </c>
      <c r="AM10" s="4" t="s">
        <v>105</v>
      </c>
      <c r="AN10" s="4" t="s">
        <v>106</v>
      </c>
      <c r="AO10" s="4" t="s">
        <v>106</v>
      </c>
      <c r="AP10" s="4" t="s">
        <v>107</v>
      </c>
      <c r="AQ10" s="4" t="s">
        <v>109</v>
      </c>
      <c r="AR10" s="4" t="s">
        <v>122</v>
      </c>
      <c r="AS10" s="4" t="s">
        <v>118</v>
      </c>
      <c r="AT10" s="4" t="s">
        <v>120</v>
      </c>
      <c r="AV10" s="15" t="s">
        <v>123</v>
      </c>
      <c r="AW10" s="15" t="s">
        <v>125</v>
      </c>
      <c r="AX10"/>
    </row>
    <row r="11" spans="2:53" x14ac:dyDescent="0.25">
      <c r="B11" s="2" t="s">
        <v>87</v>
      </c>
      <c r="C11" s="2" t="s">
        <v>88</v>
      </c>
      <c r="D11" s="2" t="s">
        <v>1</v>
      </c>
      <c r="E11" s="2" t="s">
        <v>2</v>
      </c>
      <c r="F11" s="2">
        <v>0.42</v>
      </c>
      <c r="G11" s="3">
        <v>0.02</v>
      </c>
      <c r="H11" s="2">
        <v>5000</v>
      </c>
      <c r="I11" s="2"/>
      <c r="J11" s="2"/>
      <c r="K11" s="2"/>
      <c r="L11" s="2"/>
      <c r="M11" s="2"/>
      <c r="N11" s="8">
        <f t="shared" ref="N11:N42" si="0">+H11+I11+J11+K11+L11+M11-SUM(O11:AI11)</f>
        <v>-22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19"/>
      <c r="Z11" s="2">
        <v>722</v>
      </c>
      <c r="AA11" s="2"/>
      <c r="AB11" s="2">
        <v>2000</v>
      </c>
      <c r="AC11" s="2"/>
      <c r="AD11" s="2">
        <v>2300</v>
      </c>
      <c r="AE11" s="2"/>
      <c r="AF11" s="2"/>
      <c r="AG11" s="2"/>
      <c r="AH11" s="2"/>
      <c r="AI11" s="2"/>
      <c r="AJ11" s="7">
        <f t="shared" ref="AJ11:AJ42" si="1">+G11*SUM(H11:M11)</f>
        <v>100</v>
      </c>
      <c r="AK11" s="7">
        <v>1000</v>
      </c>
      <c r="AL11" s="7">
        <v>0</v>
      </c>
      <c r="AM11" s="8">
        <f t="shared" ref="AM11:AM42" si="2">+H11*AL11</f>
        <v>0</v>
      </c>
      <c r="AN11" s="8">
        <v>0</v>
      </c>
      <c r="AO11" s="8">
        <f t="shared" ref="AO11:AO42" si="3">+H11*AN11</f>
        <v>0</v>
      </c>
      <c r="AP11" s="8">
        <f>+AO11*2</f>
        <v>0</v>
      </c>
      <c r="AQ11" s="8">
        <v>0</v>
      </c>
      <c r="AR11" s="8">
        <v>0</v>
      </c>
      <c r="AS11" s="8" t="s">
        <v>119</v>
      </c>
      <c r="AT11" s="8" t="s">
        <v>121</v>
      </c>
      <c r="AV11" s="14">
        <v>0</v>
      </c>
      <c r="AW11" s="15">
        <v>0</v>
      </c>
      <c r="AX11"/>
      <c r="BA11" s="1">
        <v>5600</v>
      </c>
    </row>
    <row r="12" spans="2:53" x14ac:dyDescent="0.25">
      <c r="B12" s="2" t="s">
        <v>87</v>
      </c>
      <c r="C12" s="2" t="s">
        <v>88</v>
      </c>
      <c r="D12" s="2" t="s">
        <v>3</v>
      </c>
      <c r="E12" s="2" t="s">
        <v>2</v>
      </c>
      <c r="F12" s="2">
        <v>0.42</v>
      </c>
      <c r="G12" s="3">
        <v>3.1E-2</v>
      </c>
      <c r="H12" s="2">
        <v>6000</v>
      </c>
      <c r="I12" s="2"/>
      <c r="J12" s="2"/>
      <c r="K12" s="2"/>
      <c r="L12" s="2"/>
      <c r="M12" s="2"/>
      <c r="N12" s="8">
        <f t="shared" si="0"/>
        <v>5130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19"/>
      <c r="Z12" s="2"/>
      <c r="AA12" s="2"/>
      <c r="AB12" s="2">
        <v>870</v>
      </c>
      <c r="AC12" s="2"/>
      <c r="AD12" s="2"/>
      <c r="AE12" s="2"/>
      <c r="AF12" s="2"/>
      <c r="AG12" s="2"/>
      <c r="AH12" s="2"/>
      <c r="AI12" s="2"/>
      <c r="AJ12" s="7">
        <f t="shared" si="1"/>
        <v>186</v>
      </c>
      <c r="AK12" s="7">
        <v>1000</v>
      </c>
      <c r="AL12" s="7">
        <v>0</v>
      </c>
      <c r="AM12" s="8">
        <f t="shared" si="2"/>
        <v>0</v>
      </c>
      <c r="AN12" s="8">
        <v>0</v>
      </c>
      <c r="AO12" s="8">
        <f t="shared" si="3"/>
        <v>0</v>
      </c>
      <c r="AP12" s="8">
        <f t="shared" ref="AP12:AP75" si="4">+AO12*2</f>
        <v>0</v>
      </c>
      <c r="AQ12" s="8">
        <v>0</v>
      </c>
      <c r="AR12" s="8">
        <v>0</v>
      </c>
      <c r="AS12" s="8" t="s">
        <v>119</v>
      </c>
      <c r="AT12" s="8" t="s">
        <v>121</v>
      </c>
      <c r="AV12" s="14" t="s">
        <v>117</v>
      </c>
      <c r="AW12" s="15">
        <v>128</v>
      </c>
      <c r="AX12"/>
      <c r="BA12" s="1">
        <v>4338</v>
      </c>
    </row>
    <row r="13" spans="2:53" x14ac:dyDescent="0.25">
      <c r="B13" s="2" t="s">
        <v>87</v>
      </c>
      <c r="C13" s="2" t="s">
        <v>88</v>
      </c>
      <c r="D13" s="2" t="s">
        <v>4</v>
      </c>
      <c r="E13" s="2" t="s">
        <v>2</v>
      </c>
      <c r="F13" s="2">
        <v>0.42</v>
      </c>
      <c r="G13" s="3">
        <v>3.3000000000000002E-2</v>
      </c>
      <c r="H13" s="2">
        <v>3000</v>
      </c>
      <c r="I13" s="2"/>
      <c r="J13" s="2"/>
      <c r="K13" s="2"/>
      <c r="L13" s="2"/>
      <c r="M13" s="2"/>
      <c r="N13" s="8">
        <f t="shared" si="0"/>
        <v>2612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19"/>
      <c r="Z13" s="2">
        <v>388</v>
      </c>
      <c r="AA13" s="2"/>
      <c r="AB13" s="2"/>
      <c r="AC13" s="2"/>
      <c r="AD13" s="2"/>
      <c r="AE13" s="2"/>
      <c r="AF13" s="2"/>
      <c r="AG13" s="2"/>
      <c r="AH13" s="2"/>
      <c r="AI13" s="2"/>
      <c r="AJ13" s="7">
        <f t="shared" si="1"/>
        <v>99</v>
      </c>
      <c r="AK13" s="7">
        <v>1000</v>
      </c>
      <c r="AL13" s="7">
        <v>0</v>
      </c>
      <c r="AM13" s="8">
        <f t="shared" si="2"/>
        <v>0</v>
      </c>
      <c r="AN13" s="8">
        <v>0</v>
      </c>
      <c r="AO13" s="8">
        <f t="shared" si="3"/>
        <v>0</v>
      </c>
      <c r="AP13" s="8">
        <f t="shared" si="4"/>
        <v>0</v>
      </c>
      <c r="AQ13" s="8">
        <v>0</v>
      </c>
      <c r="AR13" s="8">
        <v>0</v>
      </c>
      <c r="AS13" s="8" t="s">
        <v>119</v>
      </c>
      <c r="AT13" s="8" t="s">
        <v>121</v>
      </c>
      <c r="AV13" s="14" t="s">
        <v>113</v>
      </c>
      <c r="AW13" s="15">
        <v>0</v>
      </c>
      <c r="AX13"/>
      <c r="BA13" s="1">
        <v>1300</v>
      </c>
    </row>
    <row r="14" spans="2:53" x14ac:dyDescent="0.25">
      <c r="B14" s="2" t="s">
        <v>87</v>
      </c>
      <c r="C14" s="2" t="s">
        <v>88</v>
      </c>
      <c r="D14" s="2" t="s">
        <v>5</v>
      </c>
      <c r="E14" s="2" t="s">
        <v>2</v>
      </c>
      <c r="F14" s="2">
        <v>0.42</v>
      </c>
      <c r="G14" s="3">
        <v>1.9E-2</v>
      </c>
      <c r="H14" s="2">
        <v>0</v>
      </c>
      <c r="I14" s="2"/>
      <c r="J14" s="2"/>
      <c r="K14" s="2"/>
      <c r="L14" s="2"/>
      <c r="M14" s="2"/>
      <c r="N14" s="8">
        <f t="shared" si="0"/>
        <v>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19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7">
        <f t="shared" si="1"/>
        <v>0</v>
      </c>
      <c r="AK14" s="7">
        <v>1000</v>
      </c>
      <c r="AL14" s="7">
        <v>0</v>
      </c>
      <c r="AM14" s="8">
        <f t="shared" si="2"/>
        <v>0</v>
      </c>
      <c r="AN14" s="8">
        <v>0</v>
      </c>
      <c r="AO14" s="8">
        <f t="shared" si="3"/>
        <v>0</v>
      </c>
      <c r="AP14" s="8">
        <f t="shared" si="4"/>
        <v>0</v>
      </c>
      <c r="AQ14" s="8">
        <v>0</v>
      </c>
      <c r="AR14" s="8">
        <v>0</v>
      </c>
      <c r="AS14" s="8" t="s">
        <v>119</v>
      </c>
      <c r="AT14" s="8" t="s">
        <v>121</v>
      </c>
      <c r="AV14" s="14" t="s">
        <v>110</v>
      </c>
      <c r="AW14" s="15">
        <v>864</v>
      </c>
      <c r="AX14"/>
      <c r="BA14" s="1">
        <v>0</v>
      </c>
    </row>
    <row r="15" spans="2:53" x14ac:dyDescent="0.25">
      <c r="B15" s="2" t="s">
        <v>87</v>
      </c>
      <c r="C15" s="2" t="s">
        <v>88</v>
      </c>
      <c r="D15" s="2" t="s">
        <v>6</v>
      </c>
      <c r="E15" s="2" t="s">
        <v>2</v>
      </c>
      <c r="F15" s="2">
        <v>0.42</v>
      </c>
      <c r="G15" s="3">
        <v>0.03</v>
      </c>
      <c r="H15" s="2">
        <v>0</v>
      </c>
      <c r="I15" s="2"/>
      <c r="J15" s="2"/>
      <c r="K15" s="2"/>
      <c r="L15" s="2"/>
      <c r="M15" s="2"/>
      <c r="N15" s="8">
        <f t="shared" si="0"/>
        <v>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19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7">
        <f t="shared" si="1"/>
        <v>0</v>
      </c>
      <c r="AK15" s="7">
        <v>1000</v>
      </c>
      <c r="AL15" s="7">
        <v>0</v>
      </c>
      <c r="AM15" s="8">
        <f t="shared" si="2"/>
        <v>0</v>
      </c>
      <c r="AN15" s="8">
        <v>0</v>
      </c>
      <c r="AO15" s="8">
        <f t="shared" si="3"/>
        <v>0</v>
      </c>
      <c r="AP15" s="8">
        <f t="shared" si="4"/>
        <v>0</v>
      </c>
      <c r="AQ15" s="8">
        <v>0</v>
      </c>
      <c r="AR15" s="8">
        <v>0</v>
      </c>
      <c r="AS15" s="8" t="s">
        <v>119</v>
      </c>
      <c r="AT15" s="8" t="s">
        <v>121</v>
      </c>
      <c r="AV15" s="14" t="s">
        <v>116</v>
      </c>
      <c r="AW15" s="15">
        <v>0</v>
      </c>
      <c r="AX15"/>
      <c r="BA15" s="1">
        <v>1000</v>
      </c>
    </row>
    <row r="16" spans="2:53" x14ac:dyDescent="0.25">
      <c r="B16" s="2" t="s">
        <v>87</v>
      </c>
      <c r="C16" s="2" t="s">
        <v>88</v>
      </c>
      <c r="D16" s="2" t="s">
        <v>7</v>
      </c>
      <c r="E16" s="2" t="s">
        <v>2</v>
      </c>
      <c r="F16" s="2">
        <v>0.42</v>
      </c>
      <c r="G16" s="3">
        <v>2.1999999999999999E-2</v>
      </c>
      <c r="H16" s="2">
        <v>0</v>
      </c>
      <c r="I16" s="2"/>
      <c r="J16" s="2"/>
      <c r="K16" s="2"/>
      <c r="L16" s="2"/>
      <c r="M16" s="2"/>
      <c r="N16" s="8">
        <f t="shared" si="0"/>
        <v>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19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7">
        <f t="shared" si="1"/>
        <v>0</v>
      </c>
      <c r="AK16" s="7">
        <v>1000</v>
      </c>
      <c r="AL16" s="7">
        <v>0</v>
      </c>
      <c r="AM16" s="8">
        <f t="shared" si="2"/>
        <v>0</v>
      </c>
      <c r="AN16" s="8">
        <v>0</v>
      </c>
      <c r="AO16" s="8">
        <f t="shared" si="3"/>
        <v>0</v>
      </c>
      <c r="AP16" s="8">
        <f t="shared" si="4"/>
        <v>0</v>
      </c>
      <c r="AQ16" s="8">
        <v>0</v>
      </c>
      <c r="AR16" s="8">
        <v>0</v>
      </c>
      <c r="AS16" s="8" t="s">
        <v>119</v>
      </c>
      <c r="AT16" s="8" t="s">
        <v>121</v>
      </c>
      <c r="AV16" s="14" t="s">
        <v>111</v>
      </c>
      <c r="AW16" s="15">
        <v>7704</v>
      </c>
      <c r="AX16"/>
      <c r="BA16" s="1">
        <v>1707</v>
      </c>
    </row>
    <row r="17" spans="2:53" x14ac:dyDescent="0.25">
      <c r="B17" s="2" t="s">
        <v>87</v>
      </c>
      <c r="C17" s="2" t="s">
        <v>88</v>
      </c>
      <c r="D17" s="2" t="s">
        <v>8</v>
      </c>
      <c r="E17" s="2" t="s">
        <v>2</v>
      </c>
      <c r="F17" s="2">
        <v>0.42</v>
      </c>
      <c r="G17" s="3">
        <v>2.3E-2</v>
      </c>
      <c r="H17" s="2">
        <v>0</v>
      </c>
      <c r="I17" s="2"/>
      <c r="J17" s="2"/>
      <c r="K17" s="2"/>
      <c r="L17" s="2"/>
      <c r="M17" s="2"/>
      <c r="N17" s="8">
        <f t="shared" si="0"/>
        <v>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19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7">
        <f t="shared" si="1"/>
        <v>0</v>
      </c>
      <c r="AK17" s="7">
        <v>1000</v>
      </c>
      <c r="AL17" s="7">
        <v>0</v>
      </c>
      <c r="AM17" s="8">
        <f t="shared" si="2"/>
        <v>0</v>
      </c>
      <c r="AN17" s="8">
        <v>0</v>
      </c>
      <c r="AO17" s="8">
        <f t="shared" si="3"/>
        <v>0</v>
      </c>
      <c r="AP17" s="8">
        <f t="shared" si="4"/>
        <v>0</v>
      </c>
      <c r="AQ17" s="8">
        <v>0</v>
      </c>
      <c r="AR17" s="8">
        <v>0</v>
      </c>
      <c r="AS17" s="8" t="s">
        <v>119</v>
      </c>
      <c r="AT17" s="8" t="s">
        <v>121</v>
      </c>
      <c r="AV17" s="14" t="s">
        <v>112</v>
      </c>
      <c r="AW17" s="15">
        <v>3840</v>
      </c>
      <c r="AX17"/>
      <c r="BA17" s="1">
        <v>0</v>
      </c>
    </row>
    <row r="18" spans="2:53" x14ac:dyDescent="0.25">
      <c r="B18" s="2" t="s">
        <v>87</v>
      </c>
      <c r="C18" s="2" t="s">
        <v>88</v>
      </c>
      <c r="D18" s="2" t="s">
        <v>9</v>
      </c>
      <c r="E18" s="2" t="s">
        <v>10</v>
      </c>
      <c r="F18" s="2">
        <v>2.8000000000000001E-2</v>
      </c>
      <c r="G18" s="3">
        <v>5.7000000000000002E-2</v>
      </c>
      <c r="H18" s="2">
        <v>1000</v>
      </c>
      <c r="I18" s="2"/>
      <c r="J18" s="2"/>
      <c r="K18" s="2"/>
      <c r="L18" s="2"/>
      <c r="M18" s="2"/>
      <c r="N18" s="8">
        <f t="shared" si="0"/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19"/>
      <c r="Z18" s="2">
        <v>1000</v>
      </c>
      <c r="AA18" s="2"/>
      <c r="AB18" s="2"/>
      <c r="AC18" s="2"/>
      <c r="AD18" s="2"/>
      <c r="AE18" s="2"/>
      <c r="AF18" s="2"/>
      <c r="AG18" s="2"/>
      <c r="AH18" s="2"/>
      <c r="AI18" s="2"/>
      <c r="AJ18" s="7">
        <f t="shared" si="1"/>
        <v>57</v>
      </c>
      <c r="AK18" s="7">
        <v>1000</v>
      </c>
      <c r="AL18" s="7">
        <v>0</v>
      </c>
      <c r="AM18" s="8">
        <f t="shared" si="2"/>
        <v>0</v>
      </c>
      <c r="AN18" s="8">
        <v>0</v>
      </c>
      <c r="AO18" s="8">
        <f t="shared" si="3"/>
        <v>0</v>
      </c>
      <c r="AP18" s="8">
        <f t="shared" si="4"/>
        <v>0</v>
      </c>
      <c r="AQ18" s="8">
        <v>0</v>
      </c>
      <c r="AR18" s="8">
        <v>0</v>
      </c>
      <c r="AS18" s="8" t="s">
        <v>119</v>
      </c>
      <c r="AT18" s="8" t="s">
        <v>121</v>
      </c>
      <c r="AV18" s="14" t="s">
        <v>114</v>
      </c>
      <c r="AW18" s="15">
        <v>1280</v>
      </c>
      <c r="AX18"/>
      <c r="BA18" s="1">
        <v>-3900</v>
      </c>
    </row>
    <row r="19" spans="2:53" x14ac:dyDescent="0.25">
      <c r="B19" s="2" t="s">
        <v>87</v>
      </c>
      <c r="C19" s="2" t="s">
        <v>88</v>
      </c>
      <c r="D19" s="2" t="s">
        <v>11</v>
      </c>
      <c r="E19" s="2" t="s">
        <v>10</v>
      </c>
      <c r="F19" s="2">
        <v>2.8000000000000001E-2</v>
      </c>
      <c r="G19" s="3">
        <v>4.3999999999999997E-2</v>
      </c>
      <c r="H19" s="2">
        <v>3000</v>
      </c>
      <c r="I19" s="2"/>
      <c r="J19" s="2"/>
      <c r="K19" s="2"/>
      <c r="L19" s="2"/>
      <c r="M19" s="2"/>
      <c r="N19" s="8">
        <f t="shared" si="0"/>
        <v>0</v>
      </c>
      <c r="O19" s="2"/>
      <c r="P19" s="2"/>
      <c r="Q19" s="2"/>
      <c r="R19" s="2"/>
      <c r="S19" s="2"/>
      <c r="T19" s="2"/>
      <c r="U19" s="2"/>
      <c r="V19" s="2"/>
      <c r="W19" s="2">
        <v>1000</v>
      </c>
      <c r="X19" s="2">
        <v>900</v>
      </c>
      <c r="Y19" s="19">
        <v>1000</v>
      </c>
      <c r="Z19" s="2">
        <v>100</v>
      </c>
      <c r="AA19" s="2"/>
      <c r="AB19" s="2"/>
      <c r="AC19" s="2"/>
      <c r="AD19" s="2"/>
      <c r="AE19" s="2"/>
      <c r="AF19" s="2"/>
      <c r="AG19" s="2"/>
      <c r="AH19" s="2"/>
      <c r="AI19" s="2"/>
      <c r="AJ19" s="7">
        <f t="shared" si="1"/>
        <v>132</v>
      </c>
      <c r="AK19" s="7">
        <v>1000</v>
      </c>
      <c r="AL19" s="7">
        <v>0</v>
      </c>
      <c r="AM19" s="8">
        <f t="shared" si="2"/>
        <v>0</v>
      </c>
      <c r="AN19" s="8">
        <v>0</v>
      </c>
      <c r="AO19" s="8">
        <f t="shared" si="3"/>
        <v>0</v>
      </c>
      <c r="AP19" s="8">
        <f t="shared" si="4"/>
        <v>0</v>
      </c>
      <c r="AQ19" s="8">
        <v>0</v>
      </c>
      <c r="AR19" s="8">
        <v>0</v>
      </c>
      <c r="AS19" s="8" t="s">
        <v>119</v>
      </c>
      <c r="AT19" s="8" t="s">
        <v>121</v>
      </c>
      <c r="AV19" s="14" t="s">
        <v>115</v>
      </c>
      <c r="AW19" s="15">
        <v>384</v>
      </c>
      <c r="AX19"/>
      <c r="BA19" s="1">
        <v>-2966</v>
      </c>
    </row>
    <row r="20" spans="2:53" x14ac:dyDescent="0.25">
      <c r="B20" s="2" t="s">
        <v>87</v>
      </c>
      <c r="C20" s="2" t="s">
        <v>88</v>
      </c>
      <c r="D20" s="2" t="s">
        <v>12</v>
      </c>
      <c r="E20" s="2" t="s">
        <v>10</v>
      </c>
      <c r="F20" s="2">
        <v>2.8000000000000001E-2</v>
      </c>
      <c r="G20" s="3">
        <v>1.4999999999999999E-2</v>
      </c>
      <c r="H20" s="2">
        <v>1500</v>
      </c>
      <c r="I20" s="2"/>
      <c r="J20" s="2"/>
      <c r="K20" s="2"/>
      <c r="L20" s="2"/>
      <c r="M20" s="2"/>
      <c r="N20" s="8">
        <f t="shared" si="0"/>
        <v>-100</v>
      </c>
      <c r="O20" s="2"/>
      <c r="P20" s="2"/>
      <c r="Q20" s="2"/>
      <c r="R20" s="2"/>
      <c r="S20" s="2"/>
      <c r="T20" s="2">
        <v>700</v>
      </c>
      <c r="U20" s="2"/>
      <c r="V20" s="2"/>
      <c r="W20" s="2"/>
      <c r="X20" s="2"/>
      <c r="Y20" s="19"/>
      <c r="Z20" s="2"/>
      <c r="AA20" s="2"/>
      <c r="AB20" s="2"/>
      <c r="AC20" s="2">
        <v>900</v>
      </c>
      <c r="AD20" s="2"/>
      <c r="AE20" s="2"/>
      <c r="AF20" s="2"/>
      <c r="AG20" s="2"/>
      <c r="AH20" s="2"/>
      <c r="AI20" s="2"/>
      <c r="AJ20" s="7">
        <f t="shared" si="1"/>
        <v>22.5</v>
      </c>
      <c r="AK20" s="7">
        <v>1000</v>
      </c>
      <c r="AL20" s="7">
        <v>0</v>
      </c>
      <c r="AM20" s="8">
        <f t="shared" si="2"/>
        <v>0</v>
      </c>
      <c r="AN20" s="8">
        <v>0</v>
      </c>
      <c r="AO20" s="8">
        <f t="shared" si="3"/>
        <v>0</v>
      </c>
      <c r="AP20" s="8">
        <f t="shared" si="4"/>
        <v>0</v>
      </c>
      <c r="AQ20" s="8">
        <v>0</v>
      </c>
      <c r="AR20" s="8">
        <v>0</v>
      </c>
      <c r="AS20" s="8" t="s">
        <v>119</v>
      </c>
      <c r="AT20" s="8" t="s">
        <v>121</v>
      </c>
      <c r="AV20" s="14" t="s">
        <v>124</v>
      </c>
      <c r="AW20" s="15">
        <v>14200</v>
      </c>
      <c r="AX20"/>
      <c r="BA20" s="1">
        <v>2400</v>
      </c>
    </row>
    <row r="21" spans="2:53" x14ac:dyDescent="0.25">
      <c r="B21" s="2" t="s">
        <v>87</v>
      </c>
      <c r="C21" s="2" t="s">
        <v>88</v>
      </c>
      <c r="D21" s="2" t="s">
        <v>13</v>
      </c>
      <c r="E21" s="2" t="s">
        <v>10</v>
      </c>
      <c r="F21" s="2">
        <v>2.8000000000000001E-2</v>
      </c>
      <c r="G21" s="3">
        <v>1.9E-2</v>
      </c>
      <c r="H21" s="2">
        <v>1000</v>
      </c>
      <c r="I21" s="2"/>
      <c r="J21" s="2"/>
      <c r="K21" s="2"/>
      <c r="L21" s="2"/>
      <c r="M21" s="2"/>
      <c r="N21" s="8">
        <f t="shared" si="0"/>
        <v>900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19"/>
      <c r="Z21" s="2"/>
      <c r="AA21" s="2"/>
      <c r="AB21" s="2"/>
      <c r="AC21" s="2">
        <v>100</v>
      </c>
      <c r="AD21" s="2"/>
      <c r="AE21" s="2"/>
      <c r="AF21" s="2"/>
      <c r="AG21" s="2"/>
      <c r="AH21" s="2"/>
      <c r="AI21" s="2"/>
      <c r="AJ21" s="7">
        <f t="shared" si="1"/>
        <v>19</v>
      </c>
      <c r="AK21" s="7">
        <v>1000</v>
      </c>
      <c r="AL21" s="7">
        <v>0</v>
      </c>
      <c r="AM21" s="8">
        <f t="shared" si="2"/>
        <v>0</v>
      </c>
      <c r="AN21" s="8">
        <v>0</v>
      </c>
      <c r="AO21" s="8">
        <f t="shared" si="3"/>
        <v>0</v>
      </c>
      <c r="AP21" s="8">
        <f t="shared" si="4"/>
        <v>0</v>
      </c>
      <c r="AQ21" s="8">
        <v>0</v>
      </c>
      <c r="AR21" s="8">
        <v>0</v>
      </c>
      <c r="AS21" s="8" t="s">
        <v>119</v>
      </c>
      <c r="AT21" s="8" t="s">
        <v>121</v>
      </c>
      <c r="AV21"/>
      <c r="AW21"/>
      <c r="AX21"/>
      <c r="BA21" s="1">
        <v>400</v>
      </c>
    </row>
    <row r="22" spans="2:53" x14ac:dyDescent="0.25">
      <c r="B22" s="2" t="s">
        <v>87</v>
      </c>
      <c r="C22" s="2" t="s">
        <v>88</v>
      </c>
      <c r="D22" s="2" t="s">
        <v>14</v>
      </c>
      <c r="E22" s="2" t="s">
        <v>10</v>
      </c>
      <c r="F22" s="2">
        <v>2.8000000000000001E-2</v>
      </c>
      <c r="G22" s="3">
        <v>2.4E-2</v>
      </c>
      <c r="H22" s="2">
        <v>3500</v>
      </c>
      <c r="I22" s="2"/>
      <c r="J22" s="2"/>
      <c r="K22" s="2"/>
      <c r="L22" s="2"/>
      <c r="M22" s="2"/>
      <c r="N22" s="8">
        <f t="shared" si="0"/>
        <v>1200</v>
      </c>
      <c r="O22" s="2"/>
      <c r="P22" s="2"/>
      <c r="Q22" s="2"/>
      <c r="R22" s="2"/>
      <c r="S22" s="2"/>
      <c r="T22" s="2">
        <v>100</v>
      </c>
      <c r="U22" s="2"/>
      <c r="V22" s="2"/>
      <c r="W22" s="2"/>
      <c r="X22" s="2"/>
      <c r="Y22" s="19"/>
      <c r="Z22" s="2"/>
      <c r="AA22" s="2">
        <v>1100</v>
      </c>
      <c r="AB22" s="2">
        <v>1100</v>
      </c>
      <c r="AC22" s="2"/>
      <c r="AD22" s="2"/>
      <c r="AE22" s="2"/>
      <c r="AF22" s="2"/>
      <c r="AG22" s="2"/>
      <c r="AH22" s="2"/>
      <c r="AI22" s="2"/>
      <c r="AJ22" s="7">
        <f t="shared" si="1"/>
        <v>84</v>
      </c>
      <c r="AK22" s="7">
        <v>1000</v>
      </c>
      <c r="AL22" s="7">
        <v>0</v>
      </c>
      <c r="AM22" s="8">
        <f t="shared" si="2"/>
        <v>0</v>
      </c>
      <c r="AN22" s="8">
        <v>0</v>
      </c>
      <c r="AO22" s="8">
        <f t="shared" si="3"/>
        <v>0</v>
      </c>
      <c r="AP22" s="8">
        <f t="shared" si="4"/>
        <v>0</v>
      </c>
      <c r="AQ22" s="8">
        <v>0</v>
      </c>
      <c r="AR22" s="8">
        <v>0</v>
      </c>
      <c r="AS22" s="8" t="s">
        <v>119</v>
      </c>
      <c r="AT22" s="8" t="s">
        <v>121</v>
      </c>
      <c r="AV22"/>
      <c r="AW22"/>
      <c r="AX22"/>
      <c r="BA22" s="1">
        <v>3600</v>
      </c>
    </row>
    <row r="23" spans="2:53" x14ac:dyDescent="0.25">
      <c r="B23" s="2" t="s">
        <v>87</v>
      </c>
      <c r="C23" s="2" t="s">
        <v>88</v>
      </c>
      <c r="D23" s="2" t="s">
        <v>15</v>
      </c>
      <c r="E23" s="2" t="s">
        <v>10</v>
      </c>
      <c r="F23" s="2">
        <v>2.8000000000000001E-2</v>
      </c>
      <c r="G23" s="3">
        <v>1.9E-2</v>
      </c>
      <c r="H23" s="2">
        <v>1000</v>
      </c>
      <c r="I23" s="2"/>
      <c r="J23" s="2"/>
      <c r="K23" s="2"/>
      <c r="L23" s="2"/>
      <c r="M23" s="2"/>
      <c r="N23" s="8">
        <f t="shared" si="0"/>
        <v>0</v>
      </c>
      <c r="O23" s="2"/>
      <c r="P23" s="2"/>
      <c r="Q23" s="2"/>
      <c r="R23" s="2"/>
      <c r="S23" s="2"/>
      <c r="T23" s="2"/>
      <c r="U23" s="2"/>
      <c r="V23" s="2">
        <v>200</v>
      </c>
      <c r="W23" s="2"/>
      <c r="X23" s="2"/>
      <c r="Y23" s="19"/>
      <c r="Z23" s="2"/>
      <c r="AA23" s="2"/>
      <c r="AB23" s="2"/>
      <c r="AC23" s="2"/>
      <c r="AD23" s="2">
        <v>800</v>
      </c>
      <c r="AE23" s="2"/>
      <c r="AF23" s="2"/>
      <c r="AG23" s="2"/>
      <c r="AH23" s="2"/>
      <c r="AI23" s="2"/>
      <c r="AJ23" s="7">
        <f t="shared" si="1"/>
        <v>19</v>
      </c>
      <c r="AK23" s="7">
        <v>1000</v>
      </c>
      <c r="AL23" s="7">
        <v>0</v>
      </c>
      <c r="AM23" s="8">
        <f t="shared" si="2"/>
        <v>0</v>
      </c>
      <c r="AN23" s="8">
        <v>0</v>
      </c>
      <c r="AO23" s="8">
        <f t="shared" si="3"/>
        <v>0</v>
      </c>
      <c r="AP23" s="8">
        <f t="shared" si="4"/>
        <v>0</v>
      </c>
      <c r="AQ23" s="8">
        <v>0</v>
      </c>
      <c r="AR23" s="8">
        <v>0</v>
      </c>
      <c r="AS23" s="8" t="s">
        <v>119</v>
      </c>
      <c r="AT23" s="8" t="s">
        <v>121</v>
      </c>
      <c r="AV23"/>
      <c r="AW23"/>
      <c r="AX23"/>
      <c r="BA23" s="1">
        <v>0</v>
      </c>
    </row>
    <row r="24" spans="2:53" x14ac:dyDescent="0.25">
      <c r="B24" s="2" t="s">
        <v>87</v>
      </c>
      <c r="C24" s="2" t="s">
        <v>88</v>
      </c>
      <c r="D24" s="2" t="s">
        <v>16</v>
      </c>
      <c r="E24" s="2" t="s">
        <v>17</v>
      </c>
      <c r="F24" s="2">
        <v>2.8000000000000001E-2</v>
      </c>
      <c r="G24" s="3">
        <v>8.5999999999999993E-2</v>
      </c>
      <c r="H24" s="2">
        <v>0</v>
      </c>
      <c r="I24" s="2"/>
      <c r="J24" s="2"/>
      <c r="K24" s="2"/>
      <c r="L24" s="2"/>
      <c r="M24" s="2"/>
      <c r="N24" s="8">
        <f t="shared" si="0"/>
        <v>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19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7">
        <f t="shared" si="1"/>
        <v>0</v>
      </c>
      <c r="AK24" s="7">
        <v>100</v>
      </c>
      <c r="AL24" s="7">
        <v>0</v>
      </c>
      <c r="AM24" s="8">
        <f t="shared" si="2"/>
        <v>0</v>
      </c>
      <c r="AN24" s="8">
        <v>0</v>
      </c>
      <c r="AO24" s="8">
        <f t="shared" si="3"/>
        <v>0</v>
      </c>
      <c r="AP24" s="8">
        <f t="shared" si="4"/>
        <v>0</v>
      </c>
      <c r="AQ24" s="8">
        <v>0</v>
      </c>
      <c r="AR24" s="8">
        <v>0</v>
      </c>
      <c r="AS24" s="8" t="s">
        <v>119</v>
      </c>
      <c r="AT24" s="8" t="s">
        <v>121</v>
      </c>
      <c r="AV24"/>
      <c r="AW24"/>
      <c r="AX24"/>
      <c r="BA24" s="1">
        <v>-55</v>
      </c>
    </row>
    <row r="25" spans="2:53" x14ac:dyDescent="0.25">
      <c r="B25" s="2" t="s">
        <v>87</v>
      </c>
      <c r="C25" s="2" t="s">
        <v>88</v>
      </c>
      <c r="D25" s="2" t="s">
        <v>18</v>
      </c>
      <c r="E25" s="2" t="s">
        <v>17</v>
      </c>
      <c r="F25" s="2">
        <v>2.8000000000000001E-2</v>
      </c>
      <c r="G25" s="3">
        <v>0.11700000000000001</v>
      </c>
      <c r="H25" s="2">
        <v>0</v>
      </c>
      <c r="I25" s="2"/>
      <c r="J25" s="2"/>
      <c r="K25" s="2"/>
      <c r="L25" s="2"/>
      <c r="M25" s="2"/>
      <c r="N25" s="8">
        <f t="shared" si="0"/>
        <v>0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19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7">
        <f t="shared" si="1"/>
        <v>0</v>
      </c>
      <c r="AK25" s="7">
        <v>100</v>
      </c>
      <c r="AL25" s="7">
        <v>0</v>
      </c>
      <c r="AM25" s="8">
        <f t="shared" si="2"/>
        <v>0</v>
      </c>
      <c r="AN25" s="8">
        <v>0</v>
      </c>
      <c r="AO25" s="8">
        <f t="shared" si="3"/>
        <v>0</v>
      </c>
      <c r="AP25" s="8">
        <f t="shared" si="4"/>
        <v>0</v>
      </c>
      <c r="AQ25" s="8">
        <v>0</v>
      </c>
      <c r="AR25" s="8">
        <v>0</v>
      </c>
      <c r="AS25" s="8" t="s">
        <v>119</v>
      </c>
      <c r="AT25" s="8" t="s">
        <v>121</v>
      </c>
      <c r="AV25"/>
      <c r="AW25"/>
      <c r="AX25"/>
      <c r="BA25" s="1">
        <v>0</v>
      </c>
    </row>
    <row r="26" spans="2:53" x14ac:dyDescent="0.25">
      <c r="B26" s="2" t="s">
        <v>87</v>
      </c>
      <c r="C26" s="2" t="s">
        <v>88</v>
      </c>
      <c r="D26" s="2" t="s">
        <v>19</v>
      </c>
      <c r="E26" s="2" t="s">
        <v>17</v>
      </c>
      <c r="F26" s="2">
        <v>2.8000000000000001E-2</v>
      </c>
      <c r="G26" s="3">
        <v>0.129</v>
      </c>
      <c r="H26" s="2">
        <v>600</v>
      </c>
      <c r="I26" s="2"/>
      <c r="J26" s="2"/>
      <c r="K26" s="2"/>
      <c r="L26" s="2"/>
      <c r="M26" s="2"/>
      <c r="N26" s="8">
        <f t="shared" si="0"/>
        <v>0</v>
      </c>
      <c r="O26" s="2"/>
      <c r="P26" s="2"/>
      <c r="Q26" s="2"/>
      <c r="R26" s="2"/>
      <c r="S26" s="2"/>
      <c r="T26" s="2"/>
      <c r="U26" s="2"/>
      <c r="V26" s="2">
        <v>600</v>
      </c>
      <c r="W26" s="2"/>
      <c r="X26" s="2"/>
      <c r="Y26" s="19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7">
        <f t="shared" si="1"/>
        <v>77.400000000000006</v>
      </c>
      <c r="AK26" s="7">
        <v>100</v>
      </c>
      <c r="AL26" s="7">
        <v>0</v>
      </c>
      <c r="AM26" s="8">
        <f t="shared" si="2"/>
        <v>0</v>
      </c>
      <c r="AN26" s="8">
        <v>0</v>
      </c>
      <c r="AO26" s="8">
        <f t="shared" si="3"/>
        <v>0</v>
      </c>
      <c r="AP26" s="8">
        <f t="shared" si="4"/>
        <v>0</v>
      </c>
      <c r="AQ26" s="8">
        <v>0</v>
      </c>
      <c r="AR26" s="8">
        <v>0</v>
      </c>
      <c r="AS26" s="8" t="s">
        <v>119</v>
      </c>
      <c r="AT26" s="8" t="s">
        <v>121</v>
      </c>
      <c r="AV26"/>
      <c r="AW26"/>
      <c r="AX26"/>
      <c r="BA26" s="1">
        <v>-25</v>
      </c>
    </row>
    <row r="27" spans="2:53" x14ac:dyDescent="0.25">
      <c r="B27" s="2" t="s">
        <v>87</v>
      </c>
      <c r="C27" s="2" t="s">
        <v>88</v>
      </c>
      <c r="D27" s="2" t="s">
        <v>20</v>
      </c>
      <c r="E27" s="2" t="s">
        <v>17</v>
      </c>
      <c r="F27" s="2">
        <v>2.8000000000000001E-2</v>
      </c>
      <c r="G27" s="3">
        <v>0.11899999999999999</v>
      </c>
      <c r="H27" s="2">
        <v>1200</v>
      </c>
      <c r="I27" s="2"/>
      <c r="J27" s="2"/>
      <c r="K27" s="2"/>
      <c r="L27" s="2"/>
      <c r="M27" s="2"/>
      <c r="N27" s="8">
        <f t="shared" si="0"/>
        <v>-53</v>
      </c>
      <c r="O27" s="2"/>
      <c r="P27" s="2"/>
      <c r="Q27" s="2"/>
      <c r="R27" s="2"/>
      <c r="S27" s="2"/>
      <c r="T27" s="2"/>
      <c r="U27" s="2"/>
      <c r="V27" s="2"/>
      <c r="W27" s="2">
        <v>1253</v>
      </c>
      <c r="X27" s="2"/>
      <c r="Y27" s="19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7">
        <f t="shared" si="1"/>
        <v>142.79999999999998</v>
      </c>
      <c r="AK27" s="7">
        <v>100</v>
      </c>
      <c r="AL27" s="7">
        <v>0</v>
      </c>
      <c r="AM27" s="8">
        <f t="shared" si="2"/>
        <v>0</v>
      </c>
      <c r="AN27" s="8">
        <v>0</v>
      </c>
      <c r="AO27" s="8">
        <f t="shared" si="3"/>
        <v>0</v>
      </c>
      <c r="AP27" s="8">
        <f t="shared" si="4"/>
        <v>0</v>
      </c>
      <c r="AQ27" s="8">
        <v>0</v>
      </c>
      <c r="AR27" s="8">
        <v>0</v>
      </c>
      <c r="AS27" s="8" t="s">
        <v>119</v>
      </c>
      <c r="AT27" s="8" t="s">
        <v>121</v>
      </c>
      <c r="AV27"/>
      <c r="AW27"/>
      <c r="AX27"/>
      <c r="BA27" s="1">
        <v>-250</v>
      </c>
    </row>
    <row r="28" spans="2:53" x14ac:dyDescent="0.25">
      <c r="B28" s="2" t="s">
        <v>87</v>
      </c>
      <c r="C28" s="2" t="s">
        <v>88</v>
      </c>
      <c r="D28" s="2" t="s">
        <v>21</v>
      </c>
      <c r="E28" s="2" t="s">
        <v>17</v>
      </c>
      <c r="F28" s="2">
        <v>2.8000000000000001E-2</v>
      </c>
      <c r="G28" s="3">
        <v>0.127</v>
      </c>
      <c r="H28" s="2">
        <v>0</v>
      </c>
      <c r="I28" s="2"/>
      <c r="J28" s="2"/>
      <c r="K28" s="2"/>
      <c r="L28" s="2"/>
      <c r="M28" s="2"/>
      <c r="N28" s="8">
        <f t="shared" si="0"/>
        <v>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19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7">
        <f t="shared" si="1"/>
        <v>0</v>
      </c>
      <c r="AK28" s="7">
        <v>100</v>
      </c>
      <c r="AL28" s="7">
        <v>0</v>
      </c>
      <c r="AM28" s="8">
        <f t="shared" si="2"/>
        <v>0</v>
      </c>
      <c r="AN28" s="8">
        <v>0</v>
      </c>
      <c r="AO28" s="8">
        <f t="shared" si="3"/>
        <v>0</v>
      </c>
      <c r="AP28" s="8">
        <f t="shared" si="4"/>
        <v>0</v>
      </c>
      <c r="AQ28" s="8">
        <v>0</v>
      </c>
      <c r="AR28" s="8">
        <v>0</v>
      </c>
      <c r="AS28" s="8" t="s">
        <v>119</v>
      </c>
      <c r="AT28" s="8" t="s">
        <v>121</v>
      </c>
      <c r="BA28" s="1">
        <v>0</v>
      </c>
    </row>
    <row r="29" spans="2:53" x14ac:dyDescent="0.25">
      <c r="B29" s="2" t="s">
        <v>87</v>
      </c>
      <c r="C29" s="2" t="s">
        <v>88</v>
      </c>
      <c r="D29" s="2" t="s">
        <v>22</v>
      </c>
      <c r="E29" s="2" t="s">
        <v>17</v>
      </c>
      <c r="F29" s="2">
        <v>2.8000000000000001E-2</v>
      </c>
      <c r="G29" s="3">
        <v>0.114</v>
      </c>
      <c r="H29" s="2">
        <v>600</v>
      </c>
      <c r="I29" s="2"/>
      <c r="J29" s="2"/>
      <c r="K29" s="2"/>
      <c r="L29" s="2"/>
      <c r="M29" s="2"/>
      <c r="N29" s="8">
        <f t="shared" si="0"/>
        <v>0</v>
      </c>
      <c r="O29" s="2"/>
      <c r="P29" s="2"/>
      <c r="Q29" s="2"/>
      <c r="R29" s="2"/>
      <c r="S29" s="2"/>
      <c r="T29" s="2"/>
      <c r="U29" s="2"/>
      <c r="V29" s="2"/>
      <c r="W29" s="2">
        <v>400</v>
      </c>
      <c r="X29" s="2">
        <v>200</v>
      </c>
      <c r="Y29" s="19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7">
        <f t="shared" si="1"/>
        <v>68.400000000000006</v>
      </c>
      <c r="AK29" s="7">
        <v>100</v>
      </c>
      <c r="AL29" s="7">
        <v>0</v>
      </c>
      <c r="AM29" s="8">
        <f t="shared" si="2"/>
        <v>0</v>
      </c>
      <c r="AN29" s="8">
        <v>0</v>
      </c>
      <c r="AO29" s="8">
        <f t="shared" si="3"/>
        <v>0</v>
      </c>
      <c r="AP29" s="8">
        <f t="shared" si="4"/>
        <v>0</v>
      </c>
      <c r="AQ29" s="8">
        <v>0</v>
      </c>
      <c r="AR29" s="8">
        <v>0</v>
      </c>
      <c r="AS29" s="8" t="s">
        <v>119</v>
      </c>
      <c r="AT29" s="8" t="s">
        <v>121</v>
      </c>
      <c r="BA29" s="1">
        <v>-55</v>
      </c>
    </row>
    <row r="30" spans="2:53" x14ac:dyDescent="0.25">
      <c r="B30" s="2" t="s">
        <v>87</v>
      </c>
      <c r="C30" s="2" t="s">
        <v>88</v>
      </c>
      <c r="D30" s="2" t="s">
        <v>23</v>
      </c>
      <c r="E30" s="2" t="s">
        <v>17</v>
      </c>
      <c r="F30" s="2">
        <v>2.8000000000000001E-2</v>
      </c>
      <c r="G30" s="3">
        <v>6.9000000000000006E-2</v>
      </c>
      <c r="H30" s="2">
        <v>0</v>
      </c>
      <c r="I30" s="2"/>
      <c r="J30" s="2"/>
      <c r="K30" s="2"/>
      <c r="L30" s="2"/>
      <c r="M30" s="2"/>
      <c r="N30" s="8">
        <f t="shared" si="0"/>
        <v>0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19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7">
        <f t="shared" si="1"/>
        <v>0</v>
      </c>
      <c r="AK30" s="7">
        <v>100</v>
      </c>
      <c r="AL30" s="7">
        <v>0</v>
      </c>
      <c r="AM30" s="8">
        <f t="shared" si="2"/>
        <v>0</v>
      </c>
      <c r="AN30" s="8">
        <v>0</v>
      </c>
      <c r="AO30" s="8">
        <f t="shared" si="3"/>
        <v>0</v>
      </c>
      <c r="AP30" s="8">
        <f t="shared" si="4"/>
        <v>0</v>
      </c>
      <c r="AQ30" s="8">
        <v>0</v>
      </c>
      <c r="AR30" s="8">
        <v>0</v>
      </c>
      <c r="AS30" s="8" t="s">
        <v>119</v>
      </c>
      <c r="AT30" s="8" t="s">
        <v>121</v>
      </c>
      <c r="BA30" s="1">
        <v>-50</v>
      </c>
    </row>
    <row r="31" spans="2:53" x14ac:dyDescent="0.25">
      <c r="B31" s="2" t="s">
        <v>87</v>
      </c>
      <c r="C31" s="2" t="s">
        <v>88</v>
      </c>
      <c r="D31" s="2" t="s">
        <v>24</v>
      </c>
      <c r="E31" s="2" t="s">
        <v>17</v>
      </c>
      <c r="F31" s="2">
        <v>2.8000000000000001E-2</v>
      </c>
      <c r="G31" s="3">
        <v>0.129</v>
      </c>
      <c r="H31" s="2">
        <v>0</v>
      </c>
      <c r="I31" s="2"/>
      <c r="J31" s="2"/>
      <c r="K31" s="2"/>
      <c r="L31" s="2"/>
      <c r="M31" s="2"/>
      <c r="N31" s="8">
        <f t="shared" si="0"/>
        <v>0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19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7">
        <f t="shared" si="1"/>
        <v>0</v>
      </c>
      <c r="AK31" s="7">
        <v>100</v>
      </c>
      <c r="AL31" s="7">
        <v>0</v>
      </c>
      <c r="AM31" s="8">
        <f t="shared" si="2"/>
        <v>0</v>
      </c>
      <c r="AN31" s="8">
        <v>0</v>
      </c>
      <c r="AO31" s="8">
        <f t="shared" si="3"/>
        <v>0</v>
      </c>
      <c r="AP31" s="8">
        <f t="shared" si="4"/>
        <v>0</v>
      </c>
      <c r="AQ31" s="8">
        <v>0</v>
      </c>
      <c r="AR31" s="8">
        <v>0</v>
      </c>
      <c r="AS31" s="8" t="s">
        <v>119</v>
      </c>
      <c r="AT31" s="8" t="s">
        <v>121</v>
      </c>
      <c r="BA31" s="1">
        <v>0</v>
      </c>
    </row>
    <row r="32" spans="2:53" x14ac:dyDescent="0.25">
      <c r="B32" s="2" t="s">
        <v>87</v>
      </c>
      <c r="C32" s="2" t="s">
        <v>88</v>
      </c>
      <c r="D32" s="2" t="s">
        <v>25</v>
      </c>
      <c r="E32" s="2" t="s">
        <v>17</v>
      </c>
      <c r="F32" s="2">
        <v>2.8000000000000001E-2</v>
      </c>
      <c r="G32" s="3">
        <v>7.8E-2</v>
      </c>
      <c r="H32" s="2">
        <v>600</v>
      </c>
      <c r="I32" s="2"/>
      <c r="J32" s="2"/>
      <c r="K32" s="2"/>
      <c r="L32" s="2"/>
      <c r="M32" s="2"/>
      <c r="N32" s="8">
        <f t="shared" si="0"/>
        <v>0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19"/>
      <c r="Z32" s="2"/>
      <c r="AA32" s="2"/>
      <c r="AB32" s="2"/>
      <c r="AC32" s="2"/>
      <c r="AD32" s="2">
        <v>564</v>
      </c>
      <c r="AE32" s="2"/>
      <c r="AF32" s="2"/>
      <c r="AG32" s="2"/>
      <c r="AH32" s="2"/>
      <c r="AI32" s="2">
        <v>36</v>
      </c>
      <c r="AJ32" s="7">
        <f t="shared" si="1"/>
        <v>46.8</v>
      </c>
      <c r="AK32" s="7">
        <v>100</v>
      </c>
      <c r="AL32" s="7">
        <v>0</v>
      </c>
      <c r="AM32" s="8">
        <f t="shared" si="2"/>
        <v>0</v>
      </c>
      <c r="AN32" s="8">
        <v>0</v>
      </c>
      <c r="AO32" s="8">
        <f t="shared" si="3"/>
        <v>0</v>
      </c>
      <c r="AP32" s="8">
        <f t="shared" si="4"/>
        <v>0</v>
      </c>
      <c r="AQ32" s="8">
        <v>0</v>
      </c>
      <c r="AR32" s="8">
        <v>0</v>
      </c>
      <c r="AS32" s="8" t="s">
        <v>119</v>
      </c>
      <c r="AT32" s="8" t="s">
        <v>121</v>
      </c>
      <c r="BA32" s="1">
        <v>307</v>
      </c>
    </row>
    <row r="33" spans="2:53" x14ac:dyDescent="0.25">
      <c r="B33" s="2" t="s">
        <v>87</v>
      </c>
      <c r="C33" s="2" t="s">
        <v>88</v>
      </c>
      <c r="D33" s="2" t="s">
        <v>26</v>
      </c>
      <c r="E33" s="2" t="s">
        <v>17</v>
      </c>
      <c r="F33" s="2">
        <v>2.8000000000000001E-2</v>
      </c>
      <c r="G33" s="3">
        <v>0.10100000000000001</v>
      </c>
      <c r="H33" s="2">
        <v>0</v>
      </c>
      <c r="I33" s="2"/>
      <c r="J33" s="2"/>
      <c r="K33" s="2"/>
      <c r="L33" s="2"/>
      <c r="M33" s="2"/>
      <c r="N33" s="8">
        <f t="shared" si="0"/>
        <v>0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19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7">
        <f t="shared" si="1"/>
        <v>0</v>
      </c>
      <c r="AK33" s="7">
        <v>100</v>
      </c>
      <c r="AL33" s="7">
        <v>0</v>
      </c>
      <c r="AM33" s="8">
        <f t="shared" si="2"/>
        <v>0</v>
      </c>
      <c r="AN33" s="8">
        <v>0</v>
      </c>
      <c r="AO33" s="8">
        <f t="shared" si="3"/>
        <v>0</v>
      </c>
      <c r="AP33" s="8">
        <f t="shared" si="4"/>
        <v>0</v>
      </c>
      <c r="AQ33" s="8">
        <v>0</v>
      </c>
      <c r="AR33" s="8">
        <v>0</v>
      </c>
      <c r="AS33" s="8" t="s">
        <v>119</v>
      </c>
      <c r="AT33" s="8" t="s">
        <v>121</v>
      </c>
      <c r="BA33" s="1">
        <v>-77</v>
      </c>
    </row>
    <row r="34" spans="2:53" x14ac:dyDescent="0.25">
      <c r="B34" s="2" t="s">
        <v>87</v>
      </c>
      <c r="C34" s="2" t="s">
        <v>88</v>
      </c>
      <c r="D34" s="2" t="s">
        <v>27</v>
      </c>
      <c r="E34" s="2" t="s">
        <v>17</v>
      </c>
      <c r="F34" s="2">
        <v>2.8000000000000001E-2</v>
      </c>
      <c r="G34" s="3">
        <v>7.5999999999999998E-2</v>
      </c>
      <c r="H34" s="2">
        <v>0</v>
      </c>
      <c r="I34" s="2"/>
      <c r="J34" s="2"/>
      <c r="K34" s="2"/>
      <c r="L34" s="2"/>
      <c r="M34" s="2"/>
      <c r="N34" s="8">
        <f t="shared" si="0"/>
        <v>0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19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7">
        <f t="shared" si="1"/>
        <v>0</v>
      </c>
      <c r="AK34" s="7">
        <v>100</v>
      </c>
      <c r="AL34" s="7">
        <v>0</v>
      </c>
      <c r="AM34" s="8">
        <f t="shared" si="2"/>
        <v>0</v>
      </c>
      <c r="AN34" s="8">
        <v>0</v>
      </c>
      <c r="AO34" s="8">
        <f t="shared" si="3"/>
        <v>0</v>
      </c>
      <c r="AP34" s="8">
        <f t="shared" si="4"/>
        <v>0</v>
      </c>
      <c r="AQ34" s="8">
        <v>0</v>
      </c>
      <c r="AR34" s="8">
        <v>0</v>
      </c>
      <c r="AS34" s="8" t="s">
        <v>119</v>
      </c>
      <c r="AT34" s="8" t="s">
        <v>121</v>
      </c>
      <c r="BA34" s="1">
        <v>300</v>
      </c>
    </row>
    <row r="35" spans="2:53" x14ac:dyDescent="0.25">
      <c r="B35" s="2" t="s">
        <v>87</v>
      </c>
      <c r="C35" s="2" t="s">
        <v>88</v>
      </c>
      <c r="D35" s="2" t="s">
        <v>28</v>
      </c>
      <c r="E35" s="2" t="s">
        <v>17</v>
      </c>
      <c r="F35" s="2">
        <v>2.8000000000000001E-2</v>
      </c>
      <c r="G35" s="3">
        <v>4.2000000000000003E-2</v>
      </c>
      <c r="H35" s="2">
        <v>1800</v>
      </c>
      <c r="I35" s="2"/>
      <c r="J35" s="2"/>
      <c r="K35" s="2"/>
      <c r="L35" s="2"/>
      <c r="M35" s="2"/>
      <c r="N35" s="8">
        <f t="shared" si="0"/>
        <v>0</v>
      </c>
      <c r="O35" s="2"/>
      <c r="P35" s="2"/>
      <c r="Q35" s="2"/>
      <c r="R35" s="2"/>
      <c r="S35" s="2"/>
      <c r="T35" s="2"/>
      <c r="U35" s="2">
        <v>1400</v>
      </c>
      <c r="V35" s="2"/>
      <c r="W35" s="2">
        <v>400</v>
      </c>
      <c r="X35" s="2"/>
      <c r="Y35" s="19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7">
        <f t="shared" si="1"/>
        <v>75.600000000000009</v>
      </c>
      <c r="AK35" s="7">
        <v>100</v>
      </c>
      <c r="AL35" s="7">
        <v>0</v>
      </c>
      <c r="AM35" s="8">
        <f t="shared" si="2"/>
        <v>0</v>
      </c>
      <c r="AN35" s="8">
        <v>0</v>
      </c>
      <c r="AO35" s="8">
        <f t="shared" si="3"/>
        <v>0</v>
      </c>
      <c r="AP35" s="8">
        <f t="shared" si="4"/>
        <v>0</v>
      </c>
      <c r="AQ35" s="8">
        <v>0</v>
      </c>
      <c r="AR35" s="8">
        <v>0</v>
      </c>
      <c r="AS35" s="8" t="s">
        <v>119</v>
      </c>
      <c r="AT35" s="8" t="s">
        <v>121</v>
      </c>
      <c r="BA35" s="1">
        <v>-445</v>
      </c>
    </row>
    <row r="36" spans="2:53" x14ac:dyDescent="0.25">
      <c r="B36" s="2" t="s">
        <v>87</v>
      </c>
      <c r="C36" s="2" t="s">
        <v>88</v>
      </c>
      <c r="D36" s="2" t="s">
        <v>29</v>
      </c>
      <c r="E36" s="2" t="s">
        <v>17</v>
      </c>
      <c r="F36" s="2">
        <v>2.8000000000000001E-2</v>
      </c>
      <c r="G36" s="3">
        <v>0.105</v>
      </c>
      <c r="H36" s="2">
        <v>600</v>
      </c>
      <c r="I36" s="2"/>
      <c r="J36" s="2"/>
      <c r="K36" s="2"/>
      <c r="L36" s="2"/>
      <c r="M36" s="2"/>
      <c r="N36" s="8">
        <f t="shared" si="0"/>
        <v>0</v>
      </c>
      <c r="O36" s="2"/>
      <c r="P36" s="2"/>
      <c r="Q36" s="2"/>
      <c r="R36" s="2"/>
      <c r="S36" s="2"/>
      <c r="T36" s="2"/>
      <c r="U36" s="2"/>
      <c r="V36" s="2"/>
      <c r="W36" s="2"/>
      <c r="X36" s="2">
        <v>600</v>
      </c>
      <c r="Y36" s="19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7">
        <f t="shared" si="1"/>
        <v>63</v>
      </c>
      <c r="AK36" s="7">
        <v>100</v>
      </c>
      <c r="AL36" s="7">
        <v>0</v>
      </c>
      <c r="AM36" s="8">
        <f t="shared" si="2"/>
        <v>0</v>
      </c>
      <c r="AN36" s="8">
        <v>0</v>
      </c>
      <c r="AO36" s="8">
        <f t="shared" si="3"/>
        <v>0</v>
      </c>
      <c r="AP36" s="8">
        <f t="shared" si="4"/>
        <v>0</v>
      </c>
      <c r="AQ36" s="8">
        <v>0</v>
      </c>
      <c r="AR36" s="8">
        <v>0</v>
      </c>
      <c r="AS36" s="8" t="s">
        <v>119</v>
      </c>
      <c r="AT36" s="8" t="s">
        <v>121</v>
      </c>
      <c r="BA36" s="1">
        <v>-83</v>
      </c>
    </row>
    <row r="37" spans="2:53" x14ac:dyDescent="0.25">
      <c r="B37" s="2" t="s">
        <v>87</v>
      </c>
      <c r="C37" s="2" t="s">
        <v>88</v>
      </c>
      <c r="D37" s="2" t="s">
        <v>30</v>
      </c>
      <c r="E37" s="2" t="s">
        <v>17</v>
      </c>
      <c r="F37" s="2">
        <v>2.8000000000000001E-2</v>
      </c>
      <c r="G37" s="3">
        <v>0.14299999999999999</v>
      </c>
      <c r="H37" s="2">
        <v>600</v>
      </c>
      <c r="I37" s="2"/>
      <c r="J37" s="2"/>
      <c r="K37" s="2"/>
      <c r="L37" s="2"/>
      <c r="M37" s="2"/>
      <c r="N37" s="8">
        <f t="shared" si="0"/>
        <v>600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19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7">
        <f t="shared" si="1"/>
        <v>85.8</v>
      </c>
      <c r="AK37" s="7">
        <v>100</v>
      </c>
      <c r="AL37" s="7">
        <v>0</v>
      </c>
      <c r="AM37" s="8">
        <f t="shared" si="2"/>
        <v>0</v>
      </c>
      <c r="AN37" s="8">
        <v>0</v>
      </c>
      <c r="AO37" s="8">
        <f t="shared" si="3"/>
        <v>0</v>
      </c>
      <c r="AP37" s="8">
        <f t="shared" si="4"/>
        <v>0</v>
      </c>
      <c r="AQ37" s="8">
        <v>0</v>
      </c>
      <c r="AR37" s="8">
        <v>0</v>
      </c>
      <c r="AS37" s="8" t="s">
        <v>119</v>
      </c>
      <c r="AT37" s="8" t="s">
        <v>121</v>
      </c>
      <c r="BA37" s="1">
        <v>0</v>
      </c>
    </row>
    <row r="38" spans="2:53" x14ac:dyDescent="0.25">
      <c r="B38" s="2" t="s">
        <v>87</v>
      </c>
      <c r="C38" s="2" t="s">
        <v>88</v>
      </c>
      <c r="D38" s="2" t="s">
        <v>31</v>
      </c>
      <c r="E38" s="2" t="s">
        <v>17</v>
      </c>
      <c r="F38" s="2">
        <v>2.8000000000000001E-2</v>
      </c>
      <c r="G38" s="3">
        <v>4.5999999999999999E-2</v>
      </c>
      <c r="H38" s="2">
        <v>600</v>
      </c>
      <c r="I38" s="2"/>
      <c r="J38" s="2"/>
      <c r="K38" s="2"/>
      <c r="L38" s="2"/>
      <c r="M38" s="2"/>
      <c r="N38" s="8">
        <f t="shared" si="0"/>
        <v>0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19">
        <v>550</v>
      </c>
      <c r="Z38" s="2"/>
      <c r="AA38" s="2"/>
      <c r="AB38" s="2"/>
      <c r="AC38" s="2"/>
      <c r="AD38" s="2"/>
      <c r="AE38" s="2"/>
      <c r="AF38" s="2"/>
      <c r="AG38" s="2"/>
      <c r="AH38" s="2"/>
      <c r="AI38" s="2">
        <v>50</v>
      </c>
      <c r="AJ38" s="7">
        <f t="shared" si="1"/>
        <v>27.599999999999998</v>
      </c>
      <c r="AK38" s="7">
        <v>100</v>
      </c>
      <c r="AL38" s="7">
        <v>0</v>
      </c>
      <c r="AM38" s="8">
        <f t="shared" si="2"/>
        <v>0</v>
      </c>
      <c r="AN38" s="8">
        <v>0</v>
      </c>
      <c r="AO38" s="8">
        <f t="shared" si="3"/>
        <v>0</v>
      </c>
      <c r="AP38" s="8">
        <f t="shared" si="4"/>
        <v>0</v>
      </c>
      <c r="AQ38" s="8">
        <v>0</v>
      </c>
      <c r="AR38" s="8">
        <v>0</v>
      </c>
      <c r="AS38" s="8" t="s">
        <v>119</v>
      </c>
      <c r="AT38" s="8" t="s">
        <v>121</v>
      </c>
      <c r="BA38" s="1">
        <v>300</v>
      </c>
    </row>
    <row r="39" spans="2:53" x14ac:dyDescent="0.25">
      <c r="B39" s="2" t="s">
        <v>87</v>
      </c>
      <c r="C39" s="2" t="s">
        <v>88</v>
      </c>
      <c r="D39" s="2" t="s">
        <v>32</v>
      </c>
      <c r="E39" s="2" t="s">
        <v>17</v>
      </c>
      <c r="F39" s="2">
        <v>2.8000000000000001E-2</v>
      </c>
      <c r="G39" s="3">
        <v>0.129</v>
      </c>
      <c r="H39" s="2">
        <v>0</v>
      </c>
      <c r="I39" s="2"/>
      <c r="J39" s="2"/>
      <c r="K39" s="2"/>
      <c r="L39" s="2"/>
      <c r="M39" s="2"/>
      <c r="N39" s="8">
        <f t="shared" si="0"/>
        <v>0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19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7">
        <f t="shared" si="1"/>
        <v>0</v>
      </c>
      <c r="AK39" s="7">
        <v>100</v>
      </c>
      <c r="AL39" s="7">
        <v>0</v>
      </c>
      <c r="AM39" s="8">
        <f t="shared" si="2"/>
        <v>0</v>
      </c>
      <c r="AN39" s="8">
        <v>0</v>
      </c>
      <c r="AO39" s="8">
        <f t="shared" si="3"/>
        <v>0</v>
      </c>
      <c r="AP39" s="8">
        <f t="shared" si="4"/>
        <v>0</v>
      </c>
      <c r="AQ39" s="8">
        <v>0</v>
      </c>
      <c r="AR39" s="8">
        <v>0</v>
      </c>
      <c r="AS39" s="8" t="s">
        <v>119</v>
      </c>
      <c r="AT39" s="8" t="s">
        <v>121</v>
      </c>
      <c r="BA39" s="1">
        <v>500</v>
      </c>
    </row>
    <row r="40" spans="2:53" x14ac:dyDescent="0.25">
      <c r="B40" s="2" t="s">
        <v>87</v>
      </c>
      <c r="C40" s="2" t="s">
        <v>88</v>
      </c>
      <c r="D40" s="2" t="s">
        <v>33</v>
      </c>
      <c r="E40" s="2" t="s">
        <v>17</v>
      </c>
      <c r="F40" s="2">
        <v>2.8000000000000001E-2</v>
      </c>
      <c r="G40" s="3">
        <v>0.13400000000000001</v>
      </c>
      <c r="H40" s="2">
        <v>600</v>
      </c>
      <c r="I40" s="2"/>
      <c r="J40" s="2"/>
      <c r="K40" s="2"/>
      <c r="L40" s="2"/>
      <c r="M40" s="2"/>
      <c r="N40" s="8">
        <f t="shared" si="0"/>
        <v>0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19"/>
      <c r="Z40" s="2"/>
      <c r="AA40" s="2"/>
      <c r="AB40" s="2">
        <v>432</v>
      </c>
      <c r="AC40" s="2">
        <v>154</v>
      </c>
      <c r="AD40" s="2"/>
      <c r="AE40" s="2"/>
      <c r="AF40" s="2"/>
      <c r="AG40" s="2"/>
      <c r="AH40" s="2"/>
      <c r="AI40" s="2">
        <v>14</v>
      </c>
      <c r="AJ40" s="7">
        <f t="shared" si="1"/>
        <v>80.400000000000006</v>
      </c>
      <c r="AK40" s="7">
        <v>100</v>
      </c>
      <c r="AL40" s="7">
        <v>0</v>
      </c>
      <c r="AM40" s="8">
        <f t="shared" si="2"/>
        <v>0</v>
      </c>
      <c r="AN40" s="8">
        <v>0</v>
      </c>
      <c r="AO40" s="8">
        <f t="shared" si="3"/>
        <v>0</v>
      </c>
      <c r="AP40" s="8">
        <f t="shared" si="4"/>
        <v>0</v>
      </c>
      <c r="AQ40" s="8">
        <v>0</v>
      </c>
      <c r="AR40" s="8">
        <v>0</v>
      </c>
      <c r="AS40" s="8" t="s">
        <v>119</v>
      </c>
      <c r="AT40" s="8" t="s">
        <v>121</v>
      </c>
      <c r="BA40" s="1">
        <v>300</v>
      </c>
    </row>
    <row r="41" spans="2:53" x14ac:dyDescent="0.25">
      <c r="B41" s="2" t="s">
        <v>87</v>
      </c>
      <c r="C41" s="2" t="s">
        <v>88</v>
      </c>
      <c r="D41" s="2" t="s">
        <v>34</v>
      </c>
      <c r="E41" s="2" t="s">
        <v>17</v>
      </c>
      <c r="F41" s="2">
        <v>2.8000000000000001E-2</v>
      </c>
      <c r="G41" s="3">
        <v>0.105</v>
      </c>
      <c r="H41" s="2">
        <v>0</v>
      </c>
      <c r="I41" s="2"/>
      <c r="J41" s="2"/>
      <c r="K41" s="2"/>
      <c r="L41" s="2"/>
      <c r="M41" s="2"/>
      <c r="N41" s="8">
        <f t="shared" si="0"/>
        <v>0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19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7">
        <f t="shared" si="1"/>
        <v>0</v>
      </c>
      <c r="AK41" s="7">
        <v>100</v>
      </c>
      <c r="AL41" s="7">
        <v>0</v>
      </c>
      <c r="AM41" s="8">
        <f t="shared" si="2"/>
        <v>0</v>
      </c>
      <c r="AN41" s="8">
        <v>0</v>
      </c>
      <c r="AO41" s="8">
        <f t="shared" si="3"/>
        <v>0</v>
      </c>
      <c r="AP41" s="8">
        <f t="shared" si="4"/>
        <v>0</v>
      </c>
      <c r="AQ41" s="8">
        <v>0</v>
      </c>
      <c r="AR41" s="8">
        <v>0</v>
      </c>
      <c r="AS41" s="8" t="s">
        <v>119</v>
      </c>
      <c r="AT41" s="8" t="s">
        <v>121</v>
      </c>
      <c r="BA41" s="1">
        <v>0</v>
      </c>
    </row>
    <row r="42" spans="2:53" x14ac:dyDescent="0.25">
      <c r="B42" s="2" t="s">
        <v>87</v>
      </c>
      <c r="C42" s="2" t="s">
        <v>88</v>
      </c>
      <c r="D42" s="2" t="s">
        <v>35</v>
      </c>
      <c r="E42" s="2" t="s">
        <v>17</v>
      </c>
      <c r="F42" s="2">
        <v>2.8000000000000001E-2</v>
      </c>
      <c r="G42" s="3">
        <v>9.9000000000000005E-2</v>
      </c>
      <c r="H42" s="2">
        <v>0</v>
      </c>
      <c r="I42" s="2"/>
      <c r="J42" s="2"/>
      <c r="K42" s="2"/>
      <c r="L42" s="2"/>
      <c r="M42" s="2"/>
      <c r="N42" s="8">
        <f t="shared" si="0"/>
        <v>0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19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7">
        <f t="shared" si="1"/>
        <v>0</v>
      </c>
      <c r="AK42" s="7">
        <v>100</v>
      </c>
      <c r="AL42" s="7">
        <v>0</v>
      </c>
      <c r="AM42" s="8">
        <f t="shared" si="2"/>
        <v>0</v>
      </c>
      <c r="AN42" s="8">
        <v>0</v>
      </c>
      <c r="AO42" s="8">
        <f t="shared" si="3"/>
        <v>0</v>
      </c>
      <c r="AP42" s="8">
        <f t="shared" si="4"/>
        <v>0</v>
      </c>
      <c r="AQ42" s="8">
        <v>0</v>
      </c>
      <c r="AR42" s="8">
        <v>0</v>
      </c>
      <c r="AS42" s="8" t="s">
        <v>119</v>
      </c>
      <c r="AT42" s="8" t="s">
        <v>121</v>
      </c>
      <c r="BA42" s="1">
        <v>300</v>
      </c>
    </row>
    <row r="43" spans="2:53" x14ac:dyDescent="0.25">
      <c r="B43" s="2" t="s">
        <v>87</v>
      </c>
      <c r="C43" s="2" t="s">
        <v>88</v>
      </c>
      <c r="D43" s="2" t="s">
        <v>36</v>
      </c>
      <c r="E43" s="2" t="s">
        <v>17</v>
      </c>
      <c r="F43" s="2">
        <v>2.8000000000000001E-2</v>
      </c>
      <c r="G43" s="3">
        <v>0.13100000000000001</v>
      </c>
      <c r="H43" s="2">
        <v>0</v>
      </c>
      <c r="I43" s="2"/>
      <c r="J43" s="2"/>
      <c r="K43" s="2"/>
      <c r="L43" s="2"/>
      <c r="M43" s="2"/>
      <c r="N43" s="8">
        <f t="shared" ref="N43:N74" si="5">+H43+I43+J43+K43+L43+M43-SUM(O43:AI43)</f>
        <v>0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19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7">
        <f t="shared" ref="AJ43:AJ74" si="6">+G43*SUM(H43:M43)</f>
        <v>0</v>
      </c>
      <c r="AK43" s="7">
        <v>100</v>
      </c>
      <c r="AL43" s="7">
        <v>0</v>
      </c>
      <c r="AM43" s="8">
        <f t="shared" ref="AM43:AM74" si="7">+H43*AL43</f>
        <v>0</v>
      </c>
      <c r="AN43" s="8">
        <v>0</v>
      </c>
      <c r="AO43" s="8">
        <f t="shared" ref="AO43:AO74" si="8">+H43*AN43</f>
        <v>0</v>
      </c>
      <c r="AP43" s="8">
        <f t="shared" si="4"/>
        <v>0</v>
      </c>
      <c r="AQ43" s="8">
        <v>0</v>
      </c>
      <c r="AR43" s="8">
        <v>0</v>
      </c>
      <c r="AS43" s="8" t="s">
        <v>119</v>
      </c>
      <c r="AT43" s="8" t="s">
        <v>121</v>
      </c>
      <c r="BA43" s="1">
        <v>0</v>
      </c>
    </row>
    <row r="44" spans="2:53" x14ac:dyDescent="0.25">
      <c r="B44" s="2" t="s">
        <v>87</v>
      </c>
      <c r="C44" s="2" t="s">
        <v>88</v>
      </c>
      <c r="D44" s="2" t="s">
        <v>37</v>
      </c>
      <c r="E44" s="2" t="s">
        <v>17</v>
      </c>
      <c r="F44" s="2">
        <v>2.8000000000000001E-2</v>
      </c>
      <c r="G44" s="3">
        <v>9.4E-2</v>
      </c>
      <c r="H44" s="2">
        <v>600</v>
      </c>
      <c r="I44" s="2"/>
      <c r="J44" s="2"/>
      <c r="K44" s="2"/>
      <c r="L44" s="2"/>
      <c r="M44" s="2"/>
      <c r="N44" s="8">
        <f t="shared" si="5"/>
        <v>0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19"/>
      <c r="Z44" s="2">
        <v>543</v>
      </c>
      <c r="AA44" s="2"/>
      <c r="AB44" s="2"/>
      <c r="AC44" s="2"/>
      <c r="AD44" s="2"/>
      <c r="AE44" s="2"/>
      <c r="AF44" s="2"/>
      <c r="AG44" s="2"/>
      <c r="AH44" s="2"/>
      <c r="AI44" s="2">
        <v>57</v>
      </c>
      <c r="AJ44" s="7">
        <f t="shared" si="6"/>
        <v>56.4</v>
      </c>
      <c r="AK44" s="7">
        <v>100</v>
      </c>
      <c r="AL44" s="7">
        <v>0</v>
      </c>
      <c r="AM44" s="8">
        <f t="shared" si="7"/>
        <v>0</v>
      </c>
      <c r="AN44" s="8">
        <v>0</v>
      </c>
      <c r="AO44" s="8">
        <f t="shared" si="8"/>
        <v>0</v>
      </c>
      <c r="AP44" s="8">
        <f t="shared" si="4"/>
        <v>0</v>
      </c>
      <c r="AQ44" s="8">
        <v>0</v>
      </c>
      <c r="AR44" s="8">
        <v>0</v>
      </c>
      <c r="AS44" s="8" t="s">
        <v>119</v>
      </c>
      <c r="AT44" s="8" t="s">
        <v>121</v>
      </c>
      <c r="BA44" s="1">
        <v>0</v>
      </c>
    </row>
    <row r="45" spans="2:53" x14ac:dyDescent="0.25">
      <c r="B45" s="2" t="s">
        <v>87</v>
      </c>
      <c r="C45" s="2" t="s">
        <v>88</v>
      </c>
      <c r="D45" s="2" t="s">
        <v>38</v>
      </c>
      <c r="E45" s="2" t="s">
        <v>17</v>
      </c>
      <c r="F45" s="2">
        <v>2.8000000000000001E-2</v>
      </c>
      <c r="G45" s="3">
        <v>0.122</v>
      </c>
      <c r="H45" s="2">
        <v>600</v>
      </c>
      <c r="I45" s="2"/>
      <c r="J45" s="2"/>
      <c r="K45" s="2"/>
      <c r="L45" s="2"/>
      <c r="M45" s="2"/>
      <c r="N45" s="8">
        <f t="shared" si="5"/>
        <v>600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19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7">
        <f t="shared" si="6"/>
        <v>73.2</v>
      </c>
      <c r="AK45" s="7">
        <v>100</v>
      </c>
      <c r="AL45" s="7">
        <v>0</v>
      </c>
      <c r="AM45" s="8">
        <f t="shared" si="7"/>
        <v>0</v>
      </c>
      <c r="AN45" s="8">
        <v>0</v>
      </c>
      <c r="AO45" s="8">
        <f t="shared" si="8"/>
        <v>0</v>
      </c>
      <c r="AP45" s="8">
        <f t="shared" si="4"/>
        <v>0</v>
      </c>
      <c r="AQ45" s="8">
        <v>0</v>
      </c>
      <c r="AR45" s="8">
        <v>0</v>
      </c>
      <c r="AS45" s="8" t="s">
        <v>119</v>
      </c>
      <c r="AT45" s="8" t="s">
        <v>121</v>
      </c>
      <c r="BA45" s="1">
        <v>0</v>
      </c>
    </row>
    <row r="46" spans="2:53" x14ac:dyDescent="0.25">
      <c r="B46" s="2" t="s">
        <v>87</v>
      </c>
      <c r="C46" s="2" t="s">
        <v>88</v>
      </c>
      <c r="D46" s="2" t="s">
        <v>39</v>
      </c>
      <c r="E46" s="2" t="s">
        <v>17</v>
      </c>
      <c r="F46" s="2">
        <v>2.8000000000000001E-2</v>
      </c>
      <c r="G46" s="3">
        <v>0.10100000000000001</v>
      </c>
      <c r="H46" s="2">
        <v>0</v>
      </c>
      <c r="I46" s="2"/>
      <c r="J46" s="2"/>
      <c r="K46" s="2"/>
      <c r="L46" s="2"/>
      <c r="M46" s="2"/>
      <c r="N46" s="8">
        <f t="shared" si="5"/>
        <v>0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19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7">
        <f t="shared" si="6"/>
        <v>0</v>
      </c>
      <c r="AK46" s="7">
        <v>100</v>
      </c>
      <c r="AL46" s="7">
        <v>0</v>
      </c>
      <c r="AM46" s="8">
        <f t="shared" si="7"/>
        <v>0</v>
      </c>
      <c r="AN46" s="8">
        <v>0</v>
      </c>
      <c r="AO46" s="8">
        <f t="shared" si="8"/>
        <v>0</v>
      </c>
      <c r="AP46" s="8">
        <f t="shared" si="4"/>
        <v>0</v>
      </c>
      <c r="AQ46" s="8">
        <v>0</v>
      </c>
      <c r="AR46" s="8">
        <v>0</v>
      </c>
      <c r="AS46" s="8" t="s">
        <v>119</v>
      </c>
      <c r="AT46" s="8" t="s">
        <v>121</v>
      </c>
      <c r="BA46" s="1">
        <v>0</v>
      </c>
    </row>
    <row r="47" spans="2:53" x14ac:dyDescent="0.25">
      <c r="B47" s="2" t="s">
        <v>87</v>
      </c>
      <c r="C47" s="2" t="s">
        <v>88</v>
      </c>
      <c r="D47" s="2" t="s">
        <v>40</v>
      </c>
      <c r="E47" s="2" t="s">
        <v>17</v>
      </c>
      <c r="F47" s="2">
        <v>2.8000000000000001E-2</v>
      </c>
      <c r="G47" s="3">
        <v>0.11899999999999999</v>
      </c>
      <c r="H47" s="2">
        <v>0</v>
      </c>
      <c r="I47" s="2"/>
      <c r="J47" s="2"/>
      <c r="K47" s="2"/>
      <c r="L47" s="2"/>
      <c r="M47" s="2"/>
      <c r="N47" s="8">
        <f t="shared" si="5"/>
        <v>0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19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7">
        <f t="shared" si="6"/>
        <v>0</v>
      </c>
      <c r="AK47" s="7">
        <v>100</v>
      </c>
      <c r="AL47" s="7">
        <v>0</v>
      </c>
      <c r="AM47" s="8">
        <f t="shared" si="7"/>
        <v>0</v>
      </c>
      <c r="AN47" s="8">
        <v>0</v>
      </c>
      <c r="AO47" s="8">
        <f t="shared" si="8"/>
        <v>0</v>
      </c>
      <c r="AP47" s="8">
        <f t="shared" si="4"/>
        <v>0</v>
      </c>
      <c r="AQ47" s="8">
        <v>0</v>
      </c>
      <c r="AR47" s="8">
        <v>0</v>
      </c>
      <c r="AS47" s="8" t="s">
        <v>119</v>
      </c>
      <c r="AT47" s="8" t="s">
        <v>121</v>
      </c>
      <c r="BA47" s="1">
        <v>0</v>
      </c>
    </row>
    <row r="48" spans="2:53" x14ac:dyDescent="0.25">
      <c r="B48" s="2" t="s">
        <v>87</v>
      </c>
      <c r="C48" s="2" t="s">
        <v>88</v>
      </c>
      <c r="D48" s="2" t="s">
        <v>41</v>
      </c>
      <c r="E48" s="2" t="s">
        <v>17</v>
      </c>
      <c r="F48" s="2">
        <v>2.8000000000000001E-2</v>
      </c>
      <c r="G48" s="3">
        <v>0.121</v>
      </c>
      <c r="H48" s="2">
        <v>600</v>
      </c>
      <c r="I48" s="2"/>
      <c r="J48" s="2"/>
      <c r="K48" s="2"/>
      <c r="L48" s="2"/>
      <c r="M48" s="2"/>
      <c r="N48" s="8">
        <f t="shared" si="5"/>
        <v>235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19">
        <v>365</v>
      </c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7">
        <f t="shared" si="6"/>
        <v>72.599999999999994</v>
      </c>
      <c r="AK48" s="7">
        <v>100</v>
      </c>
      <c r="AL48" s="7">
        <v>0</v>
      </c>
      <c r="AM48" s="8">
        <f t="shared" si="7"/>
        <v>0</v>
      </c>
      <c r="AN48" s="8">
        <v>0</v>
      </c>
      <c r="AO48" s="8">
        <f t="shared" si="8"/>
        <v>0</v>
      </c>
      <c r="AP48" s="8">
        <f t="shared" si="4"/>
        <v>0</v>
      </c>
      <c r="AQ48" s="8">
        <v>0</v>
      </c>
      <c r="AR48" s="8">
        <v>0</v>
      </c>
      <c r="AS48" s="8" t="s">
        <v>119</v>
      </c>
      <c r="AT48" s="8" t="s">
        <v>121</v>
      </c>
      <c r="BA48" s="1">
        <v>0</v>
      </c>
    </row>
    <row r="49" spans="2:53" x14ac:dyDescent="0.25">
      <c r="B49" s="2" t="s">
        <v>87</v>
      </c>
      <c r="C49" s="2" t="s">
        <v>88</v>
      </c>
      <c r="D49" s="2" t="s">
        <v>42</v>
      </c>
      <c r="E49" s="2" t="s">
        <v>17</v>
      </c>
      <c r="F49" s="2">
        <v>2.8000000000000001E-2</v>
      </c>
      <c r="G49" s="3">
        <v>0.127</v>
      </c>
      <c r="H49" s="2">
        <v>0</v>
      </c>
      <c r="I49" s="2"/>
      <c r="J49" s="2"/>
      <c r="K49" s="2"/>
      <c r="L49" s="2"/>
      <c r="M49" s="2"/>
      <c r="N49" s="8">
        <f t="shared" si="5"/>
        <v>0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19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7">
        <f t="shared" si="6"/>
        <v>0</v>
      </c>
      <c r="AK49" s="7">
        <v>100</v>
      </c>
      <c r="AL49" s="7">
        <v>0</v>
      </c>
      <c r="AM49" s="8">
        <f t="shared" si="7"/>
        <v>0</v>
      </c>
      <c r="AN49" s="8">
        <v>0</v>
      </c>
      <c r="AO49" s="8">
        <f t="shared" si="8"/>
        <v>0</v>
      </c>
      <c r="AP49" s="8">
        <f t="shared" si="4"/>
        <v>0</v>
      </c>
      <c r="AQ49" s="8">
        <v>0</v>
      </c>
      <c r="AR49" s="8">
        <v>0</v>
      </c>
      <c r="AS49" s="8" t="s">
        <v>119</v>
      </c>
      <c r="AT49" s="8" t="s">
        <v>121</v>
      </c>
      <c r="BA49" s="1">
        <v>0</v>
      </c>
    </row>
    <row r="50" spans="2:53" x14ac:dyDescent="0.25">
      <c r="B50" s="2" t="s">
        <v>87</v>
      </c>
      <c r="C50" s="2" t="s">
        <v>88</v>
      </c>
      <c r="D50" s="2" t="s">
        <v>43</v>
      </c>
      <c r="E50" s="2" t="s">
        <v>17</v>
      </c>
      <c r="F50" s="2">
        <v>2.8000000000000001E-2</v>
      </c>
      <c r="G50" s="3">
        <v>0.10299999999999999</v>
      </c>
      <c r="H50" s="2">
        <v>0</v>
      </c>
      <c r="I50" s="2"/>
      <c r="J50" s="2"/>
      <c r="K50" s="2"/>
      <c r="L50" s="2"/>
      <c r="M50" s="2"/>
      <c r="N50" s="8">
        <f t="shared" si="5"/>
        <v>0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19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7">
        <f t="shared" si="6"/>
        <v>0</v>
      </c>
      <c r="AK50" s="7">
        <v>100</v>
      </c>
      <c r="AL50" s="7">
        <v>0</v>
      </c>
      <c r="AM50" s="8">
        <f t="shared" si="7"/>
        <v>0</v>
      </c>
      <c r="AN50" s="8">
        <v>0</v>
      </c>
      <c r="AO50" s="8">
        <f t="shared" si="8"/>
        <v>0</v>
      </c>
      <c r="AP50" s="8">
        <f t="shared" si="4"/>
        <v>0</v>
      </c>
      <c r="AQ50" s="8">
        <v>0</v>
      </c>
      <c r="AR50" s="8">
        <v>0</v>
      </c>
      <c r="AS50" s="8" t="s">
        <v>119</v>
      </c>
      <c r="AT50" s="8" t="s">
        <v>121</v>
      </c>
      <c r="BA50" s="1">
        <v>328</v>
      </c>
    </row>
    <row r="51" spans="2:53" x14ac:dyDescent="0.25">
      <c r="B51" s="2" t="s">
        <v>87</v>
      </c>
      <c r="C51" s="2" t="s">
        <v>88</v>
      </c>
      <c r="D51" s="2" t="s">
        <v>44</v>
      </c>
      <c r="E51" s="2" t="s">
        <v>17</v>
      </c>
      <c r="F51" s="2">
        <v>2.8000000000000001E-2</v>
      </c>
      <c r="G51" s="3">
        <v>0.23799999999999999</v>
      </c>
      <c r="H51" s="2">
        <v>0</v>
      </c>
      <c r="I51" s="2"/>
      <c r="J51" s="2"/>
      <c r="K51" s="2"/>
      <c r="L51" s="2"/>
      <c r="M51" s="2"/>
      <c r="N51" s="8">
        <f t="shared" si="5"/>
        <v>0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19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7">
        <f t="shared" si="6"/>
        <v>0</v>
      </c>
      <c r="AK51" s="7">
        <v>100</v>
      </c>
      <c r="AL51" s="7">
        <v>0</v>
      </c>
      <c r="AM51" s="8">
        <f t="shared" si="7"/>
        <v>0</v>
      </c>
      <c r="AN51" s="8">
        <v>0</v>
      </c>
      <c r="AO51" s="8">
        <f t="shared" si="8"/>
        <v>0</v>
      </c>
      <c r="AP51" s="8">
        <f t="shared" si="4"/>
        <v>0</v>
      </c>
      <c r="AQ51" s="8">
        <v>0</v>
      </c>
      <c r="AR51" s="8">
        <v>0</v>
      </c>
      <c r="AS51" s="8" t="s">
        <v>119</v>
      </c>
      <c r="AT51" s="8" t="s">
        <v>121</v>
      </c>
      <c r="BA51" s="1">
        <v>400</v>
      </c>
    </row>
    <row r="52" spans="2:53" x14ac:dyDescent="0.25">
      <c r="B52" s="2" t="s">
        <v>87</v>
      </c>
      <c r="C52" s="2" t="s">
        <v>88</v>
      </c>
      <c r="D52" s="2" t="s">
        <v>45</v>
      </c>
      <c r="E52" s="2" t="s">
        <v>17</v>
      </c>
      <c r="F52" s="2">
        <v>2.8000000000000001E-2</v>
      </c>
      <c r="G52" s="3">
        <v>0.10100000000000001</v>
      </c>
      <c r="H52" s="2">
        <v>600</v>
      </c>
      <c r="I52" s="2"/>
      <c r="J52" s="2"/>
      <c r="K52" s="2"/>
      <c r="L52" s="2"/>
      <c r="M52" s="2"/>
      <c r="N52" s="8">
        <f t="shared" si="5"/>
        <v>600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19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7">
        <f t="shared" si="6"/>
        <v>60.6</v>
      </c>
      <c r="AK52" s="7">
        <v>100</v>
      </c>
      <c r="AL52" s="7">
        <v>0</v>
      </c>
      <c r="AM52" s="8">
        <f t="shared" si="7"/>
        <v>0</v>
      </c>
      <c r="AN52" s="8">
        <v>0</v>
      </c>
      <c r="AO52" s="8">
        <f t="shared" si="8"/>
        <v>0</v>
      </c>
      <c r="AP52" s="8">
        <f t="shared" si="4"/>
        <v>0</v>
      </c>
      <c r="AQ52" s="8">
        <v>0</v>
      </c>
      <c r="AR52" s="8">
        <v>0</v>
      </c>
      <c r="AS52" s="8" t="s">
        <v>119</v>
      </c>
      <c r="AT52" s="8" t="s">
        <v>121</v>
      </c>
      <c r="BA52" s="1">
        <v>-1493</v>
      </c>
    </row>
    <row r="53" spans="2:53" x14ac:dyDescent="0.25">
      <c r="B53" s="2" t="s">
        <v>87</v>
      </c>
      <c r="C53" s="2" t="s">
        <v>88</v>
      </c>
      <c r="D53" s="2" t="s">
        <v>46</v>
      </c>
      <c r="E53" s="2" t="s">
        <v>17</v>
      </c>
      <c r="F53" s="2">
        <v>2.8000000000000001E-2</v>
      </c>
      <c r="G53" s="3">
        <v>3.9E-2</v>
      </c>
      <c r="H53" s="2">
        <v>2400</v>
      </c>
      <c r="I53" s="2"/>
      <c r="J53" s="2"/>
      <c r="K53" s="2"/>
      <c r="L53" s="2"/>
      <c r="M53" s="2"/>
      <c r="N53" s="8">
        <f t="shared" si="5"/>
        <v>-232</v>
      </c>
      <c r="O53" s="2"/>
      <c r="P53" s="2"/>
      <c r="Q53" s="2"/>
      <c r="R53" s="2"/>
      <c r="S53" s="2"/>
      <c r="T53" s="2"/>
      <c r="U53" s="2">
        <v>500</v>
      </c>
      <c r="V53" s="2">
        <v>1300</v>
      </c>
      <c r="W53" s="2">
        <v>832</v>
      </c>
      <c r="X53" s="2"/>
      <c r="Y53" s="19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7">
        <f t="shared" si="6"/>
        <v>93.6</v>
      </c>
      <c r="AK53" s="7">
        <v>100</v>
      </c>
      <c r="AL53" s="7">
        <v>0</v>
      </c>
      <c r="AM53" s="8">
        <f t="shared" si="7"/>
        <v>0</v>
      </c>
      <c r="AN53" s="8">
        <v>0</v>
      </c>
      <c r="AO53" s="8">
        <f t="shared" si="8"/>
        <v>0</v>
      </c>
      <c r="AP53" s="8">
        <f t="shared" si="4"/>
        <v>0</v>
      </c>
      <c r="AQ53" s="8">
        <v>0</v>
      </c>
      <c r="AR53" s="8">
        <v>0</v>
      </c>
      <c r="AS53" s="8" t="s">
        <v>119</v>
      </c>
      <c r="AT53" s="8" t="s">
        <v>121</v>
      </c>
      <c r="BA53" s="1">
        <v>-66</v>
      </c>
    </row>
    <row r="54" spans="2:53" x14ac:dyDescent="0.25">
      <c r="B54" s="2" t="s">
        <v>87</v>
      </c>
      <c r="C54" s="2" t="s">
        <v>88</v>
      </c>
      <c r="D54" s="2" t="s">
        <v>47</v>
      </c>
      <c r="E54" s="2" t="s">
        <v>48</v>
      </c>
      <c r="F54" s="2">
        <v>3.5000000000000003E-2</v>
      </c>
      <c r="G54" s="3">
        <v>0.14799999999999999</v>
      </c>
      <c r="H54" s="2">
        <v>0</v>
      </c>
      <c r="I54" s="2"/>
      <c r="J54" s="2"/>
      <c r="K54" s="2"/>
      <c r="L54" s="2"/>
      <c r="M54" s="2"/>
      <c r="N54" s="8">
        <f t="shared" si="5"/>
        <v>0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19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7">
        <f t="shared" si="6"/>
        <v>0</v>
      </c>
      <c r="AK54" s="7">
        <v>500</v>
      </c>
      <c r="AL54" s="7">
        <v>0</v>
      </c>
      <c r="AM54" s="8">
        <f t="shared" si="7"/>
        <v>0</v>
      </c>
      <c r="AN54" s="8">
        <v>0</v>
      </c>
      <c r="AO54" s="8">
        <f t="shared" si="8"/>
        <v>0</v>
      </c>
      <c r="AP54" s="8">
        <f t="shared" si="4"/>
        <v>0</v>
      </c>
      <c r="AQ54" s="8">
        <v>0</v>
      </c>
      <c r="AR54" s="8">
        <v>0</v>
      </c>
      <c r="AS54" s="8" t="s">
        <v>119</v>
      </c>
      <c r="AT54" s="8" t="s">
        <v>121</v>
      </c>
      <c r="BA54" s="1">
        <v>0</v>
      </c>
    </row>
    <row r="55" spans="2:53" x14ac:dyDescent="0.25">
      <c r="B55" s="2" t="s">
        <v>87</v>
      </c>
      <c r="C55" s="2" t="s">
        <v>88</v>
      </c>
      <c r="D55" s="2" t="s">
        <v>49</v>
      </c>
      <c r="E55" s="2" t="s">
        <v>48</v>
      </c>
      <c r="F55" s="2">
        <v>3.5000000000000003E-2</v>
      </c>
      <c r="G55" s="3">
        <v>0.14399999999999999</v>
      </c>
      <c r="H55" s="2">
        <v>1000</v>
      </c>
      <c r="I55" s="2"/>
      <c r="J55" s="2"/>
      <c r="K55" s="2"/>
      <c r="L55" s="2"/>
      <c r="M55" s="2"/>
      <c r="N55" s="8">
        <f t="shared" si="5"/>
        <v>-70</v>
      </c>
      <c r="O55" s="2"/>
      <c r="P55" s="2"/>
      <c r="Q55" s="2"/>
      <c r="R55" s="2"/>
      <c r="S55" s="2"/>
      <c r="T55" s="2"/>
      <c r="U55" s="2"/>
      <c r="V55" s="2">
        <v>1000</v>
      </c>
      <c r="W55" s="2">
        <v>70</v>
      </c>
      <c r="X55" s="2"/>
      <c r="Y55" s="19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7">
        <f t="shared" si="6"/>
        <v>144</v>
      </c>
      <c r="AK55" s="7">
        <v>500</v>
      </c>
      <c r="AL55" s="7">
        <v>0</v>
      </c>
      <c r="AM55" s="8">
        <f t="shared" si="7"/>
        <v>0</v>
      </c>
      <c r="AN55" s="8">
        <v>0</v>
      </c>
      <c r="AO55" s="8">
        <f t="shared" si="8"/>
        <v>0</v>
      </c>
      <c r="AP55" s="8">
        <f t="shared" si="4"/>
        <v>0</v>
      </c>
      <c r="AQ55" s="8">
        <v>0</v>
      </c>
      <c r="AR55" s="8">
        <v>0</v>
      </c>
      <c r="AS55" s="8" t="s">
        <v>119</v>
      </c>
      <c r="AT55" s="8" t="s">
        <v>121</v>
      </c>
      <c r="BA55" s="1">
        <v>0</v>
      </c>
    </row>
    <row r="56" spans="2:53" x14ac:dyDescent="0.25">
      <c r="B56" s="2" t="s">
        <v>87</v>
      </c>
      <c r="C56" s="2" t="s">
        <v>88</v>
      </c>
      <c r="D56" s="2" t="s">
        <v>50</v>
      </c>
      <c r="E56" s="2" t="s">
        <v>48</v>
      </c>
      <c r="F56" s="2">
        <v>3.5000000000000003E-2</v>
      </c>
      <c r="G56" s="3">
        <v>5.2999999999999999E-2</v>
      </c>
      <c r="H56" s="2">
        <v>1000</v>
      </c>
      <c r="I56" s="2"/>
      <c r="J56" s="2"/>
      <c r="K56" s="2"/>
      <c r="L56" s="2"/>
      <c r="M56" s="2"/>
      <c r="N56" s="8">
        <f t="shared" si="5"/>
        <v>-200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19"/>
      <c r="Z56" s="2"/>
      <c r="AA56" s="2"/>
      <c r="AB56" s="2"/>
      <c r="AC56" s="2"/>
      <c r="AD56" s="2">
        <v>1200</v>
      </c>
      <c r="AE56" s="2"/>
      <c r="AF56" s="2"/>
      <c r="AG56" s="2"/>
      <c r="AH56" s="2"/>
      <c r="AI56" s="2"/>
      <c r="AJ56" s="7">
        <f t="shared" si="6"/>
        <v>53</v>
      </c>
      <c r="AK56" s="7">
        <v>1000</v>
      </c>
      <c r="AL56" s="7">
        <v>0</v>
      </c>
      <c r="AM56" s="8">
        <f t="shared" si="7"/>
        <v>0</v>
      </c>
      <c r="AN56" s="8">
        <v>0</v>
      </c>
      <c r="AO56" s="8">
        <f t="shared" si="8"/>
        <v>0</v>
      </c>
      <c r="AP56" s="8">
        <f t="shared" si="4"/>
        <v>0</v>
      </c>
      <c r="AQ56" s="8">
        <v>0</v>
      </c>
      <c r="AR56" s="8">
        <v>0</v>
      </c>
      <c r="AS56" s="8" t="s">
        <v>119</v>
      </c>
      <c r="AT56" s="8" t="s">
        <v>121</v>
      </c>
      <c r="BA56" s="1">
        <v>1200</v>
      </c>
    </row>
    <row r="57" spans="2:53" x14ac:dyDescent="0.25">
      <c r="B57" s="2" t="s">
        <v>87</v>
      </c>
      <c r="C57" s="2" t="s">
        <v>88</v>
      </c>
      <c r="D57" s="2" t="s">
        <v>51</v>
      </c>
      <c r="E57" s="2" t="s">
        <v>48</v>
      </c>
      <c r="F57" s="2">
        <v>3.5000000000000003E-2</v>
      </c>
      <c r="G57" s="3">
        <v>0.13800000000000001</v>
      </c>
      <c r="H57" s="2">
        <v>0</v>
      </c>
      <c r="I57" s="2"/>
      <c r="J57" s="2"/>
      <c r="K57" s="2"/>
      <c r="L57" s="2"/>
      <c r="M57" s="2"/>
      <c r="N57" s="8">
        <f t="shared" si="5"/>
        <v>0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19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7">
        <f t="shared" si="6"/>
        <v>0</v>
      </c>
      <c r="AK57" s="7">
        <v>500</v>
      </c>
      <c r="AL57" s="7">
        <v>0</v>
      </c>
      <c r="AM57" s="8">
        <f t="shared" si="7"/>
        <v>0</v>
      </c>
      <c r="AN57" s="8">
        <v>0</v>
      </c>
      <c r="AO57" s="8">
        <f t="shared" si="8"/>
        <v>0</v>
      </c>
      <c r="AP57" s="8">
        <f t="shared" si="4"/>
        <v>0</v>
      </c>
      <c r="AQ57" s="8">
        <v>0</v>
      </c>
      <c r="AR57" s="8">
        <v>0</v>
      </c>
      <c r="AS57" s="8" t="s">
        <v>119</v>
      </c>
      <c r="AT57" s="8" t="s">
        <v>121</v>
      </c>
      <c r="BA57" s="1">
        <v>0</v>
      </c>
    </row>
    <row r="58" spans="2:53" x14ac:dyDescent="0.25">
      <c r="B58" s="2" t="s">
        <v>87</v>
      </c>
      <c r="C58" s="2" t="s">
        <v>88</v>
      </c>
      <c r="D58" s="2" t="s">
        <v>52</v>
      </c>
      <c r="E58" s="2" t="s">
        <v>48</v>
      </c>
      <c r="F58" s="2">
        <v>3.5000000000000003E-2</v>
      </c>
      <c r="G58" s="3">
        <v>0.11</v>
      </c>
      <c r="H58" s="2">
        <v>0</v>
      </c>
      <c r="I58" s="2"/>
      <c r="J58" s="2"/>
      <c r="K58" s="2"/>
      <c r="L58" s="2"/>
      <c r="M58" s="2"/>
      <c r="N58" s="8">
        <f t="shared" si="5"/>
        <v>0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19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7">
        <f t="shared" si="6"/>
        <v>0</v>
      </c>
      <c r="AK58" s="7">
        <v>500</v>
      </c>
      <c r="AL58" s="7">
        <v>0</v>
      </c>
      <c r="AM58" s="8">
        <f t="shared" si="7"/>
        <v>0</v>
      </c>
      <c r="AN58" s="8">
        <v>0</v>
      </c>
      <c r="AO58" s="8">
        <f t="shared" si="8"/>
        <v>0</v>
      </c>
      <c r="AP58" s="8">
        <f t="shared" si="4"/>
        <v>0</v>
      </c>
      <c r="AQ58" s="8">
        <v>0</v>
      </c>
      <c r="AR58" s="8">
        <v>0</v>
      </c>
      <c r="AS58" s="8" t="s">
        <v>119</v>
      </c>
      <c r="AT58" s="8" t="s">
        <v>121</v>
      </c>
      <c r="BA58" s="1">
        <v>1000</v>
      </c>
    </row>
    <row r="59" spans="2:53" x14ac:dyDescent="0.25">
      <c r="B59" s="2" t="s">
        <v>87</v>
      </c>
      <c r="C59" s="2" t="s">
        <v>88</v>
      </c>
      <c r="D59" s="2" t="s">
        <v>53</v>
      </c>
      <c r="E59" s="2" t="s">
        <v>54</v>
      </c>
      <c r="F59" s="2">
        <v>4.1000000000000002E-2</v>
      </c>
      <c r="G59" s="3">
        <v>7.3999999999999996E-2</v>
      </c>
      <c r="H59" s="2">
        <v>1500</v>
      </c>
      <c r="I59" s="2"/>
      <c r="J59" s="2"/>
      <c r="K59" s="2"/>
      <c r="L59" s="2"/>
      <c r="M59" s="2"/>
      <c r="N59" s="8">
        <f t="shared" si="5"/>
        <v>-500</v>
      </c>
      <c r="O59" s="2"/>
      <c r="P59" s="2"/>
      <c r="Q59" s="2"/>
      <c r="R59" s="2"/>
      <c r="S59" s="2">
        <v>700</v>
      </c>
      <c r="T59" s="2">
        <v>1300</v>
      </c>
      <c r="U59" s="2"/>
      <c r="V59" s="2"/>
      <c r="W59" s="2"/>
      <c r="X59" s="2"/>
      <c r="Y59" s="19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7">
        <f t="shared" si="6"/>
        <v>111</v>
      </c>
      <c r="AK59" s="7">
        <v>1000</v>
      </c>
      <c r="AL59" s="7">
        <v>0</v>
      </c>
      <c r="AM59" s="8">
        <f t="shared" si="7"/>
        <v>0</v>
      </c>
      <c r="AN59" s="8">
        <v>0</v>
      </c>
      <c r="AO59" s="8">
        <f t="shared" si="8"/>
        <v>0</v>
      </c>
      <c r="AP59" s="8">
        <f t="shared" si="4"/>
        <v>0</v>
      </c>
      <c r="AQ59" s="8">
        <v>0</v>
      </c>
      <c r="AR59" s="8">
        <v>0</v>
      </c>
      <c r="AS59" s="8" t="s">
        <v>119</v>
      </c>
      <c r="AT59" s="8" t="s">
        <v>121</v>
      </c>
      <c r="BA59" s="1">
        <v>2800</v>
      </c>
    </row>
    <row r="60" spans="2:53" x14ac:dyDescent="0.25">
      <c r="B60" s="2" t="s">
        <v>87</v>
      </c>
      <c r="C60" s="2" t="s">
        <v>88</v>
      </c>
      <c r="D60" s="2" t="s">
        <v>55</v>
      </c>
      <c r="E60" s="2" t="s">
        <v>54</v>
      </c>
      <c r="F60" s="2">
        <v>4.4999999999999998E-2</v>
      </c>
      <c r="G60" s="3">
        <v>0.46</v>
      </c>
      <c r="H60" s="2">
        <v>1000</v>
      </c>
      <c r="I60" s="2"/>
      <c r="J60" s="2"/>
      <c r="K60" s="2"/>
      <c r="L60" s="2"/>
      <c r="M60" s="2"/>
      <c r="N60" s="8">
        <f t="shared" si="5"/>
        <v>404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19">
        <v>270</v>
      </c>
      <c r="Z60" s="2"/>
      <c r="AA60" s="2">
        <v>76</v>
      </c>
      <c r="AB60" s="2"/>
      <c r="AC60" s="2"/>
      <c r="AD60" s="2"/>
      <c r="AE60" s="2"/>
      <c r="AF60" s="2"/>
      <c r="AG60" s="2"/>
      <c r="AH60" s="2"/>
      <c r="AI60" s="2">
        <v>250</v>
      </c>
      <c r="AJ60" s="7">
        <f t="shared" si="6"/>
        <v>460</v>
      </c>
      <c r="AK60" s="7">
        <v>200</v>
      </c>
      <c r="AL60" s="7">
        <v>0</v>
      </c>
      <c r="AM60" s="8">
        <f t="shared" si="7"/>
        <v>0</v>
      </c>
      <c r="AN60" s="8">
        <v>0</v>
      </c>
      <c r="AO60" s="8">
        <f t="shared" si="8"/>
        <v>0</v>
      </c>
      <c r="AP60" s="8">
        <f t="shared" si="4"/>
        <v>0</v>
      </c>
      <c r="AQ60" s="8">
        <v>0</v>
      </c>
      <c r="AR60" s="8">
        <v>0</v>
      </c>
      <c r="AS60" s="8" t="s">
        <v>119</v>
      </c>
      <c r="AT60" s="8" t="s">
        <v>121</v>
      </c>
      <c r="BA60" s="1">
        <v>1000</v>
      </c>
    </row>
    <row r="61" spans="2:53" x14ac:dyDescent="0.25">
      <c r="B61" s="2" t="s">
        <v>87</v>
      </c>
      <c r="C61" s="2" t="s">
        <v>88</v>
      </c>
      <c r="D61" s="2" t="s">
        <v>56</v>
      </c>
      <c r="E61" s="2" t="s">
        <v>54</v>
      </c>
      <c r="F61" s="2">
        <v>4.4999999999999998E-2</v>
      </c>
      <c r="G61" s="3">
        <v>0.23300000000000001</v>
      </c>
      <c r="H61" s="2">
        <v>1500</v>
      </c>
      <c r="I61" s="2"/>
      <c r="J61" s="2"/>
      <c r="K61" s="2"/>
      <c r="L61" s="2"/>
      <c r="M61" s="2"/>
      <c r="N61" s="8">
        <f t="shared" si="5"/>
        <v>-629</v>
      </c>
      <c r="O61" s="2"/>
      <c r="P61" s="2"/>
      <c r="Q61" s="2"/>
      <c r="R61" s="2"/>
      <c r="S61" s="2">
        <v>800</v>
      </c>
      <c r="T61" s="2"/>
      <c r="U61" s="2"/>
      <c r="V61" s="2">
        <v>129</v>
      </c>
      <c r="W61" s="2">
        <v>900</v>
      </c>
      <c r="X61" s="2"/>
      <c r="Y61" s="19">
        <v>300</v>
      </c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7">
        <f t="shared" si="6"/>
        <v>349.5</v>
      </c>
      <c r="AK61" s="7">
        <v>500</v>
      </c>
      <c r="AL61" s="7">
        <v>0</v>
      </c>
      <c r="AM61" s="8">
        <f t="shared" si="7"/>
        <v>0</v>
      </c>
      <c r="AN61" s="8">
        <v>0</v>
      </c>
      <c r="AO61" s="8">
        <f t="shared" si="8"/>
        <v>0</v>
      </c>
      <c r="AP61" s="8">
        <f t="shared" si="4"/>
        <v>0</v>
      </c>
      <c r="AQ61" s="8">
        <v>0</v>
      </c>
      <c r="AR61" s="8">
        <v>0</v>
      </c>
      <c r="AS61" s="8" t="s">
        <v>119</v>
      </c>
      <c r="AT61" s="8" t="s">
        <v>121</v>
      </c>
      <c r="BA61" s="1">
        <v>416</v>
      </c>
    </row>
    <row r="62" spans="2:53" x14ac:dyDescent="0.25">
      <c r="B62" s="2" t="s">
        <v>87</v>
      </c>
      <c r="C62" s="2" t="s">
        <v>88</v>
      </c>
      <c r="D62" s="2" t="s">
        <v>57</v>
      </c>
      <c r="E62" s="2" t="s">
        <v>54</v>
      </c>
      <c r="F62" s="2">
        <v>4.1000000000000002E-2</v>
      </c>
      <c r="G62" s="3">
        <v>0.19700000000000001</v>
      </c>
      <c r="H62" s="2">
        <v>0</v>
      </c>
      <c r="I62" s="2"/>
      <c r="J62" s="2"/>
      <c r="K62" s="2"/>
      <c r="L62" s="2"/>
      <c r="M62" s="2"/>
      <c r="N62" s="8">
        <f t="shared" si="5"/>
        <v>-132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19">
        <v>132</v>
      </c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7">
        <f t="shared" si="6"/>
        <v>0</v>
      </c>
      <c r="AK62" s="7">
        <v>500</v>
      </c>
      <c r="AL62" s="7">
        <v>0</v>
      </c>
      <c r="AM62" s="8">
        <f t="shared" si="7"/>
        <v>0</v>
      </c>
      <c r="AN62" s="8">
        <v>0</v>
      </c>
      <c r="AO62" s="8">
        <f t="shared" si="8"/>
        <v>0</v>
      </c>
      <c r="AP62" s="8">
        <f t="shared" si="4"/>
        <v>0</v>
      </c>
      <c r="AQ62" s="8">
        <v>0</v>
      </c>
      <c r="AR62" s="8">
        <v>0</v>
      </c>
      <c r="AS62" s="8" t="s">
        <v>119</v>
      </c>
      <c r="AT62" s="8" t="s">
        <v>121</v>
      </c>
      <c r="BA62" s="1">
        <v>2200</v>
      </c>
    </row>
    <row r="63" spans="2:53" x14ac:dyDescent="0.25">
      <c r="B63" s="2" t="s">
        <v>87</v>
      </c>
      <c r="C63" s="2" t="s">
        <v>88</v>
      </c>
      <c r="D63" s="2" t="s">
        <v>58</v>
      </c>
      <c r="E63" s="2" t="s">
        <v>54</v>
      </c>
      <c r="F63" s="2">
        <v>4.4999999999999998E-2</v>
      </c>
      <c r="G63" s="3">
        <v>0.17299999999999999</v>
      </c>
      <c r="H63" s="2">
        <v>0</v>
      </c>
      <c r="I63" s="2"/>
      <c r="J63" s="2"/>
      <c r="K63" s="2"/>
      <c r="L63" s="2"/>
      <c r="M63" s="2"/>
      <c r="N63" s="8">
        <f t="shared" si="5"/>
        <v>0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19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7">
        <f t="shared" si="6"/>
        <v>0</v>
      </c>
      <c r="AK63" s="7">
        <v>500</v>
      </c>
      <c r="AL63" s="7">
        <v>0</v>
      </c>
      <c r="AM63" s="8">
        <f t="shared" si="7"/>
        <v>0</v>
      </c>
      <c r="AN63" s="8">
        <v>0</v>
      </c>
      <c r="AO63" s="8">
        <f t="shared" si="8"/>
        <v>0</v>
      </c>
      <c r="AP63" s="8">
        <f t="shared" si="4"/>
        <v>0</v>
      </c>
      <c r="AQ63" s="8">
        <v>0</v>
      </c>
      <c r="AR63" s="8">
        <v>0</v>
      </c>
      <c r="AS63" s="8" t="s">
        <v>119</v>
      </c>
      <c r="AT63" s="8" t="s">
        <v>121</v>
      </c>
      <c r="BA63" s="1">
        <v>1720</v>
      </c>
    </row>
    <row r="64" spans="2:53" ht="14.25" customHeight="1" x14ac:dyDescent="0.25">
      <c r="B64" s="2" t="s">
        <v>87</v>
      </c>
      <c r="C64" s="2" t="s">
        <v>88</v>
      </c>
      <c r="D64" s="2" t="s">
        <v>59</v>
      </c>
      <c r="E64" s="2" t="s">
        <v>60</v>
      </c>
      <c r="F64" s="2">
        <v>3.5000000000000003E-2</v>
      </c>
      <c r="G64" s="3">
        <v>0.29799999999999999</v>
      </c>
      <c r="H64" s="2">
        <v>0</v>
      </c>
      <c r="I64" s="2"/>
      <c r="J64" s="2"/>
      <c r="K64" s="2"/>
      <c r="L64" s="2"/>
      <c r="M64" s="2"/>
      <c r="N64" s="8">
        <f t="shared" si="5"/>
        <v>0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19"/>
      <c r="Z64" s="68"/>
      <c r="AA64" s="2"/>
      <c r="AB64" s="2"/>
      <c r="AC64" s="2"/>
      <c r="AD64" s="2"/>
      <c r="AE64" s="2"/>
      <c r="AF64" s="2"/>
      <c r="AG64" s="2"/>
      <c r="AH64" s="2"/>
      <c r="AI64" s="2"/>
      <c r="AJ64" s="7">
        <f t="shared" si="6"/>
        <v>0</v>
      </c>
      <c r="AK64" s="7">
        <v>144</v>
      </c>
      <c r="AL64" s="7">
        <v>0</v>
      </c>
      <c r="AM64" s="8">
        <f t="shared" si="7"/>
        <v>0</v>
      </c>
      <c r="AN64" s="8">
        <v>0</v>
      </c>
      <c r="AO64" s="8">
        <f t="shared" si="8"/>
        <v>0</v>
      </c>
      <c r="AP64" s="8">
        <f t="shared" si="4"/>
        <v>0</v>
      </c>
      <c r="AQ64" s="8" t="s">
        <v>110</v>
      </c>
      <c r="AR64" s="8">
        <f t="shared" ref="AR64:AR83" si="9">+SUM(H64:M64)</f>
        <v>0</v>
      </c>
      <c r="AS64" s="8" t="s">
        <v>119</v>
      </c>
      <c r="AT64" s="8" t="s">
        <v>121</v>
      </c>
      <c r="BA64" s="1">
        <v>0</v>
      </c>
    </row>
    <row r="65" spans="2:53" x14ac:dyDescent="0.25">
      <c r="B65" s="2" t="s">
        <v>87</v>
      </c>
      <c r="C65" s="2" t="s">
        <v>88</v>
      </c>
      <c r="D65" s="2" t="s">
        <v>61</v>
      </c>
      <c r="E65" s="2" t="s">
        <v>60</v>
      </c>
      <c r="F65" s="2">
        <v>3.5000000000000003E-2</v>
      </c>
      <c r="G65" s="3">
        <v>0.249</v>
      </c>
      <c r="H65" s="2">
        <v>0</v>
      </c>
      <c r="I65" s="2"/>
      <c r="J65" s="2"/>
      <c r="K65" s="2"/>
      <c r="L65" s="2"/>
      <c r="M65" s="2"/>
      <c r="N65" s="8">
        <f t="shared" si="5"/>
        <v>0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19"/>
      <c r="Z65" s="68"/>
      <c r="AA65" s="2"/>
      <c r="AB65" s="2"/>
      <c r="AC65" s="2"/>
      <c r="AD65" s="2"/>
      <c r="AE65" s="2"/>
      <c r="AF65" s="2"/>
      <c r="AG65" s="2"/>
      <c r="AH65" s="2"/>
      <c r="AI65" s="2"/>
      <c r="AJ65" s="7">
        <f t="shared" si="6"/>
        <v>0</v>
      </c>
      <c r="AK65" s="7">
        <v>144</v>
      </c>
      <c r="AL65" s="7">
        <v>1</v>
      </c>
      <c r="AM65" s="8">
        <f t="shared" si="7"/>
        <v>0</v>
      </c>
      <c r="AN65" s="8">
        <v>0</v>
      </c>
      <c r="AO65" s="8">
        <f t="shared" si="8"/>
        <v>0</v>
      </c>
      <c r="AP65" s="8">
        <f t="shared" si="4"/>
        <v>0</v>
      </c>
      <c r="AQ65" s="8" t="s">
        <v>111</v>
      </c>
      <c r="AR65" s="8">
        <f t="shared" si="9"/>
        <v>0</v>
      </c>
      <c r="AS65" s="8" t="s">
        <v>119</v>
      </c>
      <c r="AT65" s="8" t="s">
        <v>121</v>
      </c>
      <c r="BA65" s="1">
        <v>-576</v>
      </c>
    </row>
    <row r="66" spans="2:53" x14ac:dyDescent="0.25">
      <c r="B66" s="2" t="s">
        <v>87</v>
      </c>
      <c r="C66" s="2" t="s">
        <v>88</v>
      </c>
      <c r="D66" s="2" t="s">
        <v>62</v>
      </c>
      <c r="E66" s="2" t="s">
        <v>60</v>
      </c>
      <c r="F66" s="2">
        <v>3.5000000000000003E-2</v>
      </c>
      <c r="G66" s="3">
        <v>0.253</v>
      </c>
      <c r="H66" s="2">
        <v>0</v>
      </c>
      <c r="I66" s="2"/>
      <c r="J66" s="2"/>
      <c r="K66" s="2"/>
      <c r="L66" s="2"/>
      <c r="M66" s="2"/>
      <c r="N66" s="8">
        <f t="shared" si="5"/>
        <v>0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19"/>
      <c r="Z66" s="68"/>
      <c r="AA66" s="2"/>
      <c r="AB66" s="2"/>
      <c r="AC66" s="2"/>
      <c r="AD66" s="2"/>
      <c r="AE66" s="2"/>
      <c r="AF66" s="2"/>
      <c r="AG66" s="2"/>
      <c r="AH66" s="2"/>
      <c r="AI66" s="2"/>
      <c r="AJ66" s="7">
        <f t="shared" si="6"/>
        <v>0</v>
      </c>
      <c r="AK66" s="7">
        <v>144</v>
      </c>
      <c r="AL66" s="7">
        <v>1</v>
      </c>
      <c r="AM66" s="8">
        <f t="shared" si="7"/>
        <v>0</v>
      </c>
      <c r="AN66" s="8">
        <v>0</v>
      </c>
      <c r="AO66" s="8">
        <f t="shared" si="8"/>
        <v>0</v>
      </c>
      <c r="AP66" s="8">
        <f t="shared" si="4"/>
        <v>0</v>
      </c>
      <c r="AQ66" s="8" t="s">
        <v>111</v>
      </c>
      <c r="AR66" s="8">
        <f t="shared" si="9"/>
        <v>0</v>
      </c>
      <c r="AS66" s="8" t="s">
        <v>119</v>
      </c>
      <c r="AT66" s="8" t="s">
        <v>121</v>
      </c>
      <c r="BA66" s="1">
        <v>0</v>
      </c>
    </row>
    <row r="67" spans="2:53" x14ac:dyDescent="0.25">
      <c r="B67" s="2" t="s">
        <v>87</v>
      </c>
      <c r="C67" s="2" t="s">
        <v>88</v>
      </c>
      <c r="D67" s="2" t="s">
        <v>63</v>
      </c>
      <c r="E67" s="2" t="s">
        <v>60</v>
      </c>
      <c r="F67" s="2">
        <v>3.5000000000000003E-2</v>
      </c>
      <c r="G67" s="3">
        <v>0.215</v>
      </c>
      <c r="H67" s="2">
        <v>432</v>
      </c>
      <c r="I67" s="2"/>
      <c r="J67" s="2"/>
      <c r="K67" s="2"/>
      <c r="L67" s="2"/>
      <c r="M67" s="2"/>
      <c r="N67" s="8">
        <f t="shared" si="5"/>
        <v>-288</v>
      </c>
      <c r="O67" s="2"/>
      <c r="P67" s="2"/>
      <c r="Q67" s="2"/>
      <c r="R67" s="2"/>
      <c r="S67" s="2"/>
      <c r="T67" s="2"/>
      <c r="U67" s="2">
        <v>720</v>
      </c>
      <c r="V67" s="2"/>
      <c r="W67" s="2"/>
      <c r="X67" s="2"/>
      <c r="Y67" s="19"/>
      <c r="Z67" s="68"/>
      <c r="AA67" s="2"/>
      <c r="AB67" s="2"/>
      <c r="AC67" s="2"/>
      <c r="AD67" s="2"/>
      <c r="AE67" s="2"/>
      <c r="AF67" s="2"/>
      <c r="AG67" s="2"/>
      <c r="AH67" s="2"/>
      <c r="AI67" s="2"/>
      <c r="AJ67" s="7">
        <f t="shared" si="6"/>
        <v>92.88</v>
      </c>
      <c r="AK67" s="7">
        <v>144</v>
      </c>
      <c r="AL67" s="7">
        <v>1</v>
      </c>
      <c r="AM67" s="8">
        <f t="shared" si="7"/>
        <v>432</v>
      </c>
      <c r="AN67" s="8">
        <v>0</v>
      </c>
      <c r="AO67" s="8">
        <f t="shared" si="8"/>
        <v>0</v>
      </c>
      <c r="AP67" s="8">
        <f t="shared" si="4"/>
        <v>0</v>
      </c>
      <c r="AQ67" s="8" t="s">
        <v>111</v>
      </c>
      <c r="AR67" s="8">
        <f t="shared" si="9"/>
        <v>432</v>
      </c>
      <c r="AS67" s="8" t="s">
        <v>119</v>
      </c>
      <c r="AT67" s="8" t="s">
        <v>121</v>
      </c>
      <c r="BA67" s="1">
        <v>144</v>
      </c>
    </row>
    <row r="68" spans="2:53" x14ac:dyDescent="0.25">
      <c r="B68" s="2" t="s">
        <v>87</v>
      </c>
      <c r="C68" s="2" t="s">
        <v>88</v>
      </c>
      <c r="D68" s="2" t="s">
        <v>64</v>
      </c>
      <c r="E68" s="2" t="s">
        <v>60</v>
      </c>
      <c r="F68" s="2">
        <v>3.5000000000000003E-2</v>
      </c>
      <c r="G68" s="3">
        <v>0.253</v>
      </c>
      <c r="H68" s="2">
        <v>720</v>
      </c>
      <c r="I68" s="2"/>
      <c r="J68" s="2"/>
      <c r="K68" s="2"/>
      <c r="L68" s="2"/>
      <c r="M68" s="2"/>
      <c r="N68" s="8">
        <f t="shared" si="5"/>
        <v>0</v>
      </c>
      <c r="O68" s="2"/>
      <c r="P68" s="2"/>
      <c r="Q68" s="2"/>
      <c r="R68" s="2"/>
      <c r="S68" s="2">
        <v>144</v>
      </c>
      <c r="T68" s="2"/>
      <c r="U68" s="2"/>
      <c r="V68" s="2">
        <v>576</v>
      </c>
      <c r="W68" s="2"/>
      <c r="X68" s="2"/>
      <c r="Y68" s="19"/>
      <c r="Z68" s="68"/>
      <c r="AA68" s="2"/>
      <c r="AB68" s="2"/>
      <c r="AC68" s="2"/>
      <c r="AD68" s="2"/>
      <c r="AE68" s="2"/>
      <c r="AF68" s="2"/>
      <c r="AG68" s="2"/>
      <c r="AH68" s="2"/>
      <c r="AI68" s="2"/>
      <c r="AJ68" s="7">
        <f t="shared" si="6"/>
        <v>182.16</v>
      </c>
      <c r="AK68" s="7">
        <v>144</v>
      </c>
      <c r="AL68" s="7">
        <v>1</v>
      </c>
      <c r="AM68" s="8">
        <f t="shared" si="7"/>
        <v>720</v>
      </c>
      <c r="AN68" s="8">
        <v>0</v>
      </c>
      <c r="AO68" s="8">
        <f t="shared" si="8"/>
        <v>0</v>
      </c>
      <c r="AP68" s="8">
        <f t="shared" si="4"/>
        <v>0</v>
      </c>
      <c r="AQ68" s="8" t="s">
        <v>111</v>
      </c>
      <c r="AR68" s="8">
        <f t="shared" si="9"/>
        <v>720</v>
      </c>
      <c r="AS68" s="8" t="s">
        <v>119</v>
      </c>
      <c r="AT68" s="8" t="s">
        <v>121</v>
      </c>
      <c r="BA68" s="1">
        <v>0</v>
      </c>
    </row>
    <row r="69" spans="2:53" x14ac:dyDescent="0.25">
      <c r="B69" s="2" t="s">
        <v>87</v>
      </c>
      <c r="C69" s="2" t="s">
        <v>88</v>
      </c>
      <c r="D69" s="2" t="s">
        <v>65</v>
      </c>
      <c r="E69" s="2" t="s">
        <v>60</v>
      </c>
      <c r="F69" s="2">
        <v>3.5000000000000003E-2</v>
      </c>
      <c r="G69" s="3">
        <v>0.249</v>
      </c>
      <c r="H69" s="2">
        <v>864</v>
      </c>
      <c r="I69" s="2"/>
      <c r="J69" s="2"/>
      <c r="K69" s="2"/>
      <c r="L69" s="2"/>
      <c r="M69" s="2"/>
      <c r="N69" s="8">
        <f t="shared" si="5"/>
        <v>0</v>
      </c>
      <c r="O69" s="2"/>
      <c r="P69" s="2"/>
      <c r="Q69" s="2"/>
      <c r="R69" s="2"/>
      <c r="S69" s="2"/>
      <c r="T69" s="2">
        <v>576</v>
      </c>
      <c r="U69" s="2"/>
      <c r="V69" s="2"/>
      <c r="W69" s="2">
        <v>288</v>
      </c>
      <c r="X69" s="2"/>
      <c r="Y69" s="19"/>
      <c r="Z69" s="68"/>
      <c r="AA69" s="2"/>
      <c r="AB69" s="2"/>
      <c r="AC69" s="2"/>
      <c r="AD69" s="2"/>
      <c r="AE69" s="2"/>
      <c r="AF69" s="2"/>
      <c r="AG69" s="2"/>
      <c r="AH69" s="2"/>
      <c r="AI69" s="2"/>
      <c r="AJ69" s="7">
        <f t="shared" si="6"/>
        <v>215.136</v>
      </c>
      <c r="AK69" s="7">
        <v>144</v>
      </c>
      <c r="AL69" s="7">
        <v>1</v>
      </c>
      <c r="AM69" s="8">
        <f t="shared" si="7"/>
        <v>864</v>
      </c>
      <c r="AN69" s="8">
        <v>0</v>
      </c>
      <c r="AO69" s="8">
        <f t="shared" si="8"/>
        <v>0</v>
      </c>
      <c r="AP69" s="8">
        <f t="shared" si="4"/>
        <v>0</v>
      </c>
      <c r="AQ69" s="8" t="s">
        <v>111</v>
      </c>
      <c r="AR69" s="8">
        <f t="shared" si="9"/>
        <v>864</v>
      </c>
      <c r="AS69" s="8" t="s">
        <v>119</v>
      </c>
      <c r="AT69" s="8" t="s">
        <v>121</v>
      </c>
      <c r="BA69" s="1">
        <v>576</v>
      </c>
    </row>
    <row r="70" spans="2:53" x14ac:dyDescent="0.25">
      <c r="B70" s="2" t="s">
        <v>87</v>
      </c>
      <c r="C70" s="2" t="s">
        <v>88</v>
      </c>
      <c r="D70" s="2" t="s">
        <v>66</v>
      </c>
      <c r="E70" s="2" t="s">
        <v>60</v>
      </c>
      <c r="F70" s="2">
        <v>3.5000000000000003E-2</v>
      </c>
      <c r="G70" s="3">
        <v>0.30299999999999999</v>
      </c>
      <c r="H70" s="2">
        <v>144</v>
      </c>
      <c r="I70" s="2"/>
      <c r="J70" s="2"/>
      <c r="K70" s="2"/>
      <c r="L70" s="2"/>
      <c r="M70" s="2"/>
      <c r="N70" s="8">
        <f t="shared" si="5"/>
        <v>0</v>
      </c>
      <c r="O70" s="2"/>
      <c r="P70" s="2"/>
      <c r="Q70" s="2"/>
      <c r="R70" s="2"/>
      <c r="S70" s="2">
        <v>144</v>
      </c>
      <c r="T70" s="2"/>
      <c r="U70" s="2"/>
      <c r="V70" s="2"/>
      <c r="W70" s="2"/>
      <c r="X70" s="2"/>
      <c r="Y70" s="19"/>
      <c r="Z70" s="68"/>
      <c r="AA70" s="2"/>
      <c r="AB70" s="2"/>
      <c r="AC70" s="2"/>
      <c r="AD70" s="2"/>
      <c r="AE70" s="2"/>
      <c r="AF70" s="2"/>
      <c r="AG70" s="2"/>
      <c r="AH70" s="2"/>
      <c r="AI70" s="2"/>
      <c r="AJ70" s="7">
        <f t="shared" si="6"/>
        <v>43.631999999999998</v>
      </c>
      <c r="AK70" s="7">
        <v>144</v>
      </c>
      <c r="AL70" s="7">
        <v>0</v>
      </c>
      <c r="AM70" s="8">
        <f t="shared" si="7"/>
        <v>0</v>
      </c>
      <c r="AN70" s="8">
        <v>0</v>
      </c>
      <c r="AO70" s="8">
        <f t="shared" si="8"/>
        <v>0</v>
      </c>
      <c r="AP70" s="8">
        <f t="shared" si="4"/>
        <v>0</v>
      </c>
      <c r="AQ70" s="8" t="s">
        <v>110</v>
      </c>
      <c r="AR70" s="8">
        <f t="shared" si="9"/>
        <v>144</v>
      </c>
      <c r="AS70" s="8" t="s">
        <v>119</v>
      </c>
      <c r="AT70" s="8" t="s">
        <v>121</v>
      </c>
      <c r="BA70" s="1">
        <v>0</v>
      </c>
    </row>
    <row r="71" spans="2:53" x14ac:dyDescent="0.25">
      <c r="B71" s="2" t="s">
        <v>87</v>
      </c>
      <c r="C71" s="2" t="s">
        <v>88</v>
      </c>
      <c r="D71" s="2" t="s">
        <v>67</v>
      </c>
      <c r="E71" s="2" t="s">
        <v>60</v>
      </c>
      <c r="F71" s="2">
        <v>3.5000000000000003E-2</v>
      </c>
      <c r="G71" s="3">
        <v>0.216</v>
      </c>
      <c r="H71" s="2">
        <v>144</v>
      </c>
      <c r="I71" s="2"/>
      <c r="J71" s="2"/>
      <c r="K71" s="2"/>
      <c r="L71" s="2"/>
      <c r="M71" s="2"/>
      <c r="N71" s="8">
        <f t="shared" si="5"/>
        <v>-144</v>
      </c>
      <c r="O71" s="2"/>
      <c r="P71" s="2"/>
      <c r="Q71" s="2"/>
      <c r="R71" s="2"/>
      <c r="S71" s="2"/>
      <c r="T71" s="2"/>
      <c r="U71" s="2"/>
      <c r="V71" s="2">
        <v>144</v>
      </c>
      <c r="W71" s="2">
        <v>144</v>
      </c>
      <c r="X71" s="2"/>
      <c r="Y71" s="19"/>
      <c r="Z71" s="68"/>
      <c r="AA71" s="2"/>
      <c r="AB71" s="2"/>
      <c r="AC71" s="2"/>
      <c r="AD71" s="2"/>
      <c r="AE71" s="2"/>
      <c r="AF71" s="2"/>
      <c r="AG71" s="2"/>
      <c r="AH71" s="2"/>
      <c r="AI71" s="2"/>
      <c r="AJ71" s="7">
        <f t="shared" si="6"/>
        <v>31.103999999999999</v>
      </c>
      <c r="AK71" s="7">
        <v>144</v>
      </c>
      <c r="AL71" s="7">
        <v>1</v>
      </c>
      <c r="AM71" s="8">
        <f t="shared" si="7"/>
        <v>144</v>
      </c>
      <c r="AN71" s="8">
        <v>0</v>
      </c>
      <c r="AO71" s="8">
        <f t="shared" si="8"/>
        <v>0</v>
      </c>
      <c r="AP71" s="8">
        <f t="shared" si="4"/>
        <v>0</v>
      </c>
      <c r="AQ71" s="8" t="s">
        <v>111</v>
      </c>
      <c r="AR71" s="8">
        <f t="shared" si="9"/>
        <v>144</v>
      </c>
      <c r="AS71" s="8" t="s">
        <v>119</v>
      </c>
      <c r="AT71" s="8" t="s">
        <v>121</v>
      </c>
      <c r="BA71" s="1">
        <v>0</v>
      </c>
    </row>
    <row r="72" spans="2:53" x14ac:dyDescent="0.25">
      <c r="B72" s="2" t="s">
        <v>87</v>
      </c>
      <c r="C72" s="2" t="s">
        <v>88</v>
      </c>
      <c r="D72" s="2" t="s">
        <v>68</v>
      </c>
      <c r="E72" s="2" t="s">
        <v>60</v>
      </c>
      <c r="F72" s="2">
        <v>3.5000000000000003E-2</v>
      </c>
      <c r="G72" s="3">
        <v>0.28399999999999997</v>
      </c>
      <c r="H72" s="2">
        <v>0</v>
      </c>
      <c r="I72" s="2"/>
      <c r="J72" s="2"/>
      <c r="K72" s="2"/>
      <c r="L72" s="2"/>
      <c r="M72" s="2"/>
      <c r="N72" s="8">
        <f t="shared" si="5"/>
        <v>0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19"/>
      <c r="Z72" s="68"/>
      <c r="AA72" s="2"/>
      <c r="AB72" s="2"/>
      <c r="AC72" s="2"/>
      <c r="AD72" s="2"/>
      <c r="AE72" s="2"/>
      <c r="AF72" s="2"/>
      <c r="AG72" s="2"/>
      <c r="AH72" s="2"/>
      <c r="AI72" s="2"/>
      <c r="AJ72" s="7">
        <f t="shared" si="6"/>
        <v>0</v>
      </c>
      <c r="AK72" s="7">
        <v>144</v>
      </c>
      <c r="AL72" s="7">
        <v>0</v>
      </c>
      <c r="AM72" s="8">
        <f t="shared" si="7"/>
        <v>0</v>
      </c>
      <c r="AN72" s="8">
        <v>0</v>
      </c>
      <c r="AO72" s="8">
        <f t="shared" si="8"/>
        <v>0</v>
      </c>
      <c r="AP72" s="8">
        <f t="shared" si="4"/>
        <v>0</v>
      </c>
      <c r="AQ72" s="8" t="s">
        <v>110</v>
      </c>
      <c r="AR72" s="8">
        <f t="shared" si="9"/>
        <v>0</v>
      </c>
      <c r="AS72" s="8" t="s">
        <v>119</v>
      </c>
      <c r="AT72" s="8" t="s">
        <v>121</v>
      </c>
      <c r="BA72" s="1">
        <v>0</v>
      </c>
    </row>
    <row r="73" spans="2:53" x14ac:dyDescent="0.25">
      <c r="B73" s="2" t="s">
        <v>87</v>
      </c>
      <c r="C73" s="2" t="s">
        <v>88</v>
      </c>
      <c r="D73" s="2" t="s">
        <v>69</v>
      </c>
      <c r="E73" s="2" t="s">
        <v>60</v>
      </c>
      <c r="F73" s="2">
        <v>3.5000000000000003E-2</v>
      </c>
      <c r="G73" s="3">
        <v>0.252</v>
      </c>
      <c r="H73" s="2">
        <v>0</v>
      </c>
      <c r="I73" s="2"/>
      <c r="J73" s="2"/>
      <c r="K73" s="2"/>
      <c r="L73" s="2"/>
      <c r="M73" s="2"/>
      <c r="N73" s="8">
        <f t="shared" si="5"/>
        <v>0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19"/>
      <c r="Z73" s="68"/>
      <c r="AA73" s="2"/>
      <c r="AB73" s="2"/>
      <c r="AC73" s="2"/>
      <c r="AD73" s="2"/>
      <c r="AE73" s="2"/>
      <c r="AF73" s="2"/>
      <c r="AG73" s="2"/>
      <c r="AH73" s="2"/>
      <c r="AI73" s="2"/>
      <c r="AJ73" s="7">
        <f t="shared" si="6"/>
        <v>0</v>
      </c>
      <c r="AK73" s="7">
        <v>144</v>
      </c>
      <c r="AL73" s="7">
        <v>1</v>
      </c>
      <c r="AM73" s="8">
        <f t="shared" si="7"/>
        <v>0</v>
      </c>
      <c r="AN73" s="8">
        <v>0</v>
      </c>
      <c r="AO73" s="8">
        <f t="shared" si="8"/>
        <v>0</v>
      </c>
      <c r="AP73" s="8">
        <f t="shared" si="4"/>
        <v>0</v>
      </c>
      <c r="AQ73" s="8" t="s">
        <v>111</v>
      </c>
      <c r="AR73" s="8">
        <f t="shared" si="9"/>
        <v>0</v>
      </c>
      <c r="AS73" s="8" t="s">
        <v>119</v>
      </c>
      <c r="AT73" s="8" t="s">
        <v>121</v>
      </c>
      <c r="BA73" s="1">
        <v>-144</v>
      </c>
    </row>
    <row r="74" spans="2:53" x14ac:dyDescent="0.25">
      <c r="B74" s="2" t="s">
        <v>87</v>
      </c>
      <c r="C74" s="2" t="s">
        <v>88</v>
      </c>
      <c r="D74" s="2" t="s">
        <v>70</v>
      </c>
      <c r="E74" s="2" t="s">
        <v>71</v>
      </c>
      <c r="F74" s="2">
        <v>4.4999999999999998E-2</v>
      </c>
      <c r="G74" s="3">
        <v>0.373</v>
      </c>
      <c r="H74" s="2">
        <v>0</v>
      </c>
      <c r="I74" s="2"/>
      <c r="J74" s="2"/>
      <c r="K74" s="2"/>
      <c r="L74" s="2"/>
      <c r="M74" s="2"/>
      <c r="N74" s="8">
        <f t="shared" si="5"/>
        <v>0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19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7">
        <f t="shared" si="6"/>
        <v>0</v>
      </c>
      <c r="AK74" s="7">
        <v>288</v>
      </c>
      <c r="AL74" s="7">
        <v>1</v>
      </c>
      <c r="AM74" s="8">
        <f t="shared" si="7"/>
        <v>0</v>
      </c>
      <c r="AN74" s="8">
        <v>0</v>
      </c>
      <c r="AO74" s="8">
        <f t="shared" si="8"/>
        <v>0</v>
      </c>
      <c r="AP74" s="8">
        <f t="shared" si="4"/>
        <v>0</v>
      </c>
      <c r="AQ74" s="8" t="s">
        <v>112</v>
      </c>
      <c r="AR74" s="8">
        <f t="shared" si="9"/>
        <v>0</v>
      </c>
      <c r="AS74" s="8" t="s">
        <v>119</v>
      </c>
      <c r="AT74" s="8" t="s">
        <v>121</v>
      </c>
      <c r="BA74" s="1">
        <v>512</v>
      </c>
    </row>
    <row r="75" spans="2:53" x14ac:dyDescent="0.25">
      <c r="B75" s="2" t="s">
        <v>87</v>
      </c>
      <c r="C75" s="2" t="s">
        <v>88</v>
      </c>
      <c r="D75" s="2" t="s">
        <v>72</v>
      </c>
      <c r="E75" s="2" t="s">
        <v>71</v>
      </c>
      <c r="F75" s="2">
        <v>4.1000000000000002E-2</v>
      </c>
      <c r="G75" s="3">
        <v>0.375</v>
      </c>
      <c r="H75" s="2">
        <v>0</v>
      </c>
      <c r="I75" s="2"/>
      <c r="J75" s="2"/>
      <c r="K75" s="2"/>
      <c r="L75" s="2"/>
      <c r="M75" s="2"/>
      <c r="N75" s="8">
        <f t="shared" ref="N75:N83" si="10">+H75+I75+J75+K75+L75+M75-SUM(O75:AI75)</f>
        <v>0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19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7">
        <f t="shared" ref="AJ75:AJ83" si="11">+G75*SUM(H75:M75)</f>
        <v>0</v>
      </c>
      <c r="AK75" s="7">
        <v>288</v>
      </c>
      <c r="AL75" s="7">
        <v>0</v>
      </c>
      <c r="AM75" s="8">
        <f t="shared" ref="AM75:AM83" si="12">+H75*AL75</f>
        <v>0</v>
      </c>
      <c r="AN75" s="8">
        <v>1</v>
      </c>
      <c r="AO75" s="8">
        <f t="shared" ref="AO75:AO83" si="13">+H75*AN75</f>
        <v>0</v>
      </c>
      <c r="AP75" s="8">
        <f t="shared" si="4"/>
        <v>0</v>
      </c>
      <c r="AQ75" s="8" t="s">
        <v>113</v>
      </c>
      <c r="AR75" s="8">
        <f t="shared" si="9"/>
        <v>0</v>
      </c>
      <c r="AS75" s="8" t="s">
        <v>119</v>
      </c>
      <c r="AT75" s="8" t="s">
        <v>121</v>
      </c>
      <c r="BA75" s="1">
        <v>0</v>
      </c>
    </row>
    <row r="76" spans="2:53" x14ac:dyDescent="0.25">
      <c r="B76" s="2" t="s">
        <v>87</v>
      </c>
      <c r="C76" s="2" t="s">
        <v>88</v>
      </c>
      <c r="D76" s="2" t="s">
        <v>73</v>
      </c>
      <c r="E76" s="2" t="s">
        <v>71</v>
      </c>
      <c r="F76" s="2">
        <v>4.4999999999999998E-2</v>
      </c>
      <c r="G76" s="3">
        <v>0.35599999999999998</v>
      </c>
      <c r="H76" s="2">
        <v>128</v>
      </c>
      <c r="I76" s="2"/>
      <c r="J76" s="2"/>
      <c r="K76" s="2"/>
      <c r="L76" s="2"/>
      <c r="M76" s="2"/>
      <c r="N76" s="8">
        <f t="shared" si="10"/>
        <v>0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19"/>
      <c r="Z76" s="2">
        <v>128</v>
      </c>
      <c r="AA76" s="2"/>
      <c r="AB76" s="2"/>
      <c r="AC76" s="2"/>
      <c r="AD76" s="2"/>
      <c r="AE76" s="2"/>
      <c r="AF76" s="2"/>
      <c r="AG76" s="2"/>
      <c r="AH76" s="2"/>
      <c r="AI76" s="2"/>
      <c r="AJ76" s="7">
        <f t="shared" si="11"/>
        <v>45.567999999999998</v>
      </c>
      <c r="AK76" s="7">
        <v>288</v>
      </c>
      <c r="AL76" s="7">
        <v>1</v>
      </c>
      <c r="AM76" s="8">
        <f t="shared" si="12"/>
        <v>128</v>
      </c>
      <c r="AN76" s="8">
        <v>0</v>
      </c>
      <c r="AO76" s="8">
        <f t="shared" si="13"/>
        <v>0</v>
      </c>
      <c r="AP76" s="8">
        <f t="shared" ref="AP76:AP83" si="14">+AO76*2</f>
        <v>0</v>
      </c>
      <c r="AQ76" s="8" t="s">
        <v>112</v>
      </c>
      <c r="AR76" s="8">
        <f t="shared" si="9"/>
        <v>128</v>
      </c>
      <c r="AS76" s="8" t="s">
        <v>119</v>
      </c>
      <c r="AT76" s="8" t="s">
        <v>121</v>
      </c>
      <c r="BA76" s="1">
        <v>0</v>
      </c>
    </row>
    <row r="77" spans="2:53" x14ac:dyDescent="0.25">
      <c r="B77" s="2" t="s">
        <v>87</v>
      </c>
      <c r="C77" s="2" t="s">
        <v>88</v>
      </c>
      <c r="D77" s="2" t="s">
        <v>74</v>
      </c>
      <c r="E77" s="2" t="s">
        <v>71</v>
      </c>
      <c r="F77" s="2">
        <v>4.4999999999999998E-2</v>
      </c>
      <c r="G77" s="3">
        <v>0.35199999999999998</v>
      </c>
      <c r="H77" s="2">
        <v>256</v>
      </c>
      <c r="I77" s="2"/>
      <c r="J77" s="2"/>
      <c r="K77" s="2"/>
      <c r="L77" s="2"/>
      <c r="M77" s="2"/>
      <c r="N77" s="8">
        <f t="shared" si="10"/>
        <v>0</v>
      </c>
      <c r="O77" s="2"/>
      <c r="P77" s="2"/>
      <c r="Q77" s="2"/>
      <c r="R77" s="2"/>
      <c r="S77" s="2"/>
      <c r="T77" s="2"/>
      <c r="U77" s="2">
        <v>128</v>
      </c>
      <c r="V77" s="2">
        <v>128</v>
      </c>
      <c r="W77" s="2"/>
      <c r="X77" s="2"/>
      <c r="Y77" s="19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7">
        <f t="shared" si="11"/>
        <v>90.111999999999995</v>
      </c>
      <c r="AK77" s="7">
        <v>288</v>
      </c>
      <c r="AL77" s="7">
        <v>1</v>
      </c>
      <c r="AM77" s="8">
        <f t="shared" si="12"/>
        <v>256</v>
      </c>
      <c r="AN77" s="8">
        <v>0</v>
      </c>
      <c r="AO77" s="8">
        <f t="shared" si="13"/>
        <v>0</v>
      </c>
      <c r="AP77" s="8">
        <f t="shared" si="14"/>
        <v>0</v>
      </c>
      <c r="AQ77" s="8" t="s">
        <v>114</v>
      </c>
      <c r="AR77" s="8">
        <f t="shared" si="9"/>
        <v>256</v>
      </c>
      <c r="AS77" s="8" t="s">
        <v>119</v>
      </c>
      <c r="AT77" s="8" t="s">
        <v>121</v>
      </c>
      <c r="BA77" s="1">
        <v>0</v>
      </c>
    </row>
    <row r="78" spans="2:53" x14ac:dyDescent="0.25">
      <c r="B78" s="2" t="s">
        <v>87</v>
      </c>
      <c r="C78" s="2" t="s">
        <v>88</v>
      </c>
      <c r="D78" s="2" t="s">
        <v>75</v>
      </c>
      <c r="E78" s="2" t="s">
        <v>71</v>
      </c>
      <c r="F78" s="2">
        <v>4.4999999999999998E-2</v>
      </c>
      <c r="G78" s="3">
        <v>0.35299999999999998</v>
      </c>
      <c r="H78" s="2">
        <v>128</v>
      </c>
      <c r="I78" s="2"/>
      <c r="J78" s="2"/>
      <c r="K78" s="2"/>
      <c r="L78" s="2"/>
      <c r="M78" s="2"/>
      <c r="N78" s="8">
        <f t="shared" si="10"/>
        <v>0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19"/>
      <c r="Z78" s="2">
        <v>128</v>
      </c>
      <c r="AA78" s="2"/>
      <c r="AB78" s="2"/>
      <c r="AC78" s="2"/>
      <c r="AD78" s="2"/>
      <c r="AE78" s="2"/>
      <c r="AF78" s="2"/>
      <c r="AG78" s="2"/>
      <c r="AH78" s="2"/>
      <c r="AI78" s="2"/>
      <c r="AJ78" s="7">
        <f t="shared" si="11"/>
        <v>45.183999999999997</v>
      </c>
      <c r="AK78" s="7">
        <v>288</v>
      </c>
      <c r="AL78" s="7">
        <v>1</v>
      </c>
      <c r="AM78" s="8">
        <f t="shared" si="12"/>
        <v>128</v>
      </c>
      <c r="AN78" s="8">
        <v>0</v>
      </c>
      <c r="AO78" s="8">
        <f t="shared" si="13"/>
        <v>0</v>
      </c>
      <c r="AP78" s="8">
        <f t="shared" si="14"/>
        <v>0</v>
      </c>
      <c r="AQ78" s="8" t="s">
        <v>115</v>
      </c>
      <c r="AR78" s="8">
        <f t="shared" si="9"/>
        <v>128</v>
      </c>
      <c r="AS78" s="8" t="s">
        <v>119</v>
      </c>
      <c r="AT78" s="8" t="s">
        <v>121</v>
      </c>
      <c r="BA78" s="1">
        <v>0</v>
      </c>
    </row>
    <row r="79" spans="2:53" x14ac:dyDescent="0.25">
      <c r="B79" s="2" t="s">
        <v>87</v>
      </c>
      <c r="C79" s="2" t="s">
        <v>88</v>
      </c>
      <c r="D79" s="2" t="s">
        <v>76</v>
      </c>
      <c r="E79" s="2" t="s">
        <v>71</v>
      </c>
      <c r="F79" s="2">
        <v>4.4999999999999998E-2</v>
      </c>
      <c r="G79" s="3">
        <v>0.35599999999999998</v>
      </c>
      <c r="H79" s="2">
        <v>128</v>
      </c>
      <c r="I79" s="2"/>
      <c r="J79" s="2"/>
      <c r="K79" s="2"/>
      <c r="L79" s="2"/>
      <c r="M79" s="2"/>
      <c r="N79" s="8">
        <f t="shared" si="10"/>
        <v>0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19"/>
      <c r="Z79" s="2"/>
      <c r="AA79" s="2">
        <v>128</v>
      </c>
      <c r="AB79" s="2"/>
      <c r="AC79" s="2"/>
      <c r="AD79" s="2"/>
      <c r="AE79" s="2"/>
      <c r="AF79" s="2"/>
      <c r="AG79" s="2"/>
      <c r="AH79" s="2"/>
      <c r="AI79" s="2"/>
      <c r="AJ79" s="7">
        <f t="shared" si="11"/>
        <v>45.567999999999998</v>
      </c>
      <c r="AK79" s="7">
        <v>288</v>
      </c>
      <c r="AL79" s="7">
        <v>1</v>
      </c>
      <c r="AM79" s="8">
        <f t="shared" si="12"/>
        <v>128</v>
      </c>
      <c r="AN79" s="8">
        <v>0</v>
      </c>
      <c r="AO79" s="8">
        <f t="shared" si="13"/>
        <v>0</v>
      </c>
      <c r="AP79" s="8">
        <f t="shared" si="14"/>
        <v>0</v>
      </c>
      <c r="AQ79" s="8" t="s">
        <v>115</v>
      </c>
      <c r="AR79" s="8">
        <f t="shared" si="9"/>
        <v>128</v>
      </c>
      <c r="AS79" s="8" t="s">
        <v>119</v>
      </c>
      <c r="AT79" s="8" t="s">
        <v>121</v>
      </c>
      <c r="BA79" s="1">
        <v>0</v>
      </c>
    </row>
    <row r="80" spans="2:53" x14ac:dyDescent="0.25">
      <c r="B80" s="2" t="s">
        <v>87</v>
      </c>
      <c r="C80" s="2" t="s">
        <v>88</v>
      </c>
      <c r="D80" s="2" t="s">
        <v>77</v>
      </c>
      <c r="E80" s="2" t="s">
        <v>71</v>
      </c>
      <c r="F80" s="2">
        <v>4.1000000000000002E-2</v>
      </c>
      <c r="G80" s="3">
        <v>0.441</v>
      </c>
      <c r="H80" s="2">
        <v>0</v>
      </c>
      <c r="I80" s="2"/>
      <c r="J80" s="2"/>
      <c r="K80" s="2"/>
      <c r="L80" s="2"/>
      <c r="M80" s="2"/>
      <c r="N80" s="8">
        <f t="shared" si="10"/>
        <v>0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19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7">
        <f t="shared" si="11"/>
        <v>0</v>
      </c>
      <c r="AK80" s="7">
        <v>288</v>
      </c>
      <c r="AL80" s="7">
        <v>0</v>
      </c>
      <c r="AM80" s="8">
        <f t="shared" si="12"/>
        <v>0</v>
      </c>
      <c r="AN80" s="8">
        <v>0</v>
      </c>
      <c r="AO80" s="8">
        <f t="shared" si="13"/>
        <v>0</v>
      </c>
      <c r="AP80" s="8">
        <f t="shared" si="14"/>
        <v>0</v>
      </c>
      <c r="AQ80" s="8" t="s">
        <v>116</v>
      </c>
      <c r="AR80" s="8">
        <f t="shared" si="9"/>
        <v>0</v>
      </c>
      <c r="AS80" s="8" t="s">
        <v>119</v>
      </c>
      <c r="AT80" s="8" t="s">
        <v>121</v>
      </c>
      <c r="BA80" s="1">
        <v>0</v>
      </c>
    </row>
    <row r="81" spans="1:53" x14ac:dyDescent="0.25">
      <c r="B81" s="2" t="s">
        <v>87</v>
      </c>
      <c r="C81" s="2" t="s">
        <v>88</v>
      </c>
      <c r="D81" s="2" t="s">
        <v>78</v>
      </c>
      <c r="E81" s="2" t="s">
        <v>71</v>
      </c>
      <c r="F81" s="2">
        <v>4.4999999999999998E-2</v>
      </c>
      <c r="G81" s="3">
        <v>0.374</v>
      </c>
      <c r="H81" s="2">
        <v>512</v>
      </c>
      <c r="I81" s="2"/>
      <c r="J81" s="2"/>
      <c r="K81" s="2"/>
      <c r="L81" s="2"/>
      <c r="M81" s="2"/>
      <c r="N81" s="8">
        <f t="shared" si="10"/>
        <v>0</v>
      </c>
      <c r="O81" s="2"/>
      <c r="P81" s="2"/>
      <c r="Q81" s="2"/>
      <c r="R81" s="2"/>
      <c r="S81" s="2"/>
      <c r="T81" s="2"/>
      <c r="U81" s="2"/>
      <c r="V81" s="2">
        <v>128</v>
      </c>
      <c r="W81" s="2">
        <v>128</v>
      </c>
      <c r="X81" s="2"/>
      <c r="Y81" s="19">
        <v>128</v>
      </c>
      <c r="Z81" s="2"/>
      <c r="AA81" s="2">
        <v>128</v>
      </c>
      <c r="AB81" s="2"/>
      <c r="AC81" s="2"/>
      <c r="AD81" s="2"/>
      <c r="AE81" s="2"/>
      <c r="AF81" s="2"/>
      <c r="AG81" s="2"/>
      <c r="AH81" s="2"/>
      <c r="AI81" s="2"/>
      <c r="AJ81" s="7">
        <f t="shared" si="11"/>
        <v>191.488</v>
      </c>
      <c r="AK81" s="7">
        <v>288</v>
      </c>
      <c r="AL81" s="7">
        <v>1</v>
      </c>
      <c r="AM81" s="8">
        <f t="shared" si="12"/>
        <v>512</v>
      </c>
      <c r="AN81" s="8">
        <v>0</v>
      </c>
      <c r="AO81" s="8">
        <f t="shared" si="13"/>
        <v>0</v>
      </c>
      <c r="AP81" s="8">
        <f t="shared" si="14"/>
        <v>0</v>
      </c>
      <c r="AQ81" s="8" t="s">
        <v>112</v>
      </c>
      <c r="AR81" s="8">
        <f t="shared" si="9"/>
        <v>512</v>
      </c>
      <c r="AS81" s="8" t="s">
        <v>119</v>
      </c>
      <c r="AT81" s="8" t="s">
        <v>121</v>
      </c>
      <c r="BA81" s="1">
        <v>128</v>
      </c>
    </row>
    <row r="82" spans="1:53" x14ac:dyDescent="0.25">
      <c r="B82" s="2" t="s">
        <v>87</v>
      </c>
      <c r="C82" s="2" t="s">
        <v>88</v>
      </c>
      <c r="D82" s="2" t="s">
        <v>79</v>
      </c>
      <c r="E82" s="2" t="s">
        <v>71</v>
      </c>
      <c r="F82" s="2">
        <v>4.1000000000000002E-2</v>
      </c>
      <c r="G82" s="3">
        <v>0.41599999999999998</v>
      </c>
      <c r="H82" s="2">
        <v>0</v>
      </c>
      <c r="I82" s="2"/>
      <c r="J82" s="2"/>
      <c r="K82" s="2"/>
      <c r="L82" s="2"/>
      <c r="M82" s="2"/>
      <c r="N82" s="8">
        <f t="shared" si="10"/>
        <v>0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19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7">
        <f t="shared" si="11"/>
        <v>0</v>
      </c>
      <c r="AK82" s="7">
        <v>288</v>
      </c>
      <c r="AL82" s="7">
        <v>0</v>
      </c>
      <c r="AM82" s="8">
        <f t="shared" si="12"/>
        <v>0</v>
      </c>
      <c r="AN82" s="8">
        <v>1</v>
      </c>
      <c r="AO82" s="8">
        <f t="shared" si="13"/>
        <v>0</v>
      </c>
      <c r="AP82" s="8">
        <f t="shared" si="14"/>
        <v>0</v>
      </c>
      <c r="AQ82" s="8" t="s">
        <v>117</v>
      </c>
      <c r="AR82" s="8">
        <f t="shared" si="9"/>
        <v>0</v>
      </c>
      <c r="AS82" s="8" t="s">
        <v>119</v>
      </c>
      <c r="AT82" s="8" t="s">
        <v>121</v>
      </c>
      <c r="BA82" s="1">
        <v>0</v>
      </c>
    </row>
    <row r="83" spans="1:53" x14ac:dyDescent="0.25">
      <c r="B83" s="2" t="s">
        <v>87</v>
      </c>
      <c r="C83" s="2" t="s">
        <v>88</v>
      </c>
      <c r="D83" s="2" t="s">
        <v>80</v>
      </c>
      <c r="E83" s="2" t="s">
        <v>71</v>
      </c>
      <c r="F83" s="2">
        <v>4.4999999999999998E-2</v>
      </c>
      <c r="G83" s="3">
        <v>0.39500000000000002</v>
      </c>
      <c r="H83" s="2">
        <v>256</v>
      </c>
      <c r="I83" s="2"/>
      <c r="J83" s="2"/>
      <c r="K83" s="2"/>
      <c r="L83" s="2"/>
      <c r="M83" s="2"/>
      <c r="N83" s="8">
        <f t="shared" si="10"/>
        <v>0</v>
      </c>
      <c r="O83" s="2"/>
      <c r="P83" s="2"/>
      <c r="Q83" s="2"/>
      <c r="R83" s="2"/>
      <c r="S83" s="2"/>
      <c r="T83" s="2"/>
      <c r="U83" s="2"/>
      <c r="V83" s="2"/>
      <c r="W83" s="2">
        <v>128</v>
      </c>
      <c r="X83" s="2"/>
      <c r="Y83" s="19"/>
      <c r="Z83" s="2"/>
      <c r="AA83" s="2"/>
      <c r="AB83" s="2"/>
      <c r="AC83" s="2">
        <v>128</v>
      </c>
      <c r="AD83" s="2"/>
      <c r="AE83" s="2"/>
      <c r="AF83" s="2"/>
      <c r="AG83" s="2"/>
      <c r="AH83" s="2"/>
      <c r="AI83" s="2"/>
      <c r="AJ83" s="7">
        <f t="shared" si="11"/>
        <v>101.12</v>
      </c>
      <c r="AK83" s="7">
        <v>288</v>
      </c>
      <c r="AL83" s="7">
        <v>1</v>
      </c>
      <c r="AM83" s="8">
        <f t="shared" si="12"/>
        <v>256</v>
      </c>
      <c r="AN83" s="8">
        <v>0</v>
      </c>
      <c r="AO83" s="8">
        <f t="shared" si="13"/>
        <v>0</v>
      </c>
      <c r="AP83" s="8">
        <f t="shared" si="14"/>
        <v>0</v>
      </c>
      <c r="AQ83" s="8" t="s">
        <v>112</v>
      </c>
      <c r="AR83" s="8">
        <f t="shared" si="9"/>
        <v>256</v>
      </c>
      <c r="AS83" s="8" t="s">
        <v>119</v>
      </c>
      <c r="AT83" s="8" t="s">
        <v>121</v>
      </c>
      <c r="BA83" s="1">
        <v>0</v>
      </c>
    </row>
    <row r="84" spans="1:53" x14ac:dyDescent="0.25">
      <c r="G84" s="4" t="s">
        <v>102</v>
      </c>
      <c r="H84" s="9">
        <f>SUM(H11:H83)</f>
        <v>46712</v>
      </c>
      <c r="I84" s="9">
        <f t="shared" ref="I84:M84" si="15">SUM(I11:I83)</f>
        <v>0</v>
      </c>
      <c r="J84" s="9">
        <f t="shared" si="15"/>
        <v>0</v>
      </c>
      <c r="K84" s="9">
        <f t="shared" si="15"/>
        <v>0</v>
      </c>
      <c r="L84" s="9">
        <f t="shared" si="15"/>
        <v>0</v>
      </c>
      <c r="M84" s="9">
        <f t="shared" si="15"/>
        <v>0</v>
      </c>
      <c r="N84" s="13">
        <v>13105</v>
      </c>
      <c r="O84" s="9">
        <f t="shared" ref="O84:AI84" si="16">SUM(O18:O83)</f>
        <v>0</v>
      </c>
      <c r="P84" s="9">
        <f t="shared" si="16"/>
        <v>0</v>
      </c>
      <c r="Q84" s="9">
        <f t="shared" si="16"/>
        <v>0</v>
      </c>
      <c r="R84" s="9">
        <f t="shared" si="16"/>
        <v>0</v>
      </c>
      <c r="S84" s="9">
        <f t="shared" si="16"/>
        <v>1788</v>
      </c>
      <c r="T84" s="9">
        <f t="shared" si="16"/>
        <v>2676</v>
      </c>
      <c r="U84" s="9">
        <f t="shared" si="16"/>
        <v>2748</v>
      </c>
      <c r="V84" s="9">
        <f t="shared" si="16"/>
        <v>4205</v>
      </c>
      <c r="W84" s="9">
        <f t="shared" si="16"/>
        <v>5543</v>
      </c>
      <c r="X84" s="9">
        <f t="shared" si="16"/>
        <v>1700</v>
      </c>
      <c r="Y84" s="9">
        <f t="shared" si="16"/>
        <v>2745</v>
      </c>
      <c r="Z84" s="9">
        <f t="shared" si="16"/>
        <v>1899</v>
      </c>
      <c r="AA84" s="9">
        <f t="shared" si="16"/>
        <v>1432</v>
      </c>
      <c r="AB84" s="9">
        <f t="shared" si="16"/>
        <v>1532</v>
      </c>
      <c r="AC84" s="9">
        <f t="shared" si="16"/>
        <v>1282</v>
      </c>
      <c r="AD84" s="9">
        <f t="shared" si="16"/>
        <v>2564</v>
      </c>
      <c r="AE84" s="9">
        <f t="shared" si="16"/>
        <v>0</v>
      </c>
      <c r="AF84" s="9">
        <f t="shared" si="16"/>
        <v>0</v>
      </c>
      <c r="AG84" s="9">
        <f t="shared" si="16"/>
        <v>0</v>
      </c>
      <c r="AH84" s="9">
        <f t="shared" si="16"/>
        <v>0</v>
      </c>
      <c r="AI84" s="9">
        <f t="shared" si="16"/>
        <v>407</v>
      </c>
      <c r="AJ84" s="9">
        <f t="shared" ref="AJ84:AP84" si="17">SUM(AJ11:AJ83)</f>
        <v>3944.152</v>
      </c>
      <c r="AK84" s="9"/>
      <c r="AL84" s="10">
        <f t="shared" si="17"/>
        <v>14</v>
      </c>
      <c r="AM84" s="11">
        <f t="shared" si="17"/>
        <v>3568</v>
      </c>
      <c r="AN84" s="11">
        <f t="shared" si="17"/>
        <v>2</v>
      </c>
      <c r="AO84" s="11">
        <f t="shared" si="17"/>
        <v>0</v>
      </c>
      <c r="AP84" s="11">
        <f t="shared" si="17"/>
        <v>0</v>
      </c>
      <c r="AR84" s="11">
        <f>SUM(AR11:AR83)</f>
        <v>3712</v>
      </c>
    </row>
    <row r="85" spans="1:53" x14ac:dyDescent="0.25">
      <c r="G85" s="4" t="s">
        <v>108</v>
      </c>
      <c r="H85" s="91">
        <f>+H84+I84+J84+K84+L84+M84</f>
        <v>46712</v>
      </c>
      <c r="I85" s="91"/>
      <c r="J85" s="91"/>
      <c r="K85" s="91"/>
      <c r="L85" s="91"/>
      <c r="M85" s="91"/>
      <c r="O85" s="92">
        <f t="shared" ref="O85" si="18">+O84+P84</f>
        <v>0</v>
      </c>
      <c r="P85" s="93"/>
      <c r="Q85" s="92">
        <f t="shared" ref="Q85" si="19">+Q84+R84</f>
        <v>0</v>
      </c>
      <c r="R85" s="93"/>
      <c r="S85" s="92">
        <f t="shared" ref="S85" si="20">+S84+T84</f>
        <v>4464</v>
      </c>
      <c r="T85" s="93"/>
      <c r="U85" s="92">
        <f t="shared" ref="U85" si="21">+U84+V84</f>
        <v>6953</v>
      </c>
      <c r="V85" s="93"/>
      <c r="W85" s="92">
        <f t="shared" ref="W85" si="22">+W84+X84</f>
        <v>7243</v>
      </c>
      <c r="X85" s="93"/>
      <c r="Y85" s="108">
        <f t="shared" ref="Y85" si="23">+Y84+Z84</f>
        <v>4644</v>
      </c>
      <c r="Z85" s="86"/>
      <c r="AA85" s="108">
        <f t="shared" ref="AA85" si="24">+AA84+AB84</f>
        <v>2964</v>
      </c>
      <c r="AB85" s="86"/>
      <c r="AC85" s="108">
        <f t="shared" ref="AC85" si="25">+AC84+AD84</f>
        <v>3846</v>
      </c>
      <c r="AD85" s="86"/>
      <c r="AE85" s="108">
        <f t="shared" ref="AE85" si="26">+AE84+AF84</f>
        <v>0</v>
      </c>
      <c r="AF85" s="86"/>
      <c r="AG85" s="108">
        <f t="shared" ref="AG85" si="27">+AG84+AH84</f>
        <v>0</v>
      </c>
      <c r="AH85" s="86"/>
      <c r="AI85" s="12">
        <f>+AI84</f>
        <v>407</v>
      </c>
    </row>
    <row r="86" spans="1:53" x14ac:dyDescent="0.25">
      <c r="H86" s="1">
        <v>0</v>
      </c>
      <c r="I86" s="1">
        <f>SUM(I18:I83)</f>
        <v>0</v>
      </c>
      <c r="J86" s="1">
        <f>SUM(J18:J83)</f>
        <v>0</v>
      </c>
      <c r="K86" s="1">
        <f t="shared" ref="K86:M86" si="28">SUM(K18:K83)</f>
        <v>0</v>
      </c>
      <c r="L86" s="1">
        <f t="shared" si="28"/>
        <v>0</v>
      </c>
      <c r="M86" s="1">
        <f t="shared" si="28"/>
        <v>0</v>
      </c>
      <c r="O86" s="133">
        <f>SUBTOTAL(9,O11:P17)</f>
        <v>0</v>
      </c>
      <c r="P86" s="133"/>
      <c r="Q86" s="133">
        <f t="shared" ref="Q86" si="29">SUBTOTAL(9,Q11:R17)</f>
        <v>0</v>
      </c>
      <c r="R86" s="133"/>
      <c r="S86" s="133">
        <f t="shared" ref="S86" si="30">SUBTOTAL(9,S11:T17)</f>
        <v>0</v>
      </c>
      <c r="T86" s="133"/>
      <c r="U86" s="133">
        <f t="shared" ref="U86" si="31">SUBTOTAL(9,U11:V17)</f>
        <v>0</v>
      </c>
      <c r="V86" s="133"/>
      <c r="W86" s="133">
        <f t="shared" ref="W86" si="32">SUBTOTAL(9,W11:X17)</f>
        <v>0</v>
      </c>
      <c r="X86" s="133"/>
    </row>
    <row r="88" spans="1:53" x14ac:dyDescent="0.25">
      <c r="C88" s="2" t="s">
        <v>143</v>
      </c>
      <c r="D88" s="2" t="s">
        <v>144</v>
      </c>
      <c r="E88" s="2" t="s">
        <v>145</v>
      </c>
      <c r="F88" s="2" t="s">
        <v>179</v>
      </c>
      <c r="O88" s="19" t="s">
        <v>97</v>
      </c>
      <c r="P88" s="19" t="s">
        <v>98</v>
      </c>
      <c r="Q88" s="19" t="s">
        <v>97</v>
      </c>
      <c r="R88" s="19" t="s">
        <v>98</v>
      </c>
      <c r="S88" s="19" t="s">
        <v>97</v>
      </c>
      <c r="T88" s="19" t="s">
        <v>98</v>
      </c>
      <c r="U88" s="19" t="s">
        <v>97</v>
      </c>
      <c r="V88" s="19" t="s">
        <v>98</v>
      </c>
      <c r="W88" s="19" t="s">
        <v>97</v>
      </c>
      <c r="X88" s="19" t="s">
        <v>98</v>
      </c>
      <c r="Y88" s="19" t="s">
        <v>97</v>
      </c>
      <c r="Z88" s="19" t="s">
        <v>98</v>
      </c>
      <c r="AA88" s="19" t="s">
        <v>97</v>
      </c>
      <c r="AB88" s="19" t="s">
        <v>98</v>
      </c>
      <c r="AC88" s="19" t="s">
        <v>97</v>
      </c>
      <c r="AD88" s="19" t="s">
        <v>98</v>
      </c>
      <c r="AE88" s="19" t="s">
        <v>97</v>
      </c>
      <c r="AF88" s="19" t="s">
        <v>98</v>
      </c>
      <c r="AG88" s="19" t="s">
        <v>97</v>
      </c>
      <c r="AH88" s="19" t="s">
        <v>98</v>
      </c>
      <c r="AI88" s="19"/>
    </row>
    <row r="89" spans="1:53" x14ac:dyDescent="0.25">
      <c r="B89" s="2" t="s">
        <v>138</v>
      </c>
      <c r="C89" s="8">
        <v>32712</v>
      </c>
      <c r="D89" s="2">
        <f>+C89/5</f>
        <v>6542.4</v>
      </c>
      <c r="E89" s="2">
        <f>+D89/2</f>
        <v>3271.2</v>
      </c>
      <c r="F89" s="8">
        <v>14000</v>
      </c>
      <c r="O89" s="48">
        <f t="shared" ref="O89:AH89" si="33">+O84/$E$89</f>
        <v>0</v>
      </c>
      <c r="P89" s="48">
        <f t="shared" si="33"/>
        <v>0</v>
      </c>
      <c r="Q89" s="48">
        <f t="shared" si="33"/>
        <v>0</v>
      </c>
      <c r="R89" s="48">
        <f t="shared" si="33"/>
        <v>0</v>
      </c>
      <c r="S89" s="48">
        <f t="shared" si="33"/>
        <v>0.54658840792369778</v>
      </c>
      <c r="T89" s="48">
        <f t="shared" si="33"/>
        <v>0.81804842259721211</v>
      </c>
      <c r="U89" s="48">
        <f t="shared" si="33"/>
        <v>0.84005869405722677</v>
      </c>
      <c r="V89" s="48">
        <f t="shared" si="33"/>
        <v>1.2854609929078016</v>
      </c>
      <c r="W89" s="48">
        <f t="shared" si="33"/>
        <v>1.6944852042064076</v>
      </c>
      <c r="X89" s="48">
        <f t="shared" si="33"/>
        <v>0.51968696502812428</v>
      </c>
      <c r="Y89" s="48">
        <f t="shared" si="33"/>
        <v>0.83914159941305944</v>
      </c>
      <c r="Z89" s="48">
        <f t="shared" si="33"/>
        <v>0.58052090975788706</v>
      </c>
      <c r="AA89" s="48">
        <f t="shared" si="33"/>
        <v>0.43775984348251407</v>
      </c>
      <c r="AB89" s="48">
        <f t="shared" si="33"/>
        <v>0.4683296649547567</v>
      </c>
      <c r="AC89" s="48">
        <f t="shared" si="33"/>
        <v>0.39190511127415018</v>
      </c>
      <c r="AD89" s="48">
        <f t="shared" si="33"/>
        <v>0.78381022254830035</v>
      </c>
      <c r="AE89" s="48">
        <f t="shared" si="33"/>
        <v>0</v>
      </c>
      <c r="AF89" s="48">
        <f t="shared" si="33"/>
        <v>0</v>
      </c>
      <c r="AG89" s="48">
        <f t="shared" si="33"/>
        <v>0</v>
      </c>
      <c r="AH89" s="48">
        <f t="shared" si="33"/>
        <v>0</v>
      </c>
      <c r="AI89" s="19"/>
    </row>
    <row r="90" spans="1:53" x14ac:dyDescent="0.25">
      <c r="B90" s="2" t="s">
        <v>142</v>
      </c>
      <c r="C90" s="8">
        <v>4539</v>
      </c>
      <c r="F90" s="2" t="s">
        <v>180</v>
      </c>
      <c r="O90" s="81">
        <f>+O86/$F$91</f>
        <v>0</v>
      </c>
      <c r="P90" s="82"/>
      <c r="Q90" s="81">
        <f t="shared" ref="Q90:AG90" si="34">+Q86/$F$91</f>
        <v>0</v>
      </c>
      <c r="R90" s="82"/>
      <c r="S90" s="81">
        <f t="shared" si="34"/>
        <v>0</v>
      </c>
      <c r="T90" s="82"/>
      <c r="U90" s="81">
        <f t="shared" si="34"/>
        <v>0</v>
      </c>
      <c r="V90" s="82"/>
      <c r="W90" s="81">
        <f t="shared" si="34"/>
        <v>0</v>
      </c>
      <c r="X90" s="82"/>
      <c r="Y90" s="81">
        <f t="shared" si="34"/>
        <v>0</v>
      </c>
      <c r="Z90" s="82"/>
      <c r="AA90" s="81">
        <f t="shared" si="34"/>
        <v>0</v>
      </c>
      <c r="AB90" s="82"/>
      <c r="AC90" s="81">
        <f t="shared" si="34"/>
        <v>0</v>
      </c>
      <c r="AD90" s="82"/>
      <c r="AE90" s="81">
        <f t="shared" si="34"/>
        <v>0</v>
      </c>
      <c r="AF90" s="82"/>
      <c r="AG90" s="81">
        <f t="shared" si="34"/>
        <v>0</v>
      </c>
      <c r="AH90" s="82"/>
      <c r="AI90" s="19"/>
    </row>
    <row r="91" spans="1:53" x14ac:dyDescent="0.25">
      <c r="B91" s="2" t="s">
        <v>139</v>
      </c>
      <c r="C91" s="2">
        <f>+C89-C90</f>
        <v>28173</v>
      </c>
      <c r="F91" s="2">
        <f>+F89/5</f>
        <v>2800</v>
      </c>
    </row>
    <row r="92" spans="1:53" x14ac:dyDescent="0.25">
      <c r="B92" s="2" t="s">
        <v>136</v>
      </c>
      <c r="C92" s="25">
        <f>+C91/C89</f>
        <v>0.86124358033749082</v>
      </c>
    </row>
    <row r="93" spans="1:53" x14ac:dyDescent="0.25">
      <c r="B93" s="2" t="s">
        <v>137</v>
      </c>
      <c r="C93" s="25">
        <f>+C90/C89</f>
        <v>0.13875641966250918</v>
      </c>
    </row>
    <row r="95" spans="1:53" x14ac:dyDescent="0.25">
      <c r="A95" s="83" t="s">
        <v>189</v>
      </c>
      <c r="B95" s="84"/>
      <c r="C95" s="84"/>
      <c r="D95" s="84"/>
      <c r="E95" s="84"/>
      <c r="F95" s="85"/>
    </row>
    <row r="96" spans="1:53" x14ac:dyDescent="0.25">
      <c r="A96" s="86" t="s">
        <v>188</v>
      </c>
      <c r="B96" s="44">
        <v>46286</v>
      </c>
      <c r="C96" s="44">
        <v>46287</v>
      </c>
      <c r="D96" s="44">
        <v>46288</v>
      </c>
      <c r="E96" s="44">
        <v>46289</v>
      </c>
      <c r="F96" s="44">
        <v>46290</v>
      </c>
    </row>
    <row r="97" spans="1:6" x14ac:dyDescent="0.25">
      <c r="A97" s="86"/>
      <c r="B97" s="45" t="s">
        <v>148</v>
      </c>
      <c r="C97" s="4" t="s">
        <v>149</v>
      </c>
      <c r="D97" s="4" t="s">
        <v>150</v>
      </c>
      <c r="E97" s="4" t="s">
        <v>151</v>
      </c>
      <c r="F97" s="4" t="s">
        <v>160</v>
      </c>
    </row>
    <row r="98" spans="1:6" x14ac:dyDescent="0.25">
      <c r="A98" s="11" t="s">
        <v>153</v>
      </c>
      <c r="B98" s="35"/>
      <c r="C98" s="35"/>
      <c r="D98" s="35"/>
      <c r="E98" s="35">
        <v>0.36</v>
      </c>
      <c r="F98" s="35">
        <v>0.48</v>
      </c>
    </row>
    <row r="99" spans="1:6" x14ac:dyDescent="0.25">
      <c r="A99" s="11" t="s">
        <v>154</v>
      </c>
      <c r="B99" s="35"/>
      <c r="C99" s="35"/>
      <c r="D99" s="35"/>
      <c r="E99" s="35">
        <v>0.64</v>
      </c>
      <c r="F99" s="35">
        <v>0.52</v>
      </c>
    </row>
    <row r="101" spans="1:6" x14ac:dyDescent="0.25">
      <c r="A101" s="83" t="s">
        <v>171</v>
      </c>
      <c r="B101" s="84"/>
      <c r="C101" s="84"/>
      <c r="D101" s="84"/>
      <c r="E101" s="84"/>
      <c r="F101" s="85"/>
    </row>
    <row r="102" spans="1:6" x14ac:dyDescent="0.25">
      <c r="A102" s="86" t="s">
        <v>192</v>
      </c>
      <c r="B102" s="44">
        <v>46293</v>
      </c>
      <c r="C102" s="44">
        <v>46294</v>
      </c>
      <c r="D102" s="44">
        <v>46295</v>
      </c>
      <c r="E102" s="44">
        <v>46296</v>
      </c>
      <c r="F102" s="44">
        <v>46297</v>
      </c>
    </row>
    <row r="103" spans="1:6" x14ac:dyDescent="0.25">
      <c r="A103" s="86"/>
      <c r="B103" s="45" t="s">
        <v>148</v>
      </c>
      <c r="C103" s="4" t="s">
        <v>149</v>
      </c>
      <c r="D103" s="4" t="s">
        <v>150</v>
      </c>
      <c r="E103" s="4" t="s">
        <v>151</v>
      </c>
      <c r="F103" s="4" t="s">
        <v>160</v>
      </c>
    </row>
    <row r="104" spans="1:6" x14ac:dyDescent="0.25">
      <c r="A104" s="11" t="s">
        <v>153</v>
      </c>
      <c r="B104" s="35"/>
      <c r="C104" s="35">
        <v>0.75</v>
      </c>
      <c r="D104" s="35">
        <v>0.8</v>
      </c>
      <c r="E104" s="35">
        <v>0.86</v>
      </c>
      <c r="F104" s="35">
        <v>0.86</v>
      </c>
    </row>
    <row r="105" spans="1:6" x14ac:dyDescent="0.25">
      <c r="A105" s="11" t="s">
        <v>154</v>
      </c>
      <c r="B105" s="35"/>
      <c r="C105" s="35">
        <v>0.25</v>
      </c>
      <c r="D105" s="35">
        <v>0.2</v>
      </c>
      <c r="E105" s="35">
        <v>0.14000000000000001</v>
      </c>
      <c r="F105" s="35">
        <v>0.14000000000000001</v>
      </c>
    </row>
  </sheetData>
  <autoFilter ref="B10:AT85" xr:uid="{00000000-0009-0000-0000-00000D000000}"/>
  <mergeCells count="43">
    <mergeCell ref="C7:D7"/>
    <mergeCell ref="B8:B9"/>
    <mergeCell ref="I9:M9"/>
    <mergeCell ref="AC9:AD9"/>
    <mergeCell ref="AE9:AF9"/>
    <mergeCell ref="S9:T9"/>
    <mergeCell ref="Q9:R9"/>
    <mergeCell ref="O9:P9"/>
    <mergeCell ref="AE85:AF85"/>
    <mergeCell ref="AG85:AH85"/>
    <mergeCell ref="AG9:AH9"/>
    <mergeCell ref="H85:M85"/>
    <mergeCell ref="O85:P85"/>
    <mergeCell ref="Q85:R85"/>
    <mergeCell ref="S85:T85"/>
    <mergeCell ref="U85:V85"/>
    <mergeCell ref="W85:X85"/>
    <mergeCell ref="Y85:Z85"/>
    <mergeCell ref="AA85:AB85"/>
    <mergeCell ref="AC85:AD85"/>
    <mergeCell ref="U9:V9"/>
    <mergeCell ref="W9:X9"/>
    <mergeCell ref="Y9:Z9"/>
    <mergeCell ref="AA9:AB9"/>
    <mergeCell ref="AA90:AB90"/>
    <mergeCell ref="AC90:AD90"/>
    <mergeCell ref="AE90:AF90"/>
    <mergeCell ref="AG90:AH90"/>
    <mergeCell ref="A95:F95"/>
    <mergeCell ref="O90:P90"/>
    <mergeCell ref="Q90:R90"/>
    <mergeCell ref="S90:T90"/>
    <mergeCell ref="U90:V90"/>
    <mergeCell ref="W90:X90"/>
    <mergeCell ref="Y90:Z90"/>
    <mergeCell ref="A101:F101"/>
    <mergeCell ref="A102:A103"/>
    <mergeCell ref="W86:X86"/>
    <mergeCell ref="U86:V86"/>
    <mergeCell ref="S86:T86"/>
    <mergeCell ref="Q86:R86"/>
    <mergeCell ref="O86:P86"/>
    <mergeCell ref="A96:A97"/>
  </mergeCells>
  <conditionalFormatting sqref="O89:AH89">
    <cfRule type="cellIs" dxfId="11" priority="1" operator="between">
      <formula>1</formula>
      <formula>5</formula>
    </cfRule>
    <cfRule type="cellIs" dxfId="10" priority="2" operator="between">
      <formula>0.85</formula>
      <formula>0.99</formula>
    </cfRule>
    <cfRule type="cellIs" dxfId="9" priority="3" operator="between">
      <formula>0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scale="89" orientation="landscape" r:id="rId2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 filterMode="1">
    <pageSetUpPr fitToPage="1"/>
  </sheetPr>
  <dimension ref="A1:BM105"/>
  <sheetViews>
    <sheetView view="pageBreakPreview" zoomScale="80" zoomScaleNormal="80" zoomScaleSheetLayoutView="80" workbookViewId="0">
      <pane xSplit="14" topLeftCell="O1" activePane="topRight" state="frozen"/>
      <selection activeCell="B2" sqref="B2"/>
      <selection pane="topRight" activeCell="N11" sqref="N11"/>
    </sheetView>
  </sheetViews>
  <sheetFormatPr baseColWidth="10" defaultColWidth="8.7109375" defaultRowHeight="15" x14ac:dyDescent="0.25"/>
  <cols>
    <col min="1" max="1" width="10.140625" style="1" bestFit="1" customWidth="1"/>
    <col min="2" max="2" width="17.7109375" style="1" bestFit="1" customWidth="1"/>
    <col min="3" max="3" width="14.42578125" style="1" bestFit="1" customWidth="1"/>
    <col min="4" max="4" width="19.140625" style="1" customWidth="1"/>
    <col min="5" max="5" width="14.5703125" style="1" customWidth="1"/>
    <col min="6" max="6" width="19.7109375" style="1" customWidth="1"/>
    <col min="7" max="7" width="15.42578125" style="1" customWidth="1"/>
    <col min="8" max="8" width="15.42578125" style="1" bestFit="1" customWidth="1"/>
    <col min="9" max="9" width="10.140625" style="1" customWidth="1"/>
    <col min="10" max="10" width="6.42578125" style="1" hidden="1" customWidth="1"/>
    <col min="11" max="11" width="10" style="1" hidden="1" customWidth="1"/>
    <col min="12" max="12" width="9" style="1" hidden="1" customWidth="1"/>
    <col min="13" max="13" width="5.5703125" style="1" hidden="1" customWidth="1"/>
    <col min="14" max="14" width="19.28515625" style="1" customWidth="1"/>
    <col min="15" max="38" width="8.7109375" style="1" customWidth="1"/>
    <col min="39" max="44" width="8.7109375" style="1"/>
    <col min="45" max="46" width="0" style="1" hidden="1" customWidth="1"/>
    <col min="47" max="49" width="8.7109375" style="1"/>
    <col min="50" max="50" width="8.7109375" style="1" customWidth="1"/>
    <col min="51" max="51" width="8.7109375" style="1"/>
    <col min="52" max="52" width="0" style="1" hidden="1" customWidth="1"/>
    <col min="53" max="54" width="8.7109375" style="1"/>
    <col min="55" max="55" width="10" style="1" bestFit="1" customWidth="1"/>
    <col min="56" max="56" width="10" style="1" customWidth="1"/>
    <col min="57" max="57" width="13" style="1" bestFit="1" customWidth="1"/>
    <col min="58" max="58" width="11.5703125" style="1" bestFit="1" customWidth="1"/>
    <col min="59" max="59" width="8.7109375" style="1"/>
    <col min="60" max="60" width="12.85546875" style="1" customWidth="1"/>
    <col min="61" max="61" width="16.5703125" style="1" customWidth="1"/>
    <col min="62" max="16384" width="8.7109375" style="1"/>
  </cols>
  <sheetData>
    <row r="1" spans="2:65" s="75" customFormat="1" x14ac:dyDescent="0.25">
      <c r="J1" s="1"/>
      <c r="K1" s="1"/>
      <c r="L1" s="1"/>
      <c r="M1" s="1"/>
      <c r="AZ1" s="1"/>
    </row>
    <row r="2" spans="2:65" s="75" customFormat="1" x14ac:dyDescent="0.25">
      <c r="J2" s="1"/>
      <c r="K2" s="1"/>
      <c r="L2" s="1"/>
      <c r="M2" s="1"/>
      <c r="AZ2" s="1"/>
    </row>
    <row r="3" spans="2:65" s="75" customFormat="1" x14ac:dyDescent="0.25">
      <c r="J3" s="1"/>
      <c r="K3" s="1"/>
      <c r="L3" s="1"/>
      <c r="M3" s="1"/>
      <c r="AZ3" s="1"/>
    </row>
    <row r="4" spans="2:65" s="75" customFormat="1" x14ac:dyDescent="0.25">
      <c r="J4" s="1"/>
      <c r="K4" s="1"/>
      <c r="L4" s="1"/>
      <c r="M4" s="1"/>
      <c r="AZ4" s="1"/>
    </row>
    <row r="5" spans="2:65" s="75" customFormat="1" x14ac:dyDescent="0.25">
      <c r="J5" s="1"/>
      <c r="K5" s="1"/>
      <c r="L5" s="1"/>
      <c r="M5" s="1"/>
      <c r="AZ5" s="1"/>
    </row>
    <row r="7" spans="2:65" x14ac:dyDescent="0.25">
      <c r="B7" s="4" t="s">
        <v>99</v>
      </c>
      <c r="C7" s="88" t="s">
        <v>100</v>
      </c>
      <c r="D7" s="88"/>
    </row>
    <row r="8" spans="2:65" x14ac:dyDescent="0.25">
      <c r="B8" s="89">
        <f ca="1">TODAY()</f>
        <v>46309</v>
      </c>
      <c r="C8" s="4" t="s">
        <v>97</v>
      </c>
      <c r="D8" s="2" t="s">
        <v>127</v>
      </c>
      <c r="H8" s="4" t="s">
        <v>84</v>
      </c>
    </row>
    <row r="9" spans="2:65" x14ac:dyDescent="0.25">
      <c r="B9" s="89"/>
      <c r="C9" s="4" t="s">
        <v>98</v>
      </c>
      <c r="D9" s="2"/>
      <c r="H9" s="4" t="s">
        <v>85</v>
      </c>
      <c r="I9" s="90" t="s">
        <v>146</v>
      </c>
      <c r="J9" s="90"/>
      <c r="K9" s="90"/>
      <c r="L9" s="90"/>
      <c r="M9" s="90"/>
      <c r="O9" s="87">
        <v>46286</v>
      </c>
      <c r="P9" s="87"/>
      <c r="Q9" s="87">
        <v>46287</v>
      </c>
      <c r="R9" s="87"/>
      <c r="S9" s="87">
        <v>46288</v>
      </c>
      <c r="T9" s="87"/>
      <c r="U9" s="87">
        <v>46289</v>
      </c>
      <c r="V9" s="87"/>
      <c r="W9" s="87">
        <v>46290</v>
      </c>
      <c r="X9" s="87"/>
      <c r="Y9" s="87">
        <v>46293</v>
      </c>
      <c r="Z9" s="87"/>
      <c r="AA9" s="87">
        <v>46294</v>
      </c>
      <c r="AB9" s="87"/>
      <c r="AC9" s="87">
        <v>46295</v>
      </c>
      <c r="AD9" s="87"/>
      <c r="AE9" s="87">
        <v>46296</v>
      </c>
      <c r="AF9" s="87"/>
      <c r="AG9" s="87">
        <v>46297</v>
      </c>
      <c r="AH9" s="87"/>
      <c r="AI9" s="87">
        <v>46300</v>
      </c>
      <c r="AJ9" s="87"/>
      <c r="AK9" s="87">
        <v>46301</v>
      </c>
      <c r="AL9" s="87"/>
      <c r="AM9" s="87">
        <v>46302</v>
      </c>
      <c r="AN9" s="87"/>
      <c r="AO9" s="87">
        <v>46303</v>
      </c>
      <c r="AP9" s="87"/>
      <c r="AQ9" s="87">
        <v>46304</v>
      </c>
      <c r="AR9" s="87"/>
      <c r="AS9" s="6"/>
      <c r="AT9" s="6"/>
      <c r="AU9" s="6" t="s">
        <v>92</v>
      </c>
    </row>
    <row r="10" spans="2:65" x14ac:dyDescent="0.25">
      <c r="B10" s="4" t="s">
        <v>0</v>
      </c>
      <c r="C10" s="4" t="s">
        <v>86</v>
      </c>
      <c r="D10" s="4" t="s">
        <v>89</v>
      </c>
      <c r="E10" s="4" t="s">
        <v>81</v>
      </c>
      <c r="F10" s="4" t="s">
        <v>82</v>
      </c>
      <c r="G10" s="4" t="s">
        <v>83</v>
      </c>
      <c r="H10" s="5">
        <v>41</v>
      </c>
      <c r="I10" s="4" t="s">
        <v>193</v>
      </c>
      <c r="J10" s="4" t="s">
        <v>91</v>
      </c>
      <c r="K10" s="4" t="s">
        <v>93</v>
      </c>
      <c r="L10" s="4" t="s">
        <v>94</v>
      </c>
      <c r="M10" s="4" t="s">
        <v>95</v>
      </c>
      <c r="N10" s="4" t="s">
        <v>96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 t="s">
        <v>104</v>
      </c>
      <c r="AV10" s="4" t="s">
        <v>90</v>
      </c>
      <c r="AW10" s="4" t="s">
        <v>126</v>
      </c>
      <c r="AX10" s="4" t="s">
        <v>105</v>
      </c>
      <c r="AY10" s="4" t="s">
        <v>105</v>
      </c>
      <c r="AZ10" s="4" t="s">
        <v>106</v>
      </c>
      <c r="BA10" s="4" t="s">
        <v>106</v>
      </c>
      <c r="BB10" s="4" t="s">
        <v>107</v>
      </c>
      <c r="BC10" s="4" t="s">
        <v>109</v>
      </c>
      <c r="BD10" s="4" t="s">
        <v>122</v>
      </c>
      <c r="BE10" s="4" t="s">
        <v>118</v>
      </c>
      <c r="BF10" s="4" t="s">
        <v>120</v>
      </c>
      <c r="BH10" s="15" t="s">
        <v>123</v>
      </c>
      <c r="BI10" s="15" t="s">
        <v>125</v>
      </c>
      <c r="BJ10"/>
    </row>
    <row r="11" spans="2:65" x14ac:dyDescent="0.25">
      <c r="B11" s="2" t="s">
        <v>87</v>
      </c>
      <c r="C11" s="2" t="s">
        <v>88</v>
      </c>
      <c r="D11" s="2" t="s">
        <v>1</v>
      </c>
      <c r="E11" s="2" t="s">
        <v>2</v>
      </c>
      <c r="F11" s="2">
        <v>0.42</v>
      </c>
      <c r="G11" s="3">
        <v>0.02</v>
      </c>
      <c r="H11" s="2">
        <v>3800</v>
      </c>
      <c r="I11" s="2">
        <v>0</v>
      </c>
      <c r="J11" s="2"/>
      <c r="K11" s="2"/>
      <c r="L11" s="2"/>
      <c r="M11" s="2"/>
      <c r="N11" s="8">
        <f t="shared" ref="N11:N74" si="0">+H11+I11+J11+K11+L11+M11-SUM(O11:AU11)</f>
        <v>3800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7">
        <f t="shared" ref="AV11:AV74" si="1">+G11*SUM(H11:M11)</f>
        <v>76</v>
      </c>
      <c r="AW11" s="7">
        <v>1000</v>
      </c>
      <c r="AX11" s="7">
        <v>0</v>
      </c>
      <c r="AY11" s="8">
        <f t="shared" ref="AY11:AY74" si="2">+H11*AX11</f>
        <v>0</v>
      </c>
      <c r="AZ11" s="8">
        <v>0</v>
      </c>
      <c r="BA11" s="8">
        <f t="shared" ref="BA11:BA74" si="3">+H11*AZ11</f>
        <v>0</v>
      </c>
      <c r="BB11" s="8">
        <f>+BA11*2</f>
        <v>0</v>
      </c>
      <c r="BC11" s="8">
        <v>0</v>
      </c>
      <c r="BD11" s="8">
        <v>0</v>
      </c>
      <c r="BE11" s="8" t="s">
        <v>119</v>
      </c>
      <c r="BF11" s="8" t="s">
        <v>121</v>
      </c>
      <c r="BH11" s="14">
        <v>0</v>
      </c>
      <c r="BI11" s="15">
        <v>0</v>
      </c>
      <c r="BJ11"/>
      <c r="BM11" s="1">
        <v>5600</v>
      </c>
    </row>
    <row r="12" spans="2:65" hidden="1" x14ac:dyDescent="0.25">
      <c r="B12" s="2" t="s">
        <v>87</v>
      </c>
      <c r="C12" s="2" t="s">
        <v>88</v>
      </c>
      <c r="D12" s="2" t="s">
        <v>3</v>
      </c>
      <c r="E12" s="2" t="s">
        <v>2</v>
      </c>
      <c r="F12" s="2">
        <v>0.42</v>
      </c>
      <c r="G12" s="3">
        <v>3.1E-2</v>
      </c>
      <c r="H12" s="2">
        <v>0</v>
      </c>
      <c r="I12" s="2">
        <v>5130</v>
      </c>
      <c r="J12" s="2"/>
      <c r="K12" s="2"/>
      <c r="L12" s="2"/>
      <c r="M12" s="2"/>
      <c r="N12" s="8">
        <f t="shared" si="0"/>
        <v>-10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>
        <v>5140</v>
      </c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7">
        <f t="shared" si="1"/>
        <v>159.03</v>
      </c>
      <c r="AW12" s="7">
        <v>1000</v>
      </c>
      <c r="AX12" s="7">
        <v>0</v>
      </c>
      <c r="AY12" s="8">
        <f t="shared" si="2"/>
        <v>0</v>
      </c>
      <c r="AZ12" s="8">
        <v>0</v>
      </c>
      <c r="BA12" s="8">
        <f t="shared" si="3"/>
        <v>0</v>
      </c>
      <c r="BB12" s="8">
        <f t="shared" ref="BB12:BB75" si="4">+BA12*2</f>
        <v>0</v>
      </c>
      <c r="BC12" s="8">
        <v>0</v>
      </c>
      <c r="BD12" s="8">
        <v>0</v>
      </c>
      <c r="BE12" s="8" t="s">
        <v>119</v>
      </c>
      <c r="BF12" s="8" t="s">
        <v>121</v>
      </c>
      <c r="BH12" s="14" t="s">
        <v>117</v>
      </c>
      <c r="BI12" s="15">
        <v>128</v>
      </c>
      <c r="BJ12"/>
      <c r="BM12" s="1">
        <v>4338</v>
      </c>
    </row>
    <row r="13" spans="2:65" hidden="1" x14ac:dyDescent="0.25">
      <c r="B13" s="2" t="s">
        <v>87</v>
      </c>
      <c r="C13" s="2" t="s">
        <v>88</v>
      </c>
      <c r="D13" s="2" t="s">
        <v>4</v>
      </c>
      <c r="E13" s="2" t="s">
        <v>2</v>
      </c>
      <c r="F13" s="2">
        <v>0.42</v>
      </c>
      <c r="G13" s="3">
        <v>3.3000000000000002E-2</v>
      </c>
      <c r="H13" s="2">
        <v>0</v>
      </c>
      <c r="I13" s="2">
        <v>2612</v>
      </c>
      <c r="J13" s="2"/>
      <c r="K13" s="2"/>
      <c r="L13" s="2"/>
      <c r="M13" s="2"/>
      <c r="N13" s="8">
        <f t="shared" si="0"/>
        <v>-38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>
        <v>2650</v>
      </c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7">
        <f t="shared" si="1"/>
        <v>86.195999999999998</v>
      </c>
      <c r="AW13" s="7">
        <v>1000</v>
      </c>
      <c r="AX13" s="7">
        <v>0</v>
      </c>
      <c r="AY13" s="8">
        <f t="shared" si="2"/>
        <v>0</v>
      </c>
      <c r="AZ13" s="8">
        <v>0</v>
      </c>
      <c r="BA13" s="8">
        <f t="shared" si="3"/>
        <v>0</v>
      </c>
      <c r="BB13" s="8">
        <f t="shared" si="4"/>
        <v>0</v>
      </c>
      <c r="BC13" s="8">
        <v>0</v>
      </c>
      <c r="BD13" s="8">
        <v>0</v>
      </c>
      <c r="BE13" s="8" t="s">
        <v>119</v>
      </c>
      <c r="BF13" s="8" t="s">
        <v>121</v>
      </c>
      <c r="BH13" s="14" t="s">
        <v>113</v>
      </c>
      <c r="BI13" s="15">
        <v>0</v>
      </c>
      <c r="BJ13"/>
      <c r="BM13" s="1">
        <v>1300</v>
      </c>
    </row>
    <row r="14" spans="2:65" hidden="1" x14ac:dyDescent="0.25">
      <c r="B14" s="2" t="s">
        <v>87</v>
      </c>
      <c r="C14" s="2" t="s">
        <v>88</v>
      </c>
      <c r="D14" s="2" t="s">
        <v>5</v>
      </c>
      <c r="E14" s="2" t="s">
        <v>2</v>
      </c>
      <c r="F14" s="2">
        <v>0.42</v>
      </c>
      <c r="G14" s="3">
        <v>1.9E-2</v>
      </c>
      <c r="H14" s="2">
        <v>700</v>
      </c>
      <c r="I14" s="2">
        <v>0</v>
      </c>
      <c r="J14" s="2"/>
      <c r="K14" s="2"/>
      <c r="L14" s="2"/>
      <c r="M14" s="2"/>
      <c r="N14" s="8">
        <f t="shared" si="0"/>
        <v>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>
        <v>700</v>
      </c>
      <c r="AQ14" s="2"/>
      <c r="AR14" s="2"/>
      <c r="AS14" s="2"/>
      <c r="AT14" s="2"/>
      <c r="AU14" s="2"/>
      <c r="AV14" s="7">
        <f t="shared" si="1"/>
        <v>13.299999999999999</v>
      </c>
      <c r="AW14" s="7">
        <v>1000</v>
      </c>
      <c r="AX14" s="7">
        <v>0</v>
      </c>
      <c r="AY14" s="8">
        <f t="shared" si="2"/>
        <v>0</v>
      </c>
      <c r="AZ14" s="8">
        <v>0</v>
      </c>
      <c r="BA14" s="8">
        <f t="shared" si="3"/>
        <v>0</v>
      </c>
      <c r="BB14" s="8">
        <f t="shared" si="4"/>
        <v>0</v>
      </c>
      <c r="BC14" s="8">
        <v>0</v>
      </c>
      <c r="BD14" s="8">
        <v>0</v>
      </c>
      <c r="BE14" s="8" t="s">
        <v>119</v>
      </c>
      <c r="BF14" s="8" t="s">
        <v>121</v>
      </c>
      <c r="BH14" s="14" t="s">
        <v>110</v>
      </c>
      <c r="BI14" s="15">
        <v>864</v>
      </c>
      <c r="BJ14"/>
      <c r="BM14" s="1">
        <v>0</v>
      </c>
    </row>
    <row r="15" spans="2:65" hidden="1" x14ac:dyDescent="0.25">
      <c r="B15" s="2" t="s">
        <v>87</v>
      </c>
      <c r="C15" s="2" t="s">
        <v>88</v>
      </c>
      <c r="D15" s="2" t="s">
        <v>6</v>
      </c>
      <c r="E15" s="2" t="s">
        <v>2</v>
      </c>
      <c r="F15" s="2">
        <v>0.42</v>
      </c>
      <c r="G15" s="3">
        <v>0.03</v>
      </c>
      <c r="H15" s="2">
        <v>400</v>
      </c>
      <c r="I15" s="2">
        <v>0</v>
      </c>
      <c r="J15" s="2"/>
      <c r="K15" s="2"/>
      <c r="L15" s="2"/>
      <c r="M15" s="2"/>
      <c r="N15" s="8">
        <f t="shared" si="0"/>
        <v>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>
        <v>400</v>
      </c>
      <c r="AQ15" s="2"/>
      <c r="AR15" s="2"/>
      <c r="AS15" s="2"/>
      <c r="AT15" s="2"/>
      <c r="AU15" s="2"/>
      <c r="AV15" s="7">
        <f t="shared" si="1"/>
        <v>12</v>
      </c>
      <c r="AW15" s="7">
        <v>1000</v>
      </c>
      <c r="AX15" s="7">
        <v>0</v>
      </c>
      <c r="AY15" s="8">
        <f t="shared" si="2"/>
        <v>0</v>
      </c>
      <c r="AZ15" s="8">
        <v>0</v>
      </c>
      <c r="BA15" s="8">
        <f t="shared" si="3"/>
        <v>0</v>
      </c>
      <c r="BB15" s="8">
        <f t="shared" si="4"/>
        <v>0</v>
      </c>
      <c r="BC15" s="8">
        <v>0</v>
      </c>
      <c r="BD15" s="8">
        <v>0</v>
      </c>
      <c r="BE15" s="8" t="s">
        <v>119</v>
      </c>
      <c r="BF15" s="8" t="s">
        <v>121</v>
      </c>
      <c r="BH15" s="14" t="s">
        <v>116</v>
      </c>
      <c r="BI15" s="15">
        <v>0</v>
      </c>
      <c r="BJ15"/>
      <c r="BM15" s="1">
        <v>1000</v>
      </c>
    </row>
    <row r="16" spans="2:65" hidden="1" x14ac:dyDescent="0.25">
      <c r="B16" s="2" t="s">
        <v>87</v>
      </c>
      <c r="C16" s="2" t="s">
        <v>88</v>
      </c>
      <c r="D16" s="2" t="s">
        <v>7</v>
      </c>
      <c r="E16" s="2" t="s">
        <v>2</v>
      </c>
      <c r="F16" s="2">
        <v>0.42</v>
      </c>
      <c r="G16" s="3">
        <v>2.1999999999999999E-2</v>
      </c>
      <c r="H16" s="2">
        <v>0</v>
      </c>
      <c r="I16" s="2">
        <v>0</v>
      </c>
      <c r="J16" s="2"/>
      <c r="K16" s="2"/>
      <c r="L16" s="2"/>
      <c r="M16" s="2"/>
      <c r="N16" s="8">
        <f t="shared" si="0"/>
        <v>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7">
        <f t="shared" si="1"/>
        <v>0</v>
      </c>
      <c r="AW16" s="7">
        <v>1000</v>
      </c>
      <c r="AX16" s="7">
        <v>0</v>
      </c>
      <c r="AY16" s="8">
        <f t="shared" si="2"/>
        <v>0</v>
      </c>
      <c r="AZ16" s="8">
        <v>0</v>
      </c>
      <c r="BA16" s="8">
        <f t="shared" si="3"/>
        <v>0</v>
      </c>
      <c r="BB16" s="8">
        <f t="shared" si="4"/>
        <v>0</v>
      </c>
      <c r="BC16" s="8">
        <v>0</v>
      </c>
      <c r="BD16" s="8">
        <v>0</v>
      </c>
      <c r="BE16" s="8" t="s">
        <v>119</v>
      </c>
      <c r="BF16" s="8" t="s">
        <v>121</v>
      </c>
      <c r="BH16" s="14" t="s">
        <v>111</v>
      </c>
      <c r="BI16" s="15">
        <v>7704</v>
      </c>
      <c r="BJ16"/>
      <c r="BM16" s="1">
        <v>1707</v>
      </c>
    </row>
    <row r="17" spans="2:65" hidden="1" x14ac:dyDescent="0.25">
      <c r="B17" s="2" t="s">
        <v>87</v>
      </c>
      <c r="C17" s="2" t="s">
        <v>88</v>
      </c>
      <c r="D17" s="2" t="s">
        <v>8</v>
      </c>
      <c r="E17" s="2" t="s">
        <v>2</v>
      </c>
      <c r="F17" s="2">
        <v>0.42</v>
      </c>
      <c r="G17" s="3">
        <v>2.3E-2</v>
      </c>
      <c r="H17" s="2">
        <v>0</v>
      </c>
      <c r="I17" s="2">
        <v>0</v>
      </c>
      <c r="J17" s="2"/>
      <c r="K17" s="2"/>
      <c r="L17" s="2"/>
      <c r="M17" s="2"/>
      <c r="N17" s="8">
        <f t="shared" si="0"/>
        <v>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7">
        <f t="shared" si="1"/>
        <v>0</v>
      </c>
      <c r="AW17" s="7">
        <v>1000</v>
      </c>
      <c r="AX17" s="7">
        <v>0</v>
      </c>
      <c r="AY17" s="8">
        <f t="shared" si="2"/>
        <v>0</v>
      </c>
      <c r="AZ17" s="8">
        <v>0</v>
      </c>
      <c r="BA17" s="8">
        <f t="shared" si="3"/>
        <v>0</v>
      </c>
      <c r="BB17" s="8">
        <f t="shared" si="4"/>
        <v>0</v>
      </c>
      <c r="BC17" s="8">
        <v>0</v>
      </c>
      <c r="BD17" s="8">
        <v>0</v>
      </c>
      <c r="BE17" s="8" t="s">
        <v>119</v>
      </c>
      <c r="BF17" s="8" t="s">
        <v>121</v>
      </c>
      <c r="BH17" s="14" t="s">
        <v>112</v>
      </c>
      <c r="BI17" s="15">
        <v>3840</v>
      </c>
      <c r="BJ17"/>
      <c r="BM17" s="1">
        <v>0</v>
      </c>
    </row>
    <row r="18" spans="2:65" hidden="1" x14ac:dyDescent="0.25">
      <c r="B18" s="2" t="s">
        <v>87</v>
      </c>
      <c r="C18" s="2" t="s">
        <v>88</v>
      </c>
      <c r="D18" s="2" t="s">
        <v>9</v>
      </c>
      <c r="E18" s="2" t="s">
        <v>10</v>
      </c>
      <c r="F18" s="2">
        <v>2.8000000000000001E-2</v>
      </c>
      <c r="G18" s="3">
        <v>5.7000000000000002E-2</v>
      </c>
      <c r="H18" s="2">
        <v>1500</v>
      </c>
      <c r="I18" s="2">
        <v>0</v>
      </c>
      <c r="J18" s="2"/>
      <c r="K18" s="2"/>
      <c r="L18" s="2"/>
      <c r="M18" s="2"/>
      <c r="N18" s="8">
        <f>+H18+I18+J18+K18+L18+M18-SUM(O18:AU18)</f>
        <v>0</v>
      </c>
      <c r="O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>
        <v>100</v>
      </c>
      <c r="AB18" s="2"/>
      <c r="AC18" s="2">
        <v>200</v>
      </c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>
        <v>500</v>
      </c>
      <c r="AP18" s="2">
        <v>700</v>
      </c>
      <c r="AQ18" s="2"/>
      <c r="AR18" s="2"/>
      <c r="AS18" s="2"/>
      <c r="AT18" s="2"/>
      <c r="AU18" s="2"/>
      <c r="AV18" s="7">
        <f t="shared" si="1"/>
        <v>85.5</v>
      </c>
      <c r="AW18" s="7">
        <v>1000</v>
      </c>
      <c r="AX18" s="7">
        <v>0</v>
      </c>
      <c r="AY18" s="8">
        <f t="shared" si="2"/>
        <v>0</v>
      </c>
      <c r="AZ18" s="8">
        <v>0</v>
      </c>
      <c r="BA18" s="8">
        <f t="shared" si="3"/>
        <v>0</v>
      </c>
      <c r="BB18" s="8">
        <f t="shared" si="4"/>
        <v>0</v>
      </c>
      <c r="BC18" s="8">
        <v>0</v>
      </c>
      <c r="BD18" s="8">
        <v>0</v>
      </c>
      <c r="BE18" s="8" t="s">
        <v>119</v>
      </c>
      <c r="BF18" s="8" t="s">
        <v>121</v>
      </c>
      <c r="BH18" s="14" t="s">
        <v>114</v>
      </c>
      <c r="BI18" s="15">
        <v>1280</v>
      </c>
      <c r="BJ18"/>
      <c r="BM18" s="1">
        <v>-3900</v>
      </c>
    </row>
    <row r="19" spans="2:65" hidden="1" x14ac:dyDescent="0.25">
      <c r="B19" s="2" t="s">
        <v>87</v>
      </c>
      <c r="C19" s="2" t="s">
        <v>88</v>
      </c>
      <c r="D19" s="2" t="s">
        <v>11</v>
      </c>
      <c r="E19" s="2" t="s">
        <v>10</v>
      </c>
      <c r="F19" s="2">
        <v>2.8000000000000001E-2</v>
      </c>
      <c r="G19" s="3">
        <v>4.3999999999999997E-2</v>
      </c>
      <c r="H19" s="2">
        <v>3500</v>
      </c>
      <c r="I19" s="2">
        <v>0</v>
      </c>
      <c r="J19" s="2"/>
      <c r="K19" s="2"/>
      <c r="L19" s="2"/>
      <c r="M19" s="2"/>
      <c r="N19" s="8">
        <f t="shared" si="0"/>
        <v>-100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>
        <v>1600</v>
      </c>
      <c r="AL19" s="2">
        <v>300</v>
      </c>
      <c r="AM19" s="2">
        <v>1700</v>
      </c>
      <c r="AN19" s="2"/>
      <c r="AO19" s="2"/>
      <c r="AP19" s="2"/>
      <c r="AQ19" s="2"/>
      <c r="AR19" s="2"/>
      <c r="AS19" s="2"/>
      <c r="AT19" s="2"/>
      <c r="AU19" s="2"/>
      <c r="AV19" s="7">
        <f t="shared" si="1"/>
        <v>154</v>
      </c>
      <c r="AW19" s="7">
        <v>1000</v>
      </c>
      <c r="AX19" s="7">
        <v>0</v>
      </c>
      <c r="AY19" s="8">
        <f t="shared" si="2"/>
        <v>0</v>
      </c>
      <c r="AZ19" s="8">
        <v>0</v>
      </c>
      <c r="BA19" s="8">
        <f t="shared" si="3"/>
        <v>0</v>
      </c>
      <c r="BB19" s="8">
        <f t="shared" si="4"/>
        <v>0</v>
      </c>
      <c r="BC19" s="8">
        <v>0</v>
      </c>
      <c r="BD19" s="8">
        <v>0</v>
      </c>
      <c r="BE19" s="8" t="s">
        <v>119</v>
      </c>
      <c r="BF19" s="8" t="s">
        <v>121</v>
      </c>
      <c r="BH19" s="14" t="s">
        <v>115</v>
      </c>
      <c r="BI19" s="15">
        <v>384</v>
      </c>
      <c r="BJ19"/>
      <c r="BM19" s="1">
        <v>-2966</v>
      </c>
    </row>
    <row r="20" spans="2:65" hidden="1" x14ac:dyDescent="0.25">
      <c r="B20" s="2" t="s">
        <v>87</v>
      </c>
      <c r="C20" s="2" t="s">
        <v>88</v>
      </c>
      <c r="D20" s="2" t="s">
        <v>12</v>
      </c>
      <c r="E20" s="2" t="s">
        <v>10</v>
      </c>
      <c r="F20" s="2">
        <v>2.8000000000000001E-2</v>
      </c>
      <c r="G20" s="3">
        <v>1.4999999999999999E-2</v>
      </c>
      <c r="H20" s="2">
        <v>0</v>
      </c>
      <c r="I20" s="2">
        <v>0</v>
      </c>
      <c r="J20" s="2"/>
      <c r="K20" s="2"/>
      <c r="L20" s="2"/>
      <c r="M20" s="2"/>
      <c r="N20" s="8">
        <f t="shared" si="0"/>
        <v>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7">
        <f t="shared" si="1"/>
        <v>0</v>
      </c>
      <c r="AW20" s="7">
        <v>1000</v>
      </c>
      <c r="AX20" s="7">
        <v>0</v>
      </c>
      <c r="AY20" s="8">
        <f t="shared" si="2"/>
        <v>0</v>
      </c>
      <c r="AZ20" s="8">
        <v>0</v>
      </c>
      <c r="BA20" s="8">
        <f t="shared" si="3"/>
        <v>0</v>
      </c>
      <c r="BB20" s="8">
        <f t="shared" si="4"/>
        <v>0</v>
      </c>
      <c r="BC20" s="8">
        <v>0</v>
      </c>
      <c r="BD20" s="8">
        <v>0</v>
      </c>
      <c r="BE20" s="8" t="s">
        <v>119</v>
      </c>
      <c r="BF20" s="8" t="s">
        <v>121</v>
      </c>
      <c r="BH20" s="14" t="s">
        <v>124</v>
      </c>
      <c r="BI20" s="15">
        <v>14200</v>
      </c>
      <c r="BJ20"/>
      <c r="BM20" s="1">
        <v>2400</v>
      </c>
    </row>
    <row r="21" spans="2:65" hidden="1" x14ac:dyDescent="0.25">
      <c r="B21" s="2" t="s">
        <v>87</v>
      </c>
      <c r="C21" s="2" t="s">
        <v>88</v>
      </c>
      <c r="D21" s="2" t="s">
        <v>13</v>
      </c>
      <c r="E21" s="2" t="s">
        <v>10</v>
      </c>
      <c r="F21" s="2">
        <v>2.8000000000000001E-2</v>
      </c>
      <c r="G21" s="3">
        <v>1.9E-2</v>
      </c>
      <c r="H21" s="2">
        <v>0</v>
      </c>
      <c r="I21" s="2">
        <v>900</v>
      </c>
      <c r="J21" s="2"/>
      <c r="K21" s="2"/>
      <c r="L21" s="2"/>
      <c r="M21" s="2"/>
      <c r="N21" s="8">
        <f t="shared" si="0"/>
        <v>-100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>
        <v>500</v>
      </c>
      <c r="AJ21" s="2">
        <v>500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7">
        <f t="shared" si="1"/>
        <v>17.099999999999998</v>
      </c>
      <c r="AW21" s="7">
        <v>1000</v>
      </c>
      <c r="AX21" s="7">
        <v>0</v>
      </c>
      <c r="AY21" s="8">
        <f t="shared" si="2"/>
        <v>0</v>
      </c>
      <c r="AZ21" s="8">
        <v>0</v>
      </c>
      <c r="BA21" s="8">
        <f t="shared" si="3"/>
        <v>0</v>
      </c>
      <c r="BB21" s="8">
        <f t="shared" si="4"/>
        <v>0</v>
      </c>
      <c r="BC21" s="8">
        <v>0</v>
      </c>
      <c r="BD21" s="8">
        <v>0</v>
      </c>
      <c r="BE21" s="8" t="s">
        <v>119</v>
      </c>
      <c r="BF21" s="8" t="s">
        <v>121</v>
      </c>
      <c r="BH21"/>
      <c r="BI21"/>
      <c r="BJ21"/>
      <c r="BM21" s="1">
        <v>400</v>
      </c>
    </row>
    <row r="22" spans="2:65" hidden="1" x14ac:dyDescent="0.25">
      <c r="B22" s="2" t="s">
        <v>87</v>
      </c>
      <c r="C22" s="2" t="s">
        <v>88</v>
      </c>
      <c r="D22" s="2" t="s">
        <v>14</v>
      </c>
      <c r="E22" s="2" t="s">
        <v>10</v>
      </c>
      <c r="F22" s="2">
        <v>2.8000000000000001E-2</v>
      </c>
      <c r="G22" s="3">
        <v>2.4E-2</v>
      </c>
      <c r="H22" s="2">
        <v>1500</v>
      </c>
      <c r="I22" s="2">
        <v>1200</v>
      </c>
      <c r="J22" s="2"/>
      <c r="K22" s="2"/>
      <c r="L22" s="2"/>
      <c r="M22" s="2"/>
      <c r="N22" s="8">
        <f t="shared" si="0"/>
        <v>-1500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>
        <v>1100</v>
      </c>
      <c r="AF22" s="2"/>
      <c r="AG22" s="2"/>
      <c r="AH22" s="2"/>
      <c r="AI22" s="2">
        <v>300</v>
      </c>
      <c r="AJ22" s="2">
        <v>500</v>
      </c>
      <c r="AK22" s="2"/>
      <c r="AL22" s="2">
        <v>800</v>
      </c>
      <c r="AM22" s="2"/>
      <c r="AN22" s="2"/>
      <c r="AO22" s="2"/>
      <c r="AP22" s="2"/>
      <c r="AQ22" s="2"/>
      <c r="AR22" s="2"/>
      <c r="AS22" s="2"/>
      <c r="AT22" s="2"/>
      <c r="AU22" s="2">
        <v>1500</v>
      </c>
      <c r="AV22" s="7">
        <f t="shared" si="1"/>
        <v>64.8</v>
      </c>
      <c r="AW22" s="7">
        <v>1000</v>
      </c>
      <c r="AX22" s="7">
        <v>0</v>
      </c>
      <c r="AY22" s="8">
        <f t="shared" si="2"/>
        <v>0</v>
      </c>
      <c r="AZ22" s="8">
        <v>0</v>
      </c>
      <c r="BA22" s="8">
        <f t="shared" si="3"/>
        <v>0</v>
      </c>
      <c r="BB22" s="8">
        <f t="shared" si="4"/>
        <v>0</v>
      </c>
      <c r="BC22" s="8">
        <v>0</v>
      </c>
      <c r="BD22" s="8">
        <v>0</v>
      </c>
      <c r="BE22" s="8" t="s">
        <v>119</v>
      </c>
      <c r="BF22" s="8" t="s">
        <v>121</v>
      </c>
      <c r="BH22"/>
      <c r="BI22"/>
      <c r="BJ22"/>
      <c r="BM22" s="1">
        <v>3600</v>
      </c>
    </row>
    <row r="23" spans="2:65" hidden="1" x14ac:dyDescent="0.25">
      <c r="B23" s="2" t="s">
        <v>87</v>
      </c>
      <c r="C23" s="2" t="s">
        <v>88</v>
      </c>
      <c r="D23" s="2" t="s">
        <v>15</v>
      </c>
      <c r="E23" s="2" t="s">
        <v>10</v>
      </c>
      <c r="F23" s="2">
        <v>2.8000000000000001E-2</v>
      </c>
      <c r="G23" s="3">
        <v>1.9E-2</v>
      </c>
      <c r="H23" s="2">
        <v>0</v>
      </c>
      <c r="I23" s="2">
        <v>0</v>
      </c>
      <c r="J23" s="2"/>
      <c r="K23" s="2"/>
      <c r="L23" s="2"/>
      <c r="M23" s="2"/>
      <c r="N23" s="8">
        <f t="shared" si="0"/>
        <v>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7">
        <f t="shared" si="1"/>
        <v>0</v>
      </c>
      <c r="AW23" s="7">
        <v>1000</v>
      </c>
      <c r="AX23" s="7">
        <v>0</v>
      </c>
      <c r="AY23" s="8">
        <f t="shared" si="2"/>
        <v>0</v>
      </c>
      <c r="AZ23" s="8">
        <v>0</v>
      </c>
      <c r="BA23" s="8">
        <f t="shared" si="3"/>
        <v>0</v>
      </c>
      <c r="BB23" s="8">
        <f t="shared" si="4"/>
        <v>0</v>
      </c>
      <c r="BC23" s="8">
        <v>0</v>
      </c>
      <c r="BD23" s="8">
        <v>0</v>
      </c>
      <c r="BE23" s="8" t="s">
        <v>119</v>
      </c>
      <c r="BF23" s="8" t="s">
        <v>121</v>
      </c>
      <c r="BH23"/>
      <c r="BI23"/>
      <c r="BJ23"/>
      <c r="BM23" s="1">
        <v>0</v>
      </c>
    </row>
    <row r="24" spans="2:65" hidden="1" x14ac:dyDescent="0.25">
      <c r="B24" s="2" t="s">
        <v>87</v>
      </c>
      <c r="C24" s="2" t="s">
        <v>88</v>
      </c>
      <c r="D24" s="2" t="s">
        <v>16</v>
      </c>
      <c r="E24" s="2" t="s">
        <v>17</v>
      </c>
      <c r="F24" s="2">
        <v>2.8000000000000001E-2</v>
      </c>
      <c r="G24" s="3">
        <v>8.5999999999999993E-2</v>
      </c>
      <c r="H24" s="2">
        <v>0</v>
      </c>
      <c r="I24" s="2">
        <v>0</v>
      </c>
      <c r="J24" s="2"/>
      <c r="K24" s="2"/>
      <c r="L24" s="2"/>
      <c r="M24" s="2"/>
      <c r="N24" s="8">
        <f t="shared" si="0"/>
        <v>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7">
        <f t="shared" si="1"/>
        <v>0</v>
      </c>
      <c r="AW24" s="7">
        <v>100</v>
      </c>
      <c r="AX24" s="7">
        <v>0</v>
      </c>
      <c r="AY24" s="8">
        <f t="shared" si="2"/>
        <v>0</v>
      </c>
      <c r="AZ24" s="8">
        <v>0</v>
      </c>
      <c r="BA24" s="8">
        <f t="shared" si="3"/>
        <v>0</v>
      </c>
      <c r="BB24" s="8">
        <f t="shared" si="4"/>
        <v>0</v>
      </c>
      <c r="BC24" s="8">
        <v>0</v>
      </c>
      <c r="BD24" s="8">
        <v>0</v>
      </c>
      <c r="BE24" s="8" t="s">
        <v>119</v>
      </c>
      <c r="BF24" s="8" t="s">
        <v>121</v>
      </c>
      <c r="BH24"/>
      <c r="BI24"/>
      <c r="BJ24"/>
      <c r="BM24" s="1">
        <v>-55</v>
      </c>
    </row>
    <row r="25" spans="2:65" hidden="1" x14ac:dyDescent="0.25">
      <c r="B25" s="2" t="s">
        <v>87</v>
      </c>
      <c r="C25" s="2" t="s">
        <v>88</v>
      </c>
      <c r="D25" s="2" t="s">
        <v>18</v>
      </c>
      <c r="E25" s="2" t="s">
        <v>17</v>
      </c>
      <c r="F25" s="2">
        <v>2.8000000000000001E-2</v>
      </c>
      <c r="G25" s="3">
        <v>0.11700000000000001</v>
      </c>
      <c r="H25" s="2">
        <v>0</v>
      </c>
      <c r="I25" s="2">
        <v>0</v>
      </c>
      <c r="J25" s="2"/>
      <c r="K25" s="2"/>
      <c r="L25" s="2"/>
      <c r="M25" s="2"/>
      <c r="N25" s="8">
        <f t="shared" si="0"/>
        <v>0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7">
        <f t="shared" si="1"/>
        <v>0</v>
      </c>
      <c r="AW25" s="7">
        <v>100</v>
      </c>
      <c r="AX25" s="7">
        <v>0</v>
      </c>
      <c r="AY25" s="8">
        <f t="shared" si="2"/>
        <v>0</v>
      </c>
      <c r="AZ25" s="8">
        <v>0</v>
      </c>
      <c r="BA25" s="8">
        <f t="shared" si="3"/>
        <v>0</v>
      </c>
      <c r="BB25" s="8">
        <f t="shared" si="4"/>
        <v>0</v>
      </c>
      <c r="BC25" s="8">
        <v>0</v>
      </c>
      <c r="BD25" s="8">
        <v>0</v>
      </c>
      <c r="BE25" s="8" t="s">
        <v>119</v>
      </c>
      <c r="BF25" s="8" t="s">
        <v>121</v>
      </c>
      <c r="BH25"/>
      <c r="BI25"/>
      <c r="BJ25"/>
      <c r="BM25" s="1">
        <v>0</v>
      </c>
    </row>
    <row r="26" spans="2:65" hidden="1" x14ac:dyDescent="0.25">
      <c r="B26" s="2" t="s">
        <v>87</v>
      </c>
      <c r="C26" s="2" t="s">
        <v>88</v>
      </c>
      <c r="D26" s="2" t="s">
        <v>19</v>
      </c>
      <c r="E26" s="2" t="s">
        <v>17</v>
      </c>
      <c r="F26" s="2">
        <v>2.8000000000000001E-2</v>
      </c>
      <c r="G26" s="3">
        <v>0.129</v>
      </c>
      <c r="H26" s="2">
        <v>600</v>
      </c>
      <c r="I26" s="2">
        <v>0</v>
      </c>
      <c r="J26" s="2"/>
      <c r="K26" s="2"/>
      <c r="L26" s="2"/>
      <c r="M26" s="2"/>
      <c r="N26" s="8">
        <f t="shared" si="0"/>
        <v>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>
        <v>400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>
        <v>200</v>
      </c>
      <c r="AQ26" s="2"/>
      <c r="AR26" s="2"/>
      <c r="AS26" s="2"/>
      <c r="AT26" s="2"/>
      <c r="AU26" s="2"/>
      <c r="AV26" s="7">
        <f t="shared" si="1"/>
        <v>77.400000000000006</v>
      </c>
      <c r="AW26" s="7">
        <v>100</v>
      </c>
      <c r="AX26" s="7">
        <v>0</v>
      </c>
      <c r="AY26" s="8">
        <f t="shared" si="2"/>
        <v>0</v>
      </c>
      <c r="AZ26" s="8">
        <v>0</v>
      </c>
      <c r="BA26" s="8">
        <f t="shared" si="3"/>
        <v>0</v>
      </c>
      <c r="BB26" s="8">
        <f t="shared" si="4"/>
        <v>0</v>
      </c>
      <c r="BC26" s="8">
        <v>0</v>
      </c>
      <c r="BD26" s="8">
        <v>0</v>
      </c>
      <c r="BE26" s="8" t="s">
        <v>119</v>
      </c>
      <c r="BF26" s="8" t="s">
        <v>121</v>
      </c>
      <c r="BH26"/>
      <c r="BI26"/>
      <c r="BJ26"/>
      <c r="BM26" s="1">
        <v>-25</v>
      </c>
    </row>
    <row r="27" spans="2:65" x14ac:dyDescent="0.25">
      <c r="B27" s="2" t="s">
        <v>87</v>
      </c>
      <c r="C27" s="2" t="s">
        <v>88</v>
      </c>
      <c r="D27" s="2" t="s">
        <v>20</v>
      </c>
      <c r="E27" s="2" t="s">
        <v>17</v>
      </c>
      <c r="F27" s="2">
        <v>2.8000000000000001E-2</v>
      </c>
      <c r="G27" s="3">
        <v>0.11899999999999999</v>
      </c>
      <c r="H27" s="2">
        <v>1200</v>
      </c>
      <c r="I27" s="2">
        <v>0</v>
      </c>
      <c r="J27" s="2"/>
      <c r="K27" s="2"/>
      <c r="L27" s="2"/>
      <c r="M27" s="2"/>
      <c r="N27" s="8">
        <f t="shared" si="0"/>
        <v>150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>
        <v>1050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7">
        <f t="shared" si="1"/>
        <v>142.79999999999998</v>
      </c>
      <c r="AW27" s="7">
        <v>100</v>
      </c>
      <c r="AX27" s="7">
        <v>0</v>
      </c>
      <c r="AY27" s="8">
        <f t="shared" si="2"/>
        <v>0</v>
      </c>
      <c r="AZ27" s="8">
        <v>0</v>
      </c>
      <c r="BA27" s="8">
        <f t="shared" si="3"/>
        <v>0</v>
      </c>
      <c r="BB27" s="8">
        <f t="shared" si="4"/>
        <v>0</v>
      </c>
      <c r="BC27" s="8">
        <v>0</v>
      </c>
      <c r="BD27" s="8">
        <v>0</v>
      </c>
      <c r="BE27" s="8" t="s">
        <v>119</v>
      </c>
      <c r="BF27" s="8" t="s">
        <v>121</v>
      </c>
      <c r="BH27"/>
      <c r="BI27"/>
      <c r="BJ27"/>
      <c r="BM27" s="1">
        <v>-250</v>
      </c>
    </row>
    <row r="28" spans="2:65" hidden="1" x14ac:dyDescent="0.25">
      <c r="B28" s="2" t="s">
        <v>87</v>
      </c>
      <c r="C28" s="2" t="s">
        <v>88</v>
      </c>
      <c r="D28" s="2" t="s">
        <v>21</v>
      </c>
      <c r="E28" s="2" t="s">
        <v>17</v>
      </c>
      <c r="F28" s="2">
        <v>2.8000000000000001E-2</v>
      </c>
      <c r="G28" s="3">
        <v>0.127</v>
      </c>
      <c r="H28" s="2">
        <v>600</v>
      </c>
      <c r="I28" s="2">
        <v>0</v>
      </c>
      <c r="J28" s="2"/>
      <c r="K28" s="2"/>
      <c r="L28" s="2"/>
      <c r="M28" s="2"/>
      <c r="N28" s="8">
        <f t="shared" si="0"/>
        <v>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>
        <v>600</v>
      </c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7">
        <f t="shared" si="1"/>
        <v>76.2</v>
      </c>
      <c r="AW28" s="7">
        <v>100</v>
      </c>
      <c r="AX28" s="7">
        <v>0</v>
      </c>
      <c r="AY28" s="8">
        <f t="shared" si="2"/>
        <v>0</v>
      </c>
      <c r="AZ28" s="8">
        <v>0</v>
      </c>
      <c r="BA28" s="8">
        <f t="shared" si="3"/>
        <v>0</v>
      </c>
      <c r="BB28" s="8">
        <f t="shared" si="4"/>
        <v>0</v>
      </c>
      <c r="BC28" s="8">
        <v>0</v>
      </c>
      <c r="BD28" s="8">
        <v>0</v>
      </c>
      <c r="BE28" s="8" t="s">
        <v>119</v>
      </c>
      <c r="BF28" s="8" t="s">
        <v>121</v>
      </c>
      <c r="BM28" s="1">
        <v>0</v>
      </c>
    </row>
    <row r="29" spans="2:65" hidden="1" x14ac:dyDescent="0.25">
      <c r="B29" s="2" t="s">
        <v>87</v>
      </c>
      <c r="C29" s="2" t="s">
        <v>88</v>
      </c>
      <c r="D29" s="2" t="s">
        <v>22</v>
      </c>
      <c r="E29" s="2" t="s">
        <v>17</v>
      </c>
      <c r="F29" s="2">
        <v>2.8000000000000001E-2</v>
      </c>
      <c r="G29" s="3">
        <v>0.114</v>
      </c>
      <c r="H29" s="2">
        <v>600</v>
      </c>
      <c r="I29" s="2">
        <v>0</v>
      </c>
      <c r="J29" s="2"/>
      <c r="K29" s="2"/>
      <c r="L29" s="2"/>
      <c r="M29" s="2"/>
      <c r="N29" s="8">
        <f>+H29+I29+J29+K29+L29+M29-SUM(O29:AU29)</f>
        <v>-129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>
        <v>203</v>
      </c>
      <c r="AI29" s="2"/>
      <c r="AJ29" s="2">
        <v>200</v>
      </c>
      <c r="AK29" s="2">
        <v>326</v>
      </c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7">
        <f t="shared" si="1"/>
        <v>68.400000000000006</v>
      </c>
      <c r="AW29" s="7">
        <v>100</v>
      </c>
      <c r="AX29" s="7">
        <v>0</v>
      </c>
      <c r="AY29" s="8">
        <f t="shared" si="2"/>
        <v>0</v>
      </c>
      <c r="AZ29" s="8">
        <v>0</v>
      </c>
      <c r="BA29" s="8">
        <f t="shared" si="3"/>
        <v>0</v>
      </c>
      <c r="BB29" s="8">
        <f t="shared" si="4"/>
        <v>0</v>
      </c>
      <c r="BC29" s="8">
        <v>0</v>
      </c>
      <c r="BD29" s="8">
        <v>0</v>
      </c>
      <c r="BE29" s="8" t="s">
        <v>119</v>
      </c>
      <c r="BF29" s="8" t="s">
        <v>121</v>
      </c>
      <c r="BM29" s="1">
        <v>-55</v>
      </c>
    </row>
    <row r="30" spans="2:65" hidden="1" x14ac:dyDescent="0.25">
      <c r="B30" s="2" t="s">
        <v>87</v>
      </c>
      <c r="C30" s="2" t="s">
        <v>88</v>
      </c>
      <c r="D30" s="2" t="s">
        <v>23</v>
      </c>
      <c r="E30" s="2" t="s">
        <v>17</v>
      </c>
      <c r="F30" s="2">
        <v>2.8000000000000001E-2</v>
      </c>
      <c r="G30" s="3">
        <v>6.9000000000000006E-2</v>
      </c>
      <c r="H30" s="2">
        <v>1200</v>
      </c>
      <c r="I30" s="2">
        <v>0</v>
      </c>
      <c r="J30" s="2"/>
      <c r="K30" s="2"/>
      <c r="L30" s="2"/>
      <c r="M30" s="2"/>
      <c r="N30" s="8">
        <f t="shared" si="0"/>
        <v>0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>
        <v>600</v>
      </c>
      <c r="AI30" s="2">
        <v>600</v>
      </c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7">
        <f t="shared" si="1"/>
        <v>82.800000000000011</v>
      </c>
      <c r="AW30" s="7">
        <v>100</v>
      </c>
      <c r="AX30" s="7">
        <v>0</v>
      </c>
      <c r="AY30" s="8">
        <f t="shared" si="2"/>
        <v>0</v>
      </c>
      <c r="AZ30" s="8">
        <v>0</v>
      </c>
      <c r="BA30" s="8">
        <f t="shared" si="3"/>
        <v>0</v>
      </c>
      <c r="BB30" s="8">
        <f t="shared" si="4"/>
        <v>0</v>
      </c>
      <c r="BC30" s="8">
        <v>0</v>
      </c>
      <c r="BD30" s="8">
        <v>0</v>
      </c>
      <c r="BE30" s="8" t="s">
        <v>119</v>
      </c>
      <c r="BF30" s="8" t="s">
        <v>121</v>
      </c>
      <c r="BM30" s="1">
        <v>-50</v>
      </c>
    </row>
    <row r="31" spans="2:65" hidden="1" x14ac:dyDescent="0.25">
      <c r="B31" s="2" t="s">
        <v>87</v>
      </c>
      <c r="C31" s="2" t="s">
        <v>88</v>
      </c>
      <c r="D31" s="2" t="s">
        <v>24</v>
      </c>
      <c r="E31" s="2" t="s">
        <v>17</v>
      </c>
      <c r="F31" s="2">
        <v>2.8000000000000001E-2</v>
      </c>
      <c r="G31" s="3">
        <v>0.129</v>
      </c>
      <c r="H31" s="2">
        <v>1200</v>
      </c>
      <c r="I31" s="2">
        <v>0</v>
      </c>
      <c r="J31" s="2"/>
      <c r="K31" s="2"/>
      <c r="L31" s="2"/>
      <c r="M31" s="2"/>
      <c r="N31" s="8">
        <f t="shared" si="0"/>
        <v>-16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>
        <v>151</v>
      </c>
      <c r="AA31" s="2">
        <v>890</v>
      </c>
      <c r="AB31" s="2"/>
      <c r="AC31" s="2">
        <v>175</v>
      </c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7">
        <f t="shared" si="1"/>
        <v>154.80000000000001</v>
      </c>
      <c r="AW31" s="7">
        <v>100</v>
      </c>
      <c r="AX31" s="7">
        <v>0</v>
      </c>
      <c r="AY31" s="8">
        <f t="shared" si="2"/>
        <v>0</v>
      </c>
      <c r="AZ31" s="8">
        <v>0</v>
      </c>
      <c r="BA31" s="8">
        <f t="shared" si="3"/>
        <v>0</v>
      </c>
      <c r="BB31" s="8">
        <f t="shared" si="4"/>
        <v>0</v>
      </c>
      <c r="BC31" s="8">
        <v>0</v>
      </c>
      <c r="BD31" s="8">
        <v>0</v>
      </c>
      <c r="BE31" s="8" t="s">
        <v>119</v>
      </c>
      <c r="BF31" s="8" t="s">
        <v>121</v>
      </c>
      <c r="BM31" s="1">
        <v>0</v>
      </c>
    </row>
    <row r="32" spans="2:65" hidden="1" x14ac:dyDescent="0.25">
      <c r="B32" s="2" t="s">
        <v>87</v>
      </c>
      <c r="C32" s="2" t="s">
        <v>88</v>
      </c>
      <c r="D32" s="2" t="s">
        <v>25</v>
      </c>
      <c r="E32" s="2" t="s">
        <v>17</v>
      </c>
      <c r="F32" s="2">
        <v>2.8000000000000001E-2</v>
      </c>
      <c r="G32" s="3">
        <v>7.8E-2</v>
      </c>
      <c r="H32" s="2">
        <v>0</v>
      </c>
      <c r="I32" s="2">
        <v>0</v>
      </c>
      <c r="J32" s="2"/>
      <c r="K32" s="2"/>
      <c r="L32" s="2"/>
      <c r="M32" s="2"/>
      <c r="N32" s="8">
        <f t="shared" si="0"/>
        <v>0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7">
        <f t="shared" si="1"/>
        <v>0</v>
      </c>
      <c r="AW32" s="7">
        <v>100</v>
      </c>
      <c r="AX32" s="7">
        <v>0</v>
      </c>
      <c r="AY32" s="8">
        <f t="shared" si="2"/>
        <v>0</v>
      </c>
      <c r="AZ32" s="8">
        <v>0</v>
      </c>
      <c r="BA32" s="8">
        <f t="shared" si="3"/>
        <v>0</v>
      </c>
      <c r="BB32" s="8">
        <f t="shared" si="4"/>
        <v>0</v>
      </c>
      <c r="BC32" s="8">
        <v>0</v>
      </c>
      <c r="BD32" s="8">
        <v>0</v>
      </c>
      <c r="BE32" s="8" t="s">
        <v>119</v>
      </c>
      <c r="BF32" s="8" t="s">
        <v>121</v>
      </c>
      <c r="BM32" s="1">
        <v>307</v>
      </c>
    </row>
    <row r="33" spans="2:65" hidden="1" x14ac:dyDescent="0.25">
      <c r="B33" s="2" t="s">
        <v>87</v>
      </c>
      <c r="C33" s="2" t="s">
        <v>88</v>
      </c>
      <c r="D33" s="2" t="s">
        <v>26</v>
      </c>
      <c r="E33" s="2" t="s">
        <v>17</v>
      </c>
      <c r="F33" s="2">
        <v>2.8000000000000001E-2</v>
      </c>
      <c r="G33" s="3">
        <v>0.10100000000000001</v>
      </c>
      <c r="H33" s="2">
        <v>0</v>
      </c>
      <c r="I33" s="2">
        <v>0</v>
      </c>
      <c r="J33" s="2"/>
      <c r="K33" s="2"/>
      <c r="L33" s="2"/>
      <c r="M33" s="2"/>
      <c r="N33" s="8">
        <f t="shared" si="0"/>
        <v>0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7">
        <f t="shared" si="1"/>
        <v>0</v>
      </c>
      <c r="AW33" s="7">
        <v>100</v>
      </c>
      <c r="AX33" s="7">
        <v>0</v>
      </c>
      <c r="AY33" s="8">
        <f t="shared" si="2"/>
        <v>0</v>
      </c>
      <c r="AZ33" s="8">
        <v>0</v>
      </c>
      <c r="BA33" s="8">
        <f t="shared" si="3"/>
        <v>0</v>
      </c>
      <c r="BB33" s="8">
        <f t="shared" si="4"/>
        <v>0</v>
      </c>
      <c r="BC33" s="8">
        <v>0</v>
      </c>
      <c r="BD33" s="8">
        <v>0</v>
      </c>
      <c r="BE33" s="8" t="s">
        <v>119</v>
      </c>
      <c r="BF33" s="8" t="s">
        <v>121</v>
      </c>
      <c r="BM33" s="1">
        <v>-77</v>
      </c>
    </row>
    <row r="34" spans="2:65" hidden="1" x14ac:dyDescent="0.25">
      <c r="B34" s="2" t="s">
        <v>87</v>
      </c>
      <c r="C34" s="2" t="s">
        <v>88</v>
      </c>
      <c r="D34" s="2" t="s">
        <v>27</v>
      </c>
      <c r="E34" s="2" t="s">
        <v>17</v>
      </c>
      <c r="F34" s="2">
        <v>2.8000000000000001E-2</v>
      </c>
      <c r="G34" s="3">
        <v>7.5999999999999998E-2</v>
      </c>
      <c r="H34" s="2">
        <v>0</v>
      </c>
      <c r="I34" s="2">
        <v>0</v>
      </c>
      <c r="J34" s="2"/>
      <c r="K34" s="2"/>
      <c r="L34" s="2"/>
      <c r="M34" s="2"/>
      <c r="N34" s="8">
        <f t="shared" si="0"/>
        <v>0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7">
        <f t="shared" si="1"/>
        <v>0</v>
      </c>
      <c r="AW34" s="7">
        <v>100</v>
      </c>
      <c r="AX34" s="7">
        <v>0</v>
      </c>
      <c r="AY34" s="8">
        <f t="shared" si="2"/>
        <v>0</v>
      </c>
      <c r="AZ34" s="8">
        <v>0</v>
      </c>
      <c r="BA34" s="8">
        <f t="shared" si="3"/>
        <v>0</v>
      </c>
      <c r="BB34" s="8">
        <f t="shared" si="4"/>
        <v>0</v>
      </c>
      <c r="BC34" s="8">
        <v>0</v>
      </c>
      <c r="BD34" s="8">
        <v>0</v>
      </c>
      <c r="BE34" s="8" t="s">
        <v>119</v>
      </c>
      <c r="BF34" s="8" t="s">
        <v>121</v>
      </c>
      <c r="BM34" s="1">
        <v>300</v>
      </c>
    </row>
    <row r="35" spans="2:65" hidden="1" x14ac:dyDescent="0.25">
      <c r="B35" s="2" t="s">
        <v>87</v>
      </c>
      <c r="C35" s="2" t="s">
        <v>88</v>
      </c>
      <c r="D35" s="2" t="s">
        <v>28</v>
      </c>
      <c r="E35" s="2" t="s">
        <v>17</v>
      </c>
      <c r="F35" s="2">
        <v>2.8000000000000001E-2</v>
      </c>
      <c r="G35" s="3">
        <v>4.2000000000000003E-2</v>
      </c>
      <c r="H35" s="2">
        <v>0</v>
      </c>
      <c r="I35" s="2">
        <v>0</v>
      </c>
      <c r="J35" s="2"/>
      <c r="K35" s="2"/>
      <c r="L35" s="2"/>
      <c r="M35" s="2"/>
      <c r="N35" s="8">
        <f t="shared" si="0"/>
        <v>0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7">
        <f t="shared" si="1"/>
        <v>0</v>
      </c>
      <c r="AW35" s="7">
        <v>100</v>
      </c>
      <c r="AX35" s="7">
        <v>0</v>
      </c>
      <c r="AY35" s="8">
        <f t="shared" si="2"/>
        <v>0</v>
      </c>
      <c r="AZ35" s="8">
        <v>0</v>
      </c>
      <c r="BA35" s="8">
        <f t="shared" si="3"/>
        <v>0</v>
      </c>
      <c r="BB35" s="8">
        <f t="shared" si="4"/>
        <v>0</v>
      </c>
      <c r="BC35" s="8">
        <v>0</v>
      </c>
      <c r="BD35" s="8">
        <v>0</v>
      </c>
      <c r="BE35" s="8" t="s">
        <v>119</v>
      </c>
      <c r="BF35" s="8" t="s">
        <v>121</v>
      </c>
      <c r="BM35" s="1">
        <v>-445</v>
      </c>
    </row>
    <row r="36" spans="2:65" x14ac:dyDescent="0.25">
      <c r="B36" s="2" t="s">
        <v>87</v>
      </c>
      <c r="C36" s="2" t="s">
        <v>88</v>
      </c>
      <c r="D36" s="2" t="s">
        <v>29</v>
      </c>
      <c r="E36" s="2" t="s">
        <v>17</v>
      </c>
      <c r="F36" s="2">
        <v>2.8000000000000001E-2</v>
      </c>
      <c r="G36" s="3">
        <v>0.105</v>
      </c>
      <c r="H36" s="2">
        <v>1200</v>
      </c>
      <c r="I36" s="2">
        <v>0</v>
      </c>
      <c r="J36" s="2"/>
      <c r="K36" s="2"/>
      <c r="L36" s="2"/>
      <c r="M36" s="2"/>
      <c r="N36" s="8">
        <f t="shared" si="0"/>
        <v>100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>
        <v>1010</v>
      </c>
      <c r="AD36" s="2"/>
      <c r="AE36" s="2"/>
      <c r="AF36" s="2">
        <v>90</v>
      </c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7">
        <f t="shared" si="1"/>
        <v>126</v>
      </c>
      <c r="AW36" s="7">
        <v>100</v>
      </c>
      <c r="AX36" s="7">
        <v>0</v>
      </c>
      <c r="AY36" s="8">
        <f t="shared" si="2"/>
        <v>0</v>
      </c>
      <c r="AZ36" s="8">
        <v>0</v>
      </c>
      <c r="BA36" s="8">
        <f t="shared" si="3"/>
        <v>0</v>
      </c>
      <c r="BB36" s="8">
        <f t="shared" si="4"/>
        <v>0</v>
      </c>
      <c r="BC36" s="8">
        <v>0</v>
      </c>
      <c r="BD36" s="8">
        <v>0</v>
      </c>
      <c r="BE36" s="8" t="s">
        <v>119</v>
      </c>
      <c r="BF36" s="8" t="s">
        <v>121</v>
      </c>
      <c r="BM36" s="1">
        <v>-83</v>
      </c>
    </row>
    <row r="37" spans="2:65" hidden="1" x14ac:dyDescent="0.25">
      <c r="B37" s="2" t="s">
        <v>87</v>
      </c>
      <c r="C37" s="2" t="s">
        <v>88</v>
      </c>
      <c r="D37" s="2" t="s">
        <v>30</v>
      </c>
      <c r="E37" s="2" t="s">
        <v>17</v>
      </c>
      <c r="F37" s="2">
        <v>2.8000000000000001E-2</v>
      </c>
      <c r="G37" s="3">
        <v>0.14299999999999999</v>
      </c>
      <c r="H37" s="2">
        <v>0</v>
      </c>
      <c r="I37" s="2">
        <v>600</v>
      </c>
      <c r="J37" s="2"/>
      <c r="K37" s="2"/>
      <c r="L37" s="2"/>
      <c r="M37" s="2"/>
      <c r="N37" s="8">
        <f t="shared" si="0"/>
        <v>-490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>
        <v>110</v>
      </c>
      <c r="AF37" s="2">
        <v>393</v>
      </c>
      <c r="AG37" s="2"/>
      <c r="AH37" s="2"/>
      <c r="AI37" s="2">
        <v>100</v>
      </c>
      <c r="AJ37" s="2">
        <v>487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7">
        <f t="shared" si="1"/>
        <v>85.8</v>
      </c>
      <c r="AW37" s="7">
        <v>100</v>
      </c>
      <c r="AX37" s="7">
        <v>0</v>
      </c>
      <c r="AY37" s="8">
        <f t="shared" si="2"/>
        <v>0</v>
      </c>
      <c r="AZ37" s="8">
        <v>0</v>
      </c>
      <c r="BA37" s="8">
        <f t="shared" si="3"/>
        <v>0</v>
      </c>
      <c r="BB37" s="8">
        <f t="shared" si="4"/>
        <v>0</v>
      </c>
      <c r="BC37" s="8">
        <v>0</v>
      </c>
      <c r="BD37" s="8">
        <v>0</v>
      </c>
      <c r="BE37" s="8" t="s">
        <v>119</v>
      </c>
      <c r="BF37" s="8" t="s">
        <v>121</v>
      </c>
      <c r="BM37" s="1">
        <v>0</v>
      </c>
    </row>
    <row r="38" spans="2:65" hidden="1" x14ac:dyDescent="0.25">
      <c r="B38" s="2" t="s">
        <v>87</v>
      </c>
      <c r="C38" s="2" t="s">
        <v>88</v>
      </c>
      <c r="D38" s="2" t="s">
        <v>31</v>
      </c>
      <c r="E38" s="2" t="s">
        <v>17</v>
      </c>
      <c r="F38" s="2">
        <v>2.8000000000000001E-2</v>
      </c>
      <c r="G38" s="3">
        <v>4.5999999999999999E-2</v>
      </c>
      <c r="H38" s="2">
        <v>0</v>
      </c>
      <c r="I38" s="2">
        <v>0</v>
      </c>
      <c r="J38" s="2"/>
      <c r="K38" s="2"/>
      <c r="L38" s="2"/>
      <c r="M38" s="2"/>
      <c r="N38" s="8">
        <f t="shared" si="0"/>
        <v>0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7">
        <f t="shared" si="1"/>
        <v>0</v>
      </c>
      <c r="AW38" s="7">
        <v>100</v>
      </c>
      <c r="AX38" s="7">
        <v>0</v>
      </c>
      <c r="AY38" s="8">
        <f t="shared" si="2"/>
        <v>0</v>
      </c>
      <c r="AZ38" s="8">
        <v>0</v>
      </c>
      <c r="BA38" s="8">
        <f t="shared" si="3"/>
        <v>0</v>
      </c>
      <c r="BB38" s="8">
        <f t="shared" si="4"/>
        <v>0</v>
      </c>
      <c r="BC38" s="8">
        <v>0</v>
      </c>
      <c r="BD38" s="8">
        <v>0</v>
      </c>
      <c r="BE38" s="8" t="s">
        <v>119</v>
      </c>
      <c r="BF38" s="8" t="s">
        <v>121</v>
      </c>
      <c r="BM38" s="1">
        <v>300</v>
      </c>
    </row>
    <row r="39" spans="2:65" hidden="1" x14ac:dyDescent="0.25">
      <c r="B39" s="2" t="s">
        <v>87</v>
      </c>
      <c r="C39" s="2" t="s">
        <v>88</v>
      </c>
      <c r="D39" s="2" t="s">
        <v>32</v>
      </c>
      <c r="E39" s="2" t="s">
        <v>17</v>
      </c>
      <c r="F39" s="2">
        <v>2.8000000000000001E-2</v>
      </c>
      <c r="G39" s="3">
        <v>0.129</v>
      </c>
      <c r="H39" s="2">
        <v>600</v>
      </c>
      <c r="I39" s="2">
        <v>0</v>
      </c>
      <c r="J39" s="2"/>
      <c r="K39" s="2"/>
      <c r="L39" s="2"/>
      <c r="M39" s="2"/>
      <c r="N39" s="8">
        <f t="shared" si="0"/>
        <v>0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>
        <v>600</v>
      </c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7">
        <f t="shared" si="1"/>
        <v>77.400000000000006</v>
      </c>
      <c r="AW39" s="7">
        <v>100</v>
      </c>
      <c r="AX39" s="7">
        <v>0</v>
      </c>
      <c r="AY39" s="8">
        <f t="shared" si="2"/>
        <v>0</v>
      </c>
      <c r="AZ39" s="8">
        <v>0</v>
      </c>
      <c r="BA39" s="8">
        <f t="shared" si="3"/>
        <v>0</v>
      </c>
      <c r="BB39" s="8">
        <f t="shared" si="4"/>
        <v>0</v>
      </c>
      <c r="BC39" s="8">
        <v>0</v>
      </c>
      <c r="BD39" s="8">
        <v>0</v>
      </c>
      <c r="BE39" s="8" t="s">
        <v>119</v>
      </c>
      <c r="BF39" s="8" t="s">
        <v>121</v>
      </c>
      <c r="BM39" s="1">
        <v>500</v>
      </c>
    </row>
    <row r="40" spans="2:65" hidden="1" x14ac:dyDescent="0.25">
      <c r="B40" s="2" t="s">
        <v>87</v>
      </c>
      <c r="C40" s="2" t="s">
        <v>88</v>
      </c>
      <c r="D40" s="2" t="s">
        <v>33</v>
      </c>
      <c r="E40" s="2" t="s">
        <v>17</v>
      </c>
      <c r="F40" s="2">
        <v>2.8000000000000001E-2</v>
      </c>
      <c r="G40" s="3">
        <v>0.13400000000000001</v>
      </c>
      <c r="H40" s="2">
        <v>0</v>
      </c>
      <c r="I40" s="2">
        <v>0</v>
      </c>
      <c r="J40" s="2"/>
      <c r="K40" s="2"/>
      <c r="L40" s="2"/>
      <c r="M40" s="2"/>
      <c r="N40" s="8">
        <f t="shared" si="0"/>
        <v>0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7">
        <f t="shared" si="1"/>
        <v>0</v>
      </c>
      <c r="AW40" s="7">
        <v>100</v>
      </c>
      <c r="AX40" s="7">
        <v>0</v>
      </c>
      <c r="AY40" s="8">
        <f t="shared" si="2"/>
        <v>0</v>
      </c>
      <c r="AZ40" s="8">
        <v>0</v>
      </c>
      <c r="BA40" s="8">
        <f t="shared" si="3"/>
        <v>0</v>
      </c>
      <c r="BB40" s="8">
        <f t="shared" si="4"/>
        <v>0</v>
      </c>
      <c r="BC40" s="8">
        <v>0</v>
      </c>
      <c r="BD40" s="8">
        <v>0</v>
      </c>
      <c r="BE40" s="8" t="s">
        <v>119</v>
      </c>
      <c r="BF40" s="8" t="s">
        <v>121</v>
      </c>
      <c r="BM40" s="1">
        <v>300</v>
      </c>
    </row>
    <row r="41" spans="2:65" hidden="1" x14ac:dyDescent="0.25">
      <c r="B41" s="2" t="s">
        <v>87</v>
      </c>
      <c r="C41" s="2" t="s">
        <v>88</v>
      </c>
      <c r="D41" s="2" t="s">
        <v>34</v>
      </c>
      <c r="E41" s="2" t="s">
        <v>17</v>
      </c>
      <c r="F41" s="2">
        <v>2.8000000000000001E-2</v>
      </c>
      <c r="G41" s="3">
        <v>0.105</v>
      </c>
      <c r="H41" s="2">
        <v>0</v>
      </c>
      <c r="I41" s="2">
        <v>0</v>
      </c>
      <c r="J41" s="2"/>
      <c r="K41" s="2"/>
      <c r="L41" s="2"/>
      <c r="M41" s="2"/>
      <c r="N41" s="8">
        <f t="shared" si="0"/>
        <v>0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7">
        <f t="shared" si="1"/>
        <v>0</v>
      </c>
      <c r="AW41" s="7">
        <v>100</v>
      </c>
      <c r="AX41" s="7">
        <v>0</v>
      </c>
      <c r="AY41" s="8">
        <f t="shared" si="2"/>
        <v>0</v>
      </c>
      <c r="AZ41" s="8">
        <v>0</v>
      </c>
      <c r="BA41" s="8">
        <f t="shared" si="3"/>
        <v>0</v>
      </c>
      <c r="BB41" s="8">
        <f t="shared" si="4"/>
        <v>0</v>
      </c>
      <c r="BC41" s="8">
        <v>0</v>
      </c>
      <c r="BD41" s="8">
        <v>0</v>
      </c>
      <c r="BE41" s="8" t="s">
        <v>119</v>
      </c>
      <c r="BF41" s="8" t="s">
        <v>121</v>
      </c>
      <c r="BM41" s="1">
        <v>0</v>
      </c>
    </row>
    <row r="42" spans="2:65" hidden="1" x14ac:dyDescent="0.25">
      <c r="B42" s="2" t="s">
        <v>87</v>
      </c>
      <c r="C42" s="2" t="s">
        <v>88</v>
      </c>
      <c r="D42" s="2" t="s">
        <v>35</v>
      </c>
      <c r="E42" s="2" t="s">
        <v>17</v>
      </c>
      <c r="F42" s="2">
        <v>2.8000000000000001E-2</v>
      </c>
      <c r="G42" s="3">
        <v>9.9000000000000005E-2</v>
      </c>
      <c r="H42" s="2">
        <v>0</v>
      </c>
      <c r="I42" s="2">
        <v>0</v>
      </c>
      <c r="J42" s="2"/>
      <c r="K42" s="2"/>
      <c r="L42" s="2"/>
      <c r="M42" s="2"/>
      <c r="N42" s="8">
        <f t="shared" si="0"/>
        <v>0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7">
        <f t="shared" si="1"/>
        <v>0</v>
      </c>
      <c r="AW42" s="7">
        <v>100</v>
      </c>
      <c r="AX42" s="7">
        <v>0</v>
      </c>
      <c r="AY42" s="8">
        <f t="shared" si="2"/>
        <v>0</v>
      </c>
      <c r="AZ42" s="8">
        <v>0</v>
      </c>
      <c r="BA42" s="8">
        <f t="shared" si="3"/>
        <v>0</v>
      </c>
      <c r="BB42" s="8">
        <f t="shared" si="4"/>
        <v>0</v>
      </c>
      <c r="BC42" s="8">
        <v>0</v>
      </c>
      <c r="BD42" s="8">
        <v>0</v>
      </c>
      <c r="BE42" s="8" t="s">
        <v>119</v>
      </c>
      <c r="BF42" s="8" t="s">
        <v>121</v>
      </c>
      <c r="BM42" s="1">
        <v>300</v>
      </c>
    </row>
    <row r="43" spans="2:65" hidden="1" x14ac:dyDescent="0.25">
      <c r="B43" s="2" t="s">
        <v>87</v>
      </c>
      <c r="C43" s="2" t="s">
        <v>88</v>
      </c>
      <c r="D43" s="2" t="s">
        <v>36</v>
      </c>
      <c r="E43" s="2" t="s">
        <v>17</v>
      </c>
      <c r="F43" s="2">
        <v>2.8000000000000001E-2</v>
      </c>
      <c r="G43" s="3">
        <v>0.13100000000000001</v>
      </c>
      <c r="H43" s="2">
        <v>0</v>
      </c>
      <c r="I43" s="2">
        <v>0</v>
      </c>
      <c r="J43" s="2"/>
      <c r="K43" s="2"/>
      <c r="L43" s="2"/>
      <c r="M43" s="2"/>
      <c r="N43" s="8">
        <f t="shared" si="0"/>
        <v>0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7">
        <f t="shared" si="1"/>
        <v>0</v>
      </c>
      <c r="AW43" s="7">
        <v>100</v>
      </c>
      <c r="AX43" s="7">
        <v>0</v>
      </c>
      <c r="AY43" s="8">
        <f t="shared" si="2"/>
        <v>0</v>
      </c>
      <c r="AZ43" s="8">
        <v>0</v>
      </c>
      <c r="BA43" s="8">
        <f t="shared" si="3"/>
        <v>0</v>
      </c>
      <c r="BB43" s="8">
        <f t="shared" si="4"/>
        <v>0</v>
      </c>
      <c r="BC43" s="8">
        <v>0</v>
      </c>
      <c r="BD43" s="8">
        <v>0</v>
      </c>
      <c r="BE43" s="8" t="s">
        <v>119</v>
      </c>
      <c r="BF43" s="8" t="s">
        <v>121</v>
      </c>
      <c r="BM43" s="1">
        <v>0</v>
      </c>
    </row>
    <row r="44" spans="2:65" hidden="1" x14ac:dyDescent="0.25">
      <c r="B44" s="2" t="s">
        <v>87</v>
      </c>
      <c r="C44" s="2" t="s">
        <v>88</v>
      </c>
      <c r="D44" s="2" t="s">
        <v>37</v>
      </c>
      <c r="E44" s="2" t="s">
        <v>17</v>
      </c>
      <c r="F44" s="2">
        <v>2.8000000000000001E-2</v>
      </c>
      <c r="G44" s="3">
        <v>9.4E-2</v>
      </c>
      <c r="H44" s="2">
        <v>600</v>
      </c>
      <c r="I44" s="2">
        <v>0</v>
      </c>
      <c r="J44" s="2"/>
      <c r="K44" s="2"/>
      <c r="L44" s="2"/>
      <c r="M44" s="2"/>
      <c r="N44" s="8">
        <f t="shared" si="0"/>
        <v>0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>
        <v>600</v>
      </c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7">
        <f t="shared" si="1"/>
        <v>56.4</v>
      </c>
      <c r="AW44" s="7">
        <v>100</v>
      </c>
      <c r="AX44" s="7">
        <v>0</v>
      </c>
      <c r="AY44" s="8">
        <f t="shared" si="2"/>
        <v>0</v>
      </c>
      <c r="AZ44" s="8">
        <v>0</v>
      </c>
      <c r="BA44" s="8">
        <f t="shared" si="3"/>
        <v>0</v>
      </c>
      <c r="BB44" s="8">
        <f t="shared" si="4"/>
        <v>0</v>
      </c>
      <c r="BC44" s="8">
        <v>0</v>
      </c>
      <c r="BD44" s="8">
        <v>0</v>
      </c>
      <c r="BE44" s="8" t="s">
        <v>119</v>
      </c>
      <c r="BF44" s="8" t="s">
        <v>121</v>
      </c>
      <c r="BM44" s="1">
        <v>0</v>
      </c>
    </row>
    <row r="45" spans="2:65" hidden="1" x14ac:dyDescent="0.25">
      <c r="B45" s="2" t="s">
        <v>87</v>
      </c>
      <c r="C45" s="2" t="s">
        <v>88</v>
      </c>
      <c r="D45" s="2" t="s">
        <v>38</v>
      </c>
      <c r="E45" s="2" t="s">
        <v>17</v>
      </c>
      <c r="F45" s="2">
        <v>2.8000000000000001E-2</v>
      </c>
      <c r="G45" s="3">
        <v>0.122</v>
      </c>
      <c r="H45" s="2">
        <v>0</v>
      </c>
      <c r="I45" s="2">
        <v>600</v>
      </c>
      <c r="J45" s="2"/>
      <c r="K45" s="2"/>
      <c r="L45" s="2"/>
      <c r="M45" s="2"/>
      <c r="N45" s="8">
        <f t="shared" si="0"/>
        <v>0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>
        <v>500</v>
      </c>
      <c r="AF45" s="2"/>
      <c r="AG45" s="2"/>
      <c r="AH45" s="2"/>
      <c r="AI45" s="2">
        <v>100</v>
      </c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7">
        <f t="shared" si="1"/>
        <v>73.2</v>
      </c>
      <c r="AW45" s="7">
        <v>100</v>
      </c>
      <c r="AX45" s="7">
        <v>0</v>
      </c>
      <c r="AY45" s="8">
        <f t="shared" si="2"/>
        <v>0</v>
      </c>
      <c r="AZ45" s="8">
        <v>0</v>
      </c>
      <c r="BA45" s="8">
        <f t="shared" si="3"/>
        <v>0</v>
      </c>
      <c r="BB45" s="8">
        <f t="shared" si="4"/>
        <v>0</v>
      </c>
      <c r="BC45" s="8">
        <v>0</v>
      </c>
      <c r="BD45" s="8">
        <v>0</v>
      </c>
      <c r="BE45" s="8" t="s">
        <v>119</v>
      </c>
      <c r="BF45" s="8" t="s">
        <v>121</v>
      </c>
      <c r="BM45" s="1">
        <v>0</v>
      </c>
    </row>
    <row r="46" spans="2:65" hidden="1" x14ac:dyDescent="0.25">
      <c r="B46" s="2" t="s">
        <v>87</v>
      </c>
      <c r="C46" s="2" t="s">
        <v>88</v>
      </c>
      <c r="D46" s="2" t="s">
        <v>39</v>
      </c>
      <c r="E46" s="2" t="s">
        <v>17</v>
      </c>
      <c r="F46" s="2">
        <v>2.8000000000000001E-2</v>
      </c>
      <c r="G46" s="3">
        <v>0.10100000000000001</v>
      </c>
      <c r="H46" s="2">
        <v>0</v>
      </c>
      <c r="I46" s="2">
        <v>0</v>
      </c>
      <c r="J46" s="2"/>
      <c r="K46" s="2"/>
      <c r="L46" s="2"/>
      <c r="M46" s="2"/>
      <c r="N46" s="8">
        <f t="shared" si="0"/>
        <v>0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7">
        <f t="shared" si="1"/>
        <v>0</v>
      </c>
      <c r="AW46" s="7">
        <v>100</v>
      </c>
      <c r="AX46" s="7">
        <v>0</v>
      </c>
      <c r="AY46" s="8">
        <f t="shared" si="2"/>
        <v>0</v>
      </c>
      <c r="AZ46" s="8">
        <v>0</v>
      </c>
      <c r="BA46" s="8">
        <f t="shared" si="3"/>
        <v>0</v>
      </c>
      <c r="BB46" s="8">
        <f t="shared" si="4"/>
        <v>0</v>
      </c>
      <c r="BC46" s="8">
        <v>0</v>
      </c>
      <c r="BD46" s="8">
        <v>0</v>
      </c>
      <c r="BE46" s="8" t="s">
        <v>119</v>
      </c>
      <c r="BF46" s="8" t="s">
        <v>121</v>
      </c>
      <c r="BM46" s="1">
        <v>0</v>
      </c>
    </row>
    <row r="47" spans="2:65" hidden="1" x14ac:dyDescent="0.25">
      <c r="B47" s="2" t="s">
        <v>87</v>
      </c>
      <c r="C47" s="2" t="s">
        <v>88</v>
      </c>
      <c r="D47" s="2" t="s">
        <v>40</v>
      </c>
      <c r="E47" s="2" t="s">
        <v>17</v>
      </c>
      <c r="F47" s="2">
        <v>2.8000000000000001E-2</v>
      </c>
      <c r="G47" s="3">
        <v>0.11899999999999999</v>
      </c>
      <c r="H47" s="2">
        <v>0</v>
      </c>
      <c r="I47" s="2">
        <v>0</v>
      </c>
      <c r="J47" s="2"/>
      <c r="K47" s="2"/>
      <c r="L47" s="2"/>
      <c r="M47" s="2"/>
      <c r="N47" s="8">
        <f t="shared" si="0"/>
        <v>0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7">
        <f t="shared" si="1"/>
        <v>0</v>
      </c>
      <c r="AW47" s="7">
        <v>100</v>
      </c>
      <c r="AX47" s="7">
        <v>0</v>
      </c>
      <c r="AY47" s="8">
        <f t="shared" si="2"/>
        <v>0</v>
      </c>
      <c r="AZ47" s="8">
        <v>0</v>
      </c>
      <c r="BA47" s="8">
        <f t="shared" si="3"/>
        <v>0</v>
      </c>
      <c r="BB47" s="8">
        <f t="shared" si="4"/>
        <v>0</v>
      </c>
      <c r="BC47" s="8">
        <v>0</v>
      </c>
      <c r="BD47" s="8">
        <v>0</v>
      </c>
      <c r="BE47" s="8" t="s">
        <v>119</v>
      </c>
      <c r="BF47" s="8" t="s">
        <v>121</v>
      </c>
      <c r="BM47" s="1">
        <v>0</v>
      </c>
    </row>
    <row r="48" spans="2:65" hidden="1" x14ac:dyDescent="0.25">
      <c r="B48" s="2" t="s">
        <v>87</v>
      </c>
      <c r="C48" s="2" t="s">
        <v>88</v>
      </c>
      <c r="D48" s="2" t="s">
        <v>41</v>
      </c>
      <c r="E48" s="2" t="s">
        <v>17</v>
      </c>
      <c r="F48" s="2">
        <v>2.8000000000000001E-2</v>
      </c>
      <c r="G48" s="3">
        <v>0.121</v>
      </c>
      <c r="H48" s="2">
        <v>0</v>
      </c>
      <c r="I48" s="2">
        <v>235</v>
      </c>
      <c r="J48" s="2"/>
      <c r="K48" s="2"/>
      <c r="L48" s="2"/>
      <c r="M48" s="2"/>
      <c r="N48" s="8">
        <f t="shared" si="0"/>
        <v>-45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>
        <v>150</v>
      </c>
      <c r="AF48" s="2"/>
      <c r="AG48" s="2"/>
      <c r="AH48" s="2"/>
      <c r="AI48" s="2">
        <v>130</v>
      </c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7">
        <f t="shared" si="1"/>
        <v>28.434999999999999</v>
      </c>
      <c r="AW48" s="7">
        <v>100</v>
      </c>
      <c r="AX48" s="7">
        <v>0</v>
      </c>
      <c r="AY48" s="8">
        <f t="shared" si="2"/>
        <v>0</v>
      </c>
      <c r="AZ48" s="8">
        <v>0</v>
      </c>
      <c r="BA48" s="8">
        <f t="shared" si="3"/>
        <v>0</v>
      </c>
      <c r="BB48" s="8">
        <f t="shared" si="4"/>
        <v>0</v>
      </c>
      <c r="BC48" s="8">
        <v>0</v>
      </c>
      <c r="BD48" s="8">
        <v>0</v>
      </c>
      <c r="BE48" s="8" t="s">
        <v>119</v>
      </c>
      <c r="BF48" s="8" t="s">
        <v>121</v>
      </c>
      <c r="BM48" s="1">
        <v>0</v>
      </c>
    </row>
    <row r="49" spans="2:65" hidden="1" x14ac:dyDescent="0.25">
      <c r="B49" s="2" t="s">
        <v>87</v>
      </c>
      <c r="C49" s="2" t="s">
        <v>88</v>
      </c>
      <c r="D49" s="2" t="s">
        <v>42</v>
      </c>
      <c r="E49" s="2" t="s">
        <v>17</v>
      </c>
      <c r="F49" s="2">
        <v>2.8000000000000001E-2</v>
      </c>
      <c r="G49" s="3">
        <v>0.127</v>
      </c>
      <c r="H49" s="2">
        <v>0</v>
      </c>
      <c r="I49" s="2">
        <v>0</v>
      </c>
      <c r="J49" s="2"/>
      <c r="K49" s="2"/>
      <c r="L49" s="2"/>
      <c r="M49" s="2"/>
      <c r="N49" s="8">
        <f t="shared" si="0"/>
        <v>0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7">
        <f t="shared" si="1"/>
        <v>0</v>
      </c>
      <c r="AW49" s="7">
        <v>100</v>
      </c>
      <c r="AX49" s="7">
        <v>0</v>
      </c>
      <c r="AY49" s="8">
        <f t="shared" si="2"/>
        <v>0</v>
      </c>
      <c r="AZ49" s="8">
        <v>0</v>
      </c>
      <c r="BA49" s="8">
        <f t="shared" si="3"/>
        <v>0</v>
      </c>
      <c r="BB49" s="8">
        <f t="shared" si="4"/>
        <v>0</v>
      </c>
      <c r="BC49" s="8">
        <v>0</v>
      </c>
      <c r="BD49" s="8">
        <v>0</v>
      </c>
      <c r="BE49" s="8" t="s">
        <v>119</v>
      </c>
      <c r="BF49" s="8" t="s">
        <v>121</v>
      </c>
      <c r="BM49" s="1">
        <v>0</v>
      </c>
    </row>
    <row r="50" spans="2:65" hidden="1" x14ac:dyDescent="0.25">
      <c r="B50" s="2" t="s">
        <v>87</v>
      </c>
      <c r="C50" s="2" t="s">
        <v>88</v>
      </c>
      <c r="D50" s="2" t="s">
        <v>43</v>
      </c>
      <c r="E50" s="2" t="s">
        <v>17</v>
      </c>
      <c r="F50" s="2">
        <v>2.8000000000000001E-2</v>
      </c>
      <c r="G50" s="3">
        <v>0.10299999999999999</v>
      </c>
      <c r="H50" s="2">
        <v>0</v>
      </c>
      <c r="I50" s="2">
        <v>0</v>
      </c>
      <c r="J50" s="2"/>
      <c r="K50" s="2"/>
      <c r="L50" s="2"/>
      <c r="M50" s="2"/>
      <c r="N50" s="8">
        <f t="shared" si="0"/>
        <v>0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7">
        <f t="shared" si="1"/>
        <v>0</v>
      </c>
      <c r="AW50" s="7">
        <v>100</v>
      </c>
      <c r="AX50" s="7">
        <v>0</v>
      </c>
      <c r="AY50" s="8">
        <f t="shared" si="2"/>
        <v>0</v>
      </c>
      <c r="AZ50" s="8">
        <v>0</v>
      </c>
      <c r="BA50" s="8">
        <f t="shared" si="3"/>
        <v>0</v>
      </c>
      <c r="BB50" s="8">
        <f t="shared" si="4"/>
        <v>0</v>
      </c>
      <c r="BC50" s="8">
        <v>0</v>
      </c>
      <c r="BD50" s="8">
        <v>0</v>
      </c>
      <c r="BE50" s="8" t="s">
        <v>119</v>
      </c>
      <c r="BF50" s="8" t="s">
        <v>121</v>
      </c>
      <c r="BM50" s="1">
        <v>328</v>
      </c>
    </row>
    <row r="51" spans="2:65" hidden="1" x14ac:dyDescent="0.25">
      <c r="B51" s="2" t="s">
        <v>87</v>
      </c>
      <c r="C51" s="2" t="s">
        <v>88</v>
      </c>
      <c r="D51" s="2" t="s">
        <v>44</v>
      </c>
      <c r="E51" s="2" t="s">
        <v>17</v>
      </c>
      <c r="F51" s="2">
        <v>2.8000000000000001E-2</v>
      </c>
      <c r="G51" s="3">
        <v>0.23799999999999999</v>
      </c>
      <c r="H51" s="2">
        <v>0</v>
      </c>
      <c r="I51" s="2">
        <v>0</v>
      </c>
      <c r="J51" s="2"/>
      <c r="K51" s="2"/>
      <c r="L51" s="2"/>
      <c r="M51" s="2"/>
      <c r="N51" s="8">
        <f t="shared" si="0"/>
        <v>0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7">
        <f t="shared" si="1"/>
        <v>0</v>
      </c>
      <c r="AW51" s="7">
        <v>100</v>
      </c>
      <c r="AX51" s="7">
        <v>0</v>
      </c>
      <c r="AY51" s="8">
        <f t="shared" si="2"/>
        <v>0</v>
      </c>
      <c r="AZ51" s="8">
        <v>0</v>
      </c>
      <c r="BA51" s="8">
        <f t="shared" si="3"/>
        <v>0</v>
      </c>
      <c r="BB51" s="8">
        <f t="shared" si="4"/>
        <v>0</v>
      </c>
      <c r="BC51" s="8">
        <v>0</v>
      </c>
      <c r="BD51" s="8">
        <v>0</v>
      </c>
      <c r="BE51" s="8" t="s">
        <v>119</v>
      </c>
      <c r="BF51" s="8" t="s">
        <v>121</v>
      </c>
      <c r="BM51" s="1">
        <v>400</v>
      </c>
    </row>
    <row r="52" spans="2:65" x14ac:dyDescent="0.25">
      <c r="B52" s="2" t="s">
        <v>87</v>
      </c>
      <c r="C52" s="2" t="s">
        <v>88</v>
      </c>
      <c r="D52" s="2" t="s">
        <v>45</v>
      </c>
      <c r="E52" s="2" t="s">
        <v>17</v>
      </c>
      <c r="F52" s="2">
        <v>2.8000000000000001E-2</v>
      </c>
      <c r="G52" s="3">
        <v>0.10100000000000001</v>
      </c>
      <c r="H52" s="2">
        <v>600</v>
      </c>
      <c r="I52" s="2">
        <v>600</v>
      </c>
      <c r="J52" s="2"/>
      <c r="K52" s="2"/>
      <c r="L52" s="2"/>
      <c r="M52" s="2"/>
      <c r="N52" s="8">
        <f t="shared" si="0"/>
        <v>432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>
        <v>408</v>
      </c>
      <c r="AK52" s="2">
        <v>360</v>
      </c>
      <c r="AL52" s="2"/>
      <c r="AN52" s="2"/>
      <c r="AO52" s="2"/>
      <c r="AP52" s="2"/>
      <c r="AQ52" s="2"/>
      <c r="AR52" s="2"/>
      <c r="AS52" s="2"/>
      <c r="AT52" s="2"/>
      <c r="AU52" s="2"/>
      <c r="AV52" s="7">
        <f t="shared" si="1"/>
        <v>121.2</v>
      </c>
      <c r="AW52" s="7">
        <v>100</v>
      </c>
      <c r="AX52" s="7">
        <v>0</v>
      </c>
      <c r="AY52" s="8">
        <f t="shared" si="2"/>
        <v>0</v>
      </c>
      <c r="AZ52" s="8">
        <v>0</v>
      </c>
      <c r="BA52" s="8">
        <f t="shared" si="3"/>
        <v>0</v>
      </c>
      <c r="BB52" s="8">
        <f t="shared" si="4"/>
        <v>0</v>
      </c>
      <c r="BC52" s="8">
        <v>0</v>
      </c>
      <c r="BD52" s="8">
        <v>0</v>
      </c>
      <c r="BE52" s="8" t="s">
        <v>119</v>
      </c>
      <c r="BF52" s="8" t="s">
        <v>121</v>
      </c>
      <c r="BM52" s="1">
        <v>-1493</v>
      </c>
    </row>
    <row r="53" spans="2:65" hidden="1" x14ac:dyDescent="0.25">
      <c r="B53" s="2" t="s">
        <v>87</v>
      </c>
      <c r="C53" s="2" t="s">
        <v>88</v>
      </c>
      <c r="D53" s="2" t="s">
        <v>46</v>
      </c>
      <c r="E53" s="2" t="s">
        <v>17</v>
      </c>
      <c r="F53" s="2">
        <v>2.8000000000000001E-2</v>
      </c>
      <c r="G53" s="3">
        <v>3.9E-2</v>
      </c>
      <c r="H53" s="2">
        <v>1800</v>
      </c>
      <c r="I53" s="2">
        <v>0</v>
      </c>
      <c r="J53" s="2"/>
      <c r="K53" s="2"/>
      <c r="L53" s="2"/>
      <c r="M53" s="2"/>
      <c r="N53" s="8">
        <f t="shared" si="0"/>
        <v>0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>
        <v>1157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>
        <v>643</v>
      </c>
      <c r="AP53" s="2"/>
      <c r="AQ53" s="2"/>
      <c r="AR53" s="2"/>
      <c r="AS53" s="2"/>
      <c r="AT53" s="2"/>
      <c r="AU53" s="2"/>
      <c r="AV53" s="7">
        <f t="shared" si="1"/>
        <v>70.2</v>
      </c>
      <c r="AW53" s="7">
        <v>100</v>
      </c>
      <c r="AX53" s="7">
        <v>0</v>
      </c>
      <c r="AY53" s="8">
        <f t="shared" si="2"/>
        <v>0</v>
      </c>
      <c r="AZ53" s="8">
        <v>0</v>
      </c>
      <c r="BA53" s="8">
        <f t="shared" si="3"/>
        <v>0</v>
      </c>
      <c r="BB53" s="8">
        <f t="shared" si="4"/>
        <v>0</v>
      </c>
      <c r="BC53" s="8">
        <v>0</v>
      </c>
      <c r="BD53" s="8">
        <v>0</v>
      </c>
      <c r="BE53" s="8" t="s">
        <v>119</v>
      </c>
      <c r="BF53" s="8" t="s">
        <v>121</v>
      </c>
      <c r="BM53" s="1">
        <v>-66</v>
      </c>
    </row>
    <row r="54" spans="2:65" hidden="1" x14ac:dyDescent="0.25">
      <c r="B54" s="2" t="s">
        <v>87</v>
      </c>
      <c r="C54" s="2" t="s">
        <v>88</v>
      </c>
      <c r="D54" s="2" t="s">
        <v>47</v>
      </c>
      <c r="E54" s="2" t="s">
        <v>48</v>
      </c>
      <c r="F54" s="2">
        <v>3.5000000000000003E-2</v>
      </c>
      <c r="G54" s="3">
        <v>0.14799999999999999</v>
      </c>
      <c r="H54" s="2">
        <v>0</v>
      </c>
      <c r="I54" s="2">
        <v>0</v>
      </c>
      <c r="J54" s="2"/>
      <c r="K54" s="2"/>
      <c r="L54" s="2"/>
      <c r="M54" s="2"/>
      <c r="N54" s="8">
        <f t="shared" si="0"/>
        <v>0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7">
        <f t="shared" si="1"/>
        <v>0</v>
      </c>
      <c r="AW54" s="7">
        <v>500</v>
      </c>
      <c r="AX54" s="7">
        <v>0</v>
      </c>
      <c r="AY54" s="8">
        <f t="shared" si="2"/>
        <v>0</v>
      </c>
      <c r="AZ54" s="8">
        <v>0</v>
      </c>
      <c r="BA54" s="8">
        <f t="shared" si="3"/>
        <v>0</v>
      </c>
      <c r="BB54" s="8">
        <f t="shared" si="4"/>
        <v>0</v>
      </c>
      <c r="BC54" s="8">
        <v>0</v>
      </c>
      <c r="BD54" s="8">
        <v>0</v>
      </c>
      <c r="BE54" s="8" t="s">
        <v>119</v>
      </c>
      <c r="BF54" s="8" t="s">
        <v>121</v>
      </c>
      <c r="BM54" s="1">
        <v>0</v>
      </c>
    </row>
    <row r="55" spans="2:65" hidden="1" x14ac:dyDescent="0.25">
      <c r="B55" s="2" t="s">
        <v>87</v>
      </c>
      <c r="C55" s="2" t="s">
        <v>88</v>
      </c>
      <c r="D55" s="2" t="s">
        <v>49</v>
      </c>
      <c r="E55" s="2" t="s">
        <v>48</v>
      </c>
      <c r="F55" s="2">
        <v>3.5000000000000003E-2</v>
      </c>
      <c r="G55" s="3">
        <v>0.14399999999999999</v>
      </c>
      <c r="H55" s="2">
        <v>0</v>
      </c>
      <c r="I55" s="2">
        <v>0</v>
      </c>
      <c r="J55" s="2"/>
      <c r="K55" s="2"/>
      <c r="L55" s="2"/>
      <c r="M55" s="2"/>
      <c r="N55" s="8">
        <f t="shared" si="0"/>
        <v>0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7">
        <f t="shared" si="1"/>
        <v>0</v>
      </c>
      <c r="AW55" s="7">
        <v>500</v>
      </c>
      <c r="AX55" s="7">
        <v>0</v>
      </c>
      <c r="AY55" s="8">
        <f t="shared" si="2"/>
        <v>0</v>
      </c>
      <c r="AZ55" s="8">
        <v>0</v>
      </c>
      <c r="BA55" s="8">
        <f t="shared" si="3"/>
        <v>0</v>
      </c>
      <c r="BB55" s="8">
        <f t="shared" si="4"/>
        <v>0</v>
      </c>
      <c r="BC55" s="8">
        <v>0</v>
      </c>
      <c r="BD55" s="8">
        <v>0</v>
      </c>
      <c r="BE55" s="8" t="s">
        <v>119</v>
      </c>
      <c r="BF55" s="8" t="s">
        <v>121</v>
      </c>
      <c r="BM55" s="1">
        <v>0</v>
      </c>
    </row>
    <row r="56" spans="2:65" hidden="1" x14ac:dyDescent="0.25">
      <c r="B56" s="2" t="s">
        <v>87</v>
      </c>
      <c r="C56" s="2" t="s">
        <v>88</v>
      </c>
      <c r="D56" s="2" t="s">
        <v>50</v>
      </c>
      <c r="E56" s="2" t="s">
        <v>48</v>
      </c>
      <c r="F56" s="2">
        <v>3.5000000000000003E-2</v>
      </c>
      <c r="G56" s="3">
        <v>5.2999999999999999E-2</v>
      </c>
      <c r="H56" s="2">
        <v>0</v>
      </c>
      <c r="I56" s="2">
        <v>0</v>
      </c>
      <c r="J56" s="2"/>
      <c r="K56" s="2"/>
      <c r="L56" s="2"/>
      <c r="M56" s="2"/>
      <c r="N56" s="8">
        <f t="shared" si="0"/>
        <v>-2300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>
        <v>600</v>
      </c>
      <c r="AF56" s="2"/>
      <c r="AG56" s="2"/>
      <c r="AH56" s="2">
        <v>500</v>
      </c>
      <c r="AI56" s="2">
        <v>200</v>
      </c>
      <c r="AJ56" s="2">
        <v>1000</v>
      </c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7">
        <f t="shared" si="1"/>
        <v>0</v>
      </c>
      <c r="AW56" s="7">
        <v>1000</v>
      </c>
      <c r="AX56" s="7">
        <v>0</v>
      </c>
      <c r="AY56" s="8">
        <f t="shared" si="2"/>
        <v>0</v>
      </c>
      <c r="AZ56" s="8">
        <v>0</v>
      </c>
      <c r="BA56" s="8">
        <f t="shared" si="3"/>
        <v>0</v>
      </c>
      <c r="BB56" s="8">
        <f t="shared" si="4"/>
        <v>0</v>
      </c>
      <c r="BC56" s="8">
        <v>0</v>
      </c>
      <c r="BD56" s="8">
        <v>0</v>
      </c>
      <c r="BE56" s="8" t="s">
        <v>119</v>
      </c>
      <c r="BF56" s="8" t="s">
        <v>121</v>
      </c>
      <c r="BM56" s="1">
        <v>1200</v>
      </c>
    </row>
    <row r="57" spans="2:65" hidden="1" x14ac:dyDescent="0.25">
      <c r="B57" s="2" t="s">
        <v>87</v>
      </c>
      <c r="C57" s="2" t="s">
        <v>88</v>
      </c>
      <c r="D57" s="2" t="s">
        <v>51</v>
      </c>
      <c r="E57" s="2" t="s">
        <v>48</v>
      </c>
      <c r="F57" s="2">
        <v>3.5000000000000003E-2</v>
      </c>
      <c r="G57" s="3">
        <v>0.13800000000000001</v>
      </c>
      <c r="H57" s="2">
        <v>0</v>
      </c>
      <c r="I57" s="2">
        <v>0</v>
      </c>
      <c r="J57" s="2"/>
      <c r="K57" s="2"/>
      <c r="L57" s="2"/>
      <c r="M57" s="2"/>
      <c r="N57" s="8">
        <f t="shared" si="0"/>
        <v>0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7">
        <f t="shared" si="1"/>
        <v>0</v>
      </c>
      <c r="AW57" s="7">
        <v>500</v>
      </c>
      <c r="AX57" s="7">
        <v>0</v>
      </c>
      <c r="AY57" s="8">
        <f t="shared" si="2"/>
        <v>0</v>
      </c>
      <c r="AZ57" s="8">
        <v>0</v>
      </c>
      <c r="BA57" s="8">
        <f t="shared" si="3"/>
        <v>0</v>
      </c>
      <c r="BB57" s="8">
        <f t="shared" si="4"/>
        <v>0</v>
      </c>
      <c r="BC57" s="8">
        <v>0</v>
      </c>
      <c r="BD57" s="8">
        <v>0</v>
      </c>
      <c r="BE57" s="8" t="s">
        <v>119</v>
      </c>
      <c r="BF57" s="8" t="s">
        <v>121</v>
      </c>
      <c r="BM57" s="1">
        <v>0</v>
      </c>
    </row>
    <row r="58" spans="2:65" hidden="1" x14ac:dyDescent="0.25">
      <c r="B58" s="2" t="s">
        <v>87</v>
      </c>
      <c r="C58" s="2" t="s">
        <v>88</v>
      </c>
      <c r="D58" s="2" t="s">
        <v>52</v>
      </c>
      <c r="E58" s="2" t="s">
        <v>48</v>
      </c>
      <c r="F58" s="2">
        <v>3.5000000000000003E-2</v>
      </c>
      <c r="G58" s="3">
        <v>0.11</v>
      </c>
      <c r="H58" s="2">
        <v>1900</v>
      </c>
      <c r="I58" s="2">
        <v>0</v>
      </c>
      <c r="J58" s="2"/>
      <c r="K58" s="2"/>
      <c r="L58" s="2"/>
      <c r="M58" s="2"/>
      <c r="N58" s="8">
        <f t="shared" si="0"/>
        <v>-40</v>
      </c>
      <c r="O58" s="2">
        <v>140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>
        <v>1600</v>
      </c>
      <c r="AD58" s="2">
        <v>200</v>
      </c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7">
        <f t="shared" si="1"/>
        <v>209</v>
      </c>
      <c r="AW58" s="7">
        <v>500</v>
      </c>
      <c r="AX58" s="7">
        <v>0</v>
      </c>
      <c r="AY58" s="8">
        <f t="shared" si="2"/>
        <v>0</v>
      </c>
      <c r="AZ58" s="8">
        <v>0</v>
      </c>
      <c r="BA58" s="8">
        <f t="shared" si="3"/>
        <v>0</v>
      </c>
      <c r="BB58" s="8">
        <f t="shared" si="4"/>
        <v>0</v>
      </c>
      <c r="BC58" s="8">
        <v>0</v>
      </c>
      <c r="BD58" s="8">
        <v>0</v>
      </c>
      <c r="BE58" s="8" t="s">
        <v>119</v>
      </c>
      <c r="BF58" s="8" t="s">
        <v>121</v>
      </c>
      <c r="BM58" s="1">
        <v>1000</v>
      </c>
    </row>
    <row r="59" spans="2:65" hidden="1" x14ac:dyDescent="0.25">
      <c r="B59" s="2" t="s">
        <v>87</v>
      </c>
      <c r="C59" s="2" t="s">
        <v>88</v>
      </c>
      <c r="D59" s="2" t="s">
        <v>53</v>
      </c>
      <c r="E59" s="2" t="s">
        <v>54</v>
      </c>
      <c r="F59" s="2">
        <v>4.1000000000000002E-2</v>
      </c>
      <c r="G59" s="3">
        <v>7.3999999999999996E-2</v>
      </c>
      <c r="H59" s="2">
        <v>0</v>
      </c>
      <c r="I59" s="2">
        <v>0</v>
      </c>
      <c r="J59" s="2"/>
      <c r="K59" s="2"/>
      <c r="L59" s="2"/>
      <c r="M59" s="2"/>
      <c r="N59" s="8">
        <f t="shared" si="0"/>
        <v>-1500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>
        <v>1100</v>
      </c>
      <c r="AC59" s="2"/>
      <c r="AD59" s="2"/>
      <c r="AE59" s="2"/>
      <c r="AF59" s="2">
        <v>400</v>
      </c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7">
        <f t="shared" si="1"/>
        <v>0</v>
      </c>
      <c r="AW59" s="7">
        <v>1000</v>
      </c>
      <c r="AX59" s="7">
        <v>0</v>
      </c>
      <c r="AY59" s="8">
        <f t="shared" si="2"/>
        <v>0</v>
      </c>
      <c r="AZ59" s="8">
        <v>0</v>
      </c>
      <c r="BA59" s="8">
        <f t="shared" si="3"/>
        <v>0</v>
      </c>
      <c r="BB59" s="8">
        <f t="shared" si="4"/>
        <v>0</v>
      </c>
      <c r="BC59" s="8">
        <v>0</v>
      </c>
      <c r="BD59" s="8">
        <v>0</v>
      </c>
      <c r="BE59" s="8" t="s">
        <v>119</v>
      </c>
      <c r="BF59" s="8" t="s">
        <v>121</v>
      </c>
      <c r="BM59" s="1">
        <v>2800</v>
      </c>
    </row>
    <row r="60" spans="2:65" hidden="1" x14ac:dyDescent="0.25">
      <c r="B60" s="2" t="s">
        <v>87</v>
      </c>
      <c r="C60" s="2" t="s">
        <v>88</v>
      </c>
      <c r="D60" s="2" t="s">
        <v>55</v>
      </c>
      <c r="E60" s="2" t="s">
        <v>54</v>
      </c>
      <c r="F60" s="2">
        <v>4.4999999999999998E-2</v>
      </c>
      <c r="G60" s="3">
        <v>0.46</v>
      </c>
      <c r="H60" s="2">
        <v>0</v>
      </c>
      <c r="I60" s="2">
        <v>404</v>
      </c>
      <c r="J60" s="2"/>
      <c r="K60" s="2"/>
      <c r="L60" s="2"/>
      <c r="M60" s="2"/>
      <c r="N60" s="8">
        <f t="shared" si="0"/>
        <v>-118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>
        <v>160</v>
      </c>
      <c r="AF60" s="2"/>
      <c r="AG60" s="2"/>
      <c r="AH60" s="2"/>
      <c r="AI60" s="2"/>
      <c r="AJ60" s="2"/>
      <c r="AK60" s="2">
        <v>257</v>
      </c>
      <c r="AL60" s="2">
        <v>105</v>
      </c>
      <c r="AM60" s="2"/>
      <c r="AN60" s="2"/>
      <c r="AO60" s="2"/>
      <c r="AP60" s="2"/>
      <c r="AQ60" s="2"/>
      <c r="AR60" s="2"/>
      <c r="AS60" s="2"/>
      <c r="AT60" s="2"/>
      <c r="AU60" s="2"/>
      <c r="AV60" s="7">
        <f t="shared" si="1"/>
        <v>185.84</v>
      </c>
      <c r="AW60" s="7">
        <v>200</v>
      </c>
      <c r="AX60" s="7">
        <v>0</v>
      </c>
      <c r="AY60" s="8">
        <f t="shared" si="2"/>
        <v>0</v>
      </c>
      <c r="AZ60" s="8">
        <v>0</v>
      </c>
      <c r="BA60" s="8">
        <f t="shared" si="3"/>
        <v>0</v>
      </c>
      <c r="BB60" s="8">
        <f t="shared" si="4"/>
        <v>0</v>
      </c>
      <c r="BC60" s="8">
        <v>0</v>
      </c>
      <c r="BD60" s="8">
        <v>0</v>
      </c>
      <c r="BE60" s="8" t="s">
        <v>119</v>
      </c>
      <c r="BF60" s="8" t="s">
        <v>121</v>
      </c>
      <c r="BM60" s="1">
        <v>1000</v>
      </c>
    </row>
    <row r="61" spans="2:65" hidden="1" x14ac:dyDescent="0.25">
      <c r="B61" s="2" t="s">
        <v>87</v>
      </c>
      <c r="C61" s="2" t="s">
        <v>88</v>
      </c>
      <c r="D61" s="2" t="s">
        <v>56</v>
      </c>
      <c r="E61" s="2" t="s">
        <v>54</v>
      </c>
      <c r="F61" s="2">
        <v>4.4999999999999998E-2</v>
      </c>
      <c r="G61" s="3">
        <v>0.23300000000000001</v>
      </c>
      <c r="H61" s="2">
        <v>0</v>
      </c>
      <c r="I61" s="2">
        <v>0</v>
      </c>
      <c r="J61" s="2"/>
      <c r="K61" s="2"/>
      <c r="L61" s="2"/>
      <c r="M61" s="2"/>
      <c r="N61" s="8">
        <f t="shared" si="0"/>
        <v>-299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>
        <v>299</v>
      </c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7">
        <f t="shared" si="1"/>
        <v>0</v>
      </c>
      <c r="AW61" s="7">
        <v>500</v>
      </c>
      <c r="AX61" s="7">
        <v>0</v>
      </c>
      <c r="AY61" s="8">
        <f t="shared" si="2"/>
        <v>0</v>
      </c>
      <c r="AZ61" s="8">
        <v>0</v>
      </c>
      <c r="BA61" s="8">
        <f t="shared" si="3"/>
        <v>0</v>
      </c>
      <c r="BB61" s="8">
        <f t="shared" si="4"/>
        <v>0</v>
      </c>
      <c r="BC61" s="8">
        <v>0</v>
      </c>
      <c r="BD61" s="8">
        <v>0</v>
      </c>
      <c r="BE61" s="8" t="s">
        <v>119</v>
      </c>
      <c r="BF61" s="8" t="s">
        <v>121</v>
      </c>
      <c r="BM61" s="1">
        <v>416</v>
      </c>
    </row>
    <row r="62" spans="2:65" hidden="1" x14ac:dyDescent="0.25">
      <c r="B62" s="2" t="s">
        <v>87</v>
      </c>
      <c r="C62" s="2" t="s">
        <v>88</v>
      </c>
      <c r="D62" s="2" t="s">
        <v>57</v>
      </c>
      <c r="E62" s="2" t="s">
        <v>54</v>
      </c>
      <c r="F62" s="2">
        <v>4.1000000000000002E-2</v>
      </c>
      <c r="G62" s="3">
        <v>0.19700000000000001</v>
      </c>
      <c r="H62" s="2">
        <v>0</v>
      </c>
      <c r="I62" s="2">
        <v>0</v>
      </c>
      <c r="J62" s="2"/>
      <c r="K62" s="2"/>
      <c r="L62" s="2"/>
      <c r="M62" s="2"/>
      <c r="N62" s="8">
        <f t="shared" si="0"/>
        <v>0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7">
        <f t="shared" si="1"/>
        <v>0</v>
      </c>
      <c r="AW62" s="7">
        <v>500</v>
      </c>
      <c r="AX62" s="7">
        <v>0</v>
      </c>
      <c r="AY62" s="8">
        <f t="shared" si="2"/>
        <v>0</v>
      </c>
      <c r="AZ62" s="8">
        <v>0</v>
      </c>
      <c r="BA62" s="8">
        <f t="shared" si="3"/>
        <v>0</v>
      </c>
      <c r="BB62" s="8">
        <f t="shared" si="4"/>
        <v>0</v>
      </c>
      <c r="BC62" s="8">
        <v>0</v>
      </c>
      <c r="BD62" s="8">
        <v>0</v>
      </c>
      <c r="BE62" s="8" t="s">
        <v>119</v>
      </c>
      <c r="BF62" s="8" t="s">
        <v>121</v>
      </c>
      <c r="BM62" s="1">
        <v>2200</v>
      </c>
    </row>
    <row r="63" spans="2:65" hidden="1" x14ac:dyDescent="0.25">
      <c r="B63" s="2" t="s">
        <v>87</v>
      </c>
      <c r="C63" s="2" t="s">
        <v>88</v>
      </c>
      <c r="D63" s="2" t="s">
        <v>58</v>
      </c>
      <c r="E63" s="2" t="s">
        <v>54</v>
      </c>
      <c r="F63" s="2">
        <v>4.4999999999999998E-2</v>
      </c>
      <c r="G63" s="3">
        <v>0.17299999999999999</v>
      </c>
      <c r="H63" s="2">
        <v>1500</v>
      </c>
      <c r="I63" s="2">
        <v>0</v>
      </c>
      <c r="J63" s="2"/>
      <c r="K63" s="2"/>
      <c r="L63" s="2"/>
      <c r="M63" s="2"/>
      <c r="N63" s="8">
        <f t="shared" si="0"/>
        <v>-121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>
        <v>641</v>
      </c>
      <c r="AC63" s="2">
        <v>380</v>
      </c>
      <c r="AD63" s="2"/>
      <c r="AE63" s="2"/>
      <c r="AF63" s="2"/>
      <c r="AG63" s="2"/>
      <c r="AH63" s="2"/>
      <c r="AI63" s="2"/>
      <c r="AJ63" s="2"/>
      <c r="AK63" s="2">
        <v>600</v>
      </c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7">
        <f t="shared" si="1"/>
        <v>259.5</v>
      </c>
      <c r="AW63" s="7">
        <v>500</v>
      </c>
      <c r="AX63" s="7">
        <v>0</v>
      </c>
      <c r="AY63" s="8">
        <f t="shared" si="2"/>
        <v>0</v>
      </c>
      <c r="AZ63" s="8">
        <v>0</v>
      </c>
      <c r="BA63" s="8">
        <f t="shared" si="3"/>
        <v>0</v>
      </c>
      <c r="BB63" s="8">
        <f t="shared" si="4"/>
        <v>0</v>
      </c>
      <c r="BC63" s="8">
        <v>0</v>
      </c>
      <c r="BD63" s="8">
        <v>0</v>
      </c>
      <c r="BE63" s="8" t="s">
        <v>119</v>
      </c>
      <c r="BF63" s="8" t="s">
        <v>121</v>
      </c>
      <c r="BM63" s="1">
        <v>1720</v>
      </c>
    </row>
    <row r="64" spans="2:65" ht="14.25" hidden="1" customHeight="1" x14ac:dyDescent="0.25">
      <c r="B64" s="2" t="s">
        <v>87</v>
      </c>
      <c r="C64" s="2" t="s">
        <v>88</v>
      </c>
      <c r="D64" s="2" t="s">
        <v>59</v>
      </c>
      <c r="E64" s="2" t="s">
        <v>60</v>
      </c>
      <c r="F64" s="2">
        <v>3.5000000000000003E-2</v>
      </c>
      <c r="G64" s="3">
        <v>0.29799999999999999</v>
      </c>
      <c r="H64" s="2">
        <v>0</v>
      </c>
      <c r="I64" s="2">
        <v>0</v>
      </c>
      <c r="J64" s="2"/>
      <c r="K64" s="2"/>
      <c r="L64" s="2"/>
      <c r="M64" s="2"/>
      <c r="N64" s="8">
        <f t="shared" si="0"/>
        <v>0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7">
        <f t="shared" si="1"/>
        <v>0</v>
      </c>
      <c r="AW64" s="7">
        <v>144</v>
      </c>
      <c r="AX64" s="7">
        <v>0</v>
      </c>
      <c r="AY64" s="8">
        <f t="shared" si="2"/>
        <v>0</v>
      </c>
      <c r="AZ64" s="8">
        <v>0</v>
      </c>
      <c r="BA64" s="8">
        <f t="shared" si="3"/>
        <v>0</v>
      </c>
      <c r="BB64" s="8">
        <f t="shared" si="4"/>
        <v>0</v>
      </c>
      <c r="BC64" s="8" t="s">
        <v>110</v>
      </c>
      <c r="BD64" s="8">
        <f t="shared" ref="BD64:BD83" si="5">+SUM(H64:M64)</f>
        <v>0</v>
      </c>
      <c r="BE64" s="8" t="s">
        <v>119</v>
      </c>
      <c r="BF64" s="8" t="s">
        <v>121</v>
      </c>
      <c r="BM64" s="1">
        <v>0</v>
      </c>
    </row>
    <row r="65" spans="2:65" hidden="1" x14ac:dyDescent="0.25">
      <c r="B65" s="2" t="s">
        <v>87</v>
      </c>
      <c r="C65" s="2" t="s">
        <v>88</v>
      </c>
      <c r="D65" s="2" t="s">
        <v>61</v>
      </c>
      <c r="E65" s="2" t="s">
        <v>60</v>
      </c>
      <c r="F65" s="2">
        <v>3.5000000000000003E-2</v>
      </c>
      <c r="G65" s="3">
        <v>0.249</v>
      </c>
      <c r="H65" s="2">
        <v>0</v>
      </c>
      <c r="I65" s="2">
        <v>0</v>
      </c>
      <c r="J65" s="2"/>
      <c r="K65" s="2"/>
      <c r="L65" s="2"/>
      <c r="M65" s="2"/>
      <c r="N65" s="8">
        <f t="shared" si="0"/>
        <v>0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7">
        <f t="shared" si="1"/>
        <v>0</v>
      </c>
      <c r="AW65" s="7">
        <v>144</v>
      </c>
      <c r="AX65" s="7">
        <v>1</v>
      </c>
      <c r="AY65" s="8">
        <f t="shared" si="2"/>
        <v>0</v>
      </c>
      <c r="AZ65" s="8">
        <v>0</v>
      </c>
      <c r="BA65" s="8">
        <f t="shared" si="3"/>
        <v>0</v>
      </c>
      <c r="BB65" s="8">
        <f t="shared" si="4"/>
        <v>0</v>
      </c>
      <c r="BC65" s="8" t="s">
        <v>111</v>
      </c>
      <c r="BD65" s="8">
        <f t="shared" si="5"/>
        <v>0</v>
      </c>
      <c r="BE65" s="8" t="s">
        <v>119</v>
      </c>
      <c r="BF65" s="8" t="s">
        <v>121</v>
      </c>
      <c r="BM65" s="1">
        <v>-576</v>
      </c>
    </row>
    <row r="66" spans="2:65" hidden="1" x14ac:dyDescent="0.25">
      <c r="B66" s="2" t="s">
        <v>87</v>
      </c>
      <c r="C66" s="2" t="s">
        <v>88</v>
      </c>
      <c r="D66" s="2" t="s">
        <v>62</v>
      </c>
      <c r="E66" s="2" t="s">
        <v>60</v>
      </c>
      <c r="F66" s="2">
        <v>3.5000000000000003E-2</v>
      </c>
      <c r="G66" s="3">
        <v>0.253</v>
      </c>
      <c r="H66" s="2">
        <v>0</v>
      </c>
      <c r="I66" s="2">
        <v>0</v>
      </c>
      <c r="J66" s="2"/>
      <c r="K66" s="2"/>
      <c r="L66" s="2"/>
      <c r="M66" s="2"/>
      <c r="N66" s="8">
        <f t="shared" si="0"/>
        <v>0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7">
        <f t="shared" si="1"/>
        <v>0</v>
      </c>
      <c r="AW66" s="7">
        <v>144</v>
      </c>
      <c r="AX66" s="7">
        <v>1</v>
      </c>
      <c r="AY66" s="8">
        <f t="shared" si="2"/>
        <v>0</v>
      </c>
      <c r="AZ66" s="8">
        <v>0</v>
      </c>
      <c r="BA66" s="8">
        <f t="shared" si="3"/>
        <v>0</v>
      </c>
      <c r="BB66" s="8">
        <f t="shared" si="4"/>
        <v>0</v>
      </c>
      <c r="BC66" s="8" t="s">
        <v>111</v>
      </c>
      <c r="BD66" s="8">
        <f t="shared" si="5"/>
        <v>0</v>
      </c>
      <c r="BE66" s="8" t="s">
        <v>119</v>
      </c>
      <c r="BF66" s="8" t="s">
        <v>121</v>
      </c>
      <c r="BM66" s="1">
        <v>0</v>
      </c>
    </row>
    <row r="67" spans="2:65" hidden="1" x14ac:dyDescent="0.25">
      <c r="B67" s="2" t="s">
        <v>87</v>
      </c>
      <c r="C67" s="2" t="s">
        <v>88</v>
      </c>
      <c r="D67" s="2" t="s">
        <v>63</v>
      </c>
      <c r="E67" s="2" t="s">
        <v>60</v>
      </c>
      <c r="F67" s="2">
        <v>3.5000000000000003E-2</v>
      </c>
      <c r="G67" s="3">
        <v>0.215</v>
      </c>
      <c r="H67" s="2">
        <v>288</v>
      </c>
      <c r="I67" s="2">
        <v>0</v>
      </c>
      <c r="J67" s="2"/>
      <c r="K67" s="2"/>
      <c r="L67" s="2"/>
      <c r="M67" s="2"/>
      <c r="N67" s="8">
        <f t="shared" si="0"/>
        <v>-144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>
        <v>288</v>
      </c>
      <c r="AC67" s="2"/>
      <c r="AD67" s="2"/>
      <c r="AE67" s="2"/>
      <c r="AF67" s="2"/>
      <c r="AG67" s="2"/>
      <c r="AH67" s="2"/>
      <c r="AI67" s="2">
        <v>144</v>
      </c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7">
        <f t="shared" si="1"/>
        <v>61.92</v>
      </c>
      <c r="AW67" s="7">
        <v>144</v>
      </c>
      <c r="AX67" s="7">
        <v>1</v>
      </c>
      <c r="AY67" s="8">
        <f t="shared" si="2"/>
        <v>288</v>
      </c>
      <c r="AZ67" s="8">
        <v>0</v>
      </c>
      <c r="BA67" s="8">
        <f t="shared" si="3"/>
        <v>0</v>
      </c>
      <c r="BB67" s="8">
        <f t="shared" si="4"/>
        <v>0</v>
      </c>
      <c r="BC67" s="8" t="s">
        <v>111</v>
      </c>
      <c r="BD67" s="8">
        <f t="shared" si="5"/>
        <v>288</v>
      </c>
      <c r="BE67" s="8" t="s">
        <v>119</v>
      </c>
      <c r="BF67" s="8" t="s">
        <v>121</v>
      </c>
      <c r="BM67" s="1">
        <v>144</v>
      </c>
    </row>
    <row r="68" spans="2:65" hidden="1" x14ac:dyDescent="0.25">
      <c r="B68" s="2" t="s">
        <v>87</v>
      </c>
      <c r="C68" s="2" t="s">
        <v>88</v>
      </c>
      <c r="D68" s="2" t="s">
        <v>64</v>
      </c>
      <c r="E68" s="2" t="s">
        <v>60</v>
      </c>
      <c r="F68" s="2">
        <v>3.5000000000000003E-2</v>
      </c>
      <c r="G68" s="3">
        <v>0.253</v>
      </c>
      <c r="H68" s="2">
        <v>0</v>
      </c>
      <c r="I68" s="2">
        <v>0</v>
      </c>
      <c r="J68" s="2"/>
      <c r="K68" s="2"/>
      <c r="L68" s="2"/>
      <c r="M68" s="2"/>
      <c r="N68" s="8">
        <f t="shared" si="0"/>
        <v>0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7">
        <f t="shared" si="1"/>
        <v>0</v>
      </c>
      <c r="AW68" s="7">
        <v>144</v>
      </c>
      <c r="AX68" s="7">
        <v>1</v>
      </c>
      <c r="AY68" s="8">
        <f t="shared" si="2"/>
        <v>0</v>
      </c>
      <c r="AZ68" s="8">
        <v>0</v>
      </c>
      <c r="BA68" s="8">
        <f t="shared" si="3"/>
        <v>0</v>
      </c>
      <c r="BB68" s="8">
        <f t="shared" si="4"/>
        <v>0</v>
      </c>
      <c r="BC68" s="8" t="s">
        <v>111</v>
      </c>
      <c r="BD68" s="8">
        <f t="shared" si="5"/>
        <v>0</v>
      </c>
      <c r="BE68" s="8" t="s">
        <v>119</v>
      </c>
      <c r="BF68" s="8" t="s">
        <v>121</v>
      </c>
      <c r="BM68" s="1">
        <v>0</v>
      </c>
    </row>
    <row r="69" spans="2:65" hidden="1" x14ac:dyDescent="0.25">
      <c r="B69" s="2" t="s">
        <v>87</v>
      </c>
      <c r="C69" s="2" t="s">
        <v>88</v>
      </c>
      <c r="D69" s="2" t="s">
        <v>65</v>
      </c>
      <c r="E69" s="2" t="s">
        <v>60</v>
      </c>
      <c r="F69" s="2">
        <v>3.5000000000000003E-2</v>
      </c>
      <c r="G69" s="3">
        <v>0.249</v>
      </c>
      <c r="H69" s="2">
        <v>576</v>
      </c>
      <c r="I69" s="2">
        <v>0</v>
      </c>
      <c r="J69" s="2"/>
      <c r="K69" s="2"/>
      <c r="L69" s="2"/>
      <c r="M69" s="2"/>
      <c r="N69" s="8">
        <f t="shared" si="0"/>
        <v>-144</v>
      </c>
      <c r="O69" s="2">
        <v>288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>
        <v>144</v>
      </c>
      <c r="AC69" s="2">
        <v>144</v>
      </c>
      <c r="AD69" s="2"/>
      <c r="AE69" s="2"/>
      <c r="AF69" s="2"/>
      <c r="AG69" s="2"/>
      <c r="AH69" s="2">
        <v>144</v>
      </c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7">
        <f t="shared" si="1"/>
        <v>143.42400000000001</v>
      </c>
      <c r="AW69" s="7">
        <v>144</v>
      </c>
      <c r="AX69" s="7">
        <v>1</v>
      </c>
      <c r="AY69" s="8">
        <f t="shared" si="2"/>
        <v>576</v>
      </c>
      <c r="AZ69" s="8">
        <v>0</v>
      </c>
      <c r="BA69" s="8">
        <f t="shared" si="3"/>
        <v>0</v>
      </c>
      <c r="BB69" s="8">
        <f t="shared" si="4"/>
        <v>0</v>
      </c>
      <c r="BC69" s="8" t="s">
        <v>111</v>
      </c>
      <c r="BD69" s="8">
        <f t="shared" si="5"/>
        <v>576</v>
      </c>
      <c r="BE69" s="8" t="s">
        <v>119</v>
      </c>
      <c r="BF69" s="8" t="s">
        <v>121</v>
      </c>
      <c r="BM69" s="1">
        <v>576</v>
      </c>
    </row>
    <row r="70" spans="2:65" hidden="1" x14ac:dyDescent="0.25">
      <c r="B70" s="2" t="s">
        <v>87</v>
      </c>
      <c r="C70" s="2" t="s">
        <v>88</v>
      </c>
      <c r="D70" s="2" t="s">
        <v>66</v>
      </c>
      <c r="E70" s="2" t="s">
        <v>60</v>
      </c>
      <c r="F70" s="2">
        <v>3.5000000000000003E-2</v>
      </c>
      <c r="G70" s="3">
        <v>0.30299999999999999</v>
      </c>
      <c r="H70" s="2">
        <v>0</v>
      </c>
      <c r="I70" s="2">
        <v>0</v>
      </c>
      <c r="J70" s="2"/>
      <c r="K70" s="2"/>
      <c r="L70" s="2"/>
      <c r="M70" s="2"/>
      <c r="N70" s="8">
        <f t="shared" si="0"/>
        <v>0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7">
        <f t="shared" si="1"/>
        <v>0</v>
      </c>
      <c r="AW70" s="7">
        <v>144</v>
      </c>
      <c r="AX70" s="7">
        <v>0</v>
      </c>
      <c r="AY70" s="8">
        <f t="shared" si="2"/>
        <v>0</v>
      </c>
      <c r="AZ70" s="8">
        <v>0</v>
      </c>
      <c r="BA70" s="8">
        <f t="shared" si="3"/>
        <v>0</v>
      </c>
      <c r="BB70" s="8">
        <f t="shared" si="4"/>
        <v>0</v>
      </c>
      <c r="BC70" s="8" t="s">
        <v>110</v>
      </c>
      <c r="BD70" s="8">
        <f t="shared" si="5"/>
        <v>0</v>
      </c>
      <c r="BE70" s="8" t="s">
        <v>119</v>
      </c>
      <c r="BF70" s="8" t="s">
        <v>121</v>
      </c>
      <c r="BM70" s="1">
        <v>0</v>
      </c>
    </row>
    <row r="71" spans="2:65" hidden="1" x14ac:dyDescent="0.25">
      <c r="B71" s="2" t="s">
        <v>87</v>
      </c>
      <c r="C71" s="2" t="s">
        <v>88</v>
      </c>
      <c r="D71" s="2" t="s">
        <v>67</v>
      </c>
      <c r="E71" s="2" t="s">
        <v>60</v>
      </c>
      <c r="F71" s="2">
        <v>3.5000000000000003E-2</v>
      </c>
      <c r="G71" s="3">
        <v>0.216</v>
      </c>
      <c r="H71" s="2">
        <v>144</v>
      </c>
      <c r="I71" s="2">
        <v>0</v>
      </c>
      <c r="J71" s="2"/>
      <c r="K71" s="2"/>
      <c r="L71" s="2"/>
      <c r="M71" s="2"/>
      <c r="N71" s="8">
        <f t="shared" si="0"/>
        <v>0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>
        <v>144</v>
      </c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7">
        <f t="shared" si="1"/>
        <v>31.103999999999999</v>
      </c>
      <c r="AW71" s="7">
        <v>144</v>
      </c>
      <c r="AX71" s="7">
        <v>1</v>
      </c>
      <c r="AY71" s="8">
        <f t="shared" si="2"/>
        <v>144</v>
      </c>
      <c r="AZ71" s="8">
        <v>0</v>
      </c>
      <c r="BA71" s="8">
        <f t="shared" si="3"/>
        <v>0</v>
      </c>
      <c r="BB71" s="8">
        <f t="shared" si="4"/>
        <v>0</v>
      </c>
      <c r="BC71" s="8" t="s">
        <v>111</v>
      </c>
      <c r="BD71" s="8">
        <f t="shared" si="5"/>
        <v>144</v>
      </c>
      <c r="BE71" s="8" t="s">
        <v>119</v>
      </c>
      <c r="BF71" s="8" t="s">
        <v>121</v>
      </c>
      <c r="BM71" s="1">
        <v>0</v>
      </c>
    </row>
    <row r="72" spans="2:65" hidden="1" x14ac:dyDescent="0.25">
      <c r="B72" s="2" t="s">
        <v>87</v>
      </c>
      <c r="C72" s="2" t="s">
        <v>88</v>
      </c>
      <c r="D72" s="2" t="s">
        <v>68</v>
      </c>
      <c r="E72" s="2" t="s">
        <v>60</v>
      </c>
      <c r="F72" s="2">
        <v>3.5000000000000003E-2</v>
      </c>
      <c r="G72" s="3">
        <v>0.28399999999999997</v>
      </c>
      <c r="H72" s="2">
        <v>0</v>
      </c>
      <c r="I72" s="2">
        <v>0</v>
      </c>
      <c r="J72" s="2"/>
      <c r="K72" s="2"/>
      <c r="L72" s="2"/>
      <c r="M72" s="2"/>
      <c r="N72" s="8">
        <f t="shared" si="0"/>
        <v>0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7">
        <f t="shared" si="1"/>
        <v>0</v>
      </c>
      <c r="AW72" s="7">
        <v>144</v>
      </c>
      <c r="AX72" s="7">
        <v>0</v>
      </c>
      <c r="AY72" s="8">
        <f t="shared" si="2"/>
        <v>0</v>
      </c>
      <c r="AZ72" s="8">
        <v>0</v>
      </c>
      <c r="BA72" s="8">
        <f t="shared" si="3"/>
        <v>0</v>
      </c>
      <c r="BB72" s="8">
        <f t="shared" si="4"/>
        <v>0</v>
      </c>
      <c r="BC72" s="8" t="s">
        <v>110</v>
      </c>
      <c r="BD72" s="8">
        <f t="shared" si="5"/>
        <v>0</v>
      </c>
      <c r="BE72" s="8" t="s">
        <v>119</v>
      </c>
      <c r="BF72" s="8" t="s">
        <v>121</v>
      </c>
      <c r="BM72" s="1">
        <v>0</v>
      </c>
    </row>
    <row r="73" spans="2:65" hidden="1" x14ac:dyDescent="0.25">
      <c r="B73" s="2" t="s">
        <v>87</v>
      </c>
      <c r="C73" s="2" t="s">
        <v>88</v>
      </c>
      <c r="D73" s="2" t="s">
        <v>69</v>
      </c>
      <c r="E73" s="2" t="s">
        <v>60</v>
      </c>
      <c r="F73" s="2">
        <v>3.5000000000000003E-2</v>
      </c>
      <c r="G73" s="3">
        <v>0.252</v>
      </c>
      <c r="H73" s="2">
        <v>0</v>
      </c>
      <c r="I73" s="2">
        <v>0</v>
      </c>
      <c r="J73" s="2"/>
      <c r="K73" s="2"/>
      <c r="L73" s="2"/>
      <c r="M73" s="2"/>
      <c r="N73" s="8">
        <f t="shared" si="0"/>
        <v>0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7">
        <f t="shared" si="1"/>
        <v>0</v>
      </c>
      <c r="AW73" s="7">
        <v>144</v>
      </c>
      <c r="AX73" s="7">
        <v>1</v>
      </c>
      <c r="AY73" s="8">
        <f t="shared" si="2"/>
        <v>0</v>
      </c>
      <c r="AZ73" s="8">
        <v>0</v>
      </c>
      <c r="BA73" s="8">
        <f t="shared" si="3"/>
        <v>0</v>
      </c>
      <c r="BB73" s="8">
        <f t="shared" si="4"/>
        <v>0</v>
      </c>
      <c r="BC73" s="8" t="s">
        <v>111</v>
      </c>
      <c r="BD73" s="8">
        <f t="shared" si="5"/>
        <v>0</v>
      </c>
      <c r="BE73" s="8" t="s">
        <v>119</v>
      </c>
      <c r="BF73" s="8" t="s">
        <v>121</v>
      </c>
      <c r="BM73" s="1">
        <v>-144</v>
      </c>
    </row>
    <row r="74" spans="2:65" hidden="1" x14ac:dyDescent="0.25">
      <c r="B74" s="2" t="s">
        <v>87</v>
      </c>
      <c r="C74" s="2" t="s">
        <v>88</v>
      </c>
      <c r="D74" s="2" t="s">
        <v>70</v>
      </c>
      <c r="E74" s="2" t="s">
        <v>71</v>
      </c>
      <c r="F74" s="2">
        <v>4.4999999999999998E-2</v>
      </c>
      <c r="G74" s="3">
        <v>0.373</v>
      </c>
      <c r="H74" s="2">
        <v>0</v>
      </c>
      <c r="I74" s="2">
        <v>0</v>
      </c>
      <c r="J74" s="2"/>
      <c r="K74" s="2"/>
      <c r="L74" s="2"/>
      <c r="M74" s="2"/>
      <c r="N74" s="8">
        <f t="shared" si="0"/>
        <v>0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7">
        <f t="shared" si="1"/>
        <v>0</v>
      </c>
      <c r="AW74" s="7">
        <v>288</v>
      </c>
      <c r="AX74" s="7">
        <v>1</v>
      </c>
      <c r="AY74" s="8">
        <f t="shared" si="2"/>
        <v>0</v>
      </c>
      <c r="AZ74" s="8">
        <v>0</v>
      </c>
      <c r="BA74" s="8">
        <f t="shared" si="3"/>
        <v>0</v>
      </c>
      <c r="BB74" s="8">
        <f t="shared" si="4"/>
        <v>0</v>
      </c>
      <c r="BC74" s="8" t="s">
        <v>112</v>
      </c>
      <c r="BD74" s="8">
        <f t="shared" si="5"/>
        <v>0</v>
      </c>
      <c r="BE74" s="8" t="s">
        <v>119</v>
      </c>
      <c r="BF74" s="8" t="s">
        <v>121</v>
      </c>
      <c r="BM74" s="1">
        <v>512</v>
      </c>
    </row>
    <row r="75" spans="2:65" hidden="1" x14ac:dyDescent="0.25">
      <c r="B75" s="2" t="s">
        <v>87</v>
      </c>
      <c r="C75" s="2" t="s">
        <v>88</v>
      </c>
      <c r="D75" s="2" t="s">
        <v>72</v>
      </c>
      <c r="E75" s="2" t="s">
        <v>71</v>
      </c>
      <c r="F75" s="2">
        <v>4.1000000000000002E-2</v>
      </c>
      <c r="G75" s="3">
        <v>0.375</v>
      </c>
      <c r="H75" s="2">
        <v>256</v>
      </c>
      <c r="I75" s="2">
        <v>0</v>
      </c>
      <c r="J75" s="2"/>
      <c r="K75" s="2"/>
      <c r="L75" s="2"/>
      <c r="M75" s="2"/>
      <c r="N75" s="8">
        <f t="shared" ref="N75:N83" si="6">+H75+I75+J75+K75+L75+M75-SUM(O75:AU75)</f>
        <v>0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>
        <v>256</v>
      </c>
      <c r="AV75" s="7">
        <f t="shared" ref="AV75:AV83" si="7">+G75*SUM(H75:M75)</f>
        <v>96</v>
      </c>
      <c r="AW75" s="7">
        <v>288</v>
      </c>
      <c r="AX75" s="7">
        <v>0</v>
      </c>
      <c r="AY75" s="8">
        <f t="shared" ref="AY75:AY83" si="8">+H75*AX75</f>
        <v>0</v>
      </c>
      <c r="AZ75" s="8">
        <v>1</v>
      </c>
      <c r="BA75" s="8">
        <f t="shared" ref="BA75:BA83" si="9">+H75*AZ75</f>
        <v>256</v>
      </c>
      <c r="BB75" s="8">
        <f t="shared" si="4"/>
        <v>512</v>
      </c>
      <c r="BC75" s="8" t="s">
        <v>113</v>
      </c>
      <c r="BD75" s="8">
        <f t="shared" si="5"/>
        <v>256</v>
      </c>
      <c r="BE75" s="8" t="s">
        <v>119</v>
      </c>
      <c r="BF75" s="8" t="s">
        <v>121</v>
      </c>
      <c r="BM75" s="1">
        <v>0</v>
      </c>
    </row>
    <row r="76" spans="2:65" hidden="1" x14ac:dyDescent="0.25">
      <c r="B76" s="2" t="s">
        <v>87</v>
      </c>
      <c r="C76" s="2" t="s">
        <v>88</v>
      </c>
      <c r="D76" s="2" t="s">
        <v>73</v>
      </c>
      <c r="E76" s="2" t="s">
        <v>71</v>
      </c>
      <c r="F76" s="2">
        <v>4.4999999999999998E-2</v>
      </c>
      <c r="G76" s="3">
        <v>0.35599999999999998</v>
      </c>
      <c r="H76" s="2">
        <v>256</v>
      </c>
      <c r="I76" s="2">
        <v>0</v>
      </c>
      <c r="J76" s="2"/>
      <c r="K76" s="2"/>
      <c r="L76" s="2"/>
      <c r="M76" s="2"/>
      <c r="N76" s="8">
        <f t="shared" si="6"/>
        <v>-128</v>
      </c>
      <c r="O76" s="2">
        <v>128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>
        <v>256</v>
      </c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7">
        <f t="shared" si="7"/>
        <v>91.135999999999996</v>
      </c>
      <c r="AW76" s="7">
        <v>288</v>
      </c>
      <c r="AX76" s="7">
        <v>1</v>
      </c>
      <c r="AY76" s="8">
        <f t="shared" si="8"/>
        <v>256</v>
      </c>
      <c r="AZ76" s="8">
        <v>0</v>
      </c>
      <c r="BA76" s="8">
        <f t="shared" si="9"/>
        <v>0</v>
      </c>
      <c r="BB76" s="8">
        <f t="shared" ref="BB76:BB83" si="10">+BA76*2</f>
        <v>0</v>
      </c>
      <c r="BC76" s="8" t="s">
        <v>112</v>
      </c>
      <c r="BD76" s="8">
        <f t="shared" si="5"/>
        <v>256</v>
      </c>
      <c r="BE76" s="8" t="s">
        <v>119</v>
      </c>
      <c r="BF76" s="8" t="s">
        <v>121</v>
      </c>
      <c r="BM76" s="1">
        <v>0</v>
      </c>
    </row>
    <row r="77" spans="2:65" hidden="1" x14ac:dyDescent="0.25">
      <c r="B77" s="2" t="s">
        <v>87</v>
      </c>
      <c r="C77" s="2" t="s">
        <v>88</v>
      </c>
      <c r="D77" s="2" t="s">
        <v>74</v>
      </c>
      <c r="E77" s="2" t="s">
        <v>71</v>
      </c>
      <c r="F77" s="2">
        <v>4.4999999999999998E-2</v>
      </c>
      <c r="G77" s="3">
        <v>0.35199999999999998</v>
      </c>
      <c r="H77" s="2">
        <v>384</v>
      </c>
      <c r="I77" s="2">
        <v>0</v>
      </c>
      <c r="J77" s="2"/>
      <c r="K77" s="2"/>
      <c r="L77" s="2"/>
      <c r="M77" s="2"/>
      <c r="N77" s="8">
        <f t="shared" si="6"/>
        <v>-256</v>
      </c>
      <c r="O77" s="2">
        <v>128</v>
      </c>
      <c r="P77" s="2"/>
      <c r="Q77" s="2"/>
      <c r="R77" s="2"/>
      <c r="S77" s="2"/>
      <c r="T77" s="2"/>
      <c r="U77" s="2"/>
      <c r="V77" s="2"/>
      <c r="W77" s="2">
        <v>256</v>
      </c>
      <c r="X77" s="2"/>
      <c r="Y77" s="2"/>
      <c r="Z77" s="2"/>
      <c r="AA77" s="2"/>
      <c r="AB77" s="2"/>
      <c r="AC77" s="2">
        <v>128</v>
      </c>
      <c r="AD77" s="2">
        <v>128</v>
      </c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7">
        <f t="shared" si="7"/>
        <v>135.16800000000001</v>
      </c>
      <c r="AW77" s="7">
        <v>288</v>
      </c>
      <c r="AX77" s="7">
        <v>1</v>
      </c>
      <c r="AY77" s="8">
        <f t="shared" si="8"/>
        <v>384</v>
      </c>
      <c r="AZ77" s="8">
        <v>0</v>
      </c>
      <c r="BA77" s="8">
        <f t="shared" si="9"/>
        <v>0</v>
      </c>
      <c r="BB77" s="8">
        <f t="shared" si="10"/>
        <v>0</v>
      </c>
      <c r="BC77" s="8" t="s">
        <v>114</v>
      </c>
      <c r="BD77" s="8">
        <f t="shared" si="5"/>
        <v>384</v>
      </c>
      <c r="BE77" s="8" t="s">
        <v>119</v>
      </c>
      <c r="BF77" s="8" t="s">
        <v>121</v>
      </c>
      <c r="BM77" s="1">
        <v>0</v>
      </c>
    </row>
    <row r="78" spans="2:65" hidden="1" x14ac:dyDescent="0.25">
      <c r="B78" s="2" t="s">
        <v>87</v>
      </c>
      <c r="C78" s="2" t="s">
        <v>88</v>
      </c>
      <c r="D78" s="2" t="s">
        <v>75</v>
      </c>
      <c r="E78" s="2" t="s">
        <v>71</v>
      </c>
      <c r="F78" s="2">
        <v>4.4999999999999998E-2</v>
      </c>
      <c r="G78" s="3">
        <v>0.35299999999999998</v>
      </c>
      <c r="H78" s="2">
        <v>128</v>
      </c>
      <c r="I78" s="2">
        <v>0</v>
      </c>
      <c r="J78" s="2"/>
      <c r="K78" s="2"/>
      <c r="L78" s="2"/>
      <c r="M78" s="2"/>
      <c r="N78" s="8">
        <f t="shared" si="6"/>
        <v>0</v>
      </c>
      <c r="O78" s="2">
        <v>128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7">
        <f t="shared" si="7"/>
        <v>45.183999999999997</v>
      </c>
      <c r="AW78" s="7">
        <v>288</v>
      </c>
      <c r="AX78" s="7">
        <v>1</v>
      </c>
      <c r="AY78" s="8">
        <f t="shared" si="8"/>
        <v>128</v>
      </c>
      <c r="AZ78" s="8">
        <v>0</v>
      </c>
      <c r="BA78" s="8">
        <f t="shared" si="9"/>
        <v>0</v>
      </c>
      <c r="BB78" s="8">
        <f t="shared" si="10"/>
        <v>0</v>
      </c>
      <c r="BC78" s="8" t="s">
        <v>115</v>
      </c>
      <c r="BD78" s="8">
        <f t="shared" si="5"/>
        <v>128</v>
      </c>
      <c r="BE78" s="8" t="s">
        <v>119</v>
      </c>
      <c r="BF78" s="8" t="s">
        <v>121</v>
      </c>
      <c r="BM78" s="1">
        <v>0</v>
      </c>
    </row>
    <row r="79" spans="2:65" hidden="1" x14ac:dyDescent="0.25">
      <c r="B79" s="2" t="s">
        <v>87</v>
      </c>
      <c r="C79" s="2" t="s">
        <v>88</v>
      </c>
      <c r="D79" s="2" t="s">
        <v>76</v>
      </c>
      <c r="E79" s="2" t="s">
        <v>71</v>
      </c>
      <c r="F79" s="2">
        <v>4.4999999999999998E-2</v>
      </c>
      <c r="G79" s="3">
        <v>0.35599999999999998</v>
      </c>
      <c r="H79" s="2">
        <v>0</v>
      </c>
      <c r="I79" s="2">
        <v>0</v>
      </c>
      <c r="J79" s="2"/>
      <c r="K79" s="2"/>
      <c r="L79" s="2"/>
      <c r="M79" s="2"/>
      <c r="N79" s="8">
        <f t="shared" si="6"/>
        <v>0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7">
        <f t="shared" si="7"/>
        <v>0</v>
      </c>
      <c r="AW79" s="7">
        <v>288</v>
      </c>
      <c r="AX79" s="7">
        <v>1</v>
      </c>
      <c r="AY79" s="8">
        <f t="shared" si="8"/>
        <v>0</v>
      </c>
      <c r="AZ79" s="8">
        <v>0</v>
      </c>
      <c r="BA79" s="8">
        <f t="shared" si="9"/>
        <v>0</v>
      </c>
      <c r="BB79" s="8">
        <f t="shared" si="10"/>
        <v>0</v>
      </c>
      <c r="BC79" s="8" t="s">
        <v>115</v>
      </c>
      <c r="BD79" s="8">
        <f t="shared" si="5"/>
        <v>0</v>
      </c>
      <c r="BE79" s="8" t="s">
        <v>119</v>
      </c>
      <c r="BF79" s="8" t="s">
        <v>121</v>
      </c>
      <c r="BM79" s="1">
        <v>0</v>
      </c>
    </row>
    <row r="80" spans="2:65" hidden="1" x14ac:dyDescent="0.25">
      <c r="B80" s="2" t="s">
        <v>87</v>
      </c>
      <c r="C80" s="2" t="s">
        <v>88</v>
      </c>
      <c r="D80" s="2" t="s">
        <v>77</v>
      </c>
      <c r="E80" s="2" t="s">
        <v>71</v>
      </c>
      <c r="F80" s="2">
        <v>4.1000000000000002E-2</v>
      </c>
      <c r="G80" s="3">
        <v>0.441</v>
      </c>
      <c r="H80" s="2">
        <v>0</v>
      </c>
      <c r="I80" s="2">
        <v>0</v>
      </c>
      <c r="J80" s="2"/>
      <c r="K80" s="2"/>
      <c r="L80" s="2"/>
      <c r="M80" s="2"/>
      <c r="N80" s="8">
        <f t="shared" si="6"/>
        <v>0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7">
        <f t="shared" si="7"/>
        <v>0</v>
      </c>
      <c r="AW80" s="7">
        <v>288</v>
      </c>
      <c r="AX80" s="7">
        <v>0</v>
      </c>
      <c r="AY80" s="8">
        <f t="shared" si="8"/>
        <v>0</v>
      </c>
      <c r="AZ80" s="8">
        <v>0</v>
      </c>
      <c r="BA80" s="8">
        <f t="shared" si="9"/>
        <v>0</v>
      </c>
      <c r="BB80" s="8">
        <f t="shared" si="10"/>
        <v>0</v>
      </c>
      <c r="BC80" s="8" t="s">
        <v>116</v>
      </c>
      <c r="BD80" s="8">
        <f t="shared" si="5"/>
        <v>0</v>
      </c>
      <c r="BE80" s="8" t="s">
        <v>119</v>
      </c>
      <c r="BF80" s="8" t="s">
        <v>121</v>
      </c>
      <c r="BM80" s="1">
        <v>0</v>
      </c>
    </row>
    <row r="81" spans="1:65" hidden="1" x14ac:dyDescent="0.25">
      <c r="B81" s="2" t="s">
        <v>87</v>
      </c>
      <c r="C81" s="2" t="s">
        <v>88</v>
      </c>
      <c r="D81" s="2" t="s">
        <v>78</v>
      </c>
      <c r="E81" s="2" t="s">
        <v>71</v>
      </c>
      <c r="F81" s="2">
        <v>4.4999999999999998E-2</v>
      </c>
      <c r="G81" s="3">
        <v>0.374</v>
      </c>
      <c r="H81" s="2">
        <v>512</v>
      </c>
      <c r="I81" s="2">
        <v>0</v>
      </c>
      <c r="J81" s="2"/>
      <c r="K81" s="2"/>
      <c r="L81" s="2"/>
      <c r="M81" s="2"/>
      <c r="N81" s="8">
        <f t="shared" si="6"/>
        <v>0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>
        <v>384</v>
      </c>
      <c r="AD81" s="2"/>
      <c r="AE81" s="2"/>
      <c r="AF81" s="2"/>
      <c r="AG81" s="2"/>
      <c r="AH81" s="2"/>
      <c r="AI81" s="2"/>
      <c r="AJ81" s="2"/>
      <c r="AK81" s="2">
        <v>128</v>
      </c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7">
        <f t="shared" si="7"/>
        <v>191.488</v>
      </c>
      <c r="AW81" s="7">
        <v>288</v>
      </c>
      <c r="AX81" s="7">
        <v>1</v>
      </c>
      <c r="AY81" s="8">
        <f t="shared" si="8"/>
        <v>512</v>
      </c>
      <c r="AZ81" s="8">
        <v>0</v>
      </c>
      <c r="BA81" s="8">
        <f t="shared" si="9"/>
        <v>0</v>
      </c>
      <c r="BB81" s="8">
        <f t="shared" si="10"/>
        <v>0</v>
      </c>
      <c r="BC81" s="8" t="s">
        <v>112</v>
      </c>
      <c r="BD81" s="8">
        <f t="shared" si="5"/>
        <v>512</v>
      </c>
      <c r="BE81" s="8" t="s">
        <v>119</v>
      </c>
      <c r="BF81" s="8" t="s">
        <v>121</v>
      </c>
      <c r="BM81" s="1">
        <v>128</v>
      </c>
    </row>
    <row r="82" spans="1:65" hidden="1" x14ac:dyDescent="0.25">
      <c r="B82" s="2" t="s">
        <v>87</v>
      </c>
      <c r="C82" s="2" t="s">
        <v>88</v>
      </c>
      <c r="D82" s="2" t="s">
        <v>79</v>
      </c>
      <c r="E82" s="2" t="s">
        <v>71</v>
      </c>
      <c r="F82" s="2">
        <v>4.1000000000000002E-2</v>
      </c>
      <c r="G82" s="3">
        <v>0.41599999999999998</v>
      </c>
      <c r="H82" s="2">
        <v>0</v>
      </c>
      <c r="I82" s="2">
        <v>0</v>
      </c>
      <c r="J82" s="2"/>
      <c r="K82" s="2"/>
      <c r="L82" s="2"/>
      <c r="M82" s="2"/>
      <c r="N82" s="8">
        <f t="shared" si="6"/>
        <v>0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7">
        <f t="shared" si="7"/>
        <v>0</v>
      </c>
      <c r="AW82" s="7">
        <v>288</v>
      </c>
      <c r="AX82" s="7">
        <v>0</v>
      </c>
      <c r="AY82" s="8">
        <f t="shared" si="8"/>
        <v>0</v>
      </c>
      <c r="AZ82" s="8">
        <v>1</v>
      </c>
      <c r="BA82" s="8">
        <f t="shared" si="9"/>
        <v>0</v>
      </c>
      <c r="BB82" s="8">
        <f t="shared" si="10"/>
        <v>0</v>
      </c>
      <c r="BC82" s="8" t="s">
        <v>117</v>
      </c>
      <c r="BD82" s="8">
        <f t="shared" si="5"/>
        <v>0</v>
      </c>
      <c r="BE82" s="8" t="s">
        <v>119</v>
      </c>
      <c r="BF82" s="8" t="s">
        <v>121</v>
      </c>
      <c r="BM82" s="1">
        <v>0</v>
      </c>
    </row>
    <row r="83" spans="1:65" hidden="1" x14ac:dyDescent="0.25">
      <c r="B83" s="2" t="s">
        <v>87</v>
      </c>
      <c r="C83" s="2" t="s">
        <v>88</v>
      </c>
      <c r="D83" s="2" t="s">
        <v>80</v>
      </c>
      <c r="E83" s="2" t="s">
        <v>71</v>
      </c>
      <c r="F83" s="2">
        <v>4.4999999999999998E-2</v>
      </c>
      <c r="G83" s="3">
        <v>0.39500000000000002</v>
      </c>
      <c r="H83" s="2">
        <v>128</v>
      </c>
      <c r="I83" s="2">
        <v>0</v>
      </c>
      <c r="J83" s="2"/>
      <c r="K83" s="2"/>
      <c r="L83" s="2"/>
      <c r="M83" s="2"/>
      <c r="N83" s="8">
        <f t="shared" si="6"/>
        <v>0</v>
      </c>
      <c r="O83" s="2">
        <v>128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7">
        <f t="shared" si="7"/>
        <v>50.56</v>
      </c>
      <c r="AW83" s="7">
        <v>288</v>
      </c>
      <c r="AX83" s="7">
        <v>1</v>
      </c>
      <c r="AY83" s="8">
        <f t="shared" si="8"/>
        <v>128</v>
      </c>
      <c r="AZ83" s="8">
        <v>0</v>
      </c>
      <c r="BA83" s="8">
        <f t="shared" si="9"/>
        <v>0</v>
      </c>
      <c r="BB83" s="8">
        <f t="shared" si="10"/>
        <v>0</v>
      </c>
      <c r="BC83" s="8" t="s">
        <v>112</v>
      </c>
      <c r="BD83" s="8">
        <f t="shared" si="5"/>
        <v>128</v>
      </c>
      <c r="BE83" s="8" t="s">
        <v>119</v>
      </c>
      <c r="BF83" s="8" t="s">
        <v>121</v>
      </c>
      <c r="BM83" s="1">
        <v>0</v>
      </c>
    </row>
    <row r="84" spans="1:65" hidden="1" x14ac:dyDescent="0.25">
      <c r="G84" s="4" t="s">
        <v>102</v>
      </c>
      <c r="H84" s="9">
        <f>SUM(H11:H83)</f>
        <v>27672</v>
      </c>
      <c r="I84" s="9">
        <f t="shared" ref="I84:M84" si="11">SUM(I11:I83)</f>
        <v>12281</v>
      </c>
      <c r="J84" s="9">
        <f t="shared" si="11"/>
        <v>0</v>
      </c>
      <c r="K84" s="9">
        <f t="shared" si="11"/>
        <v>0</v>
      </c>
      <c r="L84" s="9">
        <f t="shared" si="11"/>
        <v>0</v>
      </c>
      <c r="M84" s="9">
        <f t="shared" si="11"/>
        <v>0</v>
      </c>
      <c r="N84" s="13">
        <f>SUM(N11:N83)</f>
        <v>-2996</v>
      </c>
      <c r="O84" s="9">
        <f>SUM(O18:O83)</f>
        <v>940</v>
      </c>
      <c r="P84" s="9">
        <f t="shared" ref="P84:AU84" si="12">SUM(P18:P83)</f>
        <v>0</v>
      </c>
      <c r="Q84" s="9">
        <f t="shared" si="12"/>
        <v>0</v>
      </c>
      <c r="R84" s="9">
        <f t="shared" si="12"/>
        <v>0</v>
      </c>
      <c r="S84" s="9">
        <f t="shared" si="12"/>
        <v>0</v>
      </c>
      <c r="T84" s="9">
        <f t="shared" si="12"/>
        <v>0</v>
      </c>
      <c r="U84" s="9">
        <f t="shared" si="12"/>
        <v>0</v>
      </c>
      <c r="V84" s="9">
        <f t="shared" si="12"/>
        <v>0</v>
      </c>
      <c r="W84" s="9">
        <f t="shared" si="12"/>
        <v>256</v>
      </c>
      <c r="X84" s="9">
        <f t="shared" si="12"/>
        <v>0</v>
      </c>
      <c r="Y84" s="9">
        <f>SUM(Y18:Y83)</f>
        <v>0</v>
      </c>
      <c r="Z84" s="9">
        <f t="shared" si="12"/>
        <v>151</v>
      </c>
      <c r="AA84" s="9">
        <f t="shared" si="12"/>
        <v>2147</v>
      </c>
      <c r="AB84" s="9">
        <f t="shared" si="12"/>
        <v>2173</v>
      </c>
      <c r="AC84" s="9">
        <f t="shared" si="12"/>
        <v>4165</v>
      </c>
      <c r="AD84" s="9">
        <f t="shared" si="12"/>
        <v>584</v>
      </c>
      <c r="AE84" s="9">
        <f t="shared" si="12"/>
        <v>4070</v>
      </c>
      <c r="AF84" s="9">
        <f t="shared" si="12"/>
        <v>1782</v>
      </c>
      <c r="AG84" s="9">
        <f t="shared" si="12"/>
        <v>0</v>
      </c>
      <c r="AH84" s="9">
        <f t="shared" si="12"/>
        <v>1447</v>
      </c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>
        <f t="shared" si="12"/>
        <v>1756</v>
      </c>
      <c r="AV84" s="9">
        <f t="shared" ref="AV84:BB84" si="13">SUM(AV11:AV83)</f>
        <v>3409.2850000000003</v>
      </c>
      <c r="AW84" s="9"/>
      <c r="AX84" s="10">
        <f t="shared" si="13"/>
        <v>14</v>
      </c>
      <c r="AY84" s="11">
        <f t="shared" si="13"/>
        <v>2416</v>
      </c>
      <c r="AZ84" s="11">
        <f t="shared" si="13"/>
        <v>2</v>
      </c>
      <c r="BA84" s="11">
        <f t="shared" si="13"/>
        <v>256</v>
      </c>
      <c r="BB84" s="11">
        <f t="shared" si="13"/>
        <v>512</v>
      </c>
      <c r="BD84" s="11">
        <f>SUM(BD11:BD83)</f>
        <v>2672</v>
      </c>
    </row>
    <row r="85" spans="1:65" hidden="1" x14ac:dyDescent="0.25">
      <c r="G85" s="4" t="s">
        <v>108</v>
      </c>
      <c r="H85" s="91">
        <f>+H84+I84+J84+K84+L84+M84</f>
        <v>39953</v>
      </c>
      <c r="I85" s="91"/>
      <c r="J85" s="91"/>
      <c r="K85" s="91"/>
      <c r="L85" s="91"/>
      <c r="M85" s="91"/>
      <c r="O85" s="92">
        <f t="shared" ref="O85" si="14">+O84+P84</f>
        <v>940</v>
      </c>
      <c r="P85" s="93"/>
      <c r="Q85" s="92">
        <f t="shared" ref="Q85" si="15">+Q84+R84</f>
        <v>0</v>
      </c>
      <c r="R85" s="93"/>
      <c r="S85" s="92">
        <f t="shared" ref="S85" si="16">+S84+T84</f>
        <v>0</v>
      </c>
      <c r="T85" s="93"/>
      <c r="U85" s="92">
        <f t="shared" ref="U85" si="17">+U84+V84</f>
        <v>0</v>
      </c>
      <c r="V85" s="93"/>
      <c r="W85" s="92">
        <f t="shared" ref="W85" si="18">+W84+X84</f>
        <v>256</v>
      </c>
      <c r="X85" s="93"/>
      <c r="Y85" s="108">
        <f t="shared" ref="Y85" si="19">+Y84+Z84</f>
        <v>151</v>
      </c>
      <c r="Z85" s="86"/>
      <c r="AA85" s="108">
        <f t="shared" ref="AA85" si="20">+AA84+AB84</f>
        <v>4320</v>
      </c>
      <c r="AB85" s="86"/>
      <c r="AC85" s="108">
        <f t="shared" ref="AC85" si="21">+AC84+AD84</f>
        <v>4749</v>
      </c>
      <c r="AD85" s="86"/>
      <c r="AE85" s="108">
        <f t="shared" ref="AE85" si="22">+AE84+AF84</f>
        <v>5852</v>
      </c>
      <c r="AF85" s="86"/>
      <c r="AG85" s="108">
        <f t="shared" ref="AG85" si="23">+AG84+AH84</f>
        <v>1447</v>
      </c>
      <c r="AH85" s="86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2">
        <f>+AU84</f>
        <v>1756</v>
      </c>
    </row>
    <row r="86" spans="1:65" x14ac:dyDescent="0.25">
      <c r="H86" s="1">
        <v>0</v>
      </c>
      <c r="I86" s="1">
        <f>SUM(I18:I83)</f>
        <v>4539</v>
      </c>
      <c r="J86" s="1">
        <f>SUM(J18:J83)</f>
        <v>0</v>
      </c>
      <c r="K86" s="1">
        <f t="shared" ref="K86:M86" si="24">SUM(K18:K83)</f>
        <v>0</v>
      </c>
      <c r="L86" s="1">
        <f t="shared" si="24"/>
        <v>0</v>
      </c>
      <c r="M86" s="1">
        <f t="shared" si="24"/>
        <v>0</v>
      </c>
      <c r="O86" s="133">
        <f>SUBTOTAL(9,O11:P17)</f>
        <v>0</v>
      </c>
      <c r="P86" s="133"/>
      <c r="Q86" s="133">
        <f t="shared" ref="Q86" si="25">SUBTOTAL(9,Q11:R17)</f>
        <v>0</v>
      </c>
      <c r="R86" s="133"/>
      <c r="S86" s="133">
        <f t="shared" ref="S86" si="26">SUBTOTAL(9,S11:T17)</f>
        <v>0</v>
      </c>
      <c r="T86" s="133"/>
      <c r="U86" s="133">
        <f t="shared" ref="U86" si="27">SUBTOTAL(9,U11:V17)</f>
        <v>0</v>
      </c>
      <c r="V86" s="133"/>
      <c r="W86" s="133">
        <f t="shared" ref="W86" si="28">SUBTOTAL(9,W11:X17)</f>
        <v>0</v>
      </c>
      <c r="X86" s="133"/>
    </row>
    <row r="87" spans="1:65" x14ac:dyDescent="0.25">
      <c r="N87" s="1">
        <v>6</v>
      </c>
    </row>
    <row r="88" spans="1:65" x14ac:dyDescent="0.25">
      <c r="C88" s="2" t="s">
        <v>143</v>
      </c>
      <c r="D88" s="2" t="s">
        <v>144</v>
      </c>
      <c r="E88" s="2" t="s">
        <v>145</v>
      </c>
      <c r="F88" s="2" t="s">
        <v>179</v>
      </c>
      <c r="O88" s="19" t="s">
        <v>97</v>
      </c>
      <c r="P88" s="19" t="s">
        <v>98</v>
      </c>
      <c r="Q88" s="19" t="s">
        <v>97</v>
      </c>
      <c r="R88" s="19" t="s">
        <v>98</v>
      </c>
      <c r="S88" s="19" t="s">
        <v>97</v>
      </c>
      <c r="T88" s="19" t="s">
        <v>98</v>
      </c>
      <c r="U88" s="19" t="s">
        <v>97</v>
      </c>
      <c r="V88" s="19" t="s">
        <v>98</v>
      </c>
      <c r="W88" s="19" t="s">
        <v>97</v>
      </c>
      <c r="X88" s="19" t="s">
        <v>98</v>
      </c>
      <c r="Y88" s="19" t="s">
        <v>97</v>
      </c>
      <c r="Z88" s="19" t="s">
        <v>98</v>
      </c>
      <c r="AA88" s="19" t="s">
        <v>97</v>
      </c>
      <c r="AB88" s="19" t="s">
        <v>98</v>
      </c>
      <c r="AC88" s="19" t="s">
        <v>97</v>
      </c>
      <c r="AD88" s="19" t="s">
        <v>98</v>
      </c>
      <c r="AE88" s="19" t="s">
        <v>97</v>
      </c>
      <c r="AF88" s="19" t="s">
        <v>98</v>
      </c>
      <c r="AG88" s="19" t="s">
        <v>97</v>
      </c>
      <c r="AH88" s="19" t="s">
        <v>98</v>
      </c>
      <c r="AI88" s="19" t="s">
        <v>97</v>
      </c>
      <c r="AJ88" s="19" t="s">
        <v>98</v>
      </c>
      <c r="AK88" s="19" t="s">
        <v>97</v>
      </c>
      <c r="AL88" s="19" t="s">
        <v>98</v>
      </c>
      <c r="AM88" s="19" t="s">
        <v>97</v>
      </c>
      <c r="AN88" s="19" t="s">
        <v>98</v>
      </c>
      <c r="AO88" s="19" t="s">
        <v>97</v>
      </c>
      <c r="AP88" s="19" t="s">
        <v>98</v>
      </c>
      <c r="AQ88" s="19" t="s">
        <v>97</v>
      </c>
      <c r="AR88" s="19" t="s">
        <v>98</v>
      </c>
      <c r="AS88" s="19"/>
      <c r="AT88" s="19"/>
      <c r="AU88" s="19"/>
    </row>
    <row r="89" spans="1:65" x14ac:dyDescent="0.25">
      <c r="B89" s="2" t="s">
        <v>138</v>
      </c>
      <c r="C89" s="8">
        <v>22772</v>
      </c>
      <c r="D89" s="2">
        <f>+C89/5</f>
        <v>4554.3999999999996</v>
      </c>
      <c r="E89" s="2">
        <f>+D89/2</f>
        <v>2277.1999999999998</v>
      </c>
      <c r="F89" s="8">
        <v>7742</v>
      </c>
      <c r="O89" s="48">
        <f t="shared" ref="O89:AR89" si="29">+O84/$E$89</f>
        <v>0.41278763393641316</v>
      </c>
      <c r="P89" s="48">
        <f t="shared" si="29"/>
        <v>0</v>
      </c>
      <c r="Q89" s="48">
        <f t="shared" si="29"/>
        <v>0</v>
      </c>
      <c r="R89" s="48">
        <f t="shared" si="29"/>
        <v>0</v>
      </c>
      <c r="S89" s="48">
        <f t="shared" si="29"/>
        <v>0</v>
      </c>
      <c r="T89" s="48">
        <f t="shared" si="29"/>
        <v>0</v>
      </c>
      <c r="U89" s="48">
        <f t="shared" si="29"/>
        <v>0</v>
      </c>
      <c r="V89" s="48">
        <f t="shared" si="29"/>
        <v>0</v>
      </c>
      <c r="W89" s="48">
        <f t="shared" si="29"/>
        <v>0.11241875988055508</v>
      </c>
      <c r="X89" s="48">
        <f t="shared" si="29"/>
        <v>0</v>
      </c>
      <c r="Y89" s="48">
        <f t="shared" si="29"/>
        <v>0</v>
      </c>
      <c r="Z89" s="48">
        <f t="shared" si="29"/>
        <v>6.6309502898296152E-2</v>
      </c>
      <c r="AA89" s="48">
        <f t="shared" si="29"/>
        <v>0.94282452134199901</v>
      </c>
      <c r="AB89" s="48">
        <f t="shared" si="29"/>
        <v>0.95424205164236786</v>
      </c>
      <c r="AC89" s="48">
        <f t="shared" si="29"/>
        <v>1.829000526962937</v>
      </c>
      <c r="AD89" s="48">
        <f t="shared" si="29"/>
        <v>0.25645529597751626</v>
      </c>
      <c r="AE89" s="48">
        <f t="shared" si="29"/>
        <v>1.7872826277885123</v>
      </c>
      <c r="AF89" s="48">
        <f t="shared" si="29"/>
        <v>0.78253996135605131</v>
      </c>
      <c r="AG89" s="48">
        <f t="shared" si="29"/>
        <v>0</v>
      </c>
      <c r="AH89" s="48">
        <f t="shared" si="29"/>
        <v>0.63542947479360623</v>
      </c>
      <c r="AI89" s="48">
        <f t="shared" si="29"/>
        <v>0</v>
      </c>
      <c r="AJ89" s="48">
        <f t="shared" si="29"/>
        <v>0</v>
      </c>
      <c r="AK89" s="48">
        <f t="shared" si="29"/>
        <v>0</v>
      </c>
      <c r="AL89" s="48">
        <f t="shared" si="29"/>
        <v>0</v>
      </c>
      <c r="AM89" s="48">
        <f t="shared" si="29"/>
        <v>0</v>
      </c>
      <c r="AN89" s="48">
        <f t="shared" si="29"/>
        <v>0</v>
      </c>
      <c r="AO89" s="48">
        <f t="shared" si="29"/>
        <v>0</v>
      </c>
      <c r="AP89" s="48">
        <f t="shared" si="29"/>
        <v>0</v>
      </c>
      <c r="AQ89" s="48">
        <f t="shared" si="29"/>
        <v>0</v>
      </c>
      <c r="AR89" s="48">
        <f t="shared" si="29"/>
        <v>0</v>
      </c>
      <c r="AS89" s="48"/>
      <c r="AT89" s="48"/>
      <c r="AU89" s="19"/>
    </row>
    <row r="90" spans="1:65" x14ac:dyDescent="0.25">
      <c r="B90" s="2" t="s">
        <v>142</v>
      </c>
      <c r="C90" s="8">
        <v>682</v>
      </c>
      <c r="F90" s="2" t="s">
        <v>180</v>
      </c>
      <c r="O90" s="81">
        <f>+O86/$F$91</f>
        <v>0</v>
      </c>
      <c r="P90" s="82"/>
      <c r="Q90" s="81">
        <f t="shared" ref="Q90:AQ90" si="30">+Q86/$F$91</f>
        <v>0</v>
      </c>
      <c r="R90" s="82"/>
      <c r="S90" s="81">
        <f t="shared" si="30"/>
        <v>0</v>
      </c>
      <c r="T90" s="82"/>
      <c r="U90" s="81">
        <f t="shared" si="30"/>
        <v>0</v>
      </c>
      <c r="V90" s="82"/>
      <c r="W90" s="81">
        <f t="shared" si="30"/>
        <v>0</v>
      </c>
      <c r="X90" s="82"/>
      <c r="Y90" s="81">
        <f t="shared" si="30"/>
        <v>0</v>
      </c>
      <c r="Z90" s="82"/>
      <c r="AA90" s="81">
        <f t="shared" si="30"/>
        <v>0</v>
      </c>
      <c r="AB90" s="82"/>
      <c r="AC90" s="81">
        <f t="shared" si="30"/>
        <v>0</v>
      </c>
      <c r="AD90" s="82"/>
      <c r="AE90" s="81">
        <f t="shared" si="30"/>
        <v>0</v>
      </c>
      <c r="AF90" s="82"/>
      <c r="AG90" s="81">
        <f t="shared" si="30"/>
        <v>0</v>
      </c>
      <c r="AH90" s="82"/>
      <c r="AI90" s="81">
        <f t="shared" si="30"/>
        <v>0</v>
      </c>
      <c r="AJ90" s="82"/>
      <c r="AK90" s="81">
        <f t="shared" si="30"/>
        <v>0</v>
      </c>
      <c r="AL90" s="82"/>
      <c r="AM90" s="81">
        <f t="shared" si="30"/>
        <v>0</v>
      </c>
      <c r="AN90" s="82"/>
      <c r="AO90" s="81">
        <f t="shared" si="30"/>
        <v>0</v>
      </c>
      <c r="AP90" s="82"/>
      <c r="AQ90" s="81">
        <f t="shared" si="30"/>
        <v>0</v>
      </c>
      <c r="AR90" s="82"/>
      <c r="AS90" s="76"/>
      <c r="AT90" s="76"/>
      <c r="AU90" s="19"/>
    </row>
    <row r="91" spans="1:65" x14ac:dyDescent="0.25">
      <c r="B91" s="2" t="s">
        <v>139</v>
      </c>
      <c r="C91" s="2">
        <f>+C89-C90</f>
        <v>22090</v>
      </c>
      <c r="F91" s="2">
        <f>+F89/5</f>
        <v>1548.4</v>
      </c>
    </row>
    <row r="92" spans="1:65" x14ac:dyDescent="0.25">
      <c r="B92" s="2" t="s">
        <v>136</v>
      </c>
      <c r="C92" s="25">
        <f>+C91/C89</f>
        <v>0.97005093975057088</v>
      </c>
    </row>
    <row r="93" spans="1:65" x14ac:dyDescent="0.25">
      <c r="B93" s="2" t="s">
        <v>137</v>
      </c>
      <c r="C93" s="25">
        <f>+C90/C89</f>
        <v>2.9949060249429123E-2</v>
      </c>
    </row>
    <row r="95" spans="1:65" x14ac:dyDescent="0.25">
      <c r="A95" s="83" t="s">
        <v>189</v>
      </c>
      <c r="B95" s="84"/>
      <c r="C95" s="84"/>
      <c r="D95" s="84"/>
      <c r="E95" s="84"/>
      <c r="F95" s="85"/>
    </row>
    <row r="96" spans="1:65" x14ac:dyDescent="0.25">
      <c r="A96" s="86" t="s">
        <v>194</v>
      </c>
      <c r="B96" s="44">
        <v>46270</v>
      </c>
      <c r="C96" s="44">
        <v>46271</v>
      </c>
      <c r="D96" s="44">
        <v>46272</v>
      </c>
      <c r="E96" s="44">
        <v>46273</v>
      </c>
      <c r="F96" s="44">
        <v>46274</v>
      </c>
    </row>
    <row r="97" spans="1:14" x14ac:dyDescent="0.25">
      <c r="A97" s="86"/>
      <c r="B97" s="45" t="s">
        <v>148</v>
      </c>
      <c r="C97" s="4" t="s">
        <v>149</v>
      </c>
      <c r="D97" s="4" t="s">
        <v>150</v>
      </c>
      <c r="E97" s="4" t="s">
        <v>151</v>
      </c>
      <c r="F97" s="4" t="s">
        <v>160</v>
      </c>
    </row>
    <row r="98" spans="1:14" x14ac:dyDescent="0.25">
      <c r="A98" s="11" t="s">
        <v>153</v>
      </c>
      <c r="B98" s="35">
        <v>0.63</v>
      </c>
      <c r="C98" s="35">
        <v>0.81</v>
      </c>
      <c r="D98" s="35">
        <v>0.86</v>
      </c>
      <c r="E98" s="35">
        <v>0.97</v>
      </c>
      <c r="F98" s="35"/>
    </row>
    <row r="99" spans="1:14" x14ac:dyDescent="0.25">
      <c r="A99" s="11" t="s">
        <v>154</v>
      </c>
      <c r="B99" s="35">
        <v>0.37</v>
      </c>
      <c r="C99" s="35">
        <v>0.19</v>
      </c>
      <c r="D99" s="35">
        <v>0.12</v>
      </c>
      <c r="E99" s="35">
        <v>0.03</v>
      </c>
      <c r="F99" s="35"/>
    </row>
    <row r="100" spans="1:14" ht="18" x14ac:dyDescent="0.25">
      <c r="N100" s="77" t="s">
        <v>198</v>
      </c>
    </row>
    <row r="101" spans="1:14" x14ac:dyDescent="0.25">
      <c r="A101" s="83" t="s">
        <v>171</v>
      </c>
      <c r="B101" s="84"/>
      <c r="C101" s="84"/>
      <c r="D101" s="84"/>
      <c r="E101" s="84"/>
      <c r="F101" s="85"/>
    </row>
    <row r="102" spans="1:14" x14ac:dyDescent="0.25">
      <c r="A102" s="86" t="s">
        <v>192</v>
      </c>
      <c r="B102" s="44">
        <v>46293</v>
      </c>
      <c r="C102" s="44">
        <v>46294</v>
      </c>
      <c r="D102" s="44">
        <v>46295</v>
      </c>
      <c r="E102" s="44">
        <v>46296</v>
      </c>
      <c r="F102" s="44">
        <v>46297</v>
      </c>
    </row>
    <row r="103" spans="1:14" x14ac:dyDescent="0.25">
      <c r="A103" s="86"/>
      <c r="B103" s="45" t="s">
        <v>148</v>
      </c>
      <c r="C103" s="4" t="s">
        <v>149</v>
      </c>
      <c r="D103" s="4" t="s">
        <v>150</v>
      </c>
      <c r="E103" s="4" t="s">
        <v>151</v>
      </c>
      <c r="F103" s="4" t="s">
        <v>160</v>
      </c>
    </row>
    <row r="104" spans="1:14" x14ac:dyDescent="0.25">
      <c r="A104" s="11" t="s">
        <v>153</v>
      </c>
      <c r="B104" s="35"/>
      <c r="C104" s="35">
        <v>0.17</v>
      </c>
      <c r="D104" s="35">
        <v>0.38</v>
      </c>
      <c r="E104" s="35">
        <v>0.41</v>
      </c>
      <c r="F104" s="35">
        <v>0.41</v>
      </c>
    </row>
    <row r="105" spans="1:14" x14ac:dyDescent="0.25">
      <c r="A105" s="11" t="s">
        <v>154</v>
      </c>
      <c r="B105" s="35"/>
      <c r="C105" s="35">
        <v>0.83</v>
      </c>
      <c r="D105" s="35">
        <v>0.62</v>
      </c>
      <c r="E105" s="35">
        <v>0.59</v>
      </c>
      <c r="F105" s="35">
        <v>0.59</v>
      </c>
    </row>
  </sheetData>
  <autoFilter ref="B10:BF85" xr:uid="{00000000-0009-0000-0000-00000E000000}">
    <filterColumn colId="12">
      <customFilters>
        <customFilter operator="greaterThan" val="1"/>
      </customFilters>
    </filterColumn>
  </autoFilter>
  <mergeCells count="53">
    <mergeCell ref="AI90:AJ90"/>
    <mergeCell ref="AK90:AL90"/>
    <mergeCell ref="AM90:AN90"/>
    <mergeCell ref="AO90:AP90"/>
    <mergeCell ref="AQ90:AR90"/>
    <mergeCell ref="AI9:AJ9"/>
    <mergeCell ref="AK9:AL9"/>
    <mergeCell ref="AM9:AN9"/>
    <mergeCell ref="AO9:AP9"/>
    <mergeCell ref="AQ9:AR9"/>
    <mergeCell ref="A101:F101"/>
    <mergeCell ref="A102:A103"/>
    <mergeCell ref="AA90:AB90"/>
    <mergeCell ref="AC90:AD90"/>
    <mergeCell ref="AE90:AF90"/>
    <mergeCell ref="AG90:AH90"/>
    <mergeCell ref="A95:F95"/>
    <mergeCell ref="A96:A97"/>
    <mergeCell ref="O90:P90"/>
    <mergeCell ref="Q90:R90"/>
    <mergeCell ref="S90:T90"/>
    <mergeCell ref="U90:V90"/>
    <mergeCell ref="W90:X90"/>
    <mergeCell ref="Y90:Z90"/>
    <mergeCell ref="AE85:AF85"/>
    <mergeCell ref="AG85:AH85"/>
    <mergeCell ref="O86:P86"/>
    <mergeCell ref="Q86:R86"/>
    <mergeCell ref="S86:T86"/>
    <mergeCell ref="U86:V86"/>
    <mergeCell ref="W86:X86"/>
    <mergeCell ref="AG9:AH9"/>
    <mergeCell ref="H85:M85"/>
    <mergeCell ref="O85:P85"/>
    <mergeCell ref="Q85:R85"/>
    <mergeCell ref="S85:T85"/>
    <mergeCell ref="U85:V85"/>
    <mergeCell ref="W85:X85"/>
    <mergeCell ref="Y85:Z85"/>
    <mergeCell ref="AA85:AB85"/>
    <mergeCell ref="AC85:AD85"/>
    <mergeCell ref="U9:V9"/>
    <mergeCell ref="W9:X9"/>
    <mergeCell ref="Y9:Z9"/>
    <mergeCell ref="AA9:AB9"/>
    <mergeCell ref="AC9:AD9"/>
    <mergeCell ref="AE9:AF9"/>
    <mergeCell ref="S9:T9"/>
    <mergeCell ref="C7:D7"/>
    <mergeCell ref="B8:B9"/>
    <mergeCell ref="I9:M9"/>
    <mergeCell ref="O9:P9"/>
    <mergeCell ref="Q9:R9"/>
  </mergeCells>
  <conditionalFormatting sqref="O89:AT89">
    <cfRule type="cellIs" dxfId="8" priority="1" operator="between">
      <formula>1</formula>
      <formula>5</formula>
    </cfRule>
    <cfRule type="cellIs" dxfId="7" priority="2" operator="between">
      <formula>0.85</formula>
      <formula>0.99</formula>
    </cfRule>
    <cfRule type="cellIs" dxfId="6" priority="3" operator="between">
      <formula>0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landscape" r:id="rId2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>
    <pageSetUpPr fitToPage="1"/>
  </sheetPr>
  <dimension ref="A1:BA105"/>
  <sheetViews>
    <sheetView zoomScale="70" zoomScaleNormal="70" zoomScaleSheetLayoutView="70" workbookViewId="0">
      <pane xSplit="14" topLeftCell="AA1" activePane="topRight" state="frozen"/>
      <selection activeCell="B2" sqref="B2"/>
      <selection pane="topRight" activeCell="A6" sqref="A6:N100"/>
    </sheetView>
  </sheetViews>
  <sheetFormatPr baseColWidth="10" defaultColWidth="8.7109375" defaultRowHeight="15" x14ac:dyDescent="0.25"/>
  <cols>
    <col min="1" max="1" width="10.140625" style="1" bestFit="1" customWidth="1"/>
    <col min="2" max="2" width="17.7109375" style="1" bestFit="1" customWidth="1"/>
    <col min="3" max="3" width="14.42578125" style="1" bestFit="1" customWidth="1"/>
    <col min="4" max="4" width="19.140625" style="1" customWidth="1"/>
    <col min="5" max="5" width="14.5703125" style="1" customWidth="1"/>
    <col min="6" max="6" width="19.7109375" style="1" customWidth="1"/>
    <col min="7" max="7" width="15.42578125" style="1" customWidth="1"/>
    <col min="8" max="8" width="15.42578125" style="1" bestFit="1" customWidth="1"/>
    <col min="9" max="9" width="10.140625" style="1" customWidth="1"/>
    <col min="10" max="10" width="10.7109375" style="1" hidden="1" customWidth="1"/>
    <col min="11" max="11" width="10" style="1" hidden="1" customWidth="1"/>
    <col min="12" max="12" width="9" style="1" hidden="1" customWidth="1"/>
    <col min="13" max="13" width="5.5703125" style="1" hidden="1" customWidth="1"/>
    <col min="14" max="14" width="19.28515625" style="1" customWidth="1"/>
    <col min="15" max="22" width="8.7109375" style="1" hidden="1" customWidth="1"/>
    <col min="23" max="26" width="0" style="1" hidden="1" customWidth="1"/>
    <col min="27" max="32" width="8.7109375" style="1"/>
    <col min="33" max="34" width="8.7109375" style="1" customWidth="1"/>
    <col min="35" max="37" width="8.7109375" style="1"/>
    <col min="38" max="38" width="8.7109375" style="1" customWidth="1"/>
    <col min="39" max="39" width="8.7109375" style="1"/>
    <col min="40" max="40" width="0" style="1" hidden="1" customWidth="1"/>
    <col min="41" max="42" width="8.7109375" style="1"/>
    <col min="43" max="43" width="10" style="1" bestFit="1" customWidth="1"/>
    <col min="44" max="44" width="10" style="1" customWidth="1"/>
    <col min="45" max="45" width="13" style="1" bestFit="1" customWidth="1"/>
    <col min="46" max="46" width="11.5703125" style="1" bestFit="1" customWidth="1"/>
    <col min="47" max="47" width="8.7109375" style="1"/>
    <col min="48" max="48" width="12.85546875" style="1" customWidth="1"/>
    <col min="49" max="49" width="16.5703125" style="1" customWidth="1"/>
    <col min="50" max="16384" width="8.7109375" style="1"/>
  </cols>
  <sheetData>
    <row r="1" spans="2:53" s="75" customFormat="1" x14ac:dyDescent="0.25">
      <c r="J1" s="1"/>
      <c r="K1" s="1"/>
      <c r="L1" s="1"/>
      <c r="M1" s="1"/>
      <c r="AN1" s="1"/>
    </row>
    <row r="2" spans="2:53" s="75" customFormat="1" x14ac:dyDescent="0.25">
      <c r="J2" s="1"/>
      <c r="K2" s="1"/>
      <c r="L2" s="1"/>
      <c r="M2" s="1"/>
      <c r="AN2" s="1"/>
    </row>
    <row r="3" spans="2:53" s="75" customFormat="1" x14ac:dyDescent="0.25">
      <c r="J3" s="1"/>
      <c r="K3" s="1"/>
      <c r="L3" s="1"/>
      <c r="M3" s="1"/>
      <c r="AN3" s="1"/>
    </row>
    <row r="4" spans="2:53" s="75" customFormat="1" x14ac:dyDescent="0.25">
      <c r="J4" s="1"/>
      <c r="K4" s="1"/>
      <c r="L4" s="1"/>
      <c r="M4" s="1"/>
      <c r="AN4" s="1"/>
    </row>
    <row r="5" spans="2:53" s="75" customFormat="1" x14ac:dyDescent="0.25">
      <c r="J5" s="1"/>
      <c r="K5" s="1"/>
      <c r="L5" s="1"/>
      <c r="M5" s="1"/>
      <c r="AN5" s="1"/>
    </row>
    <row r="7" spans="2:53" x14ac:dyDescent="0.25">
      <c r="B7" s="4" t="s">
        <v>99</v>
      </c>
      <c r="C7" s="88" t="s">
        <v>100</v>
      </c>
      <c r="D7" s="88"/>
    </row>
    <row r="8" spans="2:53" x14ac:dyDescent="0.25">
      <c r="B8" s="89">
        <f ca="1">TODAY()</f>
        <v>46309</v>
      </c>
      <c r="C8" s="4" t="s">
        <v>97</v>
      </c>
      <c r="D8" s="2" t="s">
        <v>127</v>
      </c>
      <c r="H8" s="4" t="s">
        <v>84</v>
      </c>
    </row>
    <row r="9" spans="2:53" x14ac:dyDescent="0.25">
      <c r="B9" s="89"/>
      <c r="C9" s="4" t="s">
        <v>98</v>
      </c>
      <c r="D9" s="2"/>
      <c r="H9" s="4" t="s">
        <v>85</v>
      </c>
      <c r="I9" s="90" t="s">
        <v>146</v>
      </c>
      <c r="J9" s="90"/>
      <c r="K9" s="90"/>
      <c r="L9" s="90"/>
      <c r="M9" s="90"/>
      <c r="O9" s="87">
        <v>46300</v>
      </c>
      <c r="P9" s="87"/>
      <c r="Q9" s="87">
        <v>46301</v>
      </c>
      <c r="R9" s="87"/>
      <c r="S9" s="87">
        <v>46302</v>
      </c>
      <c r="T9" s="87"/>
      <c r="U9" s="87">
        <v>46303</v>
      </c>
      <c r="V9" s="87"/>
      <c r="W9" s="87">
        <v>46304</v>
      </c>
      <c r="X9" s="87"/>
      <c r="Y9" s="87">
        <v>46307</v>
      </c>
      <c r="Z9" s="87"/>
      <c r="AA9" s="87">
        <v>46308</v>
      </c>
      <c r="AB9" s="87"/>
      <c r="AC9" s="87">
        <v>46309</v>
      </c>
      <c r="AD9" s="87"/>
      <c r="AE9" s="87">
        <v>46310</v>
      </c>
      <c r="AF9" s="87"/>
      <c r="AG9" s="87">
        <v>46311</v>
      </c>
      <c r="AH9" s="87"/>
      <c r="AI9" s="6" t="s">
        <v>92</v>
      </c>
    </row>
    <row r="10" spans="2:53" x14ac:dyDescent="0.25">
      <c r="B10" s="4" t="s">
        <v>0</v>
      </c>
      <c r="C10" s="4" t="s">
        <v>86</v>
      </c>
      <c r="D10" s="4" t="s">
        <v>89</v>
      </c>
      <c r="E10" s="4" t="s">
        <v>81</v>
      </c>
      <c r="F10" s="4" t="s">
        <v>82</v>
      </c>
      <c r="G10" s="4" t="s">
        <v>83</v>
      </c>
      <c r="H10" s="5">
        <v>42</v>
      </c>
      <c r="I10" s="4" t="s">
        <v>196</v>
      </c>
      <c r="J10" s="4" t="s">
        <v>91</v>
      </c>
      <c r="K10" s="4" t="s">
        <v>93</v>
      </c>
      <c r="L10" s="4" t="s">
        <v>94</v>
      </c>
      <c r="M10" s="4" t="s">
        <v>95</v>
      </c>
      <c r="N10" s="4" t="s">
        <v>96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 t="s">
        <v>104</v>
      </c>
      <c r="AJ10" s="4" t="s">
        <v>90</v>
      </c>
      <c r="AK10" s="4" t="s">
        <v>126</v>
      </c>
      <c r="AL10" s="4" t="s">
        <v>105</v>
      </c>
      <c r="AM10" s="4" t="s">
        <v>105</v>
      </c>
      <c r="AN10" s="4" t="s">
        <v>106</v>
      </c>
      <c r="AO10" s="4" t="s">
        <v>106</v>
      </c>
      <c r="AP10" s="4" t="s">
        <v>107</v>
      </c>
      <c r="AQ10" s="4" t="s">
        <v>109</v>
      </c>
      <c r="AR10" s="4" t="s">
        <v>122</v>
      </c>
      <c r="AS10" s="4" t="s">
        <v>118</v>
      </c>
      <c r="AT10" s="4" t="s">
        <v>120</v>
      </c>
      <c r="AV10" s="15" t="s">
        <v>123</v>
      </c>
      <c r="AW10" s="15" t="s">
        <v>125</v>
      </c>
      <c r="AX10"/>
    </row>
    <row r="11" spans="2:53" hidden="1" x14ac:dyDescent="0.25">
      <c r="B11" s="2" t="s">
        <v>87</v>
      </c>
      <c r="C11" s="2" t="s">
        <v>88</v>
      </c>
      <c r="D11" s="2" t="s">
        <v>1</v>
      </c>
      <c r="E11" s="2" t="s">
        <v>2</v>
      </c>
      <c r="F11" s="2">
        <v>0.42</v>
      </c>
      <c r="G11" s="3">
        <v>0.02</v>
      </c>
      <c r="H11" s="2">
        <v>0</v>
      </c>
      <c r="I11" s="2">
        <f>VLOOKUP(D11,'SEMANA 41'!D11:N83,11,0)</f>
        <v>3800</v>
      </c>
      <c r="J11" s="2"/>
      <c r="K11" s="2"/>
      <c r="L11" s="2"/>
      <c r="M11" s="2"/>
      <c r="N11" s="8">
        <f t="shared" ref="N11:N42" si="0">+H11+I11+J11+K11+L11+M11-SUM(O11:AI11)</f>
        <v>3800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7">
        <f t="shared" ref="AJ11:AJ42" si="1">+G11*SUM(H11:M11)</f>
        <v>76</v>
      </c>
      <c r="AK11" s="7">
        <v>1000</v>
      </c>
      <c r="AL11" s="7">
        <v>0</v>
      </c>
      <c r="AM11" s="8">
        <f t="shared" ref="AM11:AM42" si="2">+H11*AL11</f>
        <v>0</v>
      </c>
      <c r="AN11" s="8">
        <v>0</v>
      </c>
      <c r="AO11" s="8">
        <f t="shared" ref="AO11:AO42" si="3">+H11*AN11</f>
        <v>0</v>
      </c>
      <c r="AP11" s="8">
        <f>+AO11*2</f>
        <v>0</v>
      </c>
      <c r="AQ11" s="8">
        <v>0</v>
      </c>
      <c r="AR11" s="8">
        <v>0</v>
      </c>
      <c r="AS11" s="8" t="s">
        <v>119</v>
      </c>
      <c r="AT11" s="8" t="s">
        <v>121</v>
      </c>
      <c r="AV11" s="14">
        <v>0</v>
      </c>
      <c r="AW11" s="15">
        <v>0</v>
      </c>
      <c r="AX11"/>
      <c r="BA11" s="1">
        <v>5600</v>
      </c>
    </row>
    <row r="12" spans="2:53" hidden="1" x14ac:dyDescent="0.25">
      <c r="B12" s="2" t="s">
        <v>87</v>
      </c>
      <c r="C12" s="2" t="s">
        <v>88</v>
      </c>
      <c r="D12" s="2" t="s">
        <v>3</v>
      </c>
      <c r="E12" s="2" t="s">
        <v>2</v>
      </c>
      <c r="F12" s="2">
        <v>0.42</v>
      </c>
      <c r="G12" s="3">
        <v>3.1E-2</v>
      </c>
      <c r="H12" s="2">
        <v>0</v>
      </c>
      <c r="I12" s="2">
        <f>VLOOKUP(D12,'SEMANA 41'!D12:N84,11,0)</f>
        <v>-10</v>
      </c>
      <c r="J12" s="2"/>
      <c r="K12" s="2"/>
      <c r="L12" s="2"/>
      <c r="M12" s="2"/>
      <c r="N12" s="8">
        <f t="shared" si="0"/>
        <v>-10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7">
        <f t="shared" si="1"/>
        <v>-0.31</v>
      </c>
      <c r="AK12" s="7">
        <v>1000</v>
      </c>
      <c r="AL12" s="7">
        <v>0</v>
      </c>
      <c r="AM12" s="8">
        <f t="shared" si="2"/>
        <v>0</v>
      </c>
      <c r="AN12" s="8">
        <v>0</v>
      </c>
      <c r="AO12" s="8">
        <f t="shared" si="3"/>
        <v>0</v>
      </c>
      <c r="AP12" s="8">
        <f t="shared" ref="AP12:AP75" si="4">+AO12*2</f>
        <v>0</v>
      </c>
      <c r="AQ12" s="8">
        <v>0</v>
      </c>
      <c r="AR12" s="8">
        <v>0</v>
      </c>
      <c r="AS12" s="8" t="s">
        <v>119</v>
      </c>
      <c r="AT12" s="8" t="s">
        <v>121</v>
      </c>
      <c r="AV12" s="14" t="s">
        <v>117</v>
      </c>
      <c r="AW12" s="15">
        <v>128</v>
      </c>
      <c r="AX12"/>
      <c r="BA12" s="1">
        <v>4338</v>
      </c>
    </row>
    <row r="13" spans="2:53" hidden="1" x14ac:dyDescent="0.25">
      <c r="B13" s="2" t="s">
        <v>87</v>
      </c>
      <c r="C13" s="2" t="s">
        <v>88</v>
      </c>
      <c r="D13" s="2" t="s">
        <v>4</v>
      </c>
      <c r="E13" s="2" t="s">
        <v>2</v>
      </c>
      <c r="F13" s="2">
        <v>0.42</v>
      </c>
      <c r="G13" s="3">
        <v>3.3000000000000002E-2</v>
      </c>
      <c r="H13" s="2">
        <v>0</v>
      </c>
      <c r="I13" s="2">
        <f>VLOOKUP(D13,'SEMANA 41'!D13:N85,11,0)</f>
        <v>-38</v>
      </c>
      <c r="J13" s="2"/>
      <c r="K13" s="2"/>
      <c r="L13" s="2"/>
      <c r="M13" s="2"/>
      <c r="N13" s="8">
        <f t="shared" si="0"/>
        <v>-38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7">
        <f t="shared" si="1"/>
        <v>-1.254</v>
      </c>
      <c r="AK13" s="7">
        <v>1000</v>
      </c>
      <c r="AL13" s="7">
        <v>0</v>
      </c>
      <c r="AM13" s="8">
        <f t="shared" si="2"/>
        <v>0</v>
      </c>
      <c r="AN13" s="8">
        <v>0</v>
      </c>
      <c r="AO13" s="8">
        <f t="shared" si="3"/>
        <v>0</v>
      </c>
      <c r="AP13" s="8">
        <f t="shared" si="4"/>
        <v>0</v>
      </c>
      <c r="AQ13" s="8">
        <v>0</v>
      </c>
      <c r="AR13" s="8">
        <v>0</v>
      </c>
      <c r="AS13" s="8" t="s">
        <v>119</v>
      </c>
      <c r="AT13" s="8" t="s">
        <v>121</v>
      </c>
      <c r="AV13" s="14" t="s">
        <v>113</v>
      </c>
      <c r="AW13" s="15">
        <v>0</v>
      </c>
      <c r="AX13"/>
      <c r="BA13" s="1">
        <v>1300</v>
      </c>
    </row>
    <row r="14" spans="2:53" hidden="1" x14ac:dyDescent="0.25">
      <c r="B14" s="2" t="s">
        <v>87</v>
      </c>
      <c r="C14" s="2" t="s">
        <v>88</v>
      </c>
      <c r="D14" s="2" t="s">
        <v>5</v>
      </c>
      <c r="E14" s="2" t="s">
        <v>2</v>
      </c>
      <c r="F14" s="2">
        <v>0.42</v>
      </c>
      <c r="G14" s="3">
        <v>1.9E-2</v>
      </c>
      <c r="H14" s="2">
        <v>0</v>
      </c>
      <c r="I14" s="2">
        <f>VLOOKUP(D14,'SEMANA 41'!D14:N86,11,0)</f>
        <v>0</v>
      </c>
      <c r="J14" s="2"/>
      <c r="K14" s="2"/>
      <c r="L14" s="2"/>
      <c r="M14" s="2"/>
      <c r="N14" s="8">
        <f t="shared" si="0"/>
        <v>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7">
        <f t="shared" si="1"/>
        <v>0</v>
      </c>
      <c r="AK14" s="7">
        <v>1000</v>
      </c>
      <c r="AL14" s="7">
        <v>0</v>
      </c>
      <c r="AM14" s="8">
        <f t="shared" si="2"/>
        <v>0</v>
      </c>
      <c r="AN14" s="8">
        <v>0</v>
      </c>
      <c r="AO14" s="8">
        <f t="shared" si="3"/>
        <v>0</v>
      </c>
      <c r="AP14" s="8">
        <f t="shared" si="4"/>
        <v>0</v>
      </c>
      <c r="AQ14" s="8">
        <v>0</v>
      </c>
      <c r="AR14" s="8">
        <v>0</v>
      </c>
      <c r="AS14" s="8" t="s">
        <v>119</v>
      </c>
      <c r="AT14" s="8" t="s">
        <v>121</v>
      </c>
      <c r="AV14" s="14" t="s">
        <v>110</v>
      </c>
      <c r="AW14" s="15">
        <v>864</v>
      </c>
      <c r="AX14"/>
      <c r="BA14" s="1">
        <v>0</v>
      </c>
    </row>
    <row r="15" spans="2:53" hidden="1" x14ac:dyDescent="0.25">
      <c r="B15" s="2" t="s">
        <v>87</v>
      </c>
      <c r="C15" s="2" t="s">
        <v>88</v>
      </c>
      <c r="D15" s="2" t="s">
        <v>6</v>
      </c>
      <c r="E15" s="2" t="s">
        <v>2</v>
      </c>
      <c r="F15" s="2">
        <v>0.42</v>
      </c>
      <c r="G15" s="3">
        <v>0.03</v>
      </c>
      <c r="H15" s="2">
        <v>0</v>
      </c>
      <c r="I15" s="2">
        <f>VLOOKUP(D15,'SEMANA 41'!D15:N87,11,0)</f>
        <v>0</v>
      </c>
      <c r="J15" s="2"/>
      <c r="K15" s="2"/>
      <c r="L15" s="2"/>
      <c r="M15" s="2"/>
      <c r="N15" s="8">
        <f t="shared" si="0"/>
        <v>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7">
        <f t="shared" si="1"/>
        <v>0</v>
      </c>
      <c r="AK15" s="7">
        <v>1000</v>
      </c>
      <c r="AL15" s="7">
        <v>0</v>
      </c>
      <c r="AM15" s="8">
        <f t="shared" si="2"/>
        <v>0</v>
      </c>
      <c r="AN15" s="8">
        <v>0</v>
      </c>
      <c r="AO15" s="8">
        <f t="shared" si="3"/>
        <v>0</v>
      </c>
      <c r="AP15" s="8">
        <f t="shared" si="4"/>
        <v>0</v>
      </c>
      <c r="AQ15" s="8">
        <v>0</v>
      </c>
      <c r="AR15" s="8">
        <v>0</v>
      </c>
      <c r="AS15" s="8" t="s">
        <v>119</v>
      </c>
      <c r="AT15" s="8" t="s">
        <v>121</v>
      </c>
      <c r="AV15" s="14" t="s">
        <v>116</v>
      </c>
      <c r="AW15" s="15">
        <v>0</v>
      </c>
      <c r="AX15"/>
      <c r="BA15" s="1">
        <v>1000</v>
      </c>
    </row>
    <row r="16" spans="2:53" hidden="1" x14ac:dyDescent="0.25">
      <c r="B16" s="2" t="s">
        <v>87</v>
      </c>
      <c r="C16" s="2" t="s">
        <v>88</v>
      </c>
      <c r="D16" s="2" t="s">
        <v>7</v>
      </c>
      <c r="E16" s="2" t="s">
        <v>2</v>
      </c>
      <c r="F16" s="2">
        <v>0.42</v>
      </c>
      <c r="G16" s="3">
        <v>2.1999999999999999E-2</v>
      </c>
      <c r="H16" s="2">
        <v>0</v>
      </c>
      <c r="I16" s="2">
        <f>VLOOKUP(D16,'SEMANA 41'!D16:N88,11,0)</f>
        <v>0</v>
      </c>
      <c r="J16" s="2"/>
      <c r="K16" s="2"/>
      <c r="L16" s="2"/>
      <c r="M16" s="2"/>
      <c r="N16" s="8">
        <f t="shared" si="0"/>
        <v>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7">
        <f t="shared" si="1"/>
        <v>0</v>
      </c>
      <c r="AK16" s="7">
        <v>1000</v>
      </c>
      <c r="AL16" s="7">
        <v>0</v>
      </c>
      <c r="AM16" s="8">
        <f t="shared" si="2"/>
        <v>0</v>
      </c>
      <c r="AN16" s="8">
        <v>0</v>
      </c>
      <c r="AO16" s="8">
        <f t="shared" si="3"/>
        <v>0</v>
      </c>
      <c r="AP16" s="8">
        <f t="shared" si="4"/>
        <v>0</v>
      </c>
      <c r="AQ16" s="8">
        <v>0</v>
      </c>
      <c r="AR16" s="8">
        <v>0</v>
      </c>
      <c r="AS16" s="8" t="s">
        <v>119</v>
      </c>
      <c r="AT16" s="8" t="s">
        <v>121</v>
      </c>
      <c r="AV16" s="14" t="s">
        <v>111</v>
      </c>
      <c r="AW16" s="15">
        <v>7704</v>
      </c>
      <c r="AX16"/>
      <c r="BA16" s="1">
        <v>1707</v>
      </c>
    </row>
    <row r="17" spans="2:53" hidden="1" x14ac:dyDescent="0.25">
      <c r="B17" s="2" t="s">
        <v>87</v>
      </c>
      <c r="C17" s="2" t="s">
        <v>88</v>
      </c>
      <c r="D17" s="2" t="s">
        <v>8</v>
      </c>
      <c r="E17" s="2" t="s">
        <v>2</v>
      </c>
      <c r="F17" s="2">
        <v>0.42</v>
      </c>
      <c r="G17" s="3">
        <v>2.3E-2</v>
      </c>
      <c r="H17" s="2">
        <v>0</v>
      </c>
      <c r="I17" s="2">
        <f>VLOOKUP(D17,'SEMANA 41'!D17:N89,11,0)</f>
        <v>0</v>
      </c>
      <c r="J17" s="2"/>
      <c r="K17" s="2"/>
      <c r="L17" s="2"/>
      <c r="M17" s="2"/>
      <c r="N17" s="8">
        <f t="shared" si="0"/>
        <v>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7">
        <f t="shared" si="1"/>
        <v>0</v>
      </c>
      <c r="AK17" s="7">
        <v>1000</v>
      </c>
      <c r="AL17" s="7">
        <v>0</v>
      </c>
      <c r="AM17" s="8">
        <f t="shared" si="2"/>
        <v>0</v>
      </c>
      <c r="AN17" s="8">
        <v>0</v>
      </c>
      <c r="AO17" s="8">
        <f t="shared" si="3"/>
        <v>0</v>
      </c>
      <c r="AP17" s="8">
        <f t="shared" si="4"/>
        <v>0</v>
      </c>
      <c r="AQ17" s="8">
        <v>0</v>
      </c>
      <c r="AR17" s="8">
        <v>0</v>
      </c>
      <c r="AS17" s="8" t="s">
        <v>119</v>
      </c>
      <c r="AT17" s="8" t="s">
        <v>121</v>
      </c>
      <c r="AV17" s="14" t="s">
        <v>112</v>
      </c>
      <c r="AW17" s="15">
        <v>3840</v>
      </c>
      <c r="AX17"/>
      <c r="BA17" s="1">
        <v>0</v>
      </c>
    </row>
    <row r="18" spans="2:53" hidden="1" x14ac:dyDescent="0.25">
      <c r="B18" s="2" t="s">
        <v>87</v>
      </c>
      <c r="C18" s="2" t="s">
        <v>88</v>
      </c>
      <c r="D18" s="2" t="s">
        <v>9</v>
      </c>
      <c r="E18" s="2" t="s">
        <v>10</v>
      </c>
      <c r="F18" s="2">
        <v>2.8000000000000001E-2</v>
      </c>
      <c r="G18" s="3">
        <v>5.7000000000000002E-2</v>
      </c>
      <c r="H18" s="2">
        <v>2500</v>
      </c>
      <c r="I18" s="2">
        <f>VLOOKUP(D18,'SEMANA 41'!D18:N90,11,0)</f>
        <v>0</v>
      </c>
      <c r="J18" s="2"/>
      <c r="K18" s="2"/>
      <c r="L18" s="2"/>
      <c r="M18" s="2"/>
      <c r="N18" s="8">
        <f t="shared" si="0"/>
        <v>-500</v>
      </c>
      <c r="O18" s="2"/>
      <c r="P18" s="2"/>
      <c r="Q18" s="2"/>
      <c r="R18" s="2"/>
      <c r="S18" s="2"/>
      <c r="T18" s="2"/>
      <c r="U18" s="2"/>
      <c r="V18" s="2">
        <v>600</v>
      </c>
      <c r="W18" s="2"/>
      <c r="X18" s="2">
        <v>1000</v>
      </c>
      <c r="Y18" s="2">
        <v>600</v>
      </c>
      <c r="Z18" s="2"/>
      <c r="AA18" s="2">
        <v>600</v>
      </c>
      <c r="AB18" s="2">
        <v>200</v>
      </c>
      <c r="AC18" s="2"/>
      <c r="AD18" s="2"/>
      <c r="AE18" s="2"/>
      <c r="AF18" s="2"/>
      <c r="AG18" s="2"/>
      <c r="AH18" s="2"/>
      <c r="AI18" s="2"/>
      <c r="AJ18" s="7">
        <f t="shared" si="1"/>
        <v>142.5</v>
      </c>
      <c r="AK18" s="7">
        <v>1000</v>
      </c>
      <c r="AL18" s="7">
        <v>0</v>
      </c>
      <c r="AM18" s="8">
        <f t="shared" si="2"/>
        <v>0</v>
      </c>
      <c r="AN18" s="8">
        <v>0</v>
      </c>
      <c r="AO18" s="8">
        <f t="shared" si="3"/>
        <v>0</v>
      </c>
      <c r="AP18" s="8">
        <f t="shared" si="4"/>
        <v>0</v>
      </c>
      <c r="AQ18" s="8">
        <v>0</v>
      </c>
      <c r="AR18" s="8">
        <v>0</v>
      </c>
      <c r="AS18" s="8" t="s">
        <v>119</v>
      </c>
      <c r="AT18" s="8" t="s">
        <v>121</v>
      </c>
      <c r="AV18" s="14" t="s">
        <v>114</v>
      </c>
      <c r="AW18" s="15">
        <v>1280</v>
      </c>
      <c r="AX18"/>
      <c r="BA18" s="1">
        <v>-3900</v>
      </c>
    </row>
    <row r="19" spans="2:53" x14ac:dyDescent="0.25">
      <c r="B19" s="2" t="s">
        <v>87</v>
      </c>
      <c r="C19" s="2" t="s">
        <v>88</v>
      </c>
      <c r="D19" s="2" t="s">
        <v>11</v>
      </c>
      <c r="E19" s="2" t="s">
        <v>10</v>
      </c>
      <c r="F19" s="2">
        <v>2.8000000000000001E-2</v>
      </c>
      <c r="G19" s="3">
        <v>4.3999999999999997E-2</v>
      </c>
      <c r="H19" s="2">
        <v>5500</v>
      </c>
      <c r="I19" s="2">
        <f>VLOOKUP(D19,'SEMANA 41'!D19:N91,11,0)</f>
        <v>-100</v>
      </c>
      <c r="J19" s="2"/>
      <c r="K19" s="2"/>
      <c r="L19" s="2"/>
      <c r="M19" s="2"/>
      <c r="N19" s="8">
        <f t="shared" si="0"/>
        <v>700</v>
      </c>
      <c r="O19" s="2"/>
      <c r="P19" s="2"/>
      <c r="Q19" s="2"/>
      <c r="R19" s="2"/>
      <c r="S19" s="2"/>
      <c r="T19" s="2"/>
      <c r="U19" s="2">
        <v>300</v>
      </c>
      <c r="V19" s="2">
        <v>800</v>
      </c>
      <c r="W19" s="2">
        <v>1400</v>
      </c>
      <c r="X19" s="2"/>
      <c r="Y19" s="2"/>
      <c r="Z19" s="2">
        <v>1700</v>
      </c>
      <c r="AA19" s="2">
        <v>500</v>
      </c>
      <c r="AB19" s="2"/>
      <c r="AC19" s="2"/>
      <c r="AD19" s="2"/>
      <c r="AE19" s="2"/>
      <c r="AF19" s="2"/>
      <c r="AG19" s="2"/>
      <c r="AH19" s="2"/>
      <c r="AI19" s="2"/>
      <c r="AJ19" s="7">
        <f t="shared" si="1"/>
        <v>237.6</v>
      </c>
      <c r="AK19" s="7">
        <v>1000</v>
      </c>
      <c r="AL19" s="7">
        <v>0</v>
      </c>
      <c r="AM19" s="8">
        <f t="shared" si="2"/>
        <v>0</v>
      </c>
      <c r="AN19" s="8">
        <v>0</v>
      </c>
      <c r="AO19" s="8">
        <f t="shared" si="3"/>
        <v>0</v>
      </c>
      <c r="AP19" s="8">
        <f t="shared" si="4"/>
        <v>0</v>
      </c>
      <c r="AQ19" s="8">
        <v>0</v>
      </c>
      <c r="AR19" s="8">
        <v>0</v>
      </c>
      <c r="AS19" s="8" t="s">
        <v>119</v>
      </c>
      <c r="AT19" s="8" t="s">
        <v>121</v>
      </c>
      <c r="AV19" s="14" t="s">
        <v>115</v>
      </c>
      <c r="AW19" s="15">
        <v>384</v>
      </c>
      <c r="AX19"/>
      <c r="BA19" s="1">
        <v>-2966</v>
      </c>
    </row>
    <row r="20" spans="2:53" hidden="1" x14ac:dyDescent="0.25">
      <c r="B20" s="2" t="s">
        <v>87</v>
      </c>
      <c r="C20" s="2" t="s">
        <v>88</v>
      </c>
      <c r="D20" s="2" t="s">
        <v>12</v>
      </c>
      <c r="E20" s="2" t="s">
        <v>10</v>
      </c>
      <c r="F20" s="2">
        <v>2.8000000000000001E-2</v>
      </c>
      <c r="G20" s="3">
        <v>1.4999999999999999E-2</v>
      </c>
      <c r="H20" s="2">
        <v>500</v>
      </c>
      <c r="I20" s="2">
        <f>VLOOKUP(D20,'SEMANA 41'!D20:N92,11,0)</f>
        <v>0</v>
      </c>
      <c r="J20" s="2"/>
      <c r="K20" s="2"/>
      <c r="L20" s="2"/>
      <c r="M20" s="2"/>
      <c r="N20" s="8">
        <f t="shared" si="0"/>
        <v>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>
        <v>500</v>
      </c>
      <c r="AB20" s="2"/>
      <c r="AC20" s="2"/>
      <c r="AD20" s="2"/>
      <c r="AE20" s="2"/>
      <c r="AF20" s="2"/>
      <c r="AG20" s="2"/>
      <c r="AH20" s="2"/>
      <c r="AI20" s="2"/>
      <c r="AJ20" s="7">
        <f t="shared" si="1"/>
        <v>7.5</v>
      </c>
      <c r="AK20" s="7">
        <v>1000</v>
      </c>
      <c r="AL20" s="7">
        <v>0</v>
      </c>
      <c r="AM20" s="8">
        <f t="shared" si="2"/>
        <v>0</v>
      </c>
      <c r="AN20" s="8">
        <v>0</v>
      </c>
      <c r="AO20" s="8">
        <f t="shared" si="3"/>
        <v>0</v>
      </c>
      <c r="AP20" s="8">
        <f t="shared" si="4"/>
        <v>0</v>
      </c>
      <c r="AQ20" s="8">
        <v>0</v>
      </c>
      <c r="AR20" s="8">
        <v>0</v>
      </c>
      <c r="AS20" s="8" t="s">
        <v>119</v>
      </c>
      <c r="AT20" s="8" t="s">
        <v>121</v>
      </c>
      <c r="AV20" s="14" t="s">
        <v>124</v>
      </c>
      <c r="AW20" s="15">
        <v>14200</v>
      </c>
      <c r="AX20"/>
      <c r="BA20" s="1">
        <v>2400</v>
      </c>
    </row>
    <row r="21" spans="2:53" hidden="1" x14ac:dyDescent="0.25">
      <c r="B21" s="2" t="s">
        <v>87</v>
      </c>
      <c r="C21" s="2" t="s">
        <v>88</v>
      </c>
      <c r="D21" s="2" t="s">
        <v>13</v>
      </c>
      <c r="E21" s="2" t="s">
        <v>10</v>
      </c>
      <c r="F21" s="2">
        <v>2.8000000000000001E-2</v>
      </c>
      <c r="G21" s="3">
        <v>1.9E-2</v>
      </c>
      <c r="H21" s="2">
        <v>0</v>
      </c>
      <c r="I21" s="2">
        <f>VLOOKUP(D21,'SEMANA 41'!D21:N93,11,0)</f>
        <v>-100</v>
      </c>
      <c r="J21" s="2"/>
      <c r="K21" s="2"/>
      <c r="L21" s="2"/>
      <c r="M21" s="2"/>
      <c r="N21" s="8">
        <f t="shared" si="0"/>
        <v>-100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7">
        <f t="shared" si="1"/>
        <v>-1.9</v>
      </c>
      <c r="AK21" s="7">
        <v>1000</v>
      </c>
      <c r="AL21" s="7">
        <v>0</v>
      </c>
      <c r="AM21" s="8">
        <f t="shared" si="2"/>
        <v>0</v>
      </c>
      <c r="AN21" s="8">
        <v>0</v>
      </c>
      <c r="AO21" s="8">
        <f t="shared" si="3"/>
        <v>0</v>
      </c>
      <c r="AP21" s="8">
        <f t="shared" si="4"/>
        <v>0</v>
      </c>
      <c r="AQ21" s="8">
        <v>0</v>
      </c>
      <c r="AR21" s="8">
        <v>0</v>
      </c>
      <c r="AS21" s="8" t="s">
        <v>119</v>
      </c>
      <c r="AT21" s="8" t="s">
        <v>121</v>
      </c>
      <c r="AV21"/>
      <c r="AW21"/>
      <c r="AX21"/>
      <c r="BA21" s="1">
        <v>400</v>
      </c>
    </row>
    <row r="22" spans="2:53" hidden="1" x14ac:dyDescent="0.25">
      <c r="B22" s="2" t="s">
        <v>87</v>
      </c>
      <c r="C22" s="2" t="s">
        <v>88</v>
      </c>
      <c r="D22" s="2" t="s">
        <v>14</v>
      </c>
      <c r="E22" s="2" t="s">
        <v>10</v>
      </c>
      <c r="F22" s="2">
        <v>2.8000000000000001E-2</v>
      </c>
      <c r="G22" s="3">
        <v>2.4E-2</v>
      </c>
      <c r="H22" s="2">
        <v>4000</v>
      </c>
      <c r="I22" s="2">
        <f>VLOOKUP(D22,'SEMANA 41'!D22:N94,11,0)</f>
        <v>-1500</v>
      </c>
      <c r="J22" s="2"/>
      <c r="K22" s="2"/>
      <c r="L22" s="2"/>
      <c r="M22" s="2"/>
      <c r="N22" s="8">
        <f t="shared" si="0"/>
        <v>-3400</v>
      </c>
      <c r="O22" s="2"/>
      <c r="P22" s="2"/>
      <c r="Q22" s="2"/>
      <c r="R22" s="2"/>
      <c r="S22" s="2"/>
      <c r="T22" s="2"/>
      <c r="U22" s="2"/>
      <c r="V22" s="2">
        <v>1000</v>
      </c>
      <c r="W22" s="2">
        <v>500</v>
      </c>
      <c r="X22" s="2">
        <v>1000</v>
      </c>
      <c r="Y22" s="2">
        <v>900</v>
      </c>
      <c r="Z22" s="2"/>
      <c r="AA22" s="2">
        <v>500</v>
      </c>
      <c r="AB22" s="2">
        <v>2000</v>
      </c>
      <c r="AC22" s="2"/>
      <c r="AD22" s="2"/>
      <c r="AE22" s="2"/>
      <c r="AF22" s="2"/>
      <c r="AG22" s="2"/>
      <c r="AH22" s="2"/>
      <c r="AI22" s="2"/>
      <c r="AJ22" s="7">
        <f t="shared" si="1"/>
        <v>60</v>
      </c>
      <c r="AK22" s="7">
        <v>1000</v>
      </c>
      <c r="AL22" s="7">
        <v>0</v>
      </c>
      <c r="AM22" s="8">
        <f t="shared" si="2"/>
        <v>0</v>
      </c>
      <c r="AN22" s="8">
        <v>0</v>
      </c>
      <c r="AO22" s="8">
        <f t="shared" si="3"/>
        <v>0</v>
      </c>
      <c r="AP22" s="8">
        <f t="shared" si="4"/>
        <v>0</v>
      </c>
      <c r="AQ22" s="8">
        <v>0</v>
      </c>
      <c r="AR22" s="8">
        <v>0</v>
      </c>
      <c r="AS22" s="8" t="s">
        <v>119</v>
      </c>
      <c r="AT22" s="8" t="s">
        <v>121</v>
      </c>
      <c r="AV22"/>
      <c r="AW22"/>
      <c r="AX22"/>
      <c r="BA22" s="1">
        <v>3600</v>
      </c>
    </row>
    <row r="23" spans="2:53" hidden="1" x14ac:dyDescent="0.25">
      <c r="B23" s="2" t="s">
        <v>87</v>
      </c>
      <c r="C23" s="2" t="s">
        <v>88</v>
      </c>
      <c r="D23" s="2" t="s">
        <v>15</v>
      </c>
      <c r="E23" s="2" t="s">
        <v>10</v>
      </c>
      <c r="F23" s="2">
        <v>2.8000000000000001E-2</v>
      </c>
      <c r="G23" s="3">
        <v>1.9E-2</v>
      </c>
      <c r="H23" s="2">
        <v>1000</v>
      </c>
      <c r="I23" s="2">
        <f>VLOOKUP(D23,'SEMANA 41'!D23:N95,11,0)</f>
        <v>0</v>
      </c>
      <c r="J23" s="2"/>
      <c r="K23" s="2"/>
      <c r="L23" s="2"/>
      <c r="M23" s="2"/>
      <c r="N23" s="8">
        <f t="shared" si="0"/>
        <v>0</v>
      </c>
      <c r="O23" s="2"/>
      <c r="P23" s="2"/>
      <c r="Q23" s="2"/>
      <c r="R23" s="2"/>
      <c r="S23" s="2"/>
      <c r="T23" s="2"/>
      <c r="U23" s="2">
        <v>1000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7">
        <f t="shared" si="1"/>
        <v>19</v>
      </c>
      <c r="AK23" s="7">
        <v>1000</v>
      </c>
      <c r="AL23" s="7">
        <v>0</v>
      </c>
      <c r="AM23" s="8">
        <f t="shared" si="2"/>
        <v>0</v>
      </c>
      <c r="AN23" s="8">
        <v>0</v>
      </c>
      <c r="AO23" s="8">
        <f t="shared" si="3"/>
        <v>0</v>
      </c>
      <c r="AP23" s="8">
        <f t="shared" si="4"/>
        <v>0</v>
      </c>
      <c r="AQ23" s="8">
        <v>0</v>
      </c>
      <c r="AR23" s="8">
        <v>0</v>
      </c>
      <c r="AS23" s="8" t="s">
        <v>119</v>
      </c>
      <c r="AT23" s="8" t="s">
        <v>121</v>
      </c>
      <c r="AV23"/>
      <c r="AW23"/>
      <c r="AX23"/>
      <c r="BA23" s="1">
        <v>0</v>
      </c>
    </row>
    <row r="24" spans="2:53" x14ac:dyDescent="0.25">
      <c r="B24" s="2" t="s">
        <v>87</v>
      </c>
      <c r="C24" s="2" t="s">
        <v>88</v>
      </c>
      <c r="D24" s="2" t="s">
        <v>16</v>
      </c>
      <c r="E24" s="2" t="s">
        <v>17</v>
      </c>
      <c r="F24" s="2">
        <v>2.8000000000000001E-2</v>
      </c>
      <c r="G24" s="3">
        <v>8.5999999999999993E-2</v>
      </c>
      <c r="H24" s="2">
        <v>600</v>
      </c>
      <c r="I24" s="2">
        <f>VLOOKUP(D24,'SEMANA 41'!D24:N96,11,0)</f>
        <v>0</v>
      </c>
      <c r="J24" s="2"/>
      <c r="K24" s="2"/>
      <c r="L24" s="2"/>
      <c r="M24" s="2"/>
      <c r="N24" s="8">
        <f t="shared" si="0"/>
        <v>600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7">
        <f t="shared" si="1"/>
        <v>51.599999999999994</v>
      </c>
      <c r="AK24" s="7">
        <v>100</v>
      </c>
      <c r="AL24" s="7">
        <v>0</v>
      </c>
      <c r="AM24" s="8">
        <f t="shared" si="2"/>
        <v>0</v>
      </c>
      <c r="AN24" s="8">
        <v>0</v>
      </c>
      <c r="AO24" s="8">
        <f t="shared" si="3"/>
        <v>0</v>
      </c>
      <c r="AP24" s="8">
        <f t="shared" si="4"/>
        <v>0</v>
      </c>
      <c r="AQ24" s="8">
        <v>0</v>
      </c>
      <c r="AR24" s="8">
        <v>0</v>
      </c>
      <c r="AS24" s="8" t="s">
        <v>119</v>
      </c>
      <c r="AT24" s="8" t="s">
        <v>121</v>
      </c>
      <c r="AV24"/>
      <c r="AW24"/>
      <c r="AX24"/>
      <c r="BA24" s="1">
        <v>-55</v>
      </c>
    </row>
    <row r="25" spans="2:53" x14ac:dyDescent="0.25">
      <c r="B25" s="2" t="s">
        <v>87</v>
      </c>
      <c r="C25" s="2" t="s">
        <v>88</v>
      </c>
      <c r="D25" s="2" t="s">
        <v>18</v>
      </c>
      <c r="E25" s="2" t="s">
        <v>17</v>
      </c>
      <c r="F25" s="2">
        <v>2.8000000000000001E-2</v>
      </c>
      <c r="G25" s="3">
        <v>0.11700000000000001</v>
      </c>
      <c r="H25" s="2">
        <v>600</v>
      </c>
      <c r="I25" s="2">
        <f>VLOOKUP(D25,'SEMANA 41'!D25:N97,11,0)</f>
        <v>0</v>
      </c>
      <c r="J25" s="2"/>
      <c r="K25" s="2"/>
      <c r="L25" s="2"/>
      <c r="M25" s="2"/>
      <c r="N25" s="8">
        <f t="shared" si="0"/>
        <v>600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7">
        <f t="shared" si="1"/>
        <v>70.2</v>
      </c>
      <c r="AK25" s="7">
        <v>100</v>
      </c>
      <c r="AL25" s="7">
        <v>0</v>
      </c>
      <c r="AM25" s="8">
        <f t="shared" si="2"/>
        <v>0</v>
      </c>
      <c r="AN25" s="8">
        <v>0</v>
      </c>
      <c r="AO25" s="8">
        <f t="shared" si="3"/>
        <v>0</v>
      </c>
      <c r="AP25" s="8">
        <f t="shared" si="4"/>
        <v>0</v>
      </c>
      <c r="AQ25" s="8">
        <v>0</v>
      </c>
      <c r="AR25" s="8">
        <v>0</v>
      </c>
      <c r="AS25" s="8" t="s">
        <v>119</v>
      </c>
      <c r="AT25" s="8" t="s">
        <v>121</v>
      </c>
      <c r="AV25"/>
      <c r="AW25"/>
      <c r="AX25"/>
      <c r="BA25" s="1">
        <v>0</v>
      </c>
    </row>
    <row r="26" spans="2:53" x14ac:dyDescent="0.25">
      <c r="B26" s="2" t="s">
        <v>87</v>
      </c>
      <c r="C26" s="2" t="s">
        <v>88</v>
      </c>
      <c r="D26" s="2" t="s">
        <v>19</v>
      </c>
      <c r="E26" s="2" t="s">
        <v>17</v>
      </c>
      <c r="F26" s="2">
        <v>2.8000000000000001E-2</v>
      </c>
      <c r="G26" s="3">
        <v>0.129</v>
      </c>
      <c r="H26" s="2">
        <v>600</v>
      </c>
      <c r="I26" s="2">
        <f>VLOOKUP(D26,'SEMANA 41'!D26:N98,11,0)</f>
        <v>0</v>
      </c>
      <c r="J26" s="2"/>
      <c r="K26" s="2"/>
      <c r="L26" s="2"/>
      <c r="M26" s="2"/>
      <c r="N26" s="8">
        <f t="shared" si="0"/>
        <v>200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>
        <v>400</v>
      </c>
      <c r="AC26" s="2"/>
      <c r="AD26" s="2"/>
      <c r="AE26" s="2"/>
      <c r="AF26" s="2"/>
      <c r="AG26" s="2"/>
      <c r="AH26" s="2"/>
      <c r="AI26" s="2"/>
      <c r="AJ26" s="7">
        <f t="shared" si="1"/>
        <v>77.400000000000006</v>
      </c>
      <c r="AK26" s="7">
        <v>100</v>
      </c>
      <c r="AL26" s="7">
        <v>0</v>
      </c>
      <c r="AM26" s="8">
        <f t="shared" si="2"/>
        <v>0</v>
      </c>
      <c r="AN26" s="8">
        <v>0</v>
      </c>
      <c r="AO26" s="8">
        <f t="shared" si="3"/>
        <v>0</v>
      </c>
      <c r="AP26" s="8">
        <f t="shared" si="4"/>
        <v>0</v>
      </c>
      <c r="AQ26" s="8">
        <v>0</v>
      </c>
      <c r="AR26" s="8">
        <v>0</v>
      </c>
      <c r="AS26" s="8" t="s">
        <v>119</v>
      </c>
      <c r="AT26" s="8" t="s">
        <v>121</v>
      </c>
      <c r="AV26"/>
      <c r="AW26"/>
      <c r="AX26"/>
      <c r="BA26" s="1">
        <v>-25</v>
      </c>
    </row>
    <row r="27" spans="2:53" x14ac:dyDescent="0.25">
      <c r="B27" s="2" t="s">
        <v>87</v>
      </c>
      <c r="C27" s="2" t="s">
        <v>88</v>
      </c>
      <c r="D27" s="2" t="s">
        <v>20</v>
      </c>
      <c r="E27" s="2" t="s">
        <v>17</v>
      </c>
      <c r="F27" s="2">
        <v>2.8000000000000001E-2</v>
      </c>
      <c r="G27" s="3">
        <v>0.11899999999999999</v>
      </c>
      <c r="H27" s="2">
        <v>1800</v>
      </c>
      <c r="I27" s="2">
        <f>VLOOKUP(D27,'SEMANA 41'!D27:N99,11,0)</f>
        <v>150</v>
      </c>
      <c r="J27" s="2"/>
      <c r="K27" s="2"/>
      <c r="L27" s="2"/>
      <c r="M27" s="2"/>
      <c r="N27" s="8">
        <f t="shared" si="0"/>
        <v>138</v>
      </c>
      <c r="O27" s="2"/>
      <c r="P27" s="2"/>
      <c r="Q27" s="2"/>
      <c r="R27" s="2"/>
      <c r="S27" s="2"/>
      <c r="T27" s="2"/>
      <c r="U27" s="2"/>
      <c r="V27" s="2"/>
      <c r="W27" s="2">
        <v>87</v>
      </c>
      <c r="X27" s="2"/>
      <c r="Y27" s="2"/>
      <c r="Z27" s="2"/>
      <c r="AA27" s="2">
        <v>1200</v>
      </c>
      <c r="AB27" s="2">
        <v>525</v>
      </c>
      <c r="AC27" s="2"/>
      <c r="AD27" s="2"/>
      <c r="AE27" s="2"/>
      <c r="AF27" s="2"/>
      <c r="AG27" s="2"/>
      <c r="AH27" s="2"/>
      <c r="AI27" s="2"/>
      <c r="AJ27" s="7">
        <f t="shared" si="1"/>
        <v>232.04999999999998</v>
      </c>
      <c r="AK27" s="7">
        <v>100</v>
      </c>
      <c r="AL27" s="7">
        <v>0</v>
      </c>
      <c r="AM27" s="8">
        <f t="shared" si="2"/>
        <v>0</v>
      </c>
      <c r="AN27" s="8">
        <v>0</v>
      </c>
      <c r="AO27" s="8">
        <f t="shared" si="3"/>
        <v>0</v>
      </c>
      <c r="AP27" s="8">
        <f t="shared" si="4"/>
        <v>0</v>
      </c>
      <c r="AQ27" s="8">
        <v>0</v>
      </c>
      <c r="AR27" s="8">
        <v>0</v>
      </c>
      <c r="AS27" s="8" t="s">
        <v>119</v>
      </c>
      <c r="AT27" s="8" t="s">
        <v>121</v>
      </c>
      <c r="AV27"/>
      <c r="AW27"/>
      <c r="AX27"/>
      <c r="BA27" s="1">
        <v>-250</v>
      </c>
    </row>
    <row r="28" spans="2:53" hidden="1" x14ac:dyDescent="0.25">
      <c r="B28" s="2" t="s">
        <v>87</v>
      </c>
      <c r="C28" s="2" t="s">
        <v>88</v>
      </c>
      <c r="D28" s="2" t="s">
        <v>21</v>
      </c>
      <c r="E28" s="2" t="s">
        <v>17</v>
      </c>
      <c r="F28" s="2">
        <v>2.8000000000000001E-2</v>
      </c>
      <c r="G28" s="3">
        <v>0.127</v>
      </c>
      <c r="H28" s="2">
        <v>1200</v>
      </c>
      <c r="I28" s="2">
        <f>VLOOKUP(D28,'SEMANA 41'!D28:N100,11,0)</f>
        <v>0</v>
      </c>
      <c r="J28" s="2"/>
      <c r="K28" s="2"/>
      <c r="L28" s="2"/>
      <c r="M28" s="2"/>
      <c r="N28" s="8">
        <f t="shared" si="0"/>
        <v>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>
        <v>600</v>
      </c>
      <c r="Z28" s="2">
        <v>600</v>
      </c>
      <c r="AA28" s="2"/>
      <c r="AB28" s="2"/>
      <c r="AC28" s="2"/>
      <c r="AD28" s="2"/>
      <c r="AE28" s="2"/>
      <c r="AF28" s="2"/>
      <c r="AG28" s="2"/>
      <c r="AH28" s="2"/>
      <c r="AI28" s="2"/>
      <c r="AJ28" s="7">
        <f t="shared" si="1"/>
        <v>152.4</v>
      </c>
      <c r="AK28" s="7">
        <v>100</v>
      </c>
      <c r="AL28" s="7">
        <v>0</v>
      </c>
      <c r="AM28" s="8">
        <f t="shared" si="2"/>
        <v>0</v>
      </c>
      <c r="AN28" s="8">
        <v>0</v>
      </c>
      <c r="AO28" s="8">
        <f t="shared" si="3"/>
        <v>0</v>
      </c>
      <c r="AP28" s="8">
        <f t="shared" si="4"/>
        <v>0</v>
      </c>
      <c r="AQ28" s="8">
        <v>0</v>
      </c>
      <c r="AR28" s="8">
        <v>0</v>
      </c>
      <c r="AS28" s="8" t="s">
        <v>119</v>
      </c>
      <c r="AT28" s="8" t="s">
        <v>121</v>
      </c>
      <c r="BA28" s="1">
        <v>0</v>
      </c>
    </row>
    <row r="29" spans="2:53" hidden="1" x14ac:dyDescent="0.25">
      <c r="B29" s="2" t="s">
        <v>87</v>
      </c>
      <c r="C29" s="2" t="s">
        <v>88</v>
      </c>
      <c r="D29" s="2" t="s">
        <v>22</v>
      </c>
      <c r="E29" s="2" t="s">
        <v>17</v>
      </c>
      <c r="F29" s="2">
        <v>2.8000000000000001E-2</v>
      </c>
      <c r="G29" s="3">
        <v>0.114</v>
      </c>
      <c r="H29" s="2">
        <v>1200</v>
      </c>
      <c r="I29" s="2">
        <f>VLOOKUP(D29,'SEMANA 41'!D29:N101,11,0)</f>
        <v>-129</v>
      </c>
      <c r="J29" s="2"/>
      <c r="K29" s="2"/>
      <c r="L29" s="2"/>
      <c r="M29" s="2"/>
      <c r="N29" s="8">
        <f t="shared" si="0"/>
        <v>0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>
        <v>400</v>
      </c>
      <c r="Z29" s="2"/>
      <c r="AA29" s="2">
        <v>600</v>
      </c>
      <c r="AB29" s="2"/>
      <c r="AC29" s="2"/>
      <c r="AD29" s="2"/>
      <c r="AE29" s="2"/>
      <c r="AF29" s="2"/>
      <c r="AG29" s="2"/>
      <c r="AH29" s="2"/>
      <c r="AI29" s="2">
        <v>71</v>
      </c>
      <c r="AJ29" s="7">
        <f t="shared" si="1"/>
        <v>122.09400000000001</v>
      </c>
      <c r="AK29" s="7">
        <v>100</v>
      </c>
      <c r="AL29" s="7">
        <v>0</v>
      </c>
      <c r="AM29" s="8">
        <f t="shared" si="2"/>
        <v>0</v>
      </c>
      <c r="AN29" s="8">
        <v>0</v>
      </c>
      <c r="AO29" s="8">
        <f t="shared" si="3"/>
        <v>0</v>
      </c>
      <c r="AP29" s="8">
        <f t="shared" si="4"/>
        <v>0</v>
      </c>
      <c r="AQ29" s="8">
        <v>0</v>
      </c>
      <c r="AR29" s="8">
        <v>0</v>
      </c>
      <c r="AS29" s="8" t="s">
        <v>119</v>
      </c>
      <c r="AT29" s="8" t="s">
        <v>121</v>
      </c>
      <c r="BA29" s="1">
        <v>-55</v>
      </c>
    </row>
    <row r="30" spans="2:53" x14ac:dyDescent="0.25">
      <c r="B30" s="2" t="s">
        <v>87</v>
      </c>
      <c r="C30" s="2" t="s">
        <v>88</v>
      </c>
      <c r="D30" s="2" t="s">
        <v>23</v>
      </c>
      <c r="E30" s="2" t="s">
        <v>17</v>
      </c>
      <c r="F30" s="2">
        <v>2.8000000000000001E-2</v>
      </c>
      <c r="G30" s="3">
        <v>6.9000000000000006E-2</v>
      </c>
      <c r="H30" s="2">
        <v>600</v>
      </c>
      <c r="I30" s="2">
        <f>VLOOKUP(D30,'SEMANA 41'!D30:N102,11,0)</f>
        <v>0</v>
      </c>
      <c r="J30" s="2"/>
      <c r="K30" s="2"/>
      <c r="L30" s="2"/>
      <c r="M30" s="2"/>
      <c r="N30" s="8">
        <f t="shared" si="0"/>
        <v>600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7">
        <f t="shared" si="1"/>
        <v>41.400000000000006</v>
      </c>
      <c r="AK30" s="7">
        <v>100</v>
      </c>
      <c r="AL30" s="7">
        <v>0</v>
      </c>
      <c r="AM30" s="8">
        <f t="shared" si="2"/>
        <v>0</v>
      </c>
      <c r="AN30" s="8">
        <v>0</v>
      </c>
      <c r="AO30" s="8">
        <f t="shared" si="3"/>
        <v>0</v>
      </c>
      <c r="AP30" s="8">
        <f t="shared" si="4"/>
        <v>0</v>
      </c>
      <c r="AQ30" s="8">
        <v>0</v>
      </c>
      <c r="AR30" s="8">
        <v>0</v>
      </c>
      <c r="AS30" s="8" t="s">
        <v>119</v>
      </c>
      <c r="AT30" s="8" t="s">
        <v>121</v>
      </c>
      <c r="BA30" s="1">
        <v>-50</v>
      </c>
    </row>
    <row r="31" spans="2:53" hidden="1" x14ac:dyDescent="0.25">
      <c r="B31" s="2" t="s">
        <v>87</v>
      </c>
      <c r="C31" s="2" t="s">
        <v>88</v>
      </c>
      <c r="D31" s="2" t="s">
        <v>24</v>
      </c>
      <c r="E31" s="2" t="s">
        <v>17</v>
      </c>
      <c r="F31" s="2">
        <v>2.8000000000000001E-2</v>
      </c>
      <c r="G31" s="3">
        <v>0.129</v>
      </c>
      <c r="H31" s="2">
        <v>0</v>
      </c>
      <c r="I31" s="2">
        <f>VLOOKUP(D31,'SEMANA 41'!D31:N103,11,0)</f>
        <v>-16</v>
      </c>
      <c r="J31" s="2"/>
      <c r="K31" s="2"/>
      <c r="L31" s="2"/>
      <c r="M31" s="2"/>
      <c r="N31" s="8">
        <f t="shared" si="0"/>
        <v>-16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7">
        <f t="shared" si="1"/>
        <v>-2.0640000000000001</v>
      </c>
      <c r="AK31" s="7">
        <v>100</v>
      </c>
      <c r="AL31" s="7">
        <v>0</v>
      </c>
      <c r="AM31" s="8">
        <f t="shared" si="2"/>
        <v>0</v>
      </c>
      <c r="AN31" s="8">
        <v>0</v>
      </c>
      <c r="AO31" s="8">
        <f t="shared" si="3"/>
        <v>0</v>
      </c>
      <c r="AP31" s="8">
        <f t="shared" si="4"/>
        <v>0</v>
      </c>
      <c r="AQ31" s="8">
        <v>0</v>
      </c>
      <c r="AR31" s="8">
        <v>0</v>
      </c>
      <c r="AS31" s="8" t="s">
        <v>119</v>
      </c>
      <c r="AT31" s="8" t="s">
        <v>121</v>
      </c>
      <c r="BA31" s="1">
        <v>0</v>
      </c>
    </row>
    <row r="32" spans="2:53" hidden="1" x14ac:dyDescent="0.25">
      <c r="B32" s="2" t="s">
        <v>87</v>
      </c>
      <c r="C32" s="2" t="s">
        <v>88</v>
      </c>
      <c r="D32" s="2" t="s">
        <v>25</v>
      </c>
      <c r="E32" s="2" t="s">
        <v>17</v>
      </c>
      <c r="F32" s="2">
        <v>2.8000000000000001E-2</v>
      </c>
      <c r="G32" s="3">
        <v>7.8E-2</v>
      </c>
      <c r="H32" s="2">
        <v>1200</v>
      </c>
      <c r="I32" s="2">
        <f>VLOOKUP(D32,'SEMANA 41'!D32:N104,11,0)</f>
        <v>0</v>
      </c>
      <c r="J32" s="2"/>
      <c r="K32" s="2"/>
      <c r="L32" s="2"/>
      <c r="M32" s="2"/>
      <c r="N32" s="8">
        <f t="shared" si="0"/>
        <v>0</v>
      </c>
      <c r="O32" s="2"/>
      <c r="P32" s="2"/>
      <c r="Q32" s="2"/>
      <c r="R32" s="2"/>
      <c r="S32" s="2"/>
      <c r="T32" s="2"/>
      <c r="U32" s="2"/>
      <c r="V32" s="2">
        <v>800</v>
      </c>
      <c r="W32" s="2">
        <v>400</v>
      </c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7">
        <f t="shared" si="1"/>
        <v>93.6</v>
      </c>
      <c r="AK32" s="7">
        <v>100</v>
      </c>
      <c r="AL32" s="7">
        <v>0</v>
      </c>
      <c r="AM32" s="8">
        <f t="shared" si="2"/>
        <v>0</v>
      </c>
      <c r="AN32" s="8">
        <v>0</v>
      </c>
      <c r="AO32" s="8">
        <f t="shared" si="3"/>
        <v>0</v>
      </c>
      <c r="AP32" s="8">
        <f t="shared" si="4"/>
        <v>0</v>
      </c>
      <c r="AQ32" s="8">
        <v>0</v>
      </c>
      <c r="AR32" s="8">
        <v>0</v>
      </c>
      <c r="AS32" s="8" t="s">
        <v>119</v>
      </c>
      <c r="AT32" s="8" t="s">
        <v>121</v>
      </c>
      <c r="BA32" s="1">
        <v>307</v>
      </c>
    </row>
    <row r="33" spans="2:53" hidden="1" x14ac:dyDescent="0.25">
      <c r="B33" s="2" t="s">
        <v>87</v>
      </c>
      <c r="C33" s="2" t="s">
        <v>88</v>
      </c>
      <c r="D33" s="2" t="s">
        <v>26</v>
      </c>
      <c r="E33" s="2" t="s">
        <v>17</v>
      </c>
      <c r="F33" s="2">
        <v>2.8000000000000001E-2</v>
      </c>
      <c r="G33" s="3">
        <v>0.10100000000000001</v>
      </c>
      <c r="H33" s="2">
        <v>0</v>
      </c>
      <c r="I33" s="2">
        <f>VLOOKUP(D33,'SEMANA 41'!D33:N105,11,0)</f>
        <v>0</v>
      </c>
      <c r="J33" s="2"/>
      <c r="K33" s="2"/>
      <c r="L33" s="2"/>
      <c r="M33" s="2"/>
      <c r="N33" s="8">
        <f t="shared" si="0"/>
        <v>0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7">
        <f t="shared" si="1"/>
        <v>0</v>
      </c>
      <c r="AK33" s="7">
        <v>100</v>
      </c>
      <c r="AL33" s="7">
        <v>0</v>
      </c>
      <c r="AM33" s="8">
        <f t="shared" si="2"/>
        <v>0</v>
      </c>
      <c r="AN33" s="8">
        <v>0</v>
      </c>
      <c r="AO33" s="8">
        <f t="shared" si="3"/>
        <v>0</v>
      </c>
      <c r="AP33" s="8">
        <f t="shared" si="4"/>
        <v>0</v>
      </c>
      <c r="AQ33" s="8">
        <v>0</v>
      </c>
      <c r="AR33" s="8">
        <v>0</v>
      </c>
      <c r="AS33" s="8" t="s">
        <v>119</v>
      </c>
      <c r="AT33" s="8" t="s">
        <v>121</v>
      </c>
      <c r="BA33" s="1">
        <v>-77</v>
      </c>
    </row>
    <row r="34" spans="2:53" hidden="1" x14ac:dyDescent="0.25">
      <c r="B34" s="2" t="s">
        <v>87</v>
      </c>
      <c r="C34" s="2" t="s">
        <v>88</v>
      </c>
      <c r="D34" s="2" t="s">
        <v>27</v>
      </c>
      <c r="E34" s="2" t="s">
        <v>17</v>
      </c>
      <c r="F34" s="2">
        <v>2.8000000000000001E-2</v>
      </c>
      <c r="G34" s="3">
        <v>7.5999999999999998E-2</v>
      </c>
      <c r="H34" s="2">
        <v>0</v>
      </c>
      <c r="I34" s="2">
        <f>VLOOKUP(D34,'SEMANA 41'!D34:N106,11,0)</f>
        <v>0</v>
      </c>
      <c r="J34" s="2"/>
      <c r="K34" s="2"/>
      <c r="L34" s="2"/>
      <c r="M34" s="2"/>
      <c r="N34" s="8">
        <f t="shared" si="0"/>
        <v>0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7">
        <f t="shared" si="1"/>
        <v>0</v>
      </c>
      <c r="AK34" s="7">
        <v>100</v>
      </c>
      <c r="AL34" s="7">
        <v>0</v>
      </c>
      <c r="AM34" s="8">
        <f t="shared" si="2"/>
        <v>0</v>
      </c>
      <c r="AN34" s="8">
        <v>0</v>
      </c>
      <c r="AO34" s="8">
        <f t="shared" si="3"/>
        <v>0</v>
      </c>
      <c r="AP34" s="8">
        <f t="shared" si="4"/>
        <v>0</v>
      </c>
      <c r="AQ34" s="8">
        <v>0</v>
      </c>
      <c r="AR34" s="8">
        <v>0</v>
      </c>
      <c r="AS34" s="8" t="s">
        <v>119</v>
      </c>
      <c r="AT34" s="8" t="s">
        <v>121</v>
      </c>
      <c r="BA34" s="1">
        <v>300</v>
      </c>
    </row>
    <row r="35" spans="2:53" x14ac:dyDescent="0.25">
      <c r="B35" s="2" t="s">
        <v>87</v>
      </c>
      <c r="C35" s="2" t="s">
        <v>88</v>
      </c>
      <c r="D35" s="2" t="s">
        <v>28</v>
      </c>
      <c r="E35" s="2" t="s">
        <v>17</v>
      </c>
      <c r="F35" s="2">
        <v>2.8000000000000001E-2</v>
      </c>
      <c r="G35" s="3">
        <v>4.2000000000000003E-2</v>
      </c>
      <c r="H35" s="2">
        <v>1200</v>
      </c>
      <c r="I35" s="2">
        <f>VLOOKUP(D35,'SEMANA 41'!D35:N107,11,0)</f>
        <v>0</v>
      </c>
      <c r="J35" s="2"/>
      <c r="K35" s="2"/>
      <c r="L35" s="2"/>
      <c r="M35" s="2"/>
      <c r="N35" s="8">
        <f t="shared" si="0"/>
        <v>100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>
        <v>1100</v>
      </c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7">
        <f t="shared" si="1"/>
        <v>50.400000000000006</v>
      </c>
      <c r="AK35" s="7">
        <v>100</v>
      </c>
      <c r="AL35" s="7">
        <v>0</v>
      </c>
      <c r="AM35" s="8">
        <f t="shared" si="2"/>
        <v>0</v>
      </c>
      <c r="AN35" s="8">
        <v>0</v>
      </c>
      <c r="AO35" s="8">
        <f t="shared" si="3"/>
        <v>0</v>
      </c>
      <c r="AP35" s="8">
        <f t="shared" si="4"/>
        <v>0</v>
      </c>
      <c r="AQ35" s="8">
        <v>0</v>
      </c>
      <c r="AR35" s="8">
        <v>0</v>
      </c>
      <c r="AS35" s="8" t="s">
        <v>119</v>
      </c>
      <c r="AT35" s="8" t="s">
        <v>121</v>
      </c>
      <c r="BA35" s="1">
        <v>-445</v>
      </c>
    </row>
    <row r="36" spans="2:53" x14ac:dyDescent="0.25">
      <c r="B36" s="2" t="s">
        <v>87</v>
      </c>
      <c r="C36" s="2" t="s">
        <v>88</v>
      </c>
      <c r="D36" s="2" t="s">
        <v>29</v>
      </c>
      <c r="E36" s="2" t="s">
        <v>17</v>
      </c>
      <c r="F36" s="2">
        <v>2.8000000000000001E-2</v>
      </c>
      <c r="G36" s="3">
        <v>0.105</v>
      </c>
      <c r="H36" s="2">
        <v>1200</v>
      </c>
      <c r="I36" s="2">
        <f>VLOOKUP(D36,'SEMANA 41'!D36:N108,11,0)</f>
        <v>100</v>
      </c>
      <c r="J36" s="2"/>
      <c r="K36" s="2"/>
      <c r="L36" s="2"/>
      <c r="M36" s="2"/>
      <c r="N36" s="8">
        <f t="shared" si="0"/>
        <v>100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>
        <v>1200</v>
      </c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7">
        <f t="shared" si="1"/>
        <v>136.5</v>
      </c>
      <c r="AK36" s="7">
        <v>100</v>
      </c>
      <c r="AL36" s="7">
        <v>0</v>
      </c>
      <c r="AM36" s="8">
        <f t="shared" si="2"/>
        <v>0</v>
      </c>
      <c r="AN36" s="8">
        <v>0</v>
      </c>
      <c r="AO36" s="8">
        <f t="shared" si="3"/>
        <v>0</v>
      </c>
      <c r="AP36" s="8">
        <f t="shared" si="4"/>
        <v>0</v>
      </c>
      <c r="AQ36" s="8">
        <v>0</v>
      </c>
      <c r="AR36" s="8">
        <v>0</v>
      </c>
      <c r="AS36" s="8" t="s">
        <v>119</v>
      </c>
      <c r="AT36" s="8" t="s">
        <v>121</v>
      </c>
      <c r="BA36" s="1">
        <v>-83</v>
      </c>
    </row>
    <row r="37" spans="2:53" hidden="1" x14ac:dyDescent="0.25">
      <c r="B37" s="2" t="s">
        <v>87</v>
      </c>
      <c r="C37" s="2" t="s">
        <v>88</v>
      </c>
      <c r="D37" s="2" t="s">
        <v>30</v>
      </c>
      <c r="E37" s="2" t="s">
        <v>17</v>
      </c>
      <c r="F37" s="2">
        <v>2.8000000000000001E-2</v>
      </c>
      <c r="G37" s="3">
        <v>0.14299999999999999</v>
      </c>
      <c r="H37" s="2">
        <v>0</v>
      </c>
      <c r="I37" s="2">
        <f>VLOOKUP(D37,'SEMANA 41'!D37:N109,11,0)</f>
        <v>-490</v>
      </c>
      <c r="J37" s="2"/>
      <c r="K37" s="2"/>
      <c r="L37" s="2"/>
      <c r="M37" s="2"/>
      <c r="N37" s="8">
        <f t="shared" si="0"/>
        <v>-490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7">
        <f t="shared" si="1"/>
        <v>-70.069999999999993</v>
      </c>
      <c r="AK37" s="7">
        <v>100</v>
      </c>
      <c r="AL37" s="7">
        <v>0</v>
      </c>
      <c r="AM37" s="8">
        <f t="shared" si="2"/>
        <v>0</v>
      </c>
      <c r="AN37" s="8">
        <v>0</v>
      </c>
      <c r="AO37" s="8">
        <f t="shared" si="3"/>
        <v>0</v>
      </c>
      <c r="AP37" s="8">
        <f t="shared" si="4"/>
        <v>0</v>
      </c>
      <c r="AQ37" s="8">
        <v>0</v>
      </c>
      <c r="AR37" s="8">
        <v>0</v>
      </c>
      <c r="AS37" s="8" t="s">
        <v>119</v>
      </c>
      <c r="AT37" s="8" t="s">
        <v>121</v>
      </c>
      <c r="BA37" s="1">
        <v>0</v>
      </c>
    </row>
    <row r="38" spans="2:53" hidden="1" x14ac:dyDescent="0.25">
      <c r="B38" s="2" t="s">
        <v>87</v>
      </c>
      <c r="C38" s="2" t="s">
        <v>88</v>
      </c>
      <c r="D38" s="2" t="s">
        <v>31</v>
      </c>
      <c r="E38" s="2" t="s">
        <v>17</v>
      </c>
      <c r="F38" s="2">
        <v>2.8000000000000001E-2</v>
      </c>
      <c r="G38" s="3">
        <v>4.5999999999999999E-2</v>
      </c>
      <c r="H38" s="2">
        <v>600</v>
      </c>
      <c r="I38" s="2">
        <f>VLOOKUP(D38,'SEMANA 41'!D38:N110,11,0)</f>
        <v>0</v>
      </c>
      <c r="J38" s="2"/>
      <c r="K38" s="2"/>
      <c r="L38" s="2"/>
      <c r="M38" s="2"/>
      <c r="N38" s="8">
        <f t="shared" si="0"/>
        <v>-218</v>
      </c>
      <c r="O38" s="2"/>
      <c r="P38" s="2"/>
      <c r="Q38" s="2"/>
      <c r="R38" s="2"/>
      <c r="S38" s="2"/>
      <c r="T38" s="2"/>
      <c r="U38" s="2"/>
      <c r="V38" s="2"/>
      <c r="W38" s="2">
        <v>818</v>
      </c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7">
        <f t="shared" si="1"/>
        <v>27.599999999999998</v>
      </c>
      <c r="AK38" s="7">
        <v>100</v>
      </c>
      <c r="AL38" s="7">
        <v>0</v>
      </c>
      <c r="AM38" s="8">
        <f t="shared" si="2"/>
        <v>0</v>
      </c>
      <c r="AN38" s="8">
        <v>0</v>
      </c>
      <c r="AO38" s="8">
        <f t="shared" si="3"/>
        <v>0</v>
      </c>
      <c r="AP38" s="8">
        <f t="shared" si="4"/>
        <v>0</v>
      </c>
      <c r="AQ38" s="8">
        <v>0</v>
      </c>
      <c r="AR38" s="8">
        <v>0</v>
      </c>
      <c r="AS38" s="8" t="s">
        <v>119</v>
      </c>
      <c r="AT38" s="8" t="s">
        <v>121</v>
      </c>
      <c r="BA38" s="1">
        <v>300</v>
      </c>
    </row>
    <row r="39" spans="2:53" x14ac:dyDescent="0.25">
      <c r="B39" s="2" t="s">
        <v>87</v>
      </c>
      <c r="C39" s="2" t="s">
        <v>88</v>
      </c>
      <c r="D39" s="2" t="s">
        <v>32</v>
      </c>
      <c r="E39" s="2" t="s">
        <v>17</v>
      </c>
      <c r="F39" s="2">
        <v>2.8000000000000001E-2</v>
      </c>
      <c r="G39" s="3">
        <v>0.129</v>
      </c>
      <c r="H39" s="2">
        <v>1200</v>
      </c>
      <c r="I39" s="2">
        <f>VLOOKUP(D39,'SEMANA 41'!D39:N111,11,0)</f>
        <v>0</v>
      </c>
      <c r="J39" s="2"/>
      <c r="K39" s="2"/>
      <c r="L39" s="2"/>
      <c r="M39" s="2"/>
      <c r="N39" s="8">
        <f t="shared" si="0"/>
        <v>100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>
        <v>500</v>
      </c>
      <c r="AB39" s="2">
        <v>600</v>
      </c>
      <c r="AC39" s="2"/>
      <c r="AD39" s="2"/>
      <c r="AE39" s="2"/>
      <c r="AF39" s="2"/>
      <c r="AG39" s="2"/>
      <c r="AH39" s="2"/>
      <c r="AI39" s="2"/>
      <c r="AJ39" s="7">
        <f t="shared" si="1"/>
        <v>154.80000000000001</v>
      </c>
      <c r="AK39" s="7">
        <v>100</v>
      </c>
      <c r="AL39" s="7">
        <v>0</v>
      </c>
      <c r="AM39" s="8">
        <f t="shared" si="2"/>
        <v>0</v>
      </c>
      <c r="AN39" s="8">
        <v>0</v>
      </c>
      <c r="AO39" s="8">
        <f t="shared" si="3"/>
        <v>0</v>
      </c>
      <c r="AP39" s="8">
        <f t="shared" si="4"/>
        <v>0</v>
      </c>
      <c r="AQ39" s="8">
        <v>0</v>
      </c>
      <c r="AR39" s="8">
        <v>0</v>
      </c>
      <c r="AS39" s="8" t="s">
        <v>119</v>
      </c>
      <c r="AT39" s="8" t="s">
        <v>121</v>
      </c>
      <c r="BA39" s="1">
        <v>500</v>
      </c>
    </row>
    <row r="40" spans="2:53" hidden="1" x14ac:dyDescent="0.25">
      <c r="B40" s="2" t="s">
        <v>87</v>
      </c>
      <c r="C40" s="2" t="s">
        <v>88</v>
      </c>
      <c r="D40" s="2" t="s">
        <v>33</v>
      </c>
      <c r="E40" s="2" t="s">
        <v>17</v>
      </c>
      <c r="F40" s="2">
        <v>2.8000000000000001E-2</v>
      </c>
      <c r="G40" s="3">
        <v>0.13400000000000001</v>
      </c>
      <c r="H40" s="2">
        <v>0</v>
      </c>
      <c r="I40" s="2">
        <f>VLOOKUP(D40,'SEMANA 41'!D40:N112,11,0)</f>
        <v>0</v>
      </c>
      <c r="J40" s="2"/>
      <c r="K40" s="2"/>
      <c r="L40" s="2"/>
      <c r="M40" s="2"/>
      <c r="N40" s="8">
        <f t="shared" si="0"/>
        <v>0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7">
        <f t="shared" si="1"/>
        <v>0</v>
      </c>
      <c r="AK40" s="7">
        <v>100</v>
      </c>
      <c r="AL40" s="7">
        <v>0</v>
      </c>
      <c r="AM40" s="8">
        <f t="shared" si="2"/>
        <v>0</v>
      </c>
      <c r="AN40" s="8">
        <v>0</v>
      </c>
      <c r="AO40" s="8">
        <f t="shared" si="3"/>
        <v>0</v>
      </c>
      <c r="AP40" s="8">
        <f t="shared" si="4"/>
        <v>0</v>
      </c>
      <c r="AQ40" s="8">
        <v>0</v>
      </c>
      <c r="AR40" s="8">
        <v>0</v>
      </c>
      <c r="AS40" s="8" t="s">
        <v>119</v>
      </c>
      <c r="AT40" s="8" t="s">
        <v>121</v>
      </c>
      <c r="BA40" s="1">
        <v>300</v>
      </c>
    </row>
    <row r="41" spans="2:53" x14ac:dyDescent="0.25">
      <c r="B41" s="2" t="s">
        <v>87</v>
      </c>
      <c r="C41" s="2" t="s">
        <v>88</v>
      </c>
      <c r="D41" s="2" t="s">
        <v>34</v>
      </c>
      <c r="E41" s="2" t="s">
        <v>17</v>
      </c>
      <c r="F41" s="2">
        <v>2.8000000000000001E-2</v>
      </c>
      <c r="G41" s="3">
        <v>0.105</v>
      </c>
      <c r="H41" s="2">
        <v>600</v>
      </c>
      <c r="I41" s="2">
        <f>VLOOKUP(D41,'SEMANA 41'!D41:N113,11,0)</f>
        <v>0</v>
      </c>
      <c r="J41" s="2"/>
      <c r="K41" s="2"/>
      <c r="L41" s="2"/>
      <c r="M41" s="2"/>
      <c r="N41" s="8">
        <f t="shared" si="0"/>
        <v>600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7">
        <f t="shared" si="1"/>
        <v>63</v>
      </c>
      <c r="AK41" s="7">
        <v>100</v>
      </c>
      <c r="AL41" s="7">
        <v>0</v>
      </c>
      <c r="AM41" s="8">
        <f t="shared" si="2"/>
        <v>0</v>
      </c>
      <c r="AN41" s="8">
        <v>0</v>
      </c>
      <c r="AO41" s="8">
        <f t="shared" si="3"/>
        <v>0</v>
      </c>
      <c r="AP41" s="8">
        <f t="shared" si="4"/>
        <v>0</v>
      </c>
      <c r="AQ41" s="8">
        <v>0</v>
      </c>
      <c r="AR41" s="8">
        <v>0</v>
      </c>
      <c r="AS41" s="8" t="s">
        <v>119</v>
      </c>
      <c r="AT41" s="8" t="s">
        <v>121</v>
      </c>
      <c r="BA41" s="1">
        <v>0</v>
      </c>
    </row>
    <row r="42" spans="2:53" hidden="1" x14ac:dyDescent="0.25">
      <c r="B42" s="2" t="s">
        <v>87</v>
      </c>
      <c r="C42" s="2" t="s">
        <v>88</v>
      </c>
      <c r="D42" s="2" t="s">
        <v>35</v>
      </c>
      <c r="E42" s="2" t="s">
        <v>17</v>
      </c>
      <c r="F42" s="2">
        <v>2.8000000000000001E-2</v>
      </c>
      <c r="G42" s="3">
        <v>9.9000000000000005E-2</v>
      </c>
      <c r="H42" s="2">
        <v>0</v>
      </c>
      <c r="I42" s="2">
        <f>VLOOKUP(D42,'SEMANA 41'!D42:N114,11,0)</f>
        <v>0</v>
      </c>
      <c r="J42" s="2"/>
      <c r="K42" s="2"/>
      <c r="L42" s="2"/>
      <c r="M42" s="2"/>
      <c r="N42" s="8">
        <f t="shared" si="0"/>
        <v>0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7">
        <f t="shared" si="1"/>
        <v>0</v>
      </c>
      <c r="AK42" s="7">
        <v>100</v>
      </c>
      <c r="AL42" s="7">
        <v>0</v>
      </c>
      <c r="AM42" s="8">
        <f t="shared" si="2"/>
        <v>0</v>
      </c>
      <c r="AN42" s="8">
        <v>0</v>
      </c>
      <c r="AO42" s="8">
        <f t="shared" si="3"/>
        <v>0</v>
      </c>
      <c r="AP42" s="8">
        <f t="shared" si="4"/>
        <v>0</v>
      </c>
      <c r="AQ42" s="8">
        <v>0</v>
      </c>
      <c r="AR42" s="8">
        <v>0</v>
      </c>
      <c r="AS42" s="8" t="s">
        <v>119</v>
      </c>
      <c r="AT42" s="8" t="s">
        <v>121</v>
      </c>
      <c r="BA42" s="1">
        <v>300</v>
      </c>
    </row>
    <row r="43" spans="2:53" hidden="1" x14ac:dyDescent="0.25">
      <c r="B43" s="2" t="s">
        <v>87</v>
      </c>
      <c r="C43" s="2" t="s">
        <v>88</v>
      </c>
      <c r="D43" s="2" t="s">
        <v>36</v>
      </c>
      <c r="E43" s="2" t="s">
        <v>17</v>
      </c>
      <c r="F43" s="2">
        <v>2.8000000000000001E-2</v>
      </c>
      <c r="G43" s="3">
        <v>0.13100000000000001</v>
      </c>
      <c r="H43" s="2">
        <v>0</v>
      </c>
      <c r="I43" s="2">
        <f>VLOOKUP(D43,'SEMANA 41'!D43:N115,11,0)</f>
        <v>0</v>
      </c>
      <c r="J43" s="2"/>
      <c r="K43" s="2"/>
      <c r="L43" s="2"/>
      <c r="M43" s="2"/>
      <c r="N43" s="8">
        <f t="shared" ref="N43:N74" si="5">+H43+I43+J43+K43+L43+M43-SUM(O43:AI43)</f>
        <v>0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7">
        <f t="shared" ref="AJ43:AJ74" si="6">+G43*SUM(H43:M43)</f>
        <v>0</v>
      </c>
      <c r="AK43" s="7">
        <v>100</v>
      </c>
      <c r="AL43" s="7">
        <v>0</v>
      </c>
      <c r="AM43" s="8">
        <f t="shared" ref="AM43:AM74" si="7">+H43*AL43</f>
        <v>0</v>
      </c>
      <c r="AN43" s="8">
        <v>0</v>
      </c>
      <c r="AO43" s="8">
        <f t="shared" ref="AO43:AO74" si="8">+H43*AN43</f>
        <v>0</v>
      </c>
      <c r="AP43" s="8">
        <f t="shared" si="4"/>
        <v>0</v>
      </c>
      <c r="AQ43" s="8">
        <v>0</v>
      </c>
      <c r="AR43" s="8">
        <v>0</v>
      </c>
      <c r="AS43" s="8" t="s">
        <v>119</v>
      </c>
      <c r="AT43" s="8" t="s">
        <v>121</v>
      </c>
      <c r="BA43" s="1">
        <v>0</v>
      </c>
    </row>
    <row r="44" spans="2:53" x14ac:dyDescent="0.25">
      <c r="B44" s="2" t="s">
        <v>87</v>
      </c>
      <c r="C44" s="2" t="s">
        <v>88</v>
      </c>
      <c r="D44" s="2" t="s">
        <v>37</v>
      </c>
      <c r="E44" s="2" t="s">
        <v>17</v>
      </c>
      <c r="F44" s="2">
        <v>2.8000000000000001E-2</v>
      </c>
      <c r="G44" s="3">
        <v>9.4E-2</v>
      </c>
      <c r="H44" s="2">
        <v>600</v>
      </c>
      <c r="I44" s="2">
        <f>VLOOKUP(D44,'SEMANA 41'!D44:N116,11,0)</f>
        <v>0</v>
      </c>
      <c r="J44" s="2"/>
      <c r="K44" s="2"/>
      <c r="L44" s="2"/>
      <c r="M44" s="2"/>
      <c r="N44" s="8">
        <f t="shared" si="5"/>
        <v>600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7">
        <f t="shared" si="6"/>
        <v>56.4</v>
      </c>
      <c r="AK44" s="7">
        <v>100</v>
      </c>
      <c r="AL44" s="7">
        <v>0</v>
      </c>
      <c r="AM44" s="8">
        <f t="shared" si="7"/>
        <v>0</v>
      </c>
      <c r="AN44" s="8">
        <v>0</v>
      </c>
      <c r="AO44" s="8">
        <f t="shared" si="8"/>
        <v>0</v>
      </c>
      <c r="AP44" s="8">
        <f t="shared" si="4"/>
        <v>0</v>
      </c>
      <c r="AQ44" s="8">
        <v>0</v>
      </c>
      <c r="AR44" s="8">
        <v>0</v>
      </c>
      <c r="AS44" s="8" t="s">
        <v>119</v>
      </c>
      <c r="AT44" s="8" t="s">
        <v>121</v>
      </c>
      <c r="BA44" s="1">
        <v>0</v>
      </c>
    </row>
    <row r="45" spans="2:53" hidden="1" x14ac:dyDescent="0.25">
      <c r="B45" s="2" t="s">
        <v>87</v>
      </c>
      <c r="C45" s="2" t="s">
        <v>88</v>
      </c>
      <c r="D45" s="2" t="s">
        <v>38</v>
      </c>
      <c r="E45" s="2" t="s">
        <v>17</v>
      </c>
      <c r="F45" s="2">
        <v>2.8000000000000001E-2</v>
      </c>
      <c r="G45" s="3">
        <v>0.122</v>
      </c>
      <c r="H45" s="2">
        <v>0</v>
      </c>
      <c r="I45" s="2">
        <f>VLOOKUP(D45,'SEMANA 41'!D45:N117,11,0)</f>
        <v>0</v>
      </c>
      <c r="J45" s="2"/>
      <c r="K45" s="2"/>
      <c r="L45" s="2"/>
      <c r="M45" s="2"/>
      <c r="N45" s="8">
        <f t="shared" si="5"/>
        <v>0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7">
        <f t="shared" si="6"/>
        <v>0</v>
      </c>
      <c r="AK45" s="7">
        <v>100</v>
      </c>
      <c r="AL45" s="7">
        <v>0</v>
      </c>
      <c r="AM45" s="8">
        <f t="shared" si="7"/>
        <v>0</v>
      </c>
      <c r="AN45" s="8">
        <v>0</v>
      </c>
      <c r="AO45" s="8">
        <f t="shared" si="8"/>
        <v>0</v>
      </c>
      <c r="AP45" s="8">
        <f t="shared" si="4"/>
        <v>0</v>
      </c>
      <c r="AQ45" s="8">
        <v>0</v>
      </c>
      <c r="AR45" s="8">
        <v>0</v>
      </c>
      <c r="AS45" s="8" t="s">
        <v>119</v>
      </c>
      <c r="AT45" s="8" t="s">
        <v>121</v>
      </c>
      <c r="BA45" s="1">
        <v>0</v>
      </c>
    </row>
    <row r="46" spans="2:53" hidden="1" x14ac:dyDescent="0.25">
      <c r="B46" s="2" t="s">
        <v>87</v>
      </c>
      <c r="C46" s="2" t="s">
        <v>88</v>
      </c>
      <c r="D46" s="2" t="s">
        <v>39</v>
      </c>
      <c r="E46" s="2" t="s">
        <v>17</v>
      </c>
      <c r="F46" s="2">
        <v>2.8000000000000001E-2</v>
      </c>
      <c r="G46" s="3">
        <v>0.10100000000000001</v>
      </c>
      <c r="H46" s="2">
        <v>0</v>
      </c>
      <c r="I46" s="2">
        <f>VLOOKUP(D46,'SEMANA 41'!D46:N118,11,0)</f>
        <v>0</v>
      </c>
      <c r="J46" s="2"/>
      <c r="K46" s="2"/>
      <c r="L46" s="2"/>
      <c r="M46" s="2"/>
      <c r="N46" s="8">
        <f t="shared" si="5"/>
        <v>0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7">
        <f t="shared" si="6"/>
        <v>0</v>
      </c>
      <c r="AK46" s="7">
        <v>100</v>
      </c>
      <c r="AL46" s="7">
        <v>0</v>
      </c>
      <c r="AM46" s="8">
        <f t="shared" si="7"/>
        <v>0</v>
      </c>
      <c r="AN46" s="8">
        <v>0</v>
      </c>
      <c r="AO46" s="8">
        <f t="shared" si="8"/>
        <v>0</v>
      </c>
      <c r="AP46" s="8">
        <f t="shared" si="4"/>
        <v>0</v>
      </c>
      <c r="AQ46" s="8">
        <v>0</v>
      </c>
      <c r="AR46" s="8">
        <v>0</v>
      </c>
      <c r="AS46" s="8" t="s">
        <v>119</v>
      </c>
      <c r="AT46" s="8" t="s">
        <v>121</v>
      </c>
      <c r="BA46" s="1">
        <v>0</v>
      </c>
    </row>
    <row r="47" spans="2:53" hidden="1" x14ac:dyDescent="0.25">
      <c r="B47" s="2" t="s">
        <v>87</v>
      </c>
      <c r="C47" s="2" t="s">
        <v>88</v>
      </c>
      <c r="D47" s="2" t="s">
        <v>40</v>
      </c>
      <c r="E47" s="2" t="s">
        <v>17</v>
      </c>
      <c r="F47" s="2">
        <v>2.8000000000000001E-2</v>
      </c>
      <c r="G47" s="3">
        <v>0.11899999999999999</v>
      </c>
      <c r="H47" s="2">
        <v>0</v>
      </c>
      <c r="I47" s="2">
        <f>VLOOKUP(D47,'SEMANA 41'!D47:N119,11,0)</f>
        <v>0</v>
      </c>
      <c r="J47" s="2"/>
      <c r="K47" s="2"/>
      <c r="L47" s="2"/>
      <c r="M47" s="2"/>
      <c r="N47" s="8">
        <f t="shared" si="5"/>
        <v>0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7">
        <f t="shared" si="6"/>
        <v>0</v>
      </c>
      <c r="AK47" s="7">
        <v>100</v>
      </c>
      <c r="AL47" s="7">
        <v>0</v>
      </c>
      <c r="AM47" s="8">
        <f t="shared" si="7"/>
        <v>0</v>
      </c>
      <c r="AN47" s="8">
        <v>0</v>
      </c>
      <c r="AO47" s="8">
        <f t="shared" si="8"/>
        <v>0</v>
      </c>
      <c r="AP47" s="8">
        <f t="shared" si="4"/>
        <v>0</v>
      </c>
      <c r="AQ47" s="8">
        <v>0</v>
      </c>
      <c r="AR47" s="8">
        <v>0</v>
      </c>
      <c r="AS47" s="8" t="s">
        <v>119</v>
      </c>
      <c r="AT47" s="8" t="s">
        <v>121</v>
      </c>
      <c r="BA47" s="1">
        <v>0</v>
      </c>
    </row>
    <row r="48" spans="2:53" x14ac:dyDescent="0.25">
      <c r="B48" s="2" t="s">
        <v>87</v>
      </c>
      <c r="C48" s="2" t="s">
        <v>88</v>
      </c>
      <c r="D48" s="2" t="s">
        <v>41</v>
      </c>
      <c r="E48" s="2" t="s">
        <v>17</v>
      </c>
      <c r="F48" s="2">
        <v>2.8000000000000001E-2</v>
      </c>
      <c r="G48" s="3">
        <v>0.121</v>
      </c>
      <c r="H48" s="2">
        <v>600</v>
      </c>
      <c r="I48" s="2">
        <f>VLOOKUP(D48,'SEMANA 41'!D48:N120,11,0)</f>
        <v>-45</v>
      </c>
      <c r="J48" s="2"/>
      <c r="K48" s="2"/>
      <c r="L48" s="2"/>
      <c r="M48" s="2"/>
      <c r="N48" s="8">
        <f t="shared" si="5"/>
        <v>555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7">
        <f t="shared" si="6"/>
        <v>67.155000000000001</v>
      </c>
      <c r="AK48" s="7">
        <v>100</v>
      </c>
      <c r="AL48" s="7">
        <v>0</v>
      </c>
      <c r="AM48" s="8">
        <f t="shared" si="7"/>
        <v>0</v>
      </c>
      <c r="AN48" s="8">
        <v>0</v>
      </c>
      <c r="AO48" s="8">
        <f t="shared" si="8"/>
        <v>0</v>
      </c>
      <c r="AP48" s="8">
        <f t="shared" si="4"/>
        <v>0</v>
      </c>
      <c r="AQ48" s="8">
        <v>0</v>
      </c>
      <c r="AR48" s="8">
        <v>0</v>
      </c>
      <c r="AS48" s="8" t="s">
        <v>119</v>
      </c>
      <c r="AT48" s="8" t="s">
        <v>121</v>
      </c>
      <c r="BA48" s="1">
        <v>0</v>
      </c>
    </row>
    <row r="49" spans="2:53" hidden="1" x14ac:dyDescent="0.25">
      <c r="B49" s="2" t="s">
        <v>87</v>
      </c>
      <c r="C49" s="2" t="s">
        <v>88</v>
      </c>
      <c r="D49" s="2" t="s">
        <v>42</v>
      </c>
      <c r="E49" s="2" t="s">
        <v>17</v>
      </c>
      <c r="F49" s="2">
        <v>2.8000000000000001E-2</v>
      </c>
      <c r="G49" s="3">
        <v>0.127</v>
      </c>
      <c r="H49" s="2">
        <v>0</v>
      </c>
      <c r="I49" s="2">
        <f>VLOOKUP(D49,'SEMANA 41'!D49:N121,11,0)</f>
        <v>0</v>
      </c>
      <c r="J49" s="2"/>
      <c r="K49" s="2"/>
      <c r="L49" s="2"/>
      <c r="M49" s="2"/>
      <c r="N49" s="8">
        <f t="shared" si="5"/>
        <v>0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7">
        <f t="shared" si="6"/>
        <v>0</v>
      </c>
      <c r="AK49" s="7">
        <v>100</v>
      </c>
      <c r="AL49" s="7">
        <v>0</v>
      </c>
      <c r="AM49" s="8">
        <f t="shared" si="7"/>
        <v>0</v>
      </c>
      <c r="AN49" s="8">
        <v>0</v>
      </c>
      <c r="AO49" s="8">
        <f t="shared" si="8"/>
        <v>0</v>
      </c>
      <c r="AP49" s="8">
        <f t="shared" si="4"/>
        <v>0</v>
      </c>
      <c r="AQ49" s="8">
        <v>0</v>
      </c>
      <c r="AR49" s="8">
        <v>0</v>
      </c>
      <c r="AS49" s="8" t="s">
        <v>119</v>
      </c>
      <c r="AT49" s="8" t="s">
        <v>121</v>
      </c>
      <c r="BA49" s="1">
        <v>0</v>
      </c>
    </row>
    <row r="50" spans="2:53" hidden="1" x14ac:dyDescent="0.25">
      <c r="B50" s="2" t="s">
        <v>87</v>
      </c>
      <c r="C50" s="2" t="s">
        <v>88</v>
      </c>
      <c r="D50" s="2" t="s">
        <v>43</v>
      </c>
      <c r="E50" s="2" t="s">
        <v>17</v>
      </c>
      <c r="F50" s="2">
        <v>2.8000000000000001E-2</v>
      </c>
      <c r="G50" s="3">
        <v>0.10299999999999999</v>
      </c>
      <c r="H50" s="2">
        <v>0</v>
      </c>
      <c r="I50" s="2">
        <f>VLOOKUP(D50,'SEMANA 41'!D50:N122,11,0)</f>
        <v>0</v>
      </c>
      <c r="J50" s="2"/>
      <c r="K50" s="2"/>
      <c r="L50" s="2"/>
      <c r="M50" s="2"/>
      <c r="N50" s="8">
        <f t="shared" si="5"/>
        <v>0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7">
        <f t="shared" si="6"/>
        <v>0</v>
      </c>
      <c r="AK50" s="7">
        <v>100</v>
      </c>
      <c r="AL50" s="7">
        <v>0</v>
      </c>
      <c r="AM50" s="8">
        <f t="shared" si="7"/>
        <v>0</v>
      </c>
      <c r="AN50" s="8">
        <v>0</v>
      </c>
      <c r="AO50" s="8">
        <f t="shared" si="8"/>
        <v>0</v>
      </c>
      <c r="AP50" s="8">
        <f t="shared" si="4"/>
        <v>0</v>
      </c>
      <c r="AQ50" s="8">
        <v>0</v>
      </c>
      <c r="AR50" s="8">
        <v>0</v>
      </c>
      <c r="AS50" s="8" t="s">
        <v>119</v>
      </c>
      <c r="AT50" s="8" t="s">
        <v>121</v>
      </c>
      <c r="BA50" s="1">
        <v>328</v>
      </c>
    </row>
    <row r="51" spans="2:53" hidden="1" x14ac:dyDescent="0.25">
      <c r="B51" s="2" t="s">
        <v>87</v>
      </c>
      <c r="C51" s="2" t="s">
        <v>88</v>
      </c>
      <c r="D51" s="2" t="s">
        <v>44</v>
      </c>
      <c r="E51" s="2" t="s">
        <v>17</v>
      </c>
      <c r="F51" s="2">
        <v>2.8000000000000001E-2</v>
      </c>
      <c r="G51" s="3">
        <v>0.23799999999999999</v>
      </c>
      <c r="H51" s="2">
        <v>0</v>
      </c>
      <c r="I51" s="2">
        <f>VLOOKUP(D51,'SEMANA 41'!D51:N123,11,0)</f>
        <v>0</v>
      </c>
      <c r="J51" s="2"/>
      <c r="K51" s="2"/>
      <c r="L51" s="2"/>
      <c r="M51" s="2"/>
      <c r="N51" s="8">
        <f t="shared" si="5"/>
        <v>0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7">
        <f t="shared" si="6"/>
        <v>0</v>
      </c>
      <c r="AK51" s="7">
        <v>100</v>
      </c>
      <c r="AL51" s="7">
        <v>0</v>
      </c>
      <c r="AM51" s="8">
        <f t="shared" si="7"/>
        <v>0</v>
      </c>
      <c r="AN51" s="8">
        <v>0</v>
      </c>
      <c r="AO51" s="8">
        <f t="shared" si="8"/>
        <v>0</v>
      </c>
      <c r="AP51" s="8">
        <f t="shared" si="4"/>
        <v>0</v>
      </c>
      <c r="AQ51" s="8">
        <v>0</v>
      </c>
      <c r="AR51" s="8">
        <v>0</v>
      </c>
      <c r="AS51" s="8" t="s">
        <v>119</v>
      </c>
      <c r="AT51" s="8" t="s">
        <v>121</v>
      </c>
      <c r="BA51" s="1">
        <v>400</v>
      </c>
    </row>
    <row r="52" spans="2:53" x14ac:dyDescent="0.25">
      <c r="B52" s="2" t="s">
        <v>87</v>
      </c>
      <c r="C52" s="2" t="s">
        <v>88</v>
      </c>
      <c r="D52" s="2" t="s">
        <v>45</v>
      </c>
      <c r="E52" s="2" t="s">
        <v>17</v>
      </c>
      <c r="F52" s="2">
        <v>2.8000000000000001E-2</v>
      </c>
      <c r="G52" s="3">
        <v>0.10100000000000001</v>
      </c>
      <c r="H52" s="2">
        <v>600</v>
      </c>
      <c r="I52" s="2">
        <f>VLOOKUP(D52,'SEMANA 41'!D52:N124,11,0)</f>
        <v>432</v>
      </c>
      <c r="J52" s="2"/>
      <c r="K52" s="2"/>
      <c r="L52" s="2"/>
      <c r="M52" s="2"/>
      <c r="N52" s="8">
        <f t="shared" si="5"/>
        <v>1032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7">
        <f t="shared" si="6"/>
        <v>104.23200000000001</v>
      </c>
      <c r="AK52" s="7">
        <v>100</v>
      </c>
      <c r="AL52" s="7">
        <v>0</v>
      </c>
      <c r="AM52" s="8">
        <f t="shared" si="7"/>
        <v>0</v>
      </c>
      <c r="AN52" s="8">
        <v>0</v>
      </c>
      <c r="AO52" s="8">
        <f t="shared" si="8"/>
        <v>0</v>
      </c>
      <c r="AP52" s="8">
        <f t="shared" si="4"/>
        <v>0</v>
      </c>
      <c r="AQ52" s="8">
        <v>0</v>
      </c>
      <c r="AR52" s="8">
        <v>0</v>
      </c>
      <c r="AS52" s="8" t="s">
        <v>119</v>
      </c>
      <c r="AT52" s="8" t="s">
        <v>121</v>
      </c>
      <c r="BA52" s="1">
        <v>-1493</v>
      </c>
    </row>
    <row r="53" spans="2:53" x14ac:dyDescent="0.25">
      <c r="B53" s="2" t="s">
        <v>87</v>
      </c>
      <c r="C53" s="2" t="s">
        <v>88</v>
      </c>
      <c r="D53" s="2" t="s">
        <v>46</v>
      </c>
      <c r="E53" s="2" t="s">
        <v>17</v>
      </c>
      <c r="F53" s="2">
        <v>2.8000000000000001E-2</v>
      </c>
      <c r="G53" s="3">
        <v>3.9E-2</v>
      </c>
      <c r="H53" s="2">
        <v>2400</v>
      </c>
      <c r="I53" s="2">
        <f>VLOOKUP(D53,'SEMANA 41'!D53:N125,11,0)</f>
        <v>0</v>
      </c>
      <c r="J53" s="2"/>
      <c r="K53" s="2"/>
      <c r="L53" s="2"/>
      <c r="M53" s="2"/>
      <c r="N53" s="8">
        <f t="shared" si="5"/>
        <v>805</v>
      </c>
      <c r="O53" s="2"/>
      <c r="P53" s="2"/>
      <c r="Q53" s="2"/>
      <c r="R53" s="2"/>
      <c r="S53" s="2"/>
      <c r="T53" s="2"/>
      <c r="U53" s="2">
        <v>1157</v>
      </c>
      <c r="V53" s="2">
        <v>438</v>
      </c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7">
        <f t="shared" si="6"/>
        <v>93.6</v>
      </c>
      <c r="AK53" s="7">
        <v>100</v>
      </c>
      <c r="AL53" s="7">
        <v>0</v>
      </c>
      <c r="AM53" s="8">
        <f t="shared" si="7"/>
        <v>0</v>
      </c>
      <c r="AN53" s="8">
        <v>0</v>
      </c>
      <c r="AO53" s="8">
        <f t="shared" si="8"/>
        <v>0</v>
      </c>
      <c r="AP53" s="8">
        <f t="shared" si="4"/>
        <v>0</v>
      </c>
      <c r="AQ53" s="8">
        <v>0</v>
      </c>
      <c r="AR53" s="8">
        <v>0</v>
      </c>
      <c r="AS53" s="8" t="s">
        <v>119</v>
      </c>
      <c r="AT53" s="8" t="s">
        <v>121</v>
      </c>
      <c r="BA53" s="1">
        <v>-66</v>
      </c>
    </row>
    <row r="54" spans="2:53" x14ac:dyDescent="0.25">
      <c r="B54" s="2" t="s">
        <v>87</v>
      </c>
      <c r="C54" s="2" t="s">
        <v>88</v>
      </c>
      <c r="D54" s="2" t="s">
        <v>47</v>
      </c>
      <c r="E54" s="2" t="s">
        <v>48</v>
      </c>
      <c r="F54" s="2">
        <v>3.5000000000000003E-2</v>
      </c>
      <c r="G54" s="3">
        <v>0.14799999999999999</v>
      </c>
      <c r="H54" s="2">
        <v>500</v>
      </c>
      <c r="I54" s="2">
        <f>VLOOKUP(D54,'SEMANA 41'!D54:N126,11,0)</f>
        <v>0</v>
      </c>
      <c r="J54" s="2"/>
      <c r="K54" s="2"/>
      <c r="L54" s="2"/>
      <c r="M54" s="2"/>
      <c r="N54" s="8">
        <f t="shared" si="5"/>
        <v>160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>
        <v>340</v>
      </c>
      <c r="AB54" s="2"/>
      <c r="AC54" s="2"/>
      <c r="AD54" s="2"/>
      <c r="AE54" s="2"/>
      <c r="AF54" s="2"/>
      <c r="AG54" s="2"/>
      <c r="AH54" s="2"/>
      <c r="AI54" s="2"/>
      <c r="AJ54" s="7">
        <f t="shared" si="6"/>
        <v>74</v>
      </c>
      <c r="AK54" s="7">
        <v>500</v>
      </c>
      <c r="AL54" s="7">
        <v>0</v>
      </c>
      <c r="AM54" s="8">
        <f t="shared" si="7"/>
        <v>0</v>
      </c>
      <c r="AN54" s="8">
        <v>0</v>
      </c>
      <c r="AO54" s="8">
        <f t="shared" si="8"/>
        <v>0</v>
      </c>
      <c r="AP54" s="8">
        <f t="shared" si="4"/>
        <v>0</v>
      </c>
      <c r="AQ54" s="8">
        <v>0</v>
      </c>
      <c r="AR54" s="8">
        <v>0</v>
      </c>
      <c r="AS54" s="8" t="s">
        <v>119</v>
      </c>
      <c r="AT54" s="8" t="s">
        <v>121</v>
      </c>
      <c r="BA54" s="1">
        <v>0</v>
      </c>
    </row>
    <row r="55" spans="2:53" hidden="1" x14ac:dyDescent="0.25">
      <c r="B55" s="2" t="s">
        <v>87</v>
      </c>
      <c r="C55" s="2" t="s">
        <v>88</v>
      </c>
      <c r="D55" s="2" t="s">
        <v>49</v>
      </c>
      <c r="E55" s="2" t="s">
        <v>48</v>
      </c>
      <c r="F55" s="2">
        <v>3.5000000000000003E-2</v>
      </c>
      <c r="G55" s="3">
        <v>0.14399999999999999</v>
      </c>
      <c r="H55" s="2">
        <v>0</v>
      </c>
      <c r="I55" s="2">
        <f>VLOOKUP(D55,'SEMANA 41'!D55:N127,11,0)</f>
        <v>0</v>
      </c>
      <c r="J55" s="2"/>
      <c r="K55" s="2"/>
      <c r="L55" s="2"/>
      <c r="M55" s="2"/>
      <c r="N55" s="8">
        <f t="shared" si="5"/>
        <v>0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7">
        <f t="shared" si="6"/>
        <v>0</v>
      </c>
      <c r="AK55" s="7">
        <v>500</v>
      </c>
      <c r="AL55" s="7">
        <v>0</v>
      </c>
      <c r="AM55" s="8">
        <f t="shared" si="7"/>
        <v>0</v>
      </c>
      <c r="AN55" s="8">
        <v>0</v>
      </c>
      <c r="AO55" s="8">
        <f t="shared" si="8"/>
        <v>0</v>
      </c>
      <c r="AP55" s="8">
        <f t="shared" si="4"/>
        <v>0</v>
      </c>
      <c r="AQ55" s="8">
        <v>0</v>
      </c>
      <c r="AR55" s="8">
        <v>0</v>
      </c>
      <c r="AS55" s="8" t="s">
        <v>119</v>
      </c>
      <c r="AT55" s="8" t="s">
        <v>121</v>
      </c>
      <c r="BA55" s="1">
        <v>0</v>
      </c>
    </row>
    <row r="56" spans="2:53" hidden="1" x14ac:dyDescent="0.25">
      <c r="B56" s="2" t="s">
        <v>87</v>
      </c>
      <c r="C56" s="2" t="s">
        <v>88</v>
      </c>
      <c r="D56" s="2" t="s">
        <v>50</v>
      </c>
      <c r="E56" s="2" t="s">
        <v>48</v>
      </c>
      <c r="F56" s="2">
        <v>3.5000000000000003E-2</v>
      </c>
      <c r="G56" s="3">
        <v>5.2999999999999999E-2</v>
      </c>
      <c r="H56" s="2">
        <v>0</v>
      </c>
      <c r="I56" s="2">
        <f>VLOOKUP(D56,'SEMANA 41'!D56:N128,11,0)</f>
        <v>-2300</v>
      </c>
      <c r="J56" s="2"/>
      <c r="K56" s="2"/>
      <c r="L56" s="2"/>
      <c r="M56" s="2"/>
      <c r="N56" s="8">
        <f t="shared" si="5"/>
        <v>-2300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7">
        <f t="shared" si="6"/>
        <v>-121.89999999999999</v>
      </c>
      <c r="AK56" s="7">
        <v>1000</v>
      </c>
      <c r="AL56" s="7">
        <v>0</v>
      </c>
      <c r="AM56" s="8">
        <f t="shared" si="7"/>
        <v>0</v>
      </c>
      <c r="AN56" s="8">
        <v>0</v>
      </c>
      <c r="AO56" s="8">
        <f t="shared" si="8"/>
        <v>0</v>
      </c>
      <c r="AP56" s="8">
        <f t="shared" si="4"/>
        <v>0</v>
      </c>
      <c r="AQ56" s="8">
        <v>0</v>
      </c>
      <c r="AR56" s="8">
        <v>0</v>
      </c>
      <c r="AS56" s="8" t="s">
        <v>119</v>
      </c>
      <c r="AT56" s="8" t="s">
        <v>121</v>
      </c>
      <c r="BA56" s="1">
        <v>1200</v>
      </c>
    </row>
    <row r="57" spans="2:53" hidden="1" x14ac:dyDescent="0.25">
      <c r="B57" s="2" t="s">
        <v>87</v>
      </c>
      <c r="C57" s="2" t="s">
        <v>88</v>
      </c>
      <c r="D57" s="2" t="s">
        <v>51</v>
      </c>
      <c r="E57" s="2" t="s">
        <v>48</v>
      </c>
      <c r="F57" s="2">
        <v>3.5000000000000003E-2</v>
      </c>
      <c r="G57" s="3">
        <v>0.13800000000000001</v>
      </c>
      <c r="H57" s="2">
        <v>500</v>
      </c>
      <c r="I57" s="2">
        <f>VLOOKUP(D57,'SEMANA 41'!D57:N129,11,0)</f>
        <v>0</v>
      </c>
      <c r="J57" s="2"/>
      <c r="K57" s="2"/>
      <c r="L57" s="2"/>
      <c r="M57" s="2"/>
      <c r="N57" s="8">
        <f t="shared" si="5"/>
        <v>0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>
        <v>460</v>
      </c>
      <c r="Z57" s="2"/>
      <c r="AA57" s="2"/>
      <c r="AB57" s="2"/>
      <c r="AC57" s="2"/>
      <c r="AD57" s="2"/>
      <c r="AE57" s="2"/>
      <c r="AF57" s="2"/>
      <c r="AG57" s="2"/>
      <c r="AH57" s="2"/>
      <c r="AI57" s="2">
        <v>40</v>
      </c>
      <c r="AJ57" s="7">
        <f t="shared" si="6"/>
        <v>69</v>
      </c>
      <c r="AK57" s="7">
        <v>500</v>
      </c>
      <c r="AL57" s="7">
        <v>0</v>
      </c>
      <c r="AM57" s="8">
        <f t="shared" si="7"/>
        <v>0</v>
      </c>
      <c r="AN57" s="8">
        <v>0</v>
      </c>
      <c r="AO57" s="8">
        <f t="shared" si="8"/>
        <v>0</v>
      </c>
      <c r="AP57" s="8">
        <f t="shared" si="4"/>
        <v>0</v>
      </c>
      <c r="AQ57" s="8">
        <v>0</v>
      </c>
      <c r="AR57" s="8">
        <v>0</v>
      </c>
      <c r="AS57" s="8" t="s">
        <v>119</v>
      </c>
      <c r="AT57" s="8" t="s">
        <v>121</v>
      </c>
      <c r="BA57" s="1">
        <v>0</v>
      </c>
    </row>
    <row r="58" spans="2:53" hidden="1" x14ac:dyDescent="0.25">
      <c r="B58" s="2" t="s">
        <v>87</v>
      </c>
      <c r="C58" s="2" t="s">
        <v>88</v>
      </c>
      <c r="D58" s="2" t="s">
        <v>52</v>
      </c>
      <c r="E58" s="2" t="s">
        <v>48</v>
      </c>
      <c r="F58" s="2">
        <v>3.5000000000000003E-2</v>
      </c>
      <c r="G58" s="3">
        <v>0.11</v>
      </c>
      <c r="H58" s="2">
        <v>0</v>
      </c>
      <c r="I58" s="2">
        <f>VLOOKUP(D58,'SEMANA 41'!D58:N130,11,0)</f>
        <v>-40</v>
      </c>
      <c r="J58" s="2"/>
      <c r="K58" s="2"/>
      <c r="L58" s="2"/>
      <c r="M58" s="2"/>
      <c r="N58" s="8">
        <f t="shared" si="5"/>
        <v>-40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7">
        <f t="shared" si="6"/>
        <v>-4.4000000000000004</v>
      </c>
      <c r="AK58" s="7">
        <v>500</v>
      </c>
      <c r="AL58" s="7">
        <v>0</v>
      </c>
      <c r="AM58" s="8">
        <f t="shared" si="7"/>
        <v>0</v>
      </c>
      <c r="AN58" s="8">
        <v>0</v>
      </c>
      <c r="AO58" s="8">
        <f t="shared" si="8"/>
        <v>0</v>
      </c>
      <c r="AP58" s="8">
        <f t="shared" si="4"/>
        <v>0</v>
      </c>
      <c r="AQ58" s="8">
        <v>0</v>
      </c>
      <c r="AR58" s="8">
        <v>0</v>
      </c>
      <c r="AS58" s="8" t="s">
        <v>119</v>
      </c>
      <c r="AT58" s="8" t="s">
        <v>121</v>
      </c>
      <c r="BA58" s="1">
        <v>1000</v>
      </c>
    </row>
    <row r="59" spans="2:53" hidden="1" x14ac:dyDescent="0.25">
      <c r="B59" s="2" t="s">
        <v>87</v>
      </c>
      <c r="C59" s="2" t="s">
        <v>88</v>
      </c>
      <c r="D59" s="2" t="s">
        <v>53</v>
      </c>
      <c r="E59" s="2" t="s">
        <v>54</v>
      </c>
      <c r="F59" s="2">
        <v>4.1000000000000002E-2</v>
      </c>
      <c r="G59" s="3">
        <v>7.3999999999999996E-2</v>
      </c>
      <c r="H59" s="2">
        <v>0</v>
      </c>
      <c r="I59" s="2">
        <f>VLOOKUP(D59,'SEMANA 41'!D59:N131,11,0)</f>
        <v>-1500</v>
      </c>
      <c r="J59" s="2"/>
      <c r="K59" s="2"/>
      <c r="L59" s="2"/>
      <c r="M59" s="2"/>
      <c r="N59" s="8">
        <f t="shared" si="5"/>
        <v>-1500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7">
        <f t="shared" si="6"/>
        <v>-111</v>
      </c>
      <c r="AK59" s="7">
        <v>1000</v>
      </c>
      <c r="AL59" s="7">
        <v>0</v>
      </c>
      <c r="AM59" s="8">
        <f t="shared" si="7"/>
        <v>0</v>
      </c>
      <c r="AN59" s="8">
        <v>0</v>
      </c>
      <c r="AO59" s="8">
        <f t="shared" si="8"/>
        <v>0</v>
      </c>
      <c r="AP59" s="8">
        <f t="shared" si="4"/>
        <v>0</v>
      </c>
      <c r="AQ59" s="8">
        <v>0</v>
      </c>
      <c r="AR59" s="8">
        <v>0</v>
      </c>
      <c r="AS59" s="8" t="s">
        <v>119</v>
      </c>
      <c r="AT59" s="8" t="s">
        <v>121</v>
      </c>
      <c r="BA59" s="1">
        <v>2800</v>
      </c>
    </row>
    <row r="60" spans="2:53" hidden="1" x14ac:dyDescent="0.25">
      <c r="B60" s="2" t="s">
        <v>87</v>
      </c>
      <c r="C60" s="2" t="s">
        <v>88</v>
      </c>
      <c r="D60" s="2" t="s">
        <v>55</v>
      </c>
      <c r="E60" s="2" t="s">
        <v>54</v>
      </c>
      <c r="F60" s="2">
        <v>4.4999999999999998E-2</v>
      </c>
      <c r="G60" s="3">
        <v>0.46</v>
      </c>
      <c r="H60" s="2">
        <v>500</v>
      </c>
      <c r="I60" s="2">
        <f>VLOOKUP(D60,'SEMANA 41'!D60:N132,11,0)</f>
        <v>-118</v>
      </c>
      <c r="J60" s="2"/>
      <c r="K60" s="2"/>
      <c r="L60" s="2"/>
      <c r="M60" s="2"/>
      <c r="N60" s="8">
        <f t="shared" si="5"/>
        <v>0</v>
      </c>
      <c r="O60" s="2"/>
      <c r="P60" s="2"/>
      <c r="Q60" s="2"/>
      <c r="R60" s="2"/>
      <c r="S60" s="2"/>
      <c r="T60" s="2">
        <v>113</v>
      </c>
      <c r="U60" s="2"/>
      <c r="V60" s="2"/>
      <c r="W60" s="2"/>
      <c r="X60" s="2"/>
      <c r="Y60" s="2"/>
      <c r="Z60" s="2">
        <v>200</v>
      </c>
      <c r="AA60" s="2"/>
      <c r="AB60" s="2"/>
      <c r="AC60" s="2"/>
      <c r="AD60" s="2"/>
      <c r="AE60" s="2"/>
      <c r="AF60" s="2"/>
      <c r="AG60" s="2"/>
      <c r="AH60" s="2"/>
      <c r="AI60" s="2">
        <v>69</v>
      </c>
      <c r="AJ60" s="7">
        <f t="shared" si="6"/>
        <v>175.72</v>
      </c>
      <c r="AK60" s="7">
        <v>200</v>
      </c>
      <c r="AL60" s="7">
        <v>0</v>
      </c>
      <c r="AM60" s="8">
        <f t="shared" si="7"/>
        <v>0</v>
      </c>
      <c r="AN60" s="8">
        <v>0</v>
      </c>
      <c r="AO60" s="8">
        <f t="shared" si="8"/>
        <v>0</v>
      </c>
      <c r="AP60" s="8">
        <f t="shared" si="4"/>
        <v>0</v>
      </c>
      <c r="AQ60" s="8">
        <v>0</v>
      </c>
      <c r="AR60" s="8">
        <v>0</v>
      </c>
      <c r="AS60" s="8" t="s">
        <v>119</v>
      </c>
      <c r="AT60" s="8" t="s">
        <v>121</v>
      </c>
      <c r="BA60" s="1">
        <v>1000</v>
      </c>
    </row>
    <row r="61" spans="2:53" hidden="1" x14ac:dyDescent="0.25">
      <c r="B61" s="2" t="s">
        <v>87</v>
      </c>
      <c r="C61" s="2" t="s">
        <v>88</v>
      </c>
      <c r="D61" s="2" t="s">
        <v>56</v>
      </c>
      <c r="E61" s="2" t="s">
        <v>54</v>
      </c>
      <c r="F61" s="2">
        <v>4.4999999999999998E-2</v>
      </c>
      <c r="G61" s="3">
        <v>0.23300000000000001</v>
      </c>
      <c r="H61" s="2">
        <v>0</v>
      </c>
      <c r="I61" s="2">
        <f>VLOOKUP(D61,'SEMANA 41'!D61:N133,11,0)</f>
        <v>-299</v>
      </c>
      <c r="J61" s="2"/>
      <c r="K61" s="2"/>
      <c r="L61" s="2"/>
      <c r="M61" s="2"/>
      <c r="N61" s="8">
        <f t="shared" si="5"/>
        <v>-299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7">
        <f t="shared" si="6"/>
        <v>-69.667000000000002</v>
      </c>
      <c r="AK61" s="7">
        <v>500</v>
      </c>
      <c r="AL61" s="7">
        <v>0</v>
      </c>
      <c r="AM61" s="8">
        <f t="shared" si="7"/>
        <v>0</v>
      </c>
      <c r="AN61" s="8">
        <v>0</v>
      </c>
      <c r="AO61" s="8">
        <f t="shared" si="8"/>
        <v>0</v>
      </c>
      <c r="AP61" s="8">
        <f t="shared" si="4"/>
        <v>0</v>
      </c>
      <c r="AQ61" s="8">
        <v>0</v>
      </c>
      <c r="AR61" s="8">
        <v>0</v>
      </c>
      <c r="AS61" s="8" t="s">
        <v>119</v>
      </c>
      <c r="AT61" s="8" t="s">
        <v>121</v>
      </c>
      <c r="BA61" s="1">
        <v>416</v>
      </c>
    </row>
    <row r="62" spans="2:53" x14ac:dyDescent="0.25">
      <c r="B62" s="2" t="s">
        <v>87</v>
      </c>
      <c r="C62" s="2" t="s">
        <v>88</v>
      </c>
      <c r="D62" s="2" t="s">
        <v>57</v>
      </c>
      <c r="E62" s="2" t="s">
        <v>54</v>
      </c>
      <c r="F62" s="2">
        <v>4.1000000000000002E-2</v>
      </c>
      <c r="G62" s="3">
        <v>0.19700000000000001</v>
      </c>
      <c r="H62" s="2">
        <v>1200</v>
      </c>
      <c r="I62" s="2">
        <f>VLOOKUP(D62,'SEMANA 41'!D62:N134,11,0)</f>
        <v>0</v>
      </c>
      <c r="J62" s="2"/>
      <c r="K62" s="2"/>
      <c r="L62" s="2"/>
      <c r="M62" s="2"/>
      <c r="N62" s="8">
        <f t="shared" si="5"/>
        <v>295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>
        <v>530</v>
      </c>
      <c r="AA62" s="2">
        <v>140</v>
      </c>
      <c r="AB62" s="2">
        <v>235</v>
      </c>
      <c r="AC62" s="2"/>
      <c r="AD62" s="2"/>
      <c r="AE62" s="2"/>
      <c r="AF62" s="2"/>
      <c r="AG62" s="2"/>
      <c r="AH62" s="2"/>
      <c r="AI62" s="2"/>
      <c r="AJ62" s="7">
        <f t="shared" si="6"/>
        <v>236.4</v>
      </c>
      <c r="AK62" s="7">
        <v>500</v>
      </c>
      <c r="AL62" s="7">
        <v>0</v>
      </c>
      <c r="AM62" s="8">
        <f t="shared" si="7"/>
        <v>0</v>
      </c>
      <c r="AN62" s="8">
        <v>0</v>
      </c>
      <c r="AO62" s="8">
        <f t="shared" si="8"/>
        <v>0</v>
      </c>
      <c r="AP62" s="8">
        <f t="shared" si="4"/>
        <v>0</v>
      </c>
      <c r="AQ62" s="8">
        <v>0</v>
      </c>
      <c r="AR62" s="8">
        <v>0</v>
      </c>
      <c r="AS62" s="8" t="s">
        <v>119</v>
      </c>
      <c r="AT62" s="8" t="s">
        <v>121</v>
      </c>
      <c r="BA62" s="1">
        <v>2200</v>
      </c>
    </row>
    <row r="63" spans="2:53" hidden="1" x14ac:dyDescent="0.25">
      <c r="B63" s="2" t="s">
        <v>87</v>
      </c>
      <c r="C63" s="2" t="s">
        <v>88</v>
      </c>
      <c r="D63" s="2" t="s">
        <v>58</v>
      </c>
      <c r="E63" s="2" t="s">
        <v>54</v>
      </c>
      <c r="F63" s="2">
        <v>4.4999999999999998E-2</v>
      </c>
      <c r="G63" s="3">
        <v>0.17299999999999999</v>
      </c>
      <c r="H63" s="2">
        <v>0</v>
      </c>
      <c r="I63" s="2">
        <f>VLOOKUP(D63,'SEMANA 41'!D63:N135,11,0)</f>
        <v>-121</v>
      </c>
      <c r="J63" s="2"/>
      <c r="K63" s="2"/>
      <c r="L63" s="2"/>
      <c r="M63" s="2"/>
      <c r="N63" s="8">
        <f t="shared" si="5"/>
        <v>-121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7">
        <f t="shared" si="6"/>
        <v>-20.933</v>
      </c>
      <c r="AK63" s="7">
        <v>500</v>
      </c>
      <c r="AL63" s="7">
        <v>0</v>
      </c>
      <c r="AM63" s="8">
        <f t="shared" si="7"/>
        <v>0</v>
      </c>
      <c r="AN63" s="8">
        <v>0</v>
      </c>
      <c r="AO63" s="8">
        <f t="shared" si="8"/>
        <v>0</v>
      </c>
      <c r="AP63" s="8">
        <f t="shared" si="4"/>
        <v>0</v>
      </c>
      <c r="AQ63" s="8">
        <v>0</v>
      </c>
      <c r="AR63" s="8">
        <v>0</v>
      </c>
      <c r="AS63" s="8" t="s">
        <v>119</v>
      </c>
      <c r="AT63" s="8" t="s">
        <v>121</v>
      </c>
      <c r="BA63" s="1">
        <v>1720</v>
      </c>
    </row>
    <row r="64" spans="2:53" ht="14.25" hidden="1" customHeight="1" x14ac:dyDescent="0.25">
      <c r="B64" s="2" t="s">
        <v>87</v>
      </c>
      <c r="C64" s="2" t="s">
        <v>88</v>
      </c>
      <c r="D64" s="2" t="s">
        <v>59</v>
      </c>
      <c r="E64" s="2" t="s">
        <v>60</v>
      </c>
      <c r="F64" s="2">
        <v>3.5000000000000003E-2</v>
      </c>
      <c r="G64" s="3">
        <v>0.29799999999999999</v>
      </c>
      <c r="H64" s="2">
        <v>0</v>
      </c>
      <c r="I64" s="2">
        <f>VLOOKUP(D64,'SEMANA 41'!D64:N136,11,0)</f>
        <v>0</v>
      </c>
      <c r="J64" s="2"/>
      <c r="K64" s="2"/>
      <c r="L64" s="2"/>
      <c r="M64" s="2"/>
      <c r="N64" s="8">
        <f t="shared" si="5"/>
        <v>0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7">
        <f t="shared" si="6"/>
        <v>0</v>
      </c>
      <c r="AK64" s="7">
        <v>144</v>
      </c>
      <c r="AL64" s="7">
        <v>0</v>
      </c>
      <c r="AM64" s="8">
        <f t="shared" si="7"/>
        <v>0</v>
      </c>
      <c r="AN64" s="8">
        <v>0</v>
      </c>
      <c r="AO64" s="8">
        <f t="shared" si="8"/>
        <v>0</v>
      </c>
      <c r="AP64" s="8">
        <f t="shared" si="4"/>
        <v>0</v>
      </c>
      <c r="AQ64" s="8" t="s">
        <v>110</v>
      </c>
      <c r="AR64" s="8">
        <f t="shared" ref="AR64:AR83" si="9">+SUM(H64:M64)</f>
        <v>0</v>
      </c>
      <c r="AS64" s="8" t="s">
        <v>119</v>
      </c>
      <c r="AT64" s="8" t="s">
        <v>121</v>
      </c>
      <c r="BA64" s="1">
        <v>0</v>
      </c>
    </row>
    <row r="65" spans="2:53" hidden="1" x14ac:dyDescent="0.25">
      <c r="B65" s="2" t="s">
        <v>87</v>
      </c>
      <c r="C65" s="2" t="s">
        <v>88</v>
      </c>
      <c r="D65" s="2" t="s">
        <v>61</v>
      </c>
      <c r="E65" s="2" t="s">
        <v>60</v>
      </c>
      <c r="F65" s="2">
        <v>3.5000000000000003E-2</v>
      </c>
      <c r="G65" s="3">
        <v>0.249</v>
      </c>
      <c r="H65" s="2">
        <v>0</v>
      </c>
      <c r="I65" s="2">
        <f>VLOOKUP(D65,'SEMANA 41'!D65:N137,11,0)</f>
        <v>0</v>
      </c>
      <c r="J65" s="2"/>
      <c r="K65" s="2"/>
      <c r="L65" s="2"/>
      <c r="M65" s="2"/>
      <c r="N65" s="8">
        <f t="shared" si="5"/>
        <v>0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7">
        <f t="shared" si="6"/>
        <v>0</v>
      </c>
      <c r="AK65" s="7">
        <v>144</v>
      </c>
      <c r="AL65" s="7">
        <v>1</v>
      </c>
      <c r="AM65" s="8">
        <f t="shared" si="7"/>
        <v>0</v>
      </c>
      <c r="AN65" s="8">
        <v>0</v>
      </c>
      <c r="AO65" s="8">
        <f t="shared" si="8"/>
        <v>0</v>
      </c>
      <c r="AP65" s="8">
        <f t="shared" si="4"/>
        <v>0</v>
      </c>
      <c r="AQ65" s="8" t="s">
        <v>111</v>
      </c>
      <c r="AR65" s="8">
        <f t="shared" si="9"/>
        <v>0</v>
      </c>
      <c r="AS65" s="8" t="s">
        <v>119</v>
      </c>
      <c r="AT65" s="8" t="s">
        <v>121</v>
      </c>
      <c r="BA65" s="1">
        <v>-576</v>
      </c>
    </row>
    <row r="66" spans="2:53" hidden="1" x14ac:dyDescent="0.25">
      <c r="B66" s="2" t="s">
        <v>87</v>
      </c>
      <c r="C66" s="2" t="s">
        <v>88</v>
      </c>
      <c r="D66" s="2" t="s">
        <v>62</v>
      </c>
      <c r="E66" s="2" t="s">
        <v>60</v>
      </c>
      <c r="F66" s="2">
        <v>3.5000000000000003E-2</v>
      </c>
      <c r="G66" s="3">
        <v>0.253</v>
      </c>
      <c r="H66" s="2">
        <v>0</v>
      </c>
      <c r="I66" s="2">
        <f>VLOOKUP(D66,'SEMANA 41'!D66:N138,11,0)</f>
        <v>0</v>
      </c>
      <c r="J66" s="2"/>
      <c r="K66" s="2"/>
      <c r="L66" s="2"/>
      <c r="M66" s="2"/>
      <c r="N66" s="8">
        <f t="shared" si="5"/>
        <v>0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7">
        <f t="shared" si="6"/>
        <v>0</v>
      </c>
      <c r="AK66" s="7">
        <v>144</v>
      </c>
      <c r="AL66" s="7">
        <v>1</v>
      </c>
      <c r="AM66" s="8">
        <f t="shared" si="7"/>
        <v>0</v>
      </c>
      <c r="AN66" s="8">
        <v>0</v>
      </c>
      <c r="AO66" s="8">
        <f t="shared" si="8"/>
        <v>0</v>
      </c>
      <c r="AP66" s="8">
        <f t="shared" si="4"/>
        <v>0</v>
      </c>
      <c r="AQ66" s="8" t="s">
        <v>111</v>
      </c>
      <c r="AR66" s="8">
        <f t="shared" si="9"/>
        <v>0</v>
      </c>
      <c r="AS66" s="8" t="s">
        <v>119</v>
      </c>
      <c r="AT66" s="8" t="s">
        <v>121</v>
      </c>
      <c r="BA66" s="1">
        <v>0</v>
      </c>
    </row>
    <row r="67" spans="2:53" x14ac:dyDescent="0.25">
      <c r="B67" s="2" t="s">
        <v>87</v>
      </c>
      <c r="C67" s="2" t="s">
        <v>88</v>
      </c>
      <c r="D67" s="2" t="s">
        <v>63</v>
      </c>
      <c r="E67" s="2" t="s">
        <v>60</v>
      </c>
      <c r="F67" s="2">
        <v>3.5000000000000003E-2</v>
      </c>
      <c r="G67" s="3">
        <v>0.215</v>
      </c>
      <c r="H67" s="2">
        <v>864</v>
      </c>
      <c r="I67" s="2">
        <f>VLOOKUP(D67,'SEMANA 41'!D67:N139,11,0)</f>
        <v>-144</v>
      </c>
      <c r="J67" s="2"/>
      <c r="K67" s="2"/>
      <c r="L67" s="2"/>
      <c r="M67" s="2"/>
      <c r="N67" s="8">
        <f t="shared" si="5"/>
        <v>144</v>
      </c>
      <c r="O67" s="2"/>
      <c r="P67" s="2"/>
      <c r="Q67" s="2"/>
      <c r="R67" s="2"/>
      <c r="S67" s="2">
        <v>288</v>
      </c>
      <c r="T67" s="2"/>
      <c r="U67" s="2">
        <v>144</v>
      </c>
      <c r="V67" s="2"/>
      <c r="W67" s="2"/>
      <c r="X67" s="2"/>
      <c r="Y67" s="2"/>
      <c r="Z67" s="2"/>
      <c r="AA67" s="2">
        <v>144</v>
      </c>
      <c r="AB67" s="2"/>
      <c r="AC67" s="2"/>
      <c r="AD67" s="2"/>
      <c r="AE67" s="2"/>
      <c r="AF67" s="2"/>
      <c r="AG67" s="2"/>
      <c r="AH67" s="2"/>
      <c r="AI67" s="2"/>
      <c r="AJ67" s="7">
        <f t="shared" si="6"/>
        <v>154.80000000000001</v>
      </c>
      <c r="AK67" s="7">
        <v>144</v>
      </c>
      <c r="AL67" s="7">
        <v>1</v>
      </c>
      <c r="AM67" s="8">
        <f t="shared" si="7"/>
        <v>864</v>
      </c>
      <c r="AN67" s="8">
        <v>0</v>
      </c>
      <c r="AO67" s="8">
        <f t="shared" si="8"/>
        <v>0</v>
      </c>
      <c r="AP67" s="8">
        <f t="shared" si="4"/>
        <v>0</v>
      </c>
      <c r="AQ67" s="8" t="s">
        <v>111</v>
      </c>
      <c r="AR67" s="8">
        <f t="shared" si="9"/>
        <v>720</v>
      </c>
      <c r="AS67" s="8" t="s">
        <v>119</v>
      </c>
      <c r="AT67" s="8" t="s">
        <v>121</v>
      </c>
      <c r="BA67" s="1">
        <v>144</v>
      </c>
    </row>
    <row r="68" spans="2:53" hidden="1" x14ac:dyDescent="0.25">
      <c r="B68" s="2" t="s">
        <v>87</v>
      </c>
      <c r="C68" s="2" t="s">
        <v>88</v>
      </c>
      <c r="D68" s="2" t="s">
        <v>64</v>
      </c>
      <c r="E68" s="2" t="s">
        <v>60</v>
      </c>
      <c r="F68" s="2">
        <v>3.5000000000000003E-2</v>
      </c>
      <c r="G68" s="3">
        <v>0.253</v>
      </c>
      <c r="H68" s="2">
        <v>432</v>
      </c>
      <c r="I68" s="2">
        <f>VLOOKUP(D68,'SEMANA 41'!D68:N140,11,0)</f>
        <v>0</v>
      </c>
      <c r="J68" s="2"/>
      <c r="K68" s="2"/>
      <c r="L68" s="2"/>
      <c r="M68" s="2"/>
      <c r="N68" s="8">
        <f t="shared" si="5"/>
        <v>-432</v>
      </c>
      <c r="O68" s="2"/>
      <c r="P68" s="2"/>
      <c r="Q68" s="2"/>
      <c r="R68" s="2"/>
      <c r="S68" s="2">
        <v>432</v>
      </c>
      <c r="T68" s="2"/>
      <c r="U68" s="2"/>
      <c r="V68" s="2"/>
      <c r="W68" s="2"/>
      <c r="X68" s="2"/>
      <c r="Y68" s="2">
        <v>288</v>
      </c>
      <c r="Z68" s="2"/>
      <c r="AA68" s="2">
        <v>144</v>
      </c>
      <c r="AB68" s="2"/>
      <c r="AC68" s="2"/>
      <c r="AD68" s="2"/>
      <c r="AE68" s="2"/>
      <c r="AF68" s="2"/>
      <c r="AG68" s="2"/>
      <c r="AH68" s="2"/>
      <c r="AI68" s="2"/>
      <c r="AJ68" s="7">
        <f t="shared" si="6"/>
        <v>109.29600000000001</v>
      </c>
      <c r="AK68" s="7">
        <v>144</v>
      </c>
      <c r="AL68" s="7">
        <v>1</v>
      </c>
      <c r="AM68" s="8">
        <f t="shared" si="7"/>
        <v>432</v>
      </c>
      <c r="AN68" s="8">
        <v>0</v>
      </c>
      <c r="AO68" s="8">
        <f t="shared" si="8"/>
        <v>0</v>
      </c>
      <c r="AP68" s="8">
        <f t="shared" si="4"/>
        <v>0</v>
      </c>
      <c r="AQ68" s="8" t="s">
        <v>111</v>
      </c>
      <c r="AR68" s="8">
        <f t="shared" si="9"/>
        <v>432</v>
      </c>
      <c r="AS68" s="8" t="s">
        <v>119</v>
      </c>
      <c r="AT68" s="8" t="s">
        <v>121</v>
      </c>
      <c r="BA68" s="1">
        <v>0</v>
      </c>
    </row>
    <row r="69" spans="2:53" hidden="1" x14ac:dyDescent="0.25">
      <c r="B69" s="2" t="s">
        <v>87</v>
      </c>
      <c r="C69" s="2" t="s">
        <v>88</v>
      </c>
      <c r="D69" s="2" t="s">
        <v>65</v>
      </c>
      <c r="E69" s="2" t="s">
        <v>60</v>
      </c>
      <c r="F69" s="2">
        <v>3.5000000000000003E-2</v>
      </c>
      <c r="G69" s="3">
        <v>0.249</v>
      </c>
      <c r="H69" s="2">
        <v>576</v>
      </c>
      <c r="I69" s="2">
        <f>VLOOKUP(D69,'SEMANA 41'!D69:N141,11,0)</f>
        <v>-144</v>
      </c>
      <c r="J69" s="2"/>
      <c r="K69" s="2"/>
      <c r="L69" s="2"/>
      <c r="M69" s="2"/>
      <c r="N69" s="8">
        <f t="shared" si="5"/>
        <v>0</v>
      </c>
      <c r="O69" s="2"/>
      <c r="P69" s="2"/>
      <c r="Q69" s="2"/>
      <c r="R69" s="2"/>
      <c r="S69" s="2">
        <v>144</v>
      </c>
      <c r="T69" s="2"/>
      <c r="U69" s="2">
        <v>144</v>
      </c>
      <c r="V69" s="2"/>
      <c r="W69" s="2"/>
      <c r="X69" s="2"/>
      <c r="Y69" s="2"/>
      <c r="Z69" s="2"/>
      <c r="AA69" s="2"/>
      <c r="AB69" s="2">
        <v>144</v>
      </c>
      <c r="AC69" s="2"/>
      <c r="AD69" s="2"/>
      <c r="AE69" s="2"/>
      <c r="AF69" s="2"/>
      <c r="AG69" s="2"/>
      <c r="AH69" s="2"/>
      <c r="AI69" s="2"/>
      <c r="AJ69" s="7">
        <f t="shared" si="6"/>
        <v>107.568</v>
      </c>
      <c r="AK69" s="7">
        <v>144</v>
      </c>
      <c r="AL69" s="7">
        <v>1</v>
      </c>
      <c r="AM69" s="8">
        <f t="shared" si="7"/>
        <v>576</v>
      </c>
      <c r="AN69" s="8">
        <v>0</v>
      </c>
      <c r="AO69" s="8">
        <f t="shared" si="8"/>
        <v>0</v>
      </c>
      <c r="AP69" s="8">
        <f t="shared" si="4"/>
        <v>0</v>
      </c>
      <c r="AQ69" s="8" t="s">
        <v>111</v>
      </c>
      <c r="AR69" s="8">
        <f t="shared" si="9"/>
        <v>432</v>
      </c>
      <c r="AS69" s="8" t="s">
        <v>119</v>
      </c>
      <c r="AT69" s="8" t="s">
        <v>121</v>
      </c>
      <c r="BA69" s="1">
        <v>576</v>
      </c>
    </row>
    <row r="70" spans="2:53" hidden="1" x14ac:dyDescent="0.25">
      <c r="B70" s="2" t="s">
        <v>87</v>
      </c>
      <c r="C70" s="2" t="s">
        <v>88</v>
      </c>
      <c r="D70" s="2" t="s">
        <v>66</v>
      </c>
      <c r="E70" s="2" t="s">
        <v>60</v>
      </c>
      <c r="F70" s="2">
        <v>3.5000000000000003E-2</v>
      </c>
      <c r="G70" s="3">
        <v>0.30299999999999999</v>
      </c>
      <c r="H70" s="2">
        <v>0</v>
      </c>
      <c r="I70" s="2">
        <f>VLOOKUP(D70,'SEMANA 41'!D70:N142,11,0)</f>
        <v>0</v>
      </c>
      <c r="J70" s="2"/>
      <c r="K70" s="2"/>
      <c r="L70" s="2"/>
      <c r="M70" s="2"/>
      <c r="N70" s="8">
        <f t="shared" si="5"/>
        <v>0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7">
        <f t="shared" si="6"/>
        <v>0</v>
      </c>
      <c r="AK70" s="7">
        <v>144</v>
      </c>
      <c r="AL70" s="7">
        <v>0</v>
      </c>
      <c r="AM70" s="8">
        <f t="shared" si="7"/>
        <v>0</v>
      </c>
      <c r="AN70" s="8">
        <v>0</v>
      </c>
      <c r="AO70" s="8">
        <f t="shared" si="8"/>
        <v>0</v>
      </c>
      <c r="AP70" s="8">
        <f t="shared" si="4"/>
        <v>0</v>
      </c>
      <c r="AQ70" s="8" t="s">
        <v>110</v>
      </c>
      <c r="AR70" s="8">
        <f t="shared" si="9"/>
        <v>0</v>
      </c>
      <c r="AS70" s="8" t="s">
        <v>119</v>
      </c>
      <c r="AT70" s="8" t="s">
        <v>121</v>
      </c>
      <c r="BA70" s="1">
        <v>0</v>
      </c>
    </row>
    <row r="71" spans="2:53" hidden="1" x14ac:dyDescent="0.25">
      <c r="B71" s="2" t="s">
        <v>87</v>
      </c>
      <c r="C71" s="2" t="s">
        <v>88</v>
      </c>
      <c r="D71" s="2" t="s">
        <v>67</v>
      </c>
      <c r="E71" s="2" t="s">
        <v>60</v>
      </c>
      <c r="F71" s="2">
        <v>3.5000000000000003E-2</v>
      </c>
      <c r="G71" s="3">
        <v>0.216</v>
      </c>
      <c r="H71" s="2">
        <v>288</v>
      </c>
      <c r="I71" s="2">
        <f>VLOOKUP(D71,'SEMANA 41'!D71:N143,11,0)</f>
        <v>0</v>
      </c>
      <c r="J71" s="2"/>
      <c r="K71" s="2"/>
      <c r="L71" s="2"/>
      <c r="M71" s="2"/>
      <c r="N71" s="8">
        <f t="shared" si="5"/>
        <v>-432</v>
      </c>
      <c r="O71" s="2"/>
      <c r="P71" s="2"/>
      <c r="Q71" s="2"/>
      <c r="R71" s="2"/>
      <c r="S71" s="2">
        <v>144</v>
      </c>
      <c r="T71" s="2"/>
      <c r="U71" s="2">
        <v>288</v>
      </c>
      <c r="V71" s="2">
        <v>144</v>
      </c>
      <c r="W71" s="2"/>
      <c r="X71" s="2"/>
      <c r="Y71" s="2"/>
      <c r="Z71" s="2"/>
      <c r="AA71" s="2"/>
      <c r="AB71" s="2">
        <v>144</v>
      </c>
      <c r="AC71" s="2"/>
      <c r="AD71" s="2"/>
      <c r="AE71" s="2"/>
      <c r="AF71" s="2"/>
      <c r="AG71" s="2"/>
      <c r="AH71" s="2"/>
      <c r="AI71" s="2"/>
      <c r="AJ71" s="7">
        <f t="shared" si="6"/>
        <v>62.207999999999998</v>
      </c>
      <c r="AK71" s="7">
        <v>144</v>
      </c>
      <c r="AL71" s="7">
        <v>1</v>
      </c>
      <c r="AM71" s="8">
        <f t="shared" si="7"/>
        <v>288</v>
      </c>
      <c r="AN71" s="8">
        <v>0</v>
      </c>
      <c r="AO71" s="8">
        <f t="shared" si="8"/>
        <v>0</v>
      </c>
      <c r="AP71" s="8">
        <f t="shared" si="4"/>
        <v>0</v>
      </c>
      <c r="AQ71" s="8" t="s">
        <v>111</v>
      </c>
      <c r="AR71" s="8">
        <f t="shared" si="9"/>
        <v>288</v>
      </c>
      <c r="AS71" s="8" t="s">
        <v>119</v>
      </c>
      <c r="AT71" s="8" t="s">
        <v>121</v>
      </c>
      <c r="BA71" s="1">
        <v>0</v>
      </c>
    </row>
    <row r="72" spans="2:53" hidden="1" x14ac:dyDescent="0.25">
      <c r="B72" s="2" t="s">
        <v>87</v>
      </c>
      <c r="C72" s="2" t="s">
        <v>88</v>
      </c>
      <c r="D72" s="2" t="s">
        <v>68</v>
      </c>
      <c r="E72" s="2" t="s">
        <v>60</v>
      </c>
      <c r="F72" s="2">
        <v>3.5000000000000003E-2</v>
      </c>
      <c r="G72" s="3">
        <v>0.28399999999999997</v>
      </c>
      <c r="H72" s="2">
        <v>0</v>
      </c>
      <c r="I72" s="2">
        <f>VLOOKUP(D72,'SEMANA 41'!D72:N144,11,0)</f>
        <v>0</v>
      </c>
      <c r="J72" s="2"/>
      <c r="K72" s="2"/>
      <c r="L72" s="2"/>
      <c r="M72" s="2"/>
      <c r="N72" s="8">
        <f t="shared" si="5"/>
        <v>0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7">
        <f t="shared" si="6"/>
        <v>0</v>
      </c>
      <c r="AK72" s="7">
        <v>144</v>
      </c>
      <c r="AL72" s="7">
        <v>0</v>
      </c>
      <c r="AM72" s="8">
        <f t="shared" si="7"/>
        <v>0</v>
      </c>
      <c r="AN72" s="8">
        <v>0</v>
      </c>
      <c r="AO72" s="8">
        <f t="shared" si="8"/>
        <v>0</v>
      </c>
      <c r="AP72" s="8">
        <f t="shared" si="4"/>
        <v>0</v>
      </c>
      <c r="AQ72" s="8" t="s">
        <v>110</v>
      </c>
      <c r="AR72" s="8">
        <f t="shared" si="9"/>
        <v>0</v>
      </c>
      <c r="AS72" s="8" t="s">
        <v>119</v>
      </c>
      <c r="AT72" s="8" t="s">
        <v>121</v>
      </c>
      <c r="BA72" s="1">
        <v>0</v>
      </c>
    </row>
    <row r="73" spans="2:53" hidden="1" x14ac:dyDescent="0.25">
      <c r="B73" s="2" t="s">
        <v>87</v>
      </c>
      <c r="C73" s="2" t="s">
        <v>88</v>
      </c>
      <c r="D73" s="2" t="s">
        <v>69</v>
      </c>
      <c r="E73" s="2" t="s">
        <v>60</v>
      </c>
      <c r="F73" s="2">
        <v>3.5000000000000003E-2</v>
      </c>
      <c r="G73" s="3">
        <v>0.252</v>
      </c>
      <c r="H73" s="2">
        <v>576</v>
      </c>
      <c r="I73" s="2">
        <f>VLOOKUP(D73,'SEMANA 41'!D73:N145,11,0)</f>
        <v>0</v>
      </c>
      <c r="J73" s="2"/>
      <c r="K73" s="2"/>
      <c r="L73" s="2"/>
      <c r="M73" s="2"/>
      <c r="N73" s="8">
        <f t="shared" si="5"/>
        <v>-288</v>
      </c>
      <c r="O73" s="2"/>
      <c r="P73" s="2"/>
      <c r="Q73" s="2"/>
      <c r="R73" s="2"/>
      <c r="S73" s="2"/>
      <c r="T73" s="2"/>
      <c r="U73" s="2">
        <v>288</v>
      </c>
      <c r="V73" s="2"/>
      <c r="W73" s="2"/>
      <c r="X73" s="2"/>
      <c r="Y73" s="2"/>
      <c r="Z73" s="2">
        <v>144</v>
      </c>
      <c r="AA73" s="2">
        <v>432</v>
      </c>
      <c r="AB73" s="2"/>
      <c r="AC73" s="2"/>
      <c r="AD73" s="2"/>
      <c r="AE73" s="2"/>
      <c r="AF73" s="2"/>
      <c r="AG73" s="2"/>
      <c r="AH73" s="2"/>
      <c r="AI73" s="2"/>
      <c r="AJ73" s="7">
        <f t="shared" si="6"/>
        <v>145.15199999999999</v>
      </c>
      <c r="AK73" s="7">
        <v>144</v>
      </c>
      <c r="AL73" s="7">
        <v>1</v>
      </c>
      <c r="AM73" s="8">
        <f t="shared" si="7"/>
        <v>576</v>
      </c>
      <c r="AN73" s="8">
        <v>0</v>
      </c>
      <c r="AO73" s="8">
        <f t="shared" si="8"/>
        <v>0</v>
      </c>
      <c r="AP73" s="8">
        <f t="shared" si="4"/>
        <v>0</v>
      </c>
      <c r="AQ73" s="8" t="s">
        <v>111</v>
      </c>
      <c r="AR73" s="8">
        <f t="shared" si="9"/>
        <v>576</v>
      </c>
      <c r="AS73" s="8" t="s">
        <v>119</v>
      </c>
      <c r="AT73" s="8" t="s">
        <v>121</v>
      </c>
      <c r="BA73" s="1">
        <v>-144</v>
      </c>
    </row>
    <row r="74" spans="2:53" hidden="1" x14ac:dyDescent="0.25">
      <c r="B74" s="2" t="s">
        <v>87</v>
      </c>
      <c r="C74" s="2" t="s">
        <v>88</v>
      </c>
      <c r="D74" s="2" t="s">
        <v>70</v>
      </c>
      <c r="E74" s="2" t="s">
        <v>71</v>
      </c>
      <c r="F74" s="2">
        <v>4.4999999999999998E-2</v>
      </c>
      <c r="G74" s="3">
        <v>0.373</v>
      </c>
      <c r="H74" s="2">
        <v>0</v>
      </c>
      <c r="I74" s="2">
        <f>VLOOKUP(D74,'SEMANA 41'!D74:N146,11,0)</f>
        <v>0</v>
      </c>
      <c r="J74" s="2"/>
      <c r="K74" s="2"/>
      <c r="L74" s="2"/>
      <c r="M74" s="2"/>
      <c r="N74" s="8">
        <f t="shared" si="5"/>
        <v>0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7">
        <f t="shared" si="6"/>
        <v>0</v>
      </c>
      <c r="AK74" s="7">
        <v>288</v>
      </c>
      <c r="AL74" s="7">
        <v>1</v>
      </c>
      <c r="AM74" s="8">
        <f t="shared" si="7"/>
        <v>0</v>
      </c>
      <c r="AN74" s="8">
        <v>0</v>
      </c>
      <c r="AO74" s="8">
        <f t="shared" si="8"/>
        <v>0</v>
      </c>
      <c r="AP74" s="8">
        <f t="shared" si="4"/>
        <v>0</v>
      </c>
      <c r="AQ74" s="8" t="s">
        <v>112</v>
      </c>
      <c r="AR74" s="8">
        <f t="shared" si="9"/>
        <v>0</v>
      </c>
      <c r="AS74" s="8" t="s">
        <v>119</v>
      </c>
      <c r="AT74" s="8" t="s">
        <v>121</v>
      </c>
      <c r="BA74" s="1">
        <v>512</v>
      </c>
    </row>
    <row r="75" spans="2:53" x14ac:dyDescent="0.25">
      <c r="B75" s="2" t="s">
        <v>87</v>
      </c>
      <c r="C75" s="2" t="s">
        <v>88</v>
      </c>
      <c r="D75" s="2" t="s">
        <v>72</v>
      </c>
      <c r="E75" s="2" t="s">
        <v>71</v>
      </c>
      <c r="F75" s="2">
        <v>4.1000000000000002E-2</v>
      </c>
      <c r="G75" s="3">
        <v>0.375</v>
      </c>
      <c r="H75" s="2">
        <v>256</v>
      </c>
      <c r="I75" s="2">
        <f>VLOOKUP(D75,'SEMANA 41'!D75:N147,11,0)</f>
        <v>0</v>
      </c>
      <c r="J75" s="2"/>
      <c r="K75" s="2"/>
      <c r="L75" s="2"/>
      <c r="M75" s="2"/>
      <c r="N75" s="8">
        <f t="shared" ref="N75:N83" si="10">+H75+I75+J75+K75+L75+M75-SUM(O75:AI75)</f>
        <v>128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>
        <v>128</v>
      </c>
      <c r="AA75" s="2"/>
      <c r="AB75" s="2"/>
      <c r="AC75" s="2"/>
      <c r="AD75" s="2"/>
      <c r="AE75" s="2"/>
      <c r="AF75" s="2"/>
      <c r="AG75" s="2"/>
      <c r="AH75" s="2"/>
      <c r="AI75" s="2"/>
      <c r="AJ75" s="7">
        <f t="shared" ref="AJ75:AJ83" si="11">+G75*SUM(H75:M75)</f>
        <v>96</v>
      </c>
      <c r="AK75" s="7">
        <v>288</v>
      </c>
      <c r="AL75" s="7">
        <v>0</v>
      </c>
      <c r="AM75" s="8">
        <f t="shared" ref="AM75:AM83" si="12">+H75*AL75</f>
        <v>0</v>
      </c>
      <c r="AN75" s="8">
        <v>1</v>
      </c>
      <c r="AO75" s="8">
        <f t="shared" ref="AO75:AO83" si="13">+H75*AN75</f>
        <v>256</v>
      </c>
      <c r="AP75" s="8">
        <f t="shared" si="4"/>
        <v>512</v>
      </c>
      <c r="AQ75" s="8" t="s">
        <v>113</v>
      </c>
      <c r="AR75" s="8">
        <f t="shared" si="9"/>
        <v>256</v>
      </c>
      <c r="AS75" s="8" t="s">
        <v>119</v>
      </c>
      <c r="AT75" s="8" t="s">
        <v>121</v>
      </c>
      <c r="BA75" s="1">
        <v>0</v>
      </c>
    </row>
    <row r="76" spans="2:53" hidden="1" x14ac:dyDescent="0.25">
      <c r="B76" s="2" t="s">
        <v>87</v>
      </c>
      <c r="C76" s="2" t="s">
        <v>88</v>
      </c>
      <c r="D76" s="2" t="s">
        <v>73</v>
      </c>
      <c r="E76" s="2" t="s">
        <v>71</v>
      </c>
      <c r="F76" s="2">
        <v>4.4999999999999998E-2</v>
      </c>
      <c r="G76" s="3">
        <v>0.35599999999999998</v>
      </c>
      <c r="H76" s="2">
        <v>128</v>
      </c>
      <c r="I76" s="2">
        <f>VLOOKUP(D76,'SEMANA 41'!D76:N148,11,0)</f>
        <v>-128</v>
      </c>
      <c r="J76" s="2"/>
      <c r="K76" s="2"/>
      <c r="L76" s="2"/>
      <c r="M76" s="2"/>
      <c r="N76" s="8">
        <f t="shared" si="10"/>
        <v>-128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>
        <v>128</v>
      </c>
      <c r="AB76" s="2"/>
      <c r="AC76" s="2"/>
      <c r="AD76" s="2"/>
      <c r="AE76" s="2"/>
      <c r="AF76" s="2"/>
      <c r="AG76" s="2"/>
      <c r="AH76" s="2"/>
      <c r="AI76" s="2"/>
      <c r="AJ76" s="7">
        <f t="shared" si="11"/>
        <v>0</v>
      </c>
      <c r="AK76" s="7">
        <v>288</v>
      </c>
      <c r="AL76" s="7">
        <v>1</v>
      </c>
      <c r="AM76" s="8">
        <f t="shared" si="12"/>
        <v>128</v>
      </c>
      <c r="AN76" s="8">
        <v>0</v>
      </c>
      <c r="AO76" s="8">
        <f t="shared" si="13"/>
        <v>0</v>
      </c>
      <c r="AP76" s="8">
        <f t="shared" ref="AP76:AP83" si="14">+AO76*2</f>
        <v>0</v>
      </c>
      <c r="AQ76" s="8" t="s">
        <v>112</v>
      </c>
      <c r="AR76" s="8">
        <f t="shared" si="9"/>
        <v>0</v>
      </c>
      <c r="AS76" s="8" t="s">
        <v>119</v>
      </c>
      <c r="AT76" s="8" t="s">
        <v>121</v>
      </c>
      <c r="BA76" s="1">
        <v>0</v>
      </c>
    </row>
    <row r="77" spans="2:53" hidden="1" x14ac:dyDescent="0.25">
      <c r="B77" s="2" t="s">
        <v>87</v>
      </c>
      <c r="C77" s="2" t="s">
        <v>88</v>
      </c>
      <c r="D77" s="2" t="s">
        <v>74</v>
      </c>
      <c r="E77" s="2" t="s">
        <v>71</v>
      </c>
      <c r="F77" s="2">
        <v>4.4999999999999998E-2</v>
      </c>
      <c r="G77" s="3">
        <v>0.35199999999999998</v>
      </c>
      <c r="H77" s="2">
        <v>384</v>
      </c>
      <c r="I77" s="2">
        <f>VLOOKUP(D77,'SEMANA 41'!D77:N149,11,0)</f>
        <v>-256</v>
      </c>
      <c r="J77" s="2"/>
      <c r="K77" s="2"/>
      <c r="L77" s="2"/>
      <c r="M77" s="2"/>
      <c r="N77" s="8">
        <f t="shared" si="10"/>
        <v>-128</v>
      </c>
      <c r="O77" s="2"/>
      <c r="P77" s="2"/>
      <c r="Q77" s="2"/>
      <c r="R77" s="2"/>
      <c r="S77" s="2">
        <v>256</v>
      </c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7">
        <f t="shared" si="11"/>
        <v>45.055999999999997</v>
      </c>
      <c r="AK77" s="7">
        <v>288</v>
      </c>
      <c r="AL77" s="7">
        <v>1</v>
      </c>
      <c r="AM77" s="8">
        <f t="shared" si="12"/>
        <v>384</v>
      </c>
      <c r="AN77" s="8">
        <v>0</v>
      </c>
      <c r="AO77" s="8">
        <f t="shared" si="13"/>
        <v>0</v>
      </c>
      <c r="AP77" s="8">
        <f t="shared" si="14"/>
        <v>0</v>
      </c>
      <c r="AQ77" s="8" t="s">
        <v>114</v>
      </c>
      <c r="AR77" s="8">
        <f t="shared" si="9"/>
        <v>128</v>
      </c>
      <c r="AS77" s="8" t="s">
        <v>119</v>
      </c>
      <c r="AT77" s="8" t="s">
        <v>121</v>
      </c>
      <c r="BA77" s="1">
        <v>0</v>
      </c>
    </row>
    <row r="78" spans="2:53" hidden="1" x14ac:dyDescent="0.25">
      <c r="B78" s="2" t="s">
        <v>87</v>
      </c>
      <c r="C78" s="2" t="s">
        <v>88</v>
      </c>
      <c r="D78" s="2" t="s">
        <v>75</v>
      </c>
      <c r="E78" s="2" t="s">
        <v>71</v>
      </c>
      <c r="F78" s="2">
        <v>4.4999999999999998E-2</v>
      </c>
      <c r="G78" s="3">
        <v>0.35299999999999998</v>
      </c>
      <c r="H78" s="2">
        <v>128</v>
      </c>
      <c r="I78" s="2">
        <f>VLOOKUP(D78,'SEMANA 41'!D78:N150,11,0)</f>
        <v>0</v>
      </c>
      <c r="J78" s="2"/>
      <c r="K78" s="2"/>
      <c r="L78" s="2"/>
      <c r="M78" s="2"/>
      <c r="N78" s="8">
        <f t="shared" si="10"/>
        <v>0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>
        <v>128</v>
      </c>
      <c r="AB78" s="2"/>
      <c r="AC78" s="2"/>
      <c r="AD78" s="2"/>
      <c r="AE78" s="2"/>
      <c r="AF78" s="2"/>
      <c r="AG78" s="2"/>
      <c r="AH78" s="2"/>
      <c r="AI78" s="2"/>
      <c r="AJ78" s="7">
        <f t="shared" si="11"/>
        <v>45.183999999999997</v>
      </c>
      <c r="AK78" s="7">
        <v>288</v>
      </c>
      <c r="AL78" s="7">
        <v>1</v>
      </c>
      <c r="AM78" s="8">
        <f t="shared" si="12"/>
        <v>128</v>
      </c>
      <c r="AN78" s="8">
        <v>0</v>
      </c>
      <c r="AO78" s="8">
        <f t="shared" si="13"/>
        <v>0</v>
      </c>
      <c r="AP78" s="8">
        <f t="shared" si="14"/>
        <v>0</v>
      </c>
      <c r="AQ78" s="8" t="s">
        <v>115</v>
      </c>
      <c r="AR78" s="8">
        <f t="shared" si="9"/>
        <v>128</v>
      </c>
      <c r="AS78" s="8" t="s">
        <v>119</v>
      </c>
      <c r="AT78" s="8" t="s">
        <v>121</v>
      </c>
      <c r="BA78" s="1">
        <v>0</v>
      </c>
    </row>
    <row r="79" spans="2:53" hidden="1" x14ac:dyDescent="0.25">
      <c r="B79" s="2" t="s">
        <v>87</v>
      </c>
      <c r="C79" s="2" t="s">
        <v>88</v>
      </c>
      <c r="D79" s="2" t="s">
        <v>76</v>
      </c>
      <c r="E79" s="2" t="s">
        <v>71</v>
      </c>
      <c r="F79" s="2">
        <v>4.4999999999999998E-2</v>
      </c>
      <c r="G79" s="3">
        <v>0.35599999999999998</v>
      </c>
      <c r="H79" s="2">
        <v>0</v>
      </c>
      <c r="I79" s="2">
        <f>VLOOKUP(D79,'SEMANA 41'!D79:N151,11,0)</f>
        <v>0</v>
      </c>
      <c r="J79" s="2"/>
      <c r="K79" s="2"/>
      <c r="L79" s="2"/>
      <c r="M79" s="2"/>
      <c r="N79" s="8">
        <f t="shared" si="10"/>
        <v>0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7">
        <f t="shared" si="11"/>
        <v>0</v>
      </c>
      <c r="AK79" s="7">
        <v>288</v>
      </c>
      <c r="AL79" s="7">
        <v>1</v>
      </c>
      <c r="AM79" s="8">
        <f t="shared" si="12"/>
        <v>0</v>
      </c>
      <c r="AN79" s="8">
        <v>0</v>
      </c>
      <c r="AO79" s="8">
        <f t="shared" si="13"/>
        <v>0</v>
      </c>
      <c r="AP79" s="8">
        <f t="shared" si="14"/>
        <v>0</v>
      </c>
      <c r="AQ79" s="8" t="s">
        <v>115</v>
      </c>
      <c r="AR79" s="8">
        <f t="shared" si="9"/>
        <v>0</v>
      </c>
      <c r="AS79" s="8" t="s">
        <v>119</v>
      </c>
      <c r="AT79" s="8" t="s">
        <v>121</v>
      </c>
      <c r="BA79" s="1">
        <v>0</v>
      </c>
    </row>
    <row r="80" spans="2:53" hidden="1" x14ac:dyDescent="0.25">
      <c r="B80" s="2" t="s">
        <v>87</v>
      </c>
      <c r="C80" s="2" t="s">
        <v>88</v>
      </c>
      <c r="D80" s="2" t="s">
        <v>77</v>
      </c>
      <c r="E80" s="2" t="s">
        <v>71</v>
      </c>
      <c r="F80" s="2">
        <v>4.1000000000000002E-2</v>
      </c>
      <c r="G80" s="3">
        <v>0.441</v>
      </c>
      <c r="H80" s="2">
        <v>0</v>
      </c>
      <c r="I80" s="2">
        <f>VLOOKUP(D80,'SEMANA 41'!D80:N152,11,0)</f>
        <v>0</v>
      </c>
      <c r="J80" s="2"/>
      <c r="K80" s="2"/>
      <c r="L80" s="2"/>
      <c r="M80" s="2"/>
      <c r="N80" s="8">
        <f t="shared" si="10"/>
        <v>0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7">
        <f t="shared" si="11"/>
        <v>0</v>
      </c>
      <c r="AK80" s="7">
        <v>288</v>
      </c>
      <c r="AL80" s="7">
        <v>0</v>
      </c>
      <c r="AM80" s="8">
        <f t="shared" si="12"/>
        <v>0</v>
      </c>
      <c r="AN80" s="8">
        <v>0</v>
      </c>
      <c r="AO80" s="8">
        <f t="shared" si="13"/>
        <v>0</v>
      </c>
      <c r="AP80" s="8">
        <f t="shared" si="14"/>
        <v>0</v>
      </c>
      <c r="AQ80" s="8" t="s">
        <v>116</v>
      </c>
      <c r="AR80" s="8">
        <f t="shared" si="9"/>
        <v>0</v>
      </c>
      <c r="AS80" s="8" t="s">
        <v>119</v>
      </c>
      <c r="AT80" s="8" t="s">
        <v>121</v>
      </c>
      <c r="BA80" s="1">
        <v>0</v>
      </c>
    </row>
    <row r="81" spans="1:53" x14ac:dyDescent="0.25">
      <c r="B81" s="2" t="s">
        <v>87</v>
      </c>
      <c r="C81" s="2" t="s">
        <v>88</v>
      </c>
      <c r="D81" s="2" t="s">
        <v>78</v>
      </c>
      <c r="E81" s="2" t="s">
        <v>71</v>
      </c>
      <c r="F81" s="2">
        <v>4.4999999999999998E-2</v>
      </c>
      <c r="G81" s="3">
        <v>0.374</v>
      </c>
      <c r="H81" s="2">
        <v>896</v>
      </c>
      <c r="I81" s="2">
        <f>VLOOKUP(D81,'SEMANA 41'!D81:N153,11,0)</f>
        <v>0</v>
      </c>
      <c r="J81" s="2"/>
      <c r="K81" s="2"/>
      <c r="L81" s="2"/>
      <c r="M81" s="2"/>
      <c r="N81" s="8">
        <f t="shared" si="10"/>
        <v>256</v>
      </c>
      <c r="O81" s="2"/>
      <c r="P81" s="2"/>
      <c r="Q81" s="2"/>
      <c r="R81" s="2">
        <v>384</v>
      </c>
      <c r="S81" s="2">
        <v>256</v>
      </c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7">
        <f t="shared" si="11"/>
        <v>335.10399999999998</v>
      </c>
      <c r="AK81" s="7">
        <v>288</v>
      </c>
      <c r="AL81" s="7">
        <v>1</v>
      </c>
      <c r="AM81" s="8">
        <f t="shared" si="12"/>
        <v>896</v>
      </c>
      <c r="AN81" s="8">
        <v>0</v>
      </c>
      <c r="AO81" s="8">
        <f t="shared" si="13"/>
        <v>0</v>
      </c>
      <c r="AP81" s="8">
        <f t="shared" si="14"/>
        <v>0</v>
      </c>
      <c r="AQ81" s="8" t="s">
        <v>112</v>
      </c>
      <c r="AR81" s="8">
        <f t="shared" si="9"/>
        <v>896</v>
      </c>
      <c r="AS81" s="8" t="s">
        <v>119</v>
      </c>
      <c r="AT81" s="8" t="s">
        <v>121</v>
      </c>
      <c r="BA81" s="1">
        <v>128</v>
      </c>
    </row>
    <row r="82" spans="1:53" hidden="1" x14ac:dyDescent="0.25">
      <c r="B82" s="2" t="s">
        <v>87</v>
      </c>
      <c r="C82" s="2" t="s">
        <v>88</v>
      </c>
      <c r="D82" s="2" t="s">
        <v>79</v>
      </c>
      <c r="E82" s="2" t="s">
        <v>71</v>
      </c>
      <c r="F82" s="2">
        <v>4.1000000000000002E-2</v>
      </c>
      <c r="G82" s="3">
        <v>0.41599999999999998</v>
      </c>
      <c r="H82" s="2">
        <v>0</v>
      </c>
      <c r="I82" s="2">
        <f>VLOOKUP(D82,'SEMANA 41'!D82:N154,11,0)</f>
        <v>0</v>
      </c>
      <c r="J82" s="2"/>
      <c r="K82" s="2"/>
      <c r="L82" s="2"/>
      <c r="M82" s="2"/>
      <c r="N82" s="8">
        <f t="shared" si="10"/>
        <v>-144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>
        <v>144</v>
      </c>
      <c r="AB82" s="2"/>
      <c r="AC82" s="2"/>
      <c r="AD82" s="2"/>
      <c r="AE82" s="2"/>
      <c r="AF82" s="2"/>
      <c r="AG82" s="2"/>
      <c r="AH82" s="2"/>
      <c r="AI82" s="2"/>
      <c r="AJ82" s="7">
        <f t="shared" si="11"/>
        <v>0</v>
      </c>
      <c r="AK82" s="7">
        <v>288</v>
      </c>
      <c r="AL82" s="7">
        <v>0</v>
      </c>
      <c r="AM82" s="8">
        <f t="shared" si="12"/>
        <v>0</v>
      </c>
      <c r="AN82" s="8">
        <v>1</v>
      </c>
      <c r="AO82" s="8">
        <f t="shared" si="13"/>
        <v>0</v>
      </c>
      <c r="AP82" s="8">
        <f t="shared" si="14"/>
        <v>0</v>
      </c>
      <c r="AQ82" s="8" t="s">
        <v>117</v>
      </c>
      <c r="AR82" s="8">
        <f t="shared" si="9"/>
        <v>0</v>
      </c>
      <c r="AS82" s="8" t="s">
        <v>119</v>
      </c>
      <c r="AT82" s="8" t="s">
        <v>121</v>
      </c>
      <c r="BA82" s="1">
        <v>0</v>
      </c>
    </row>
    <row r="83" spans="1:53" x14ac:dyDescent="0.25">
      <c r="B83" s="2" t="s">
        <v>87</v>
      </c>
      <c r="C83" s="2" t="s">
        <v>88</v>
      </c>
      <c r="D83" s="2" t="s">
        <v>80</v>
      </c>
      <c r="E83" s="2" t="s">
        <v>71</v>
      </c>
      <c r="F83" s="2">
        <v>4.4999999999999998E-2</v>
      </c>
      <c r="G83" s="3">
        <v>0.39500000000000002</v>
      </c>
      <c r="H83" s="2">
        <v>384</v>
      </c>
      <c r="I83" s="2">
        <f>VLOOKUP(D83,'SEMANA 41'!D83:N155,11,0)</f>
        <v>0</v>
      </c>
      <c r="J83" s="2"/>
      <c r="K83" s="2"/>
      <c r="L83" s="2"/>
      <c r="M83" s="2"/>
      <c r="N83" s="8">
        <f t="shared" si="10"/>
        <v>256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>
        <v>128</v>
      </c>
      <c r="AC83" s="2"/>
      <c r="AD83" s="2"/>
      <c r="AE83" s="2"/>
      <c r="AF83" s="2"/>
      <c r="AG83" s="2"/>
      <c r="AH83" s="2"/>
      <c r="AI83" s="2"/>
      <c r="AJ83" s="7">
        <f t="shared" si="11"/>
        <v>151.68</v>
      </c>
      <c r="AK83" s="7">
        <v>288</v>
      </c>
      <c r="AL83" s="7">
        <v>1</v>
      </c>
      <c r="AM83" s="8">
        <f t="shared" si="12"/>
        <v>384</v>
      </c>
      <c r="AN83" s="8">
        <v>0</v>
      </c>
      <c r="AO83" s="8">
        <f t="shared" si="13"/>
        <v>0</v>
      </c>
      <c r="AP83" s="8">
        <f t="shared" si="14"/>
        <v>0</v>
      </c>
      <c r="AQ83" s="8" t="s">
        <v>112</v>
      </c>
      <c r="AR83" s="8">
        <f t="shared" si="9"/>
        <v>384</v>
      </c>
      <c r="AS83" s="8" t="s">
        <v>119</v>
      </c>
      <c r="AT83" s="8" t="s">
        <v>121</v>
      </c>
      <c r="BA83" s="1">
        <v>0</v>
      </c>
    </row>
    <row r="84" spans="1:53" x14ac:dyDescent="0.25">
      <c r="G84" s="4" t="s">
        <v>102</v>
      </c>
      <c r="H84" s="9">
        <f>SUM(H11:H83)</f>
        <v>37912</v>
      </c>
      <c r="I84" s="9">
        <f t="shared" ref="I84:M84" si="15">SUM(I11:I83)</f>
        <v>-2996</v>
      </c>
      <c r="J84" s="9">
        <f t="shared" si="15"/>
        <v>0</v>
      </c>
      <c r="K84" s="9">
        <f t="shared" si="15"/>
        <v>0</v>
      </c>
      <c r="L84" s="9">
        <f t="shared" si="15"/>
        <v>0</v>
      </c>
      <c r="M84" s="9">
        <f t="shared" si="15"/>
        <v>0</v>
      </c>
      <c r="N84" s="13">
        <f>SUM(N11:N83)</f>
        <v>1185</v>
      </c>
      <c r="O84" s="9">
        <f>SUBTOTAL(9,O18:O83)</f>
        <v>0</v>
      </c>
      <c r="P84" s="9">
        <f t="shared" ref="P84:AH84" si="16">SUBTOTAL(9,P18:P83)</f>
        <v>0</v>
      </c>
      <c r="Q84" s="9">
        <f t="shared" si="16"/>
        <v>0</v>
      </c>
      <c r="R84" s="9">
        <f t="shared" si="16"/>
        <v>384</v>
      </c>
      <c r="S84" s="9">
        <f t="shared" si="16"/>
        <v>544</v>
      </c>
      <c r="T84" s="9">
        <f t="shared" si="16"/>
        <v>0</v>
      </c>
      <c r="U84" s="9">
        <f t="shared" si="16"/>
        <v>1601</v>
      </c>
      <c r="V84" s="9">
        <f t="shared" si="16"/>
        <v>1238</v>
      </c>
      <c r="W84" s="9">
        <f t="shared" si="16"/>
        <v>1487</v>
      </c>
      <c r="X84" s="9">
        <f t="shared" si="16"/>
        <v>0</v>
      </c>
      <c r="Y84" s="9">
        <f t="shared" si="16"/>
        <v>2300</v>
      </c>
      <c r="Z84" s="9">
        <f t="shared" si="16"/>
        <v>2358</v>
      </c>
      <c r="AA84" s="9">
        <f t="shared" si="16"/>
        <v>2824</v>
      </c>
      <c r="AB84" s="9">
        <f t="shared" si="16"/>
        <v>1888</v>
      </c>
      <c r="AC84" s="9">
        <f t="shared" si="16"/>
        <v>0</v>
      </c>
      <c r="AD84" s="9">
        <f t="shared" si="16"/>
        <v>0</v>
      </c>
      <c r="AE84" s="9">
        <f t="shared" si="16"/>
        <v>0</v>
      </c>
      <c r="AF84" s="9">
        <f t="shared" si="16"/>
        <v>0</v>
      </c>
      <c r="AG84" s="9">
        <f t="shared" si="16"/>
        <v>0</v>
      </c>
      <c r="AH84" s="9">
        <f t="shared" si="16"/>
        <v>0</v>
      </c>
      <c r="AI84" s="9">
        <f>SUBTOTAL(9,AI18:AI83)</f>
        <v>0</v>
      </c>
      <c r="AJ84" s="9">
        <f t="shared" ref="AJ84:AP84" si="17">SUM(AJ11:AJ83)</f>
        <v>3540.701</v>
      </c>
      <c r="AK84" s="9"/>
      <c r="AL84" s="10">
        <f t="shared" si="17"/>
        <v>14</v>
      </c>
      <c r="AM84" s="11">
        <f t="shared" si="17"/>
        <v>4656</v>
      </c>
      <c r="AN84" s="11">
        <f t="shared" si="17"/>
        <v>2</v>
      </c>
      <c r="AO84" s="11">
        <f t="shared" si="17"/>
        <v>256</v>
      </c>
      <c r="AP84" s="11">
        <f t="shared" si="17"/>
        <v>512</v>
      </c>
      <c r="AR84" s="11">
        <f>SUM(AR11:AR83)</f>
        <v>4240</v>
      </c>
    </row>
    <row r="85" spans="1:53" hidden="1" x14ac:dyDescent="0.25">
      <c r="G85" s="4" t="s">
        <v>108</v>
      </c>
      <c r="H85" s="91">
        <f>+H84+I84+J84+K84+L84+M84</f>
        <v>34916</v>
      </c>
      <c r="I85" s="91"/>
      <c r="J85" s="91"/>
      <c r="K85" s="91"/>
      <c r="L85" s="91"/>
      <c r="M85" s="91"/>
      <c r="O85" s="80">
        <f>+O84+P84</f>
        <v>0</v>
      </c>
      <c r="P85" s="79"/>
      <c r="Q85" s="80">
        <f>+Q84+R84</f>
        <v>384</v>
      </c>
      <c r="R85" s="79"/>
      <c r="S85" s="80">
        <f>+S84+T84</f>
        <v>544</v>
      </c>
      <c r="T85" s="79"/>
      <c r="U85" s="80">
        <f>+U84+V84</f>
        <v>2839</v>
      </c>
      <c r="V85" s="79"/>
      <c r="W85" s="80">
        <f>+W84+X84</f>
        <v>1487</v>
      </c>
      <c r="X85" s="79"/>
      <c r="Y85" s="92">
        <f>+Y84+Z84</f>
        <v>4658</v>
      </c>
      <c r="Z85" s="93"/>
      <c r="AA85" s="92">
        <f>+AA84+AB84</f>
        <v>4712</v>
      </c>
      <c r="AB85" s="93"/>
      <c r="AC85" s="92">
        <f>+AC84+AD84</f>
        <v>0</v>
      </c>
      <c r="AD85" s="93"/>
      <c r="AE85" s="92">
        <f>+AE84+AF84</f>
        <v>0</v>
      </c>
      <c r="AF85" s="93"/>
      <c r="AG85" s="92">
        <f>+AG84+AH84</f>
        <v>0</v>
      </c>
      <c r="AH85" s="93"/>
      <c r="AI85" s="12">
        <f>+AI84</f>
        <v>0</v>
      </c>
    </row>
    <row r="86" spans="1:53" x14ac:dyDescent="0.25">
      <c r="H86" s="1">
        <v>0</v>
      </c>
      <c r="I86" s="1">
        <f>SUM(I18:I83)</f>
        <v>-6748</v>
      </c>
      <c r="J86" s="1">
        <f>SUM(J18:J83)</f>
        <v>0</v>
      </c>
      <c r="K86" s="1">
        <f t="shared" ref="K86:M86" si="18">SUM(K18:K83)</f>
        <v>0</v>
      </c>
      <c r="L86" s="1">
        <f t="shared" si="18"/>
        <v>0</v>
      </c>
      <c r="M86" s="1">
        <f t="shared" si="18"/>
        <v>0</v>
      </c>
    </row>
    <row r="87" spans="1:53" x14ac:dyDescent="0.25">
      <c r="N87" s="1">
        <v>6</v>
      </c>
    </row>
    <row r="88" spans="1:53" x14ac:dyDescent="0.25">
      <c r="C88" s="2" t="s">
        <v>143</v>
      </c>
      <c r="D88" s="2" t="s">
        <v>144</v>
      </c>
      <c r="E88" s="2" t="s">
        <v>145</v>
      </c>
      <c r="F88" s="2" t="s">
        <v>179</v>
      </c>
      <c r="O88" s="19" t="s">
        <v>97</v>
      </c>
      <c r="P88" s="19" t="s">
        <v>98</v>
      </c>
      <c r="Q88" s="19" t="s">
        <v>97</v>
      </c>
      <c r="R88" s="19" t="s">
        <v>98</v>
      </c>
      <c r="S88" s="19" t="s">
        <v>97</v>
      </c>
      <c r="T88" s="19" t="s">
        <v>98</v>
      </c>
      <c r="U88" s="19" t="s">
        <v>97</v>
      </c>
      <c r="V88" s="19" t="s">
        <v>98</v>
      </c>
      <c r="W88" s="19" t="s">
        <v>97</v>
      </c>
      <c r="X88" s="19" t="s">
        <v>98</v>
      </c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</row>
    <row r="89" spans="1:53" x14ac:dyDescent="0.25">
      <c r="B89" s="2" t="s">
        <v>138</v>
      </c>
      <c r="C89" s="8">
        <v>37912</v>
      </c>
      <c r="D89" s="2">
        <f>+C89/5</f>
        <v>7582.4</v>
      </c>
      <c r="E89" s="2">
        <f>+D89/2</f>
        <v>3791.2</v>
      </c>
      <c r="F89" s="8">
        <v>7742</v>
      </c>
      <c r="O89" s="48">
        <f t="shared" ref="O89:X89" si="19">+O84/$E$89</f>
        <v>0</v>
      </c>
      <c r="P89" s="48">
        <f t="shared" si="19"/>
        <v>0</v>
      </c>
      <c r="Q89" s="48">
        <f t="shared" si="19"/>
        <v>0</v>
      </c>
      <c r="R89" s="48">
        <f t="shared" si="19"/>
        <v>0.10128719139058874</v>
      </c>
      <c r="S89" s="48">
        <f t="shared" si="19"/>
        <v>0.14349018780333406</v>
      </c>
      <c r="T89" s="48">
        <f t="shared" si="19"/>
        <v>0</v>
      </c>
      <c r="U89" s="48">
        <f t="shared" si="19"/>
        <v>0.42229373285503274</v>
      </c>
      <c r="V89" s="48">
        <f t="shared" si="19"/>
        <v>0.32654568474361684</v>
      </c>
      <c r="W89" s="48">
        <f t="shared" si="19"/>
        <v>0.3922240979109517</v>
      </c>
      <c r="X89" s="48">
        <f t="shared" si="19"/>
        <v>0</v>
      </c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19"/>
    </row>
    <row r="90" spans="1:53" x14ac:dyDescent="0.25">
      <c r="B90" s="2" t="s">
        <v>142</v>
      </c>
      <c r="C90" s="8">
        <v>7969</v>
      </c>
      <c r="F90" s="2" t="s">
        <v>180</v>
      </c>
      <c r="O90" s="81">
        <f t="shared" ref="O90:W90" si="20">+O86/$F$91</f>
        <v>0</v>
      </c>
      <c r="P90" s="82"/>
      <c r="Q90" s="81">
        <f t="shared" si="20"/>
        <v>0</v>
      </c>
      <c r="R90" s="82"/>
      <c r="S90" s="81">
        <f t="shared" si="20"/>
        <v>0</v>
      </c>
      <c r="T90" s="82"/>
      <c r="U90" s="81">
        <f t="shared" si="20"/>
        <v>0</v>
      </c>
      <c r="V90" s="82"/>
      <c r="W90" s="81">
        <f t="shared" si="20"/>
        <v>0</v>
      </c>
      <c r="X90" s="82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19"/>
    </row>
    <row r="91" spans="1:53" x14ac:dyDescent="0.25">
      <c r="B91" s="2" t="s">
        <v>139</v>
      </c>
      <c r="C91" s="2">
        <f>+C89-C90</f>
        <v>29943</v>
      </c>
      <c r="F91" s="2">
        <f>+F89/5</f>
        <v>1548.4</v>
      </c>
    </row>
    <row r="92" spans="1:53" x14ac:dyDescent="0.25">
      <c r="B92" s="2" t="s">
        <v>136</v>
      </c>
      <c r="C92" s="25">
        <f>+C91/C89</f>
        <v>0.78980270099177041</v>
      </c>
    </row>
    <row r="93" spans="1:53" x14ac:dyDescent="0.25">
      <c r="B93" s="2" t="s">
        <v>137</v>
      </c>
      <c r="C93" s="25">
        <f>+C90/C89</f>
        <v>0.21019729900822959</v>
      </c>
    </row>
    <row r="94" spans="1:53" x14ac:dyDescent="0.25">
      <c r="N94" s="78" t="s">
        <v>198</v>
      </c>
    </row>
    <row r="95" spans="1:53" x14ac:dyDescent="0.25">
      <c r="A95" s="83" t="s">
        <v>189</v>
      </c>
      <c r="B95" s="84"/>
      <c r="C95" s="84"/>
      <c r="D95" s="84"/>
      <c r="E95" s="84"/>
      <c r="F95" s="85"/>
      <c r="N95" s="1" t="s">
        <v>197</v>
      </c>
    </row>
    <row r="96" spans="1:53" x14ac:dyDescent="0.25">
      <c r="A96" s="86" t="s">
        <v>195</v>
      </c>
      <c r="B96" s="44">
        <v>46270</v>
      </c>
      <c r="C96" s="44">
        <v>46271</v>
      </c>
      <c r="D96" s="44">
        <v>46272</v>
      </c>
      <c r="E96" s="44">
        <v>46273</v>
      </c>
      <c r="F96" s="44">
        <v>46274</v>
      </c>
    </row>
    <row r="97" spans="1:6" x14ac:dyDescent="0.25">
      <c r="A97" s="86"/>
      <c r="B97" s="45" t="s">
        <v>148</v>
      </c>
      <c r="C97" s="4" t="s">
        <v>149</v>
      </c>
      <c r="D97" s="4" t="s">
        <v>150</v>
      </c>
      <c r="E97" s="4" t="s">
        <v>151</v>
      </c>
      <c r="F97" s="4" t="s">
        <v>160</v>
      </c>
    </row>
    <row r="98" spans="1:6" x14ac:dyDescent="0.25">
      <c r="A98" s="11" t="s">
        <v>153</v>
      </c>
      <c r="B98" s="35"/>
      <c r="C98" s="35">
        <v>0.02</v>
      </c>
      <c r="D98" s="35">
        <v>7.0000000000000007E-2</v>
      </c>
      <c r="E98" s="35">
        <v>0.23</v>
      </c>
      <c r="F98" s="35"/>
    </row>
    <row r="99" spans="1:6" x14ac:dyDescent="0.25">
      <c r="A99" s="11" t="s">
        <v>154</v>
      </c>
      <c r="B99" s="35"/>
      <c r="C99" s="35">
        <v>0.98</v>
      </c>
      <c r="D99" s="35">
        <v>0.93</v>
      </c>
      <c r="E99" s="35">
        <v>0.77</v>
      </c>
      <c r="F99" s="35"/>
    </row>
    <row r="101" spans="1:6" x14ac:dyDescent="0.25">
      <c r="A101" s="83" t="s">
        <v>189</v>
      </c>
      <c r="B101" s="84"/>
      <c r="C101" s="84"/>
      <c r="D101" s="84"/>
      <c r="E101" s="84"/>
      <c r="F101" s="85"/>
    </row>
    <row r="102" spans="1:6" x14ac:dyDescent="0.25">
      <c r="A102" s="86" t="s">
        <v>195</v>
      </c>
      <c r="B102" s="44">
        <v>46277</v>
      </c>
      <c r="C102" s="44">
        <v>46278</v>
      </c>
      <c r="D102" s="44">
        <v>46279</v>
      </c>
      <c r="E102" s="44">
        <v>46280</v>
      </c>
      <c r="F102" s="44">
        <v>46281</v>
      </c>
    </row>
    <row r="103" spans="1:6" x14ac:dyDescent="0.25">
      <c r="A103" s="86"/>
      <c r="B103" s="45" t="s">
        <v>148</v>
      </c>
      <c r="C103" s="4" t="s">
        <v>149</v>
      </c>
      <c r="D103" s="4" t="s">
        <v>150</v>
      </c>
      <c r="E103" s="4" t="s">
        <v>151</v>
      </c>
      <c r="F103" s="4" t="s">
        <v>160</v>
      </c>
    </row>
    <row r="104" spans="1:6" x14ac:dyDescent="0.25">
      <c r="A104" s="11" t="s">
        <v>153</v>
      </c>
      <c r="B104" s="35">
        <v>0.62</v>
      </c>
      <c r="C104" s="35">
        <v>0.79</v>
      </c>
      <c r="D104" s="35"/>
      <c r="E104" s="35"/>
      <c r="F104" s="35"/>
    </row>
    <row r="105" spans="1:6" x14ac:dyDescent="0.25">
      <c r="A105" s="11" t="s">
        <v>154</v>
      </c>
      <c r="B105" s="35">
        <v>0.38</v>
      </c>
      <c r="C105" s="35"/>
      <c r="D105" s="35"/>
      <c r="E105" s="35"/>
      <c r="F105" s="35"/>
    </row>
  </sheetData>
  <autoFilter ref="B10:AT85" xr:uid="{00000000-0009-0000-0000-00000F000000}">
    <filterColumn colId="3">
      <filters blank="1">
        <filter val="C - 1/2"/>
        <filter val="C - 3/4"/>
        <filter val="C - 3/8"/>
        <filter val="C - 7/8"/>
        <filter val="SOLDADURA 3/4"/>
        <filter val="SOLDADURA 7/8"/>
      </filters>
    </filterColumn>
    <filterColumn colId="12">
      <customFilters>
        <customFilter operator="greaterThan" val="1"/>
      </customFilters>
    </filterColumn>
  </autoFilter>
  <mergeCells count="28">
    <mergeCell ref="AG85:AH85"/>
    <mergeCell ref="Y85:Z85"/>
    <mergeCell ref="AA85:AB85"/>
    <mergeCell ref="AC85:AD85"/>
    <mergeCell ref="AE85:AF85"/>
    <mergeCell ref="Y9:Z9"/>
    <mergeCell ref="AA9:AB9"/>
    <mergeCell ref="AC9:AD9"/>
    <mergeCell ref="AE9:AF9"/>
    <mergeCell ref="AG9:AH9"/>
    <mergeCell ref="C7:D7"/>
    <mergeCell ref="B8:B9"/>
    <mergeCell ref="I9:M9"/>
    <mergeCell ref="H85:M85"/>
    <mergeCell ref="O9:P9"/>
    <mergeCell ref="O90:P90"/>
    <mergeCell ref="Q90:R90"/>
    <mergeCell ref="A101:F101"/>
    <mergeCell ref="A102:A103"/>
    <mergeCell ref="W9:X9"/>
    <mergeCell ref="Q9:R9"/>
    <mergeCell ref="S9:T9"/>
    <mergeCell ref="U9:V9"/>
    <mergeCell ref="S90:T90"/>
    <mergeCell ref="U90:V90"/>
    <mergeCell ref="W90:X90"/>
    <mergeCell ref="A95:F95"/>
    <mergeCell ref="A96:A97"/>
  </mergeCells>
  <conditionalFormatting sqref="O89:AH89">
    <cfRule type="cellIs" dxfId="5" priority="1" operator="between">
      <formula>1</formula>
      <formula>5</formula>
    </cfRule>
    <cfRule type="cellIs" dxfId="4" priority="2" operator="between">
      <formula>0.85</formula>
      <formula>0.99</formula>
    </cfRule>
    <cfRule type="cellIs" dxfId="3" priority="3" operator="between">
      <formula>0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scale="83" orientation="landscape" r:id="rId2"/>
  <drawing r:id="rId3"/>
  <legacyDrawing r:id="rId4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D150E-4B19-465B-951D-EF560684DE32}">
  <sheetPr filterMode="1">
    <pageSetUpPr fitToPage="1"/>
  </sheetPr>
  <dimension ref="A1:AQ101"/>
  <sheetViews>
    <sheetView tabSelected="1" zoomScale="70" zoomScaleNormal="70" zoomScaleSheetLayoutView="70" workbookViewId="0">
      <pane xSplit="14" topLeftCell="O1" activePane="topRight" state="frozen"/>
      <selection activeCell="B2" sqref="B2"/>
      <selection pane="topRight" activeCell="F59" sqref="F59"/>
    </sheetView>
  </sheetViews>
  <sheetFormatPr baseColWidth="10" defaultColWidth="8.7109375" defaultRowHeight="15" x14ac:dyDescent="0.25"/>
  <cols>
    <col min="1" max="1" width="10.140625" style="1" bestFit="1" customWidth="1"/>
    <col min="2" max="2" width="17.7109375" style="1" bestFit="1" customWidth="1"/>
    <col min="3" max="3" width="14.42578125" style="1" bestFit="1" customWidth="1"/>
    <col min="4" max="4" width="19.140625" style="1" customWidth="1"/>
    <col min="5" max="5" width="14.5703125" style="1" customWidth="1"/>
    <col min="6" max="6" width="19.7109375" style="1" customWidth="1"/>
    <col min="7" max="7" width="15.42578125" style="1" customWidth="1"/>
    <col min="8" max="8" width="15.42578125" style="1" bestFit="1" customWidth="1"/>
    <col min="9" max="9" width="10.140625" style="1" customWidth="1"/>
    <col min="10" max="10" width="10.7109375" style="1" hidden="1" customWidth="1"/>
    <col min="11" max="11" width="10" style="1" hidden="1" customWidth="1"/>
    <col min="12" max="12" width="9" style="1" hidden="1" customWidth="1"/>
    <col min="13" max="13" width="5.5703125" style="1" hidden="1" customWidth="1"/>
    <col min="14" max="14" width="19.28515625" style="1" customWidth="1"/>
    <col min="15" max="16" width="8.7109375" style="1" customWidth="1"/>
    <col min="17" max="22" width="8.7109375" style="1"/>
    <col min="23" max="24" width="8.7109375" style="1" customWidth="1"/>
    <col min="25" max="27" width="8.7109375" style="1"/>
    <col min="28" max="28" width="8.7109375" style="1" customWidth="1"/>
    <col min="29" max="29" width="8.7109375" style="1"/>
    <col min="30" max="30" width="0" style="1" hidden="1" customWidth="1"/>
    <col min="31" max="32" width="8.7109375" style="1"/>
    <col min="33" max="33" width="10" style="1" bestFit="1" customWidth="1"/>
    <col min="34" max="34" width="10" style="1" customWidth="1"/>
    <col min="35" max="35" width="13" style="1" bestFit="1" customWidth="1"/>
    <col min="36" max="36" width="11.5703125" style="1" bestFit="1" customWidth="1"/>
    <col min="37" max="37" width="8.7109375" style="1"/>
    <col min="38" max="38" width="12.85546875" style="1" customWidth="1"/>
    <col min="39" max="39" width="16.5703125" style="1" customWidth="1"/>
    <col min="40" max="16384" width="8.7109375" style="1"/>
  </cols>
  <sheetData>
    <row r="1" spans="2:43" s="75" customFormat="1" x14ac:dyDescent="0.25">
      <c r="J1" s="1"/>
      <c r="K1" s="1"/>
      <c r="L1" s="1"/>
      <c r="M1" s="1"/>
      <c r="AD1" s="1"/>
    </row>
    <row r="2" spans="2:43" s="75" customFormat="1" x14ac:dyDescent="0.25">
      <c r="J2" s="1"/>
      <c r="K2" s="1"/>
      <c r="L2" s="1"/>
      <c r="M2" s="1"/>
      <c r="AD2" s="1"/>
    </row>
    <row r="3" spans="2:43" s="75" customFormat="1" x14ac:dyDescent="0.25">
      <c r="J3" s="1"/>
      <c r="K3" s="1"/>
      <c r="L3" s="1"/>
      <c r="M3" s="1"/>
      <c r="AD3" s="1"/>
    </row>
    <row r="4" spans="2:43" s="75" customFormat="1" x14ac:dyDescent="0.25">
      <c r="J4" s="1"/>
      <c r="K4" s="1"/>
      <c r="L4" s="1"/>
      <c r="M4" s="1"/>
      <c r="AD4" s="1"/>
    </row>
    <row r="5" spans="2:43" s="75" customFormat="1" x14ac:dyDescent="0.25">
      <c r="J5" s="1"/>
      <c r="K5" s="1"/>
      <c r="L5" s="1"/>
      <c r="M5" s="1"/>
      <c r="AD5" s="1"/>
    </row>
    <row r="7" spans="2:43" x14ac:dyDescent="0.25">
      <c r="B7" s="4" t="s">
        <v>99</v>
      </c>
      <c r="C7" s="88" t="s">
        <v>100</v>
      </c>
      <c r="D7" s="88"/>
    </row>
    <row r="8" spans="2:43" x14ac:dyDescent="0.25">
      <c r="B8" s="89">
        <f ca="1">TODAY()</f>
        <v>46309</v>
      </c>
      <c r="C8" s="4" t="s">
        <v>97</v>
      </c>
      <c r="D8" s="2" t="s">
        <v>127</v>
      </c>
      <c r="H8" s="4" t="s">
        <v>84</v>
      </c>
    </row>
    <row r="9" spans="2:43" x14ac:dyDescent="0.25">
      <c r="B9" s="89"/>
      <c r="C9" s="4" t="s">
        <v>98</v>
      </c>
      <c r="D9" s="2"/>
      <c r="H9" s="4" t="s">
        <v>85</v>
      </c>
      <c r="I9" s="90" t="s">
        <v>146</v>
      </c>
      <c r="J9" s="90"/>
      <c r="K9" s="90"/>
      <c r="L9" s="90"/>
      <c r="M9" s="90"/>
      <c r="O9" s="87">
        <v>46307</v>
      </c>
      <c r="P9" s="87"/>
      <c r="Q9" s="87">
        <v>46308</v>
      </c>
      <c r="R9" s="87"/>
      <c r="S9" s="87">
        <v>46309</v>
      </c>
      <c r="T9" s="87"/>
      <c r="U9" s="87">
        <v>46310</v>
      </c>
      <c r="V9" s="87"/>
      <c r="W9" s="87">
        <v>46311</v>
      </c>
      <c r="X9" s="87"/>
      <c r="Y9" s="6" t="s">
        <v>92</v>
      </c>
    </row>
    <row r="10" spans="2:43" x14ac:dyDescent="0.25">
      <c r="B10" s="4" t="s">
        <v>0</v>
      </c>
      <c r="C10" s="4" t="s">
        <v>86</v>
      </c>
      <c r="D10" s="4" t="s">
        <v>89</v>
      </c>
      <c r="E10" s="4" t="s">
        <v>81</v>
      </c>
      <c r="F10" s="4" t="s">
        <v>82</v>
      </c>
      <c r="G10" s="4" t="s">
        <v>83</v>
      </c>
      <c r="H10" s="5">
        <v>43</v>
      </c>
      <c r="I10" s="4" t="s">
        <v>199</v>
      </c>
      <c r="J10" s="4" t="s">
        <v>91</v>
      </c>
      <c r="K10" s="4" t="s">
        <v>93</v>
      </c>
      <c r="L10" s="4" t="s">
        <v>94</v>
      </c>
      <c r="M10" s="4" t="s">
        <v>95</v>
      </c>
      <c r="N10" s="4" t="s">
        <v>96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 t="s">
        <v>104</v>
      </c>
      <c r="Z10" s="4" t="s">
        <v>90</v>
      </c>
      <c r="AA10" s="4" t="s">
        <v>126</v>
      </c>
      <c r="AB10" s="4" t="s">
        <v>105</v>
      </c>
      <c r="AC10" s="4" t="s">
        <v>105</v>
      </c>
      <c r="AD10" s="4" t="s">
        <v>106</v>
      </c>
      <c r="AE10" s="4" t="s">
        <v>106</v>
      </c>
      <c r="AF10" s="4" t="s">
        <v>107</v>
      </c>
      <c r="AG10" s="4" t="s">
        <v>109</v>
      </c>
      <c r="AH10" s="4" t="s">
        <v>122</v>
      </c>
      <c r="AI10" s="4" t="s">
        <v>118</v>
      </c>
      <c r="AJ10" s="4" t="s">
        <v>120</v>
      </c>
      <c r="AL10" s="15" t="s">
        <v>123</v>
      </c>
      <c r="AM10" s="15" t="s">
        <v>125</v>
      </c>
      <c r="AN10"/>
    </row>
    <row r="11" spans="2:43" hidden="1" x14ac:dyDescent="0.25">
      <c r="B11" s="2" t="s">
        <v>87</v>
      </c>
      <c r="C11" s="2" t="s">
        <v>88</v>
      </c>
      <c r="D11" s="2" t="s">
        <v>1</v>
      </c>
      <c r="E11" s="2" t="s">
        <v>2</v>
      </c>
      <c r="F11" s="2">
        <v>0.42</v>
      </c>
      <c r="G11" s="3">
        <v>0.02</v>
      </c>
      <c r="H11" s="2">
        <v>0</v>
      </c>
      <c r="I11" s="2">
        <v>0</v>
      </c>
      <c r="J11" s="2"/>
      <c r="K11" s="2"/>
      <c r="L11" s="2"/>
      <c r="M11" s="2"/>
      <c r="N11" s="8">
        <f>+H11+I11+J11+K11+L11+M11-SUM(O11:Y11)</f>
        <v>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7">
        <f>+G11*SUM(H11:M11)</f>
        <v>0</v>
      </c>
      <c r="AA11" s="7">
        <v>1000</v>
      </c>
      <c r="AB11" s="7">
        <v>0</v>
      </c>
      <c r="AC11" s="8">
        <f>+H11*AB11</f>
        <v>0</v>
      </c>
      <c r="AD11" s="8">
        <v>0</v>
      </c>
      <c r="AE11" s="8">
        <f>+H11*AD11</f>
        <v>0</v>
      </c>
      <c r="AF11" s="8">
        <f>+AE11*2</f>
        <v>0</v>
      </c>
      <c r="AG11" s="8">
        <v>0</v>
      </c>
      <c r="AH11" s="8">
        <v>0</v>
      </c>
      <c r="AI11" s="8" t="s">
        <v>119</v>
      </c>
      <c r="AJ11" s="8" t="s">
        <v>121</v>
      </c>
      <c r="AL11" s="14">
        <v>0</v>
      </c>
      <c r="AM11" s="15">
        <v>0</v>
      </c>
      <c r="AN11"/>
      <c r="AQ11" s="1">
        <v>5600</v>
      </c>
    </row>
    <row r="12" spans="2:43" hidden="1" x14ac:dyDescent="0.25">
      <c r="B12" s="2" t="s">
        <v>87</v>
      </c>
      <c r="C12" s="2" t="s">
        <v>88</v>
      </c>
      <c r="D12" s="2" t="s">
        <v>3</v>
      </c>
      <c r="E12" s="2" t="s">
        <v>2</v>
      </c>
      <c r="F12" s="2">
        <v>0.42</v>
      </c>
      <c r="G12" s="3">
        <v>3.1E-2</v>
      </c>
      <c r="H12" s="2">
        <v>0</v>
      </c>
      <c r="I12" s="2">
        <v>0</v>
      </c>
      <c r="J12" s="2"/>
      <c r="K12" s="2"/>
      <c r="L12" s="2"/>
      <c r="M12" s="2"/>
      <c r="N12" s="8">
        <f>+H12+I12+J12+K12+L12+M12-SUM(O12:Y12)</f>
        <v>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7">
        <f>+G12*SUM(H12:M12)</f>
        <v>0</v>
      </c>
      <c r="AA12" s="7">
        <v>1000</v>
      </c>
      <c r="AB12" s="7">
        <v>0</v>
      </c>
      <c r="AC12" s="8">
        <f>+H12*AB12</f>
        <v>0</v>
      </c>
      <c r="AD12" s="8">
        <v>0</v>
      </c>
      <c r="AE12" s="8">
        <f>+H12*AD12</f>
        <v>0</v>
      </c>
      <c r="AF12" s="8">
        <f t="shared" ref="AF12:AF75" si="0">+AE12*2</f>
        <v>0</v>
      </c>
      <c r="AG12" s="8">
        <v>0</v>
      </c>
      <c r="AH12" s="8">
        <v>0</v>
      </c>
      <c r="AI12" s="8" t="s">
        <v>119</v>
      </c>
      <c r="AJ12" s="8" t="s">
        <v>121</v>
      </c>
      <c r="AL12" s="14" t="s">
        <v>117</v>
      </c>
      <c r="AM12" s="15">
        <v>128</v>
      </c>
      <c r="AN12"/>
      <c r="AQ12" s="1">
        <v>4338</v>
      </c>
    </row>
    <row r="13" spans="2:43" hidden="1" x14ac:dyDescent="0.25">
      <c r="B13" s="2" t="s">
        <v>87</v>
      </c>
      <c r="C13" s="2" t="s">
        <v>88</v>
      </c>
      <c r="D13" s="2" t="s">
        <v>4</v>
      </c>
      <c r="E13" s="2" t="s">
        <v>2</v>
      </c>
      <c r="F13" s="2">
        <v>0.42</v>
      </c>
      <c r="G13" s="3">
        <v>3.3000000000000002E-2</v>
      </c>
      <c r="H13" s="2">
        <v>0</v>
      </c>
      <c r="I13" s="2">
        <v>0</v>
      </c>
      <c r="J13" s="2"/>
      <c r="K13" s="2"/>
      <c r="L13" s="2"/>
      <c r="M13" s="2"/>
      <c r="N13" s="8">
        <f>+H13+I13+J13+K13+L13+M13-SUM(O13:Y13)</f>
        <v>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7">
        <f>+G13*SUM(H13:M13)</f>
        <v>0</v>
      </c>
      <c r="AA13" s="7">
        <v>1000</v>
      </c>
      <c r="AB13" s="7">
        <v>0</v>
      </c>
      <c r="AC13" s="8">
        <f>+H13*AB13</f>
        <v>0</v>
      </c>
      <c r="AD13" s="8">
        <v>0</v>
      </c>
      <c r="AE13" s="8">
        <f>+H13*AD13</f>
        <v>0</v>
      </c>
      <c r="AF13" s="8">
        <f t="shared" si="0"/>
        <v>0</v>
      </c>
      <c r="AG13" s="8">
        <v>0</v>
      </c>
      <c r="AH13" s="8">
        <v>0</v>
      </c>
      <c r="AI13" s="8" t="s">
        <v>119</v>
      </c>
      <c r="AJ13" s="8" t="s">
        <v>121</v>
      </c>
      <c r="AL13" s="14" t="s">
        <v>113</v>
      </c>
      <c r="AM13" s="15">
        <v>0</v>
      </c>
      <c r="AN13"/>
      <c r="AQ13" s="1">
        <v>1300</v>
      </c>
    </row>
    <row r="14" spans="2:43" x14ac:dyDescent="0.25">
      <c r="B14" s="2" t="s">
        <v>87</v>
      </c>
      <c r="C14" s="2" t="s">
        <v>88</v>
      </c>
      <c r="D14" s="2" t="s">
        <v>5</v>
      </c>
      <c r="E14" s="2" t="s">
        <v>2</v>
      </c>
      <c r="F14" s="2">
        <v>0.42</v>
      </c>
      <c r="G14" s="3">
        <v>1.9E-2</v>
      </c>
      <c r="H14" s="2">
        <v>600</v>
      </c>
      <c r="I14" s="2">
        <v>0</v>
      </c>
      <c r="J14" s="2"/>
      <c r="K14" s="2"/>
      <c r="L14" s="2"/>
      <c r="M14" s="2"/>
      <c r="N14" s="8">
        <f>+H14+I14+J14+K14+L14+M14-SUM(O14:Y14)</f>
        <v>600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7">
        <f>+G14*SUM(H14:M14)</f>
        <v>11.4</v>
      </c>
      <c r="AA14" s="7">
        <v>1000</v>
      </c>
      <c r="AB14" s="7">
        <v>0</v>
      </c>
      <c r="AC14" s="8">
        <f>+H14*AB14</f>
        <v>0</v>
      </c>
      <c r="AD14" s="8">
        <v>0</v>
      </c>
      <c r="AE14" s="8">
        <f>+H14*AD14</f>
        <v>0</v>
      </c>
      <c r="AF14" s="8">
        <f t="shared" si="0"/>
        <v>0</v>
      </c>
      <c r="AG14" s="8">
        <v>0</v>
      </c>
      <c r="AH14" s="8">
        <v>0</v>
      </c>
      <c r="AI14" s="8" t="s">
        <v>119</v>
      </c>
      <c r="AJ14" s="8" t="s">
        <v>121</v>
      </c>
      <c r="AL14" s="14" t="s">
        <v>110</v>
      </c>
      <c r="AM14" s="15">
        <v>864</v>
      </c>
      <c r="AN14"/>
      <c r="AQ14" s="1">
        <v>0</v>
      </c>
    </row>
    <row r="15" spans="2:43" hidden="1" x14ac:dyDescent="0.25">
      <c r="B15" s="2" t="s">
        <v>87</v>
      </c>
      <c r="C15" s="2" t="s">
        <v>88</v>
      </c>
      <c r="D15" s="2" t="s">
        <v>6</v>
      </c>
      <c r="E15" s="2" t="s">
        <v>2</v>
      </c>
      <c r="F15" s="2">
        <v>0.42</v>
      </c>
      <c r="G15" s="3">
        <v>0.03</v>
      </c>
      <c r="H15" s="2">
        <v>0</v>
      </c>
      <c r="I15" s="2">
        <v>0</v>
      </c>
      <c r="J15" s="2"/>
      <c r="K15" s="2"/>
      <c r="L15" s="2"/>
      <c r="M15" s="2"/>
      <c r="N15" s="8">
        <f>+H15+I15+J15+K15+L15+M15-SUM(O15:Y15)</f>
        <v>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7">
        <f>+G15*SUM(H15:M15)</f>
        <v>0</v>
      </c>
      <c r="AA15" s="7">
        <v>1000</v>
      </c>
      <c r="AB15" s="7">
        <v>0</v>
      </c>
      <c r="AC15" s="8">
        <f>+H15*AB15</f>
        <v>0</v>
      </c>
      <c r="AD15" s="8">
        <v>0</v>
      </c>
      <c r="AE15" s="8">
        <f>+H15*AD15</f>
        <v>0</v>
      </c>
      <c r="AF15" s="8">
        <f t="shared" si="0"/>
        <v>0</v>
      </c>
      <c r="AG15" s="8">
        <v>0</v>
      </c>
      <c r="AH15" s="8">
        <v>0</v>
      </c>
      <c r="AI15" s="8" t="s">
        <v>119</v>
      </c>
      <c r="AJ15" s="8" t="s">
        <v>121</v>
      </c>
      <c r="AL15" s="14" t="s">
        <v>116</v>
      </c>
      <c r="AM15" s="15">
        <v>0</v>
      </c>
      <c r="AN15"/>
      <c r="AQ15" s="1">
        <v>1000</v>
      </c>
    </row>
    <row r="16" spans="2:43" hidden="1" x14ac:dyDescent="0.25">
      <c r="B16" s="2" t="s">
        <v>87</v>
      </c>
      <c r="C16" s="2" t="s">
        <v>88</v>
      </c>
      <c r="D16" s="2" t="s">
        <v>7</v>
      </c>
      <c r="E16" s="2" t="s">
        <v>2</v>
      </c>
      <c r="F16" s="2">
        <v>0.42</v>
      </c>
      <c r="G16" s="3">
        <v>2.1999999999999999E-2</v>
      </c>
      <c r="H16" s="2">
        <v>0</v>
      </c>
      <c r="I16" s="2">
        <f>VLOOKUP(D16,'SEMANA 41'!D16:N88,11,0)</f>
        <v>0</v>
      </c>
      <c r="J16" s="2"/>
      <c r="K16" s="2"/>
      <c r="L16" s="2"/>
      <c r="M16" s="2"/>
      <c r="N16" s="8">
        <f>+H16+I16+J16+K16+L16+M16-SUM(O16:Y16)</f>
        <v>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7">
        <f>+G16*SUM(H16:M16)</f>
        <v>0</v>
      </c>
      <c r="AA16" s="7">
        <v>1000</v>
      </c>
      <c r="AB16" s="7">
        <v>0</v>
      </c>
      <c r="AC16" s="8">
        <f>+H16*AB16</f>
        <v>0</v>
      </c>
      <c r="AD16" s="8">
        <v>0</v>
      </c>
      <c r="AE16" s="8">
        <f>+H16*AD16</f>
        <v>0</v>
      </c>
      <c r="AF16" s="8">
        <f t="shared" si="0"/>
        <v>0</v>
      </c>
      <c r="AG16" s="8">
        <v>0</v>
      </c>
      <c r="AH16" s="8">
        <v>0</v>
      </c>
      <c r="AI16" s="8" t="s">
        <v>119</v>
      </c>
      <c r="AJ16" s="8" t="s">
        <v>121</v>
      </c>
      <c r="AL16" s="14" t="s">
        <v>111</v>
      </c>
      <c r="AM16" s="15">
        <v>7704</v>
      </c>
      <c r="AN16"/>
      <c r="AQ16" s="1">
        <v>1707</v>
      </c>
    </row>
    <row r="17" spans="2:43" hidden="1" x14ac:dyDescent="0.25">
      <c r="B17" s="2" t="s">
        <v>87</v>
      </c>
      <c r="C17" s="2" t="s">
        <v>88</v>
      </c>
      <c r="D17" s="2" t="s">
        <v>8</v>
      </c>
      <c r="E17" s="2" t="s">
        <v>2</v>
      </c>
      <c r="F17" s="2">
        <v>0.42</v>
      </c>
      <c r="G17" s="3">
        <v>2.3E-2</v>
      </c>
      <c r="H17" s="2">
        <v>0</v>
      </c>
      <c r="I17" s="2">
        <f>VLOOKUP(D17,'SEMANA 41'!D17:N89,11,0)</f>
        <v>0</v>
      </c>
      <c r="J17" s="2"/>
      <c r="K17" s="2"/>
      <c r="L17" s="2"/>
      <c r="M17" s="2"/>
      <c r="N17" s="8">
        <f>+H17+I17+J17+K17+L17+M17-SUM(O17:Y17)</f>
        <v>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7">
        <f>+G17*SUM(H17:M17)</f>
        <v>0</v>
      </c>
      <c r="AA17" s="7">
        <v>1000</v>
      </c>
      <c r="AB17" s="7">
        <v>0</v>
      </c>
      <c r="AC17" s="8">
        <f>+H17*AB17</f>
        <v>0</v>
      </c>
      <c r="AD17" s="8">
        <v>0</v>
      </c>
      <c r="AE17" s="8">
        <f>+H17*AD17</f>
        <v>0</v>
      </c>
      <c r="AF17" s="8">
        <f t="shared" si="0"/>
        <v>0</v>
      </c>
      <c r="AG17" s="8">
        <v>0</v>
      </c>
      <c r="AH17" s="8">
        <v>0</v>
      </c>
      <c r="AI17" s="8" t="s">
        <v>119</v>
      </c>
      <c r="AJ17" s="8" t="s">
        <v>121</v>
      </c>
      <c r="AL17" s="14" t="s">
        <v>112</v>
      </c>
      <c r="AM17" s="15">
        <v>3840</v>
      </c>
      <c r="AN17"/>
      <c r="AQ17" s="1">
        <v>0</v>
      </c>
    </row>
    <row r="18" spans="2:43" x14ac:dyDescent="0.25">
      <c r="B18" s="2" t="s">
        <v>87</v>
      </c>
      <c r="C18" s="2" t="s">
        <v>88</v>
      </c>
      <c r="D18" s="2" t="s">
        <v>9</v>
      </c>
      <c r="E18" s="2" t="s">
        <v>10</v>
      </c>
      <c r="F18" s="2">
        <v>2.8000000000000001E-2</v>
      </c>
      <c r="G18" s="3">
        <v>5.7000000000000002E-2</v>
      </c>
      <c r="H18" s="2">
        <v>3000</v>
      </c>
      <c r="I18" s="2">
        <v>0</v>
      </c>
      <c r="J18" s="2"/>
      <c r="K18" s="2"/>
      <c r="L18" s="2"/>
      <c r="M18" s="2"/>
      <c r="N18" s="8">
        <f>+H18+I18+J18+K18+L18+M18-SUM(O18:Y18)</f>
        <v>3000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7">
        <f>+G18*SUM(H18:M18)</f>
        <v>171</v>
      </c>
      <c r="AA18" s="7">
        <v>1000</v>
      </c>
      <c r="AB18" s="7">
        <v>0</v>
      </c>
      <c r="AC18" s="8">
        <f>+H18*AB18</f>
        <v>0</v>
      </c>
      <c r="AD18" s="8">
        <v>0</v>
      </c>
      <c r="AE18" s="8">
        <f>+H18*AD18</f>
        <v>0</v>
      </c>
      <c r="AF18" s="8">
        <f t="shared" si="0"/>
        <v>0</v>
      </c>
      <c r="AG18" s="8">
        <v>0</v>
      </c>
      <c r="AH18" s="8">
        <v>0</v>
      </c>
      <c r="AI18" s="8" t="s">
        <v>119</v>
      </c>
      <c r="AJ18" s="8" t="s">
        <v>121</v>
      </c>
      <c r="AL18" s="14" t="s">
        <v>114</v>
      </c>
      <c r="AM18" s="15">
        <v>1280</v>
      </c>
      <c r="AN18"/>
      <c r="AQ18" s="1">
        <v>-3900</v>
      </c>
    </row>
    <row r="19" spans="2:43" x14ac:dyDescent="0.25">
      <c r="B19" s="2" t="s">
        <v>87</v>
      </c>
      <c r="C19" s="2" t="s">
        <v>88</v>
      </c>
      <c r="D19" s="2" t="s">
        <v>11</v>
      </c>
      <c r="E19" s="2" t="s">
        <v>10</v>
      </c>
      <c r="F19" s="2">
        <v>2.8000000000000001E-2</v>
      </c>
      <c r="G19" s="3">
        <v>4.3999999999999997E-2</v>
      </c>
      <c r="H19" s="2">
        <v>2000</v>
      </c>
      <c r="I19" s="2">
        <v>0</v>
      </c>
      <c r="J19" s="2"/>
      <c r="K19" s="2"/>
      <c r="L19" s="2"/>
      <c r="M19" s="2"/>
      <c r="N19" s="8">
        <f>+H19+I19+J19+K19+L19+M19-SUM(O19:Y19)</f>
        <v>2000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7">
        <f>+G19*SUM(H19:M19)</f>
        <v>88</v>
      </c>
      <c r="AA19" s="7">
        <v>1000</v>
      </c>
      <c r="AB19" s="7">
        <v>0</v>
      </c>
      <c r="AC19" s="8">
        <f>+H19*AB19</f>
        <v>0</v>
      </c>
      <c r="AD19" s="8">
        <v>0</v>
      </c>
      <c r="AE19" s="8">
        <f>+H19*AD19</f>
        <v>0</v>
      </c>
      <c r="AF19" s="8">
        <f t="shared" si="0"/>
        <v>0</v>
      </c>
      <c r="AG19" s="8">
        <v>0</v>
      </c>
      <c r="AH19" s="8">
        <v>0</v>
      </c>
      <c r="AI19" s="8" t="s">
        <v>119</v>
      </c>
      <c r="AJ19" s="8" t="s">
        <v>121</v>
      </c>
      <c r="AL19" s="14" t="s">
        <v>115</v>
      </c>
      <c r="AM19" s="15">
        <v>384</v>
      </c>
      <c r="AN19"/>
      <c r="AQ19" s="1">
        <v>-2966</v>
      </c>
    </row>
    <row r="20" spans="2:43" x14ac:dyDescent="0.25">
      <c r="B20" s="2" t="s">
        <v>87</v>
      </c>
      <c r="C20" s="2" t="s">
        <v>88</v>
      </c>
      <c r="D20" s="2" t="s">
        <v>12</v>
      </c>
      <c r="E20" s="2" t="s">
        <v>10</v>
      </c>
      <c r="F20" s="2">
        <v>2.8000000000000001E-2</v>
      </c>
      <c r="G20" s="3">
        <v>1.4999999999999999E-2</v>
      </c>
      <c r="H20" s="2">
        <v>1000</v>
      </c>
      <c r="I20" s="2">
        <v>0</v>
      </c>
      <c r="J20" s="2"/>
      <c r="K20" s="2"/>
      <c r="L20" s="2"/>
      <c r="M20" s="2"/>
      <c r="N20" s="8">
        <f>+H20+I20+J20+K20+L20+M20-SUM(O20:Y20)</f>
        <v>1000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7">
        <f>+G20*SUM(H20:M20)</f>
        <v>15</v>
      </c>
      <c r="AA20" s="7">
        <v>1000</v>
      </c>
      <c r="AB20" s="7">
        <v>0</v>
      </c>
      <c r="AC20" s="8">
        <f>+H20*AB20</f>
        <v>0</v>
      </c>
      <c r="AD20" s="8">
        <v>0</v>
      </c>
      <c r="AE20" s="8">
        <f>+H20*AD20</f>
        <v>0</v>
      </c>
      <c r="AF20" s="8">
        <f t="shared" si="0"/>
        <v>0</v>
      </c>
      <c r="AG20" s="8">
        <v>0</v>
      </c>
      <c r="AH20" s="8">
        <v>0</v>
      </c>
      <c r="AI20" s="8" t="s">
        <v>119</v>
      </c>
      <c r="AJ20" s="8" t="s">
        <v>121</v>
      </c>
      <c r="AL20" s="14" t="s">
        <v>124</v>
      </c>
      <c r="AM20" s="15">
        <v>14200</v>
      </c>
      <c r="AN20"/>
      <c r="AQ20" s="1">
        <v>2400</v>
      </c>
    </row>
    <row r="21" spans="2:43" hidden="1" x14ac:dyDescent="0.25">
      <c r="B21" s="2" t="s">
        <v>87</v>
      </c>
      <c r="C21" s="2" t="s">
        <v>88</v>
      </c>
      <c r="D21" s="2" t="s">
        <v>13</v>
      </c>
      <c r="E21" s="2" t="s">
        <v>10</v>
      </c>
      <c r="F21" s="2">
        <v>2.8000000000000001E-2</v>
      </c>
      <c r="G21" s="3">
        <v>1.9E-2</v>
      </c>
      <c r="H21" s="2">
        <v>0</v>
      </c>
      <c r="I21" s="2">
        <v>0</v>
      </c>
      <c r="J21" s="2"/>
      <c r="K21" s="2"/>
      <c r="L21" s="2"/>
      <c r="M21" s="2"/>
      <c r="N21" s="8">
        <f>+H21+I21+J21+K21+L21+M21-SUM(O21:Y21)</f>
        <v>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7">
        <f>+G21*SUM(H21:M21)</f>
        <v>0</v>
      </c>
      <c r="AA21" s="7">
        <v>1000</v>
      </c>
      <c r="AB21" s="7">
        <v>0</v>
      </c>
      <c r="AC21" s="8">
        <f>+H21*AB21</f>
        <v>0</v>
      </c>
      <c r="AD21" s="8">
        <v>0</v>
      </c>
      <c r="AE21" s="8">
        <f>+H21*AD21</f>
        <v>0</v>
      </c>
      <c r="AF21" s="8">
        <f t="shared" si="0"/>
        <v>0</v>
      </c>
      <c r="AG21" s="8">
        <v>0</v>
      </c>
      <c r="AH21" s="8">
        <v>0</v>
      </c>
      <c r="AI21" s="8" t="s">
        <v>119</v>
      </c>
      <c r="AJ21" s="8" t="s">
        <v>121</v>
      </c>
      <c r="AL21"/>
      <c r="AM21"/>
      <c r="AN21"/>
      <c r="AQ21" s="1">
        <v>400</v>
      </c>
    </row>
    <row r="22" spans="2:43" x14ac:dyDescent="0.25">
      <c r="B22" s="2" t="s">
        <v>87</v>
      </c>
      <c r="C22" s="2" t="s">
        <v>88</v>
      </c>
      <c r="D22" s="2" t="s">
        <v>14</v>
      </c>
      <c r="E22" s="2" t="s">
        <v>10</v>
      </c>
      <c r="F22" s="2">
        <v>2.8000000000000001E-2</v>
      </c>
      <c r="G22" s="3">
        <v>2.4E-2</v>
      </c>
      <c r="H22" s="2">
        <v>2000</v>
      </c>
      <c r="I22" s="2">
        <v>0</v>
      </c>
      <c r="J22" s="2"/>
      <c r="K22" s="2"/>
      <c r="L22" s="2"/>
      <c r="M22" s="2"/>
      <c r="N22" s="8">
        <f>+H22+I22+J22+K22+L22+M22-SUM(O22:Y22)</f>
        <v>2000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7">
        <f>+G22*SUM(H22:M22)</f>
        <v>48</v>
      </c>
      <c r="AA22" s="7">
        <v>1000</v>
      </c>
      <c r="AB22" s="7">
        <v>0</v>
      </c>
      <c r="AC22" s="8">
        <f>+H22*AB22</f>
        <v>0</v>
      </c>
      <c r="AD22" s="8">
        <v>0</v>
      </c>
      <c r="AE22" s="8">
        <f>+H22*AD22</f>
        <v>0</v>
      </c>
      <c r="AF22" s="8">
        <f t="shared" si="0"/>
        <v>0</v>
      </c>
      <c r="AG22" s="8">
        <v>0</v>
      </c>
      <c r="AH22" s="8">
        <v>0</v>
      </c>
      <c r="AI22" s="8" t="s">
        <v>119</v>
      </c>
      <c r="AJ22" s="8" t="s">
        <v>121</v>
      </c>
      <c r="AL22"/>
      <c r="AM22"/>
      <c r="AN22"/>
      <c r="AQ22" s="1">
        <v>3600</v>
      </c>
    </row>
    <row r="23" spans="2:43" x14ac:dyDescent="0.25">
      <c r="B23" s="2" t="s">
        <v>87</v>
      </c>
      <c r="C23" s="2" t="s">
        <v>88</v>
      </c>
      <c r="D23" s="2" t="s">
        <v>15</v>
      </c>
      <c r="E23" s="2" t="s">
        <v>10</v>
      </c>
      <c r="F23" s="2">
        <v>2.8000000000000001E-2</v>
      </c>
      <c r="G23" s="3">
        <v>1.9E-2</v>
      </c>
      <c r="H23" s="2">
        <v>1000</v>
      </c>
      <c r="I23" s="2">
        <v>0</v>
      </c>
      <c r="J23" s="2"/>
      <c r="K23" s="2"/>
      <c r="L23" s="2"/>
      <c r="M23" s="2"/>
      <c r="N23" s="8">
        <f>+H23+I23+J23+K23+L23+M23-SUM(O23:Y23)</f>
        <v>1000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7">
        <f>+G23*SUM(H23:M23)</f>
        <v>19</v>
      </c>
      <c r="AA23" s="7">
        <v>1000</v>
      </c>
      <c r="AB23" s="7">
        <v>0</v>
      </c>
      <c r="AC23" s="8">
        <f>+H23*AB23</f>
        <v>0</v>
      </c>
      <c r="AD23" s="8">
        <v>0</v>
      </c>
      <c r="AE23" s="8">
        <f>+H23*AD23</f>
        <v>0</v>
      </c>
      <c r="AF23" s="8">
        <f t="shared" si="0"/>
        <v>0</v>
      </c>
      <c r="AG23" s="8">
        <v>0</v>
      </c>
      <c r="AH23" s="8">
        <v>0</v>
      </c>
      <c r="AI23" s="8" t="s">
        <v>119</v>
      </c>
      <c r="AJ23" s="8" t="s">
        <v>121</v>
      </c>
      <c r="AL23"/>
      <c r="AM23"/>
      <c r="AN23"/>
      <c r="AQ23" s="1">
        <v>0</v>
      </c>
    </row>
    <row r="24" spans="2:43" hidden="1" x14ac:dyDescent="0.25">
      <c r="B24" s="2" t="s">
        <v>87</v>
      </c>
      <c r="C24" s="2" t="s">
        <v>88</v>
      </c>
      <c r="D24" s="2" t="s">
        <v>16</v>
      </c>
      <c r="E24" s="2" t="s">
        <v>17</v>
      </c>
      <c r="F24" s="2">
        <v>2.8000000000000001E-2</v>
      </c>
      <c r="G24" s="3">
        <v>8.5999999999999993E-2</v>
      </c>
      <c r="H24" s="2">
        <v>0</v>
      </c>
      <c r="I24" s="2">
        <v>0</v>
      </c>
      <c r="J24" s="2"/>
      <c r="K24" s="2"/>
      <c r="L24" s="2"/>
      <c r="M24" s="2"/>
      <c r="N24" s="8">
        <f>+H24+I24+J24+K24+L24+M24-SUM(O24:Y24)</f>
        <v>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7">
        <f>+G24*SUM(H24:M24)</f>
        <v>0</v>
      </c>
      <c r="AA24" s="7">
        <v>100</v>
      </c>
      <c r="AB24" s="7">
        <v>0</v>
      </c>
      <c r="AC24" s="8">
        <f>+H24*AB24</f>
        <v>0</v>
      </c>
      <c r="AD24" s="8">
        <v>0</v>
      </c>
      <c r="AE24" s="8">
        <f>+H24*AD24</f>
        <v>0</v>
      </c>
      <c r="AF24" s="8">
        <f t="shared" si="0"/>
        <v>0</v>
      </c>
      <c r="AG24" s="8">
        <v>0</v>
      </c>
      <c r="AH24" s="8">
        <v>0</v>
      </c>
      <c r="AI24" s="8" t="s">
        <v>119</v>
      </c>
      <c r="AJ24" s="8" t="s">
        <v>121</v>
      </c>
      <c r="AL24"/>
      <c r="AM24"/>
      <c r="AN24"/>
      <c r="AQ24" s="1">
        <v>-55</v>
      </c>
    </row>
    <row r="25" spans="2:43" hidden="1" x14ac:dyDescent="0.25">
      <c r="B25" s="2" t="s">
        <v>87</v>
      </c>
      <c r="C25" s="2" t="s">
        <v>88</v>
      </c>
      <c r="D25" s="2" t="s">
        <v>18</v>
      </c>
      <c r="E25" s="2" t="s">
        <v>17</v>
      </c>
      <c r="F25" s="2">
        <v>2.8000000000000001E-2</v>
      </c>
      <c r="G25" s="3">
        <v>0.11700000000000001</v>
      </c>
      <c r="H25" s="2">
        <v>0</v>
      </c>
      <c r="I25" s="2">
        <v>0</v>
      </c>
      <c r="J25" s="2"/>
      <c r="K25" s="2"/>
      <c r="L25" s="2"/>
      <c r="M25" s="2"/>
      <c r="N25" s="8">
        <f>+H25+I25+J25+K25+L25+M25-SUM(O25:Y25)</f>
        <v>0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7">
        <f>+G25*SUM(H25:M25)</f>
        <v>0</v>
      </c>
      <c r="AA25" s="7">
        <v>100</v>
      </c>
      <c r="AB25" s="7">
        <v>0</v>
      </c>
      <c r="AC25" s="8">
        <f>+H25*AB25</f>
        <v>0</v>
      </c>
      <c r="AD25" s="8">
        <v>0</v>
      </c>
      <c r="AE25" s="8">
        <f>+H25*AD25</f>
        <v>0</v>
      </c>
      <c r="AF25" s="8">
        <f t="shared" si="0"/>
        <v>0</v>
      </c>
      <c r="AG25" s="8">
        <v>0</v>
      </c>
      <c r="AH25" s="8">
        <v>0</v>
      </c>
      <c r="AI25" s="8" t="s">
        <v>119</v>
      </c>
      <c r="AJ25" s="8" t="s">
        <v>121</v>
      </c>
      <c r="AL25"/>
      <c r="AM25"/>
      <c r="AN25"/>
      <c r="AQ25" s="1">
        <v>0</v>
      </c>
    </row>
    <row r="26" spans="2:43" hidden="1" x14ac:dyDescent="0.25">
      <c r="B26" s="2" t="s">
        <v>87</v>
      </c>
      <c r="C26" s="2" t="s">
        <v>88</v>
      </c>
      <c r="D26" s="2" t="s">
        <v>19</v>
      </c>
      <c r="E26" s="2" t="s">
        <v>17</v>
      </c>
      <c r="F26" s="2">
        <v>2.8000000000000001E-2</v>
      </c>
      <c r="G26" s="3">
        <v>0.129</v>
      </c>
      <c r="H26" s="2">
        <v>0</v>
      </c>
      <c r="I26" s="2">
        <v>0</v>
      </c>
      <c r="J26" s="2"/>
      <c r="K26" s="2"/>
      <c r="L26" s="2"/>
      <c r="M26" s="2"/>
      <c r="N26" s="8">
        <f>+H26+I26+J26+K26+L26+M26-SUM(O26:Y26)</f>
        <v>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7">
        <f>+G26*SUM(H26:M26)</f>
        <v>0</v>
      </c>
      <c r="AA26" s="7">
        <v>100</v>
      </c>
      <c r="AB26" s="7">
        <v>0</v>
      </c>
      <c r="AC26" s="8">
        <f>+H26*AB26</f>
        <v>0</v>
      </c>
      <c r="AD26" s="8">
        <v>0</v>
      </c>
      <c r="AE26" s="8">
        <f>+H26*AD26</f>
        <v>0</v>
      </c>
      <c r="AF26" s="8">
        <f t="shared" si="0"/>
        <v>0</v>
      </c>
      <c r="AG26" s="8">
        <v>0</v>
      </c>
      <c r="AH26" s="8">
        <v>0</v>
      </c>
      <c r="AI26" s="8" t="s">
        <v>119</v>
      </c>
      <c r="AJ26" s="8" t="s">
        <v>121</v>
      </c>
      <c r="AL26"/>
      <c r="AM26"/>
      <c r="AN26"/>
      <c r="AQ26" s="1">
        <v>-25</v>
      </c>
    </row>
    <row r="27" spans="2:43" x14ac:dyDescent="0.25">
      <c r="B27" s="2" t="s">
        <v>87</v>
      </c>
      <c r="C27" s="2" t="s">
        <v>88</v>
      </c>
      <c r="D27" s="2" t="s">
        <v>20</v>
      </c>
      <c r="E27" s="2" t="s">
        <v>17</v>
      </c>
      <c r="F27" s="2">
        <v>2.8000000000000001E-2</v>
      </c>
      <c r="G27" s="3">
        <v>0.11899999999999999</v>
      </c>
      <c r="H27" s="2">
        <v>1200</v>
      </c>
      <c r="I27" s="2">
        <v>0</v>
      </c>
      <c r="J27" s="2"/>
      <c r="K27" s="2"/>
      <c r="L27" s="2"/>
      <c r="M27" s="2"/>
      <c r="N27" s="8">
        <f>+H27+I27+J27+K27+L27+M27-SUM(O27:Y27)</f>
        <v>1200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7">
        <f>+G27*SUM(H27:M27)</f>
        <v>142.79999999999998</v>
      </c>
      <c r="AA27" s="7">
        <v>100</v>
      </c>
      <c r="AB27" s="7">
        <v>0</v>
      </c>
      <c r="AC27" s="8">
        <f>+H27*AB27</f>
        <v>0</v>
      </c>
      <c r="AD27" s="8">
        <v>0</v>
      </c>
      <c r="AE27" s="8">
        <f>+H27*AD27</f>
        <v>0</v>
      </c>
      <c r="AF27" s="8">
        <f t="shared" si="0"/>
        <v>0</v>
      </c>
      <c r="AG27" s="8">
        <v>0</v>
      </c>
      <c r="AH27" s="8">
        <v>0</v>
      </c>
      <c r="AI27" s="8" t="s">
        <v>119</v>
      </c>
      <c r="AJ27" s="8" t="s">
        <v>121</v>
      </c>
      <c r="AL27"/>
      <c r="AM27"/>
      <c r="AN27"/>
      <c r="AQ27" s="1">
        <v>-250</v>
      </c>
    </row>
    <row r="28" spans="2:43" hidden="1" x14ac:dyDescent="0.25">
      <c r="B28" s="2" t="s">
        <v>87</v>
      </c>
      <c r="C28" s="2" t="s">
        <v>88</v>
      </c>
      <c r="D28" s="2" t="s">
        <v>21</v>
      </c>
      <c r="E28" s="2" t="s">
        <v>17</v>
      </c>
      <c r="F28" s="2">
        <v>2.8000000000000001E-2</v>
      </c>
      <c r="G28" s="3">
        <v>0.127</v>
      </c>
      <c r="H28" s="2">
        <v>0</v>
      </c>
      <c r="I28" s="2">
        <v>0</v>
      </c>
      <c r="J28" s="2"/>
      <c r="K28" s="2"/>
      <c r="L28" s="2"/>
      <c r="M28" s="2"/>
      <c r="N28" s="8">
        <f>+H28+I28+J28+K28+L28+M28-SUM(O28:Y28)</f>
        <v>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7">
        <f>+G28*SUM(H28:M28)</f>
        <v>0</v>
      </c>
      <c r="AA28" s="7">
        <v>100</v>
      </c>
      <c r="AB28" s="7">
        <v>0</v>
      </c>
      <c r="AC28" s="8">
        <f>+H28*AB28</f>
        <v>0</v>
      </c>
      <c r="AD28" s="8">
        <v>0</v>
      </c>
      <c r="AE28" s="8">
        <f>+H28*AD28</f>
        <v>0</v>
      </c>
      <c r="AF28" s="8">
        <f t="shared" si="0"/>
        <v>0</v>
      </c>
      <c r="AG28" s="8">
        <v>0</v>
      </c>
      <c r="AH28" s="8">
        <v>0</v>
      </c>
      <c r="AI28" s="8" t="s">
        <v>119</v>
      </c>
      <c r="AJ28" s="8" t="s">
        <v>121</v>
      </c>
      <c r="AQ28" s="1">
        <v>0</v>
      </c>
    </row>
    <row r="29" spans="2:43" x14ac:dyDescent="0.25">
      <c r="B29" s="2" t="s">
        <v>87</v>
      </c>
      <c r="C29" s="2" t="s">
        <v>88</v>
      </c>
      <c r="D29" s="2" t="s">
        <v>22</v>
      </c>
      <c r="E29" s="2" t="s">
        <v>17</v>
      </c>
      <c r="F29" s="2">
        <v>2.8000000000000001E-2</v>
      </c>
      <c r="G29" s="3">
        <v>0.114</v>
      </c>
      <c r="H29" s="2">
        <v>600</v>
      </c>
      <c r="I29" s="2">
        <v>0</v>
      </c>
      <c r="J29" s="2"/>
      <c r="K29" s="2"/>
      <c r="L29" s="2"/>
      <c r="M29" s="2"/>
      <c r="N29" s="8">
        <f>+H29+I29+J29+K29+L29+M29-SUM(O29:Y29)</f>
        <v>600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7">
        <f>+G29*SUM(H29:M29)</f>
        <v>68.400000000000006</v>
      </c>
      <c r="AA29" s="7">
        <v>100</v>
      </c>
      <c r="AB29" s="7">
        <v>0</v>
      </c>
      <c r="AC29" s="8">
        <f>+H29*AB29</f>
        <v>0</v>
      </c>
      <c r="AD29" s="8">
        <v>0</v>
      </c>
      <c r="AE29" s="8">
        <f>+H29*AD29</f>
        <v>0</v>
      </c>
      <c r="AF29" s="8">
        <f t="shared" si="0"/>
        <v>0</v>
      </c>
      <c r="AG29" s="8">
        <v>0</v>
      </c>
      <c r="AH29" s="8">
        <v>0</v>
      </c>
      <c r="AI29" s="8" t="s">
        <v>119</v>
      </c>
      <c r="AJ29" s="8" t="s">
        <v>121</v>
      </c>
      <c r="AQ29" s="1">
        <v>-55</v>
      </c>
    </row>
    <row r="30" spans="2:43" x14ac:dyDescent="0.25">
      <c r="B30" s="2" t="s">
        <v>87</v>
      </c>
      <c r="C30" s="2" t="s">
        <v>88</v>
      </c>
      <c r="D30" s="2" t="s">
        <v>23</v>
      </c>
      <c r="E30" s="2" t="s">
        <v>17</v>
      </c>
      <c r="F30" s="2">
        <v>2.8000000000000001E-2</v>
      </c>
      <c r="G30" s="3">
        <v>6.9000000000000006E-2</v>
      </c>
      <c r="H30" s="2">
        <v>600</v>
      </c>
      <c r="I30" s="2">
        <v>0</v>
      </c>
      <c r="J30" s="2"/>
      <c r="K30" s="2"/>
      <c r="L30" s="2"/>
      <c r="M30" s="2"/>
      <c r="N30" s="8">
        <f>+H30+I30+J30+K30+L30+M30-SUM(O30:Y30)</f>
        <v>600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7">
        <f>+G30*SUM(H30:M30)</f>
        <v>41.400000000000006</v>
      </c>
      <c r="AA30" s="7">
        <v>100</v>
      </c>
      <c r="AB30" s="7">
        <v>0</v>
      </c>
      <c r="AC30" s="8">
        <f>+H30*AB30</f>
        <v>0</v>
      </c>
      <c r="AD30" s="8">
        <v>0</v>
      </c>
      <c r="AE30" s="8">
        <f>+H30*AD30</f>
        <v>0</v>
      </c>
      <c r="AF30" s="8">
        <f t="shared" si="0"/>
        <v>0</v>
      </c>
      <c r="AG30" s="8">
        <v>0</v>
      </c>
      <c r="AH30" s="8">
        <v>0</v>
      </c>
      <c r="AI30" s="8" t="s">
        <v>119</v>
      </c>
      <c r="AJ30" s="8" t="s">
        <v>121</v>
      </c>
      <c r="AQ30" s="1">
        <v>-50</v>
      </c>
    </row>
    <row r="31" spans="2:43" x14ac:dyDescent="0.25">
      <c r="B31" s="2" t="s">
        <v>87</v>
      </c>
      <c r="C31" s="2" t="s">
        <v>88</v>
      </c>
      <c r="D31" s="2" t="s">
        <v>24</v>
      </c>
      <c r="E31" s="2" t="s">
        <v>17</v>
      </c>
      <c r="F31" s="2">
        <v>2.8000000000000001E-2</v>
      </c>
      <c r="G31" s="3">
        <v>0.129</v>
      </c>
      <c r="H31" s="2">
        <v>600</v>
      </c>
      <c r="I31" s="2">
        <v>0</v>
      </c>
      <c r="J31" s="2"/>
      <c r="K31" s="2"/>
      <c r="L31" s="2"/>
      <c r="M31" s="2"/>
      <c r="N31" s="8">
        <f>+H31+I31+J31+K31+L31+M31-SUM(O31:Y31)</f>
        <v>600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7">
        <f>+G31*SUM(H31:M31)</f>
        <v>77.400000000000006</v>
      </c>
      <c r="AA31" s="7">
        <v>100</v>
      </c>
      <c r="AB31" s="7">
        <v>0</v>
      </c>
      <c r="AC31" s="8">
        <f>+H31*AB31</f>
        <v>0</v>
      </c>
      <c r="AD31" s="8">
        <v>0</v>
      </c>
      <c r="AE31" s="8">
        <f>+H31*AD31</f>
        <v>0</v>
      </c>
      <c r="AF31" s="8">
        <f t="shared" si="0"/>
        <v>0</v>
      </c>
      <c r="AG31" s="8">
        <v>0</v>
      </c>
      <c r="AH31" s="8">
        <v>0</v>
      </c>
      <c r="AI31" s="8" t="s">
        <v>119</v>
      </c>
      <c r="AJ31" s="8" t="s">
        <v>121</v>
      </c>
      <c r="AQ31" s="1">
        <v>0</v>
      </c>
    </row>
    <row r="32" spans="2:43" x14ac:dyDescent="0.25">
      <c r="B32" s="2" t="s">
        <v>87</v>
      </c>
      <c r="C32" s="2" t="s">
        <v>88</v>
      </c>
      <c r="D32" s="2" t="s">
        <v>25</v>
      </c>
      <c r="E32" s="2" t="s">
        <v>17</v>
      </c>
      <c r="F32" s="2">
        <v>2.8000000000000001E-2</v>
      </c>
      <c r="G32" s="3">
        <v>7.8E-2</v>
      </c>
      <c r="H32" s="2">
        <v>600</v>
      </c>
      <c r="I32" s="2">
        <v>0</v>
      </c>
      <c r="J32" s="2"/>
      <c r="K32" s="2"/>
      <c r="L32" s="2"/>
      <c r="M32" s="2"/>
      <c r="N32" s="8">
        <f>+H32+I32+J32+K32+L32+M32-SUM(O32:Y32)</f>
        <v>600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7">
        <f>+G32*SUM(H32:M32)</f>
        <v>46.8</v>
      </c>
      <c r="AA32" s="7">
        <v>100</v>
      </c>
      <c r="AB32" s="7">
        <v>0</v>
      </c>
      <c r="AC32" s="8">
        <f>+H32*AB32</f>
        <v>0</v>
      </c>
      <c r="AD32" s="8">
        <v>0</v>
      </c>
      <c r="AE32" s="8">
        <f>+H32*AD32</f>
        <v>0</v>
      </c>
      <c r="AF32" s="8">
        <f t="shared" si="0"/>
        <v>0</v>
      </c>
      <c r="AG32" s="8">
        <v>0</v>
      </c>
      <c r="AH32" s="8">
        <v>0</v>
      </c>
      <c r="AI32" s="8" t="s">
        <v>119</v>
      </c>
      <c r="AJ32" s="8" t="s">
        <v>121</v>
      </c>
      <c r="AQ32" s="1">
        <v>307</v>
      </c>
    </row>
    <row r="33" spans="2:43" hidden="1" x14ac:dyDescent="0.25">
      <c r="B33" s="2" t="s">
        <v>87</v>
      </c>
      <c r="C33" s="2" t="s">
        <v>88</v>
      </c>
      <c r="D33" s="2" t="s">
        <v>26</v>
      </c>
      <c r="E33" s="2" t="s">
        <v>17</v>
      </c>
      <c r="F33" s="2">
        <v>2.8000000000000001E-2</v>
      </c>
      <c r="G33" s="3">
        <v>0.10100000000000001</v>
      </c>
      <c r="H33" s="2">
        <v>0</v>
      </c>
      <c r="I33" s="2">
        <v>0</v>
      </c>
      <c r="J33" s="2"/>
      <c r="K33" s="2"/>
      <c r="L33" s="2"/>
      <c r="M33" s="2"/>
      <c r="N33" s="8">
        <f>+H33+I33+J33+K33+L33+M33-SUM(O33:Y33)</f>
        <v>0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7">
        <f>+G33*SUM(H33:M33)</f>
        <v>0</v>
      </c>
      <c r="AA33" s="7">
        <v>100</v>
      </c>
      <c r="AB33" s="7">
        <v>0</v>
      </c>
      <c r="AC33" s="8">
        <f>+H33*AB33</f>
        <v>0</v>
      </c>
      <c r="AD33" s="8">
        <v>0</v>
      </c>
      <c r="AE33" s="8">
        <f>+H33*AD33</f>
        <v>0</v>
      </c>
      <c r="AF33" s="8">
        <f t="shared" si="0"/>
        <v>0</v>
      </c>
      <c r="AG33" s="8">
        <v>0</v>
      </c>
      <c r="AH33" s="8">
        <v>0</v>
      </c>
      <c r="AI33" s="8" t="s">
        <v>119</v>
      </c>
      <c r="AJ33" s="8" t="s">
        <v>121</v>
      </c>
      <c r="AQ33" s="1">
        <v>-77</v>
      </c>
    </row>
    <row r="34" spans="2:43" hidden="1" x14ac:dyDescent="0.25">
      <c r="B34" s="2" t="s">
        <v>87</v>
      </c>
      <c r="C34" s="2" t="s">
        <v>88</v>
      </c>
      <c r="D34" s="2" t="s">
        <v>27</v>
      </c>
      <c r="E34" s="2" t="s">
        <v>17</v>
      </c>
      <c r="F34" s="2">
        <v>2.8000000000000001E-2</v>
      </c>
      <c r="G34" s="3">
        <v>7.5999999999999998E-2</v>
      </c>
      <c r="H34" s="2">
        <v>0</v>
      </c>
      <c r="I34" s="2">
        <v>0</v>
      </c>
      <c r="J34" s="2"/>
      <c r="K34" s="2"/>
      <c r="L34" s="2"/>
      <c r="M34" s="2"/>
      <c r="N34" s="8">
        <f>+H34+I34+J34+K34+L34+M34-SUM(O34:Y34)</f>
        <v>0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7">
        <f>+G34*SUM(H34:M34)</f>
        <v>0</v>
      </c>
      <c r="AA34" s="7">
        <v>100</v>
      </c>
      <c r="AB34" s="7">
        <v>0</v>
      </c>
      <c r="AC34" s="8">
        <f>+H34*AB34</f>
        <v>0</v>
      </c>
      <c r="AD34" s="8">
        <v>0</v>
      </c>
      <c r="AE34" s="8">
        <f>+H34*AD34</f>
        <v>0</v>
      </c>
      <c r="AF34" s="8">
        <f t="shared" si="0"/>
        <v>0</v>
      </c>
      <c r="AG34" s="8">
        <v>0</v>
      </c>
      <c r="AH34" s="8">
        <v>0</v>
      </c>
      <c r="AI34" s="8" t="s">
        <v>119</v>
      </c>
      <c r="AJ34" s="8" t="s">
        <v>121</v>
      </c>
      <c r="AQ34" s="1">
        <v>300</v>
      </c>
    </row>
    <row r="35" spans="2:43" x14ac:dyDescent="0.25">
      <c r="B35" s="2" t="s">
        <v>87</v>
      </c>
      <c r="C35" s="2" t="s">
        <v>88</v>
      </c>
      <c r="D35" s="2" t="s">
        <v>28</v>
      </c>
      <c r="E35" s="2" t="s">
        <v>17</v>
      </c>
      <c r="F35" s="2">
        <v>2.8000000000000001E-2</v>
      </c>
      <c r="G35" s="3">
        <v>4.2000000000000003E-2</v>
      </c>
      <c r="H35" s="2">
        <v>600</v>
      </c>
      <c r="I35" s="2">
        <v>0</v>
      </c>
      <c r="J35" s="2"/>
      <c r="K35" s="2"/>
      <c r="L35" s="2"/>
      <c r="M35" s="2"/>
      <c r="N35" s="8">
        <f>+H35+I35+J35+K35+L35+M35-SUM(O35:Y35)</f>
        <v>600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7">
        <f>+G35*SUM(H35:M35)</f>
        <v>25.200000000000003</v>
      </c>
      <c r="AA35" s="7">
        <v>100</v>
      </c>
      <c r="AB35" s="7">
        <v>0</v>
      </c>
      <c r="AC35" s="8">
        <f>+H35*AB35</f>
        <v>0</v>
      </c>
      <c r="AD35" s="8">
        <v>0</v>
      </c>
      <c r="AE35" s="8">
        <f>+H35*AD35</f>
        <v>0</v>
      </c>
      <c r="AF35" s="8">
        <f t="shared" si="0"/>
        <v>0</v>
      </c>
      <c r="AG35" s="8">
        <v>0</v>
      </c>
      <c r="AH35" s="8">
        <v>0</v>
      </c>
      <c r="AI35" s="8" t="s">
        <v>119</v>
      </c>
      <c r="AJ35" s="8" t="s">
        <v>121</v>
      </c>
      <c r="AQ35" s="1">
        <v>-445</v>
      </c>
    </row>
    <row r="36" spans="2:43" hidden="1" x14ac:dyDescent="0.25">
      <c r="B36" s="2" t="s">
        <v>87</v>
      </c>
      <c r="C36" s="2" t="s">
        <v>88</v>
      </c>
      <c r="D36" s="2" t="s">
        <v>29</v>
      </c>
      <c r="E36" s="2" t="s">
        <v>17</v>
      </c>
      <c r="F36" s="2">
        <v>2.8000000000000001E-2</v>
      </c>
      <c r="G36" s="3">
        <v>0.105</v>
      </c>
      <c r="H36" s="2">
        <v>0</v>
      </c>
      <c r="I36" s="2">
        <v>0</v>
      </c>
      <c r="J36" s="2"/>
      <c r="K36" s="2"/>
      <c r="L36" s="2"/>
      <c r="M36" s="2"/>
      <c r="N36" s="8">
        <f>+H36+I36+J36+K36+L36+M36-SUM(O36:Y36)</f>
        <v>0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7">
        <f>+G36*SUM(H36:M36)</f>
        <v>0</v>
      </c>
      <c r="AA36" s="7">
        <v>100</v>
      </c>
      <c r="AB36" s="7">
        <v>0</v>
      </c>
      <c r="AC36" s="8">
        <f>+H36*AB36</f>
        <v>0</v>
      </c>
      <c r="AD36" s="8">
        <v>0</v>
      </c>
      <c r="AE36" s="8">
        <f>+H36*AD36</f>
        <v>0</v>
      </c>
      <c r="AF36" s="8">
        <f t="shared" si="0"/>
        <v>0</v>
      </c>
      <c r="AG36" s="8">
        <v>0</v>
      </c>
      <c r="AH36" s="8">
        <v>0</v>
      </c>
      <c r="AI36" s="8" t="s">
        <v>119</v>
      </c>
      <c r="AJ36" s="8" t="s">
        <v>121</v>
      </c>
      <c r="AQ36" s="1">
        <v>-83</v>
      </c>
    </row>
    <row r="37" spans="2:43" x14ac:dyDescent="0.25">
      <c r="B37" s="2" t="s">
        <v>87</v>
      </c>
      <c r="C37" s="2" t="s">
        <v>88</v>
      </c>
      <c r="D37" s="2" t="s">
        <v>30</v>
      </c>
      <c r="E37" s="2" t="s">
        <v>17</v>
      </c>
      <c r="F37" s="2">
        <v>2.8000000000000001E-2</v>
      </c>
      <c r="G37" s="3">
        <v>0.14299999999999999</v>
      </c>
      <c r="H37" s="2">
        <v>600</v>
      </c>
      <c r="I37" s="2">
        <v>0</v>
      </c>
      <c r="J37" s="2"/>
      <c r="K37" s="2"/>
      <c r="L37" s="2"/>
      <c r="M37" s="2"/>
      <c r="N37" s="8">
        <f>+H37+I37+J37+K37+L37+M37-SUM(O37:Y37)</f>
        <v>600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7">
        <f>+G37*SUM(H37:M37)</f>
        <v>85.8</v>
      </c>
      <c r="AA37" s="7">
        <v>100</v>
      </c>
      <c r="AB37" s="7">
        <v>0</v>
      </c>
      <c r="AC37" s="8">
        <f>+H37*AB37</f>
        <v>0</v>
      </c>
      <c r="AD37" s="8">
        <v>0</v>
      </c>
      <c r="AE37" s="8">
        <f>+H37*AD37</f>
        <v>0</v>
      </c>
      <c r="AF37" s="8">
        <f t="shared" si="0"/>
        <v>0</v>
      </c>
      <c r="AG37" s="8">
        <v>0</v>
      </c>
      <c r="AH37" s="8">
        <v>0</v>
      </c>
      <c r="AI37" s="8" t="s">
        <v>119</v>
      </c>
      <c r="AJ37" s="8" t="s">
        <v>121</v>
      </c>
      <c r="AQ37" s="1">
        <v>0</v>
      </c>
    </row>
    <row r="38" spans="2:43" hidden="1" x14ac:dyDescent="0.25">
      <c r="B38" s="2" t="s">
        <v>87</v>
      </c>
      <c r="C38" s="2" t="s">
        <v>88</v>
      </c>
      <c r="D38" s="2" t="s">
        <v>31</v>
      </c>
      <c r="E38" s="2" t="s">
        <v>17</v>
      </c>
      <c r="F38" s="2">
        <v>2.8000000000000001E-2</v>
      </c>
      <c r="G38" s="3">
        <v>4.5999999999999999E-2</v>
      </c>
      <c r="H38" s="2">
        <v>0</v>
      </c>
      <c r="I38" s="2">
        <v>0</v>
      </c>
      <c r="J38" s="2"/>
      <c r="K38" s="2"/>
      <c r="L38" s="2"/>
      <c r="M38" s="2"/>
      <c r="N38" s="8">
        <f>+H38+I38+J38+K38+L38+M38-SUM(O38:Y38)</f>
        <v>0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7">
        <f>+G38*SUM(H38:M38)</f>
        <v>0</v>
      </c>
      <c r="AA38" s="7">
        <v>100</v>
      </c>
      <c r="AB38" s="7">
        <v>0</v>
      </c>
      <c r="AC38" s="8">
        <f>+H38*AB38</f>
        <v>0</v>
      </c>
      <c r="AD38" s="8">
        <v>0</v>
      </c>
      <c r="AE38" s="8">
        <f>+H38*AD38</f>
        <v>0</v>
      </c>
      <c r="AF38" s="8">
        <f t="shared" si="0"/>
        <v>0</v>
      </c>
      <c r="AG38" s="8">
        <v>0</v>
      </c>
      <c r="AH38" s="8">
        <v>0</v>
      </c>
      <c r="AI38" s="8" t="s">
        <v>119</v>
      </c>
      <c r="AJ38" s="8" t="s">
        <v>121</v>
      </c>
      <c r="AQ38" s="1">
        <v>300</v>
      </c>
    </row>
    <row r="39" spans="2:43" hidden="1" x14ac:dyDescent="0.25">
      <c r="B39" s="2" t="s">
        <v>87</v>
      </c>
      <c r="C39" s="2" t="s">
        <v>88</v>
      </c>
      <c r="D39" s="2" t="s">
        <v>32</v>
      </c>
      <c r="E39" s="2" t="s">
        <v>17</v>
      </c>
      <c r="F39" s="2">
        <v>2.8000000000000001E-2</v>
      </c>
      <c r="G39" s="3">
        <v>0.129</v>
      </c>
      <c r="H39" s="2">
        <v>0</v>
      </c>
      <c r="I39" s="2">
        <v>0</v>
      </c>
      <c r="J39" s="2"/>
      <c r="K39" s="2"/>
      <c r="L39" s="2"/>
      <c r="M39" s="2"/>
      <c r="N39" s="8">
        <f>+H39+I39+J39+K39+L39+M39-SUM(O39:Y39)</f>
        <v>0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7">
        <f>+G39*SUM(H39:M39)</f>
        <v>0</v>
      </c>
      <c r="AA39" s="7">
        <v>100</v>
      </c>
      <c r="AB39" s="7">
        <v>0</v>
      </c>
      <c r="AC39" s="8">
        <f>+H39*AB39</f>
        <v>0</v>
      </c>
      <c r="AD39" s="8">
        <v>0</v>
      </c>
      <c r="AE39" s="8">
        <f>+H39*AD39</f>
        <v>0</v>
      </c>
      <c r="AF39" s="8">
        <f t="shared" si="0"/>
        <v>0</v>
      </c>
      <c r="AG39" s="8">
        <v>0</v>
      </c>
      <c r="AH39" s="8">
        <v>0</v>
      </c>
      <c r="AI39" s="8" t="s">
        <v>119</v>
      </c>
      <c r="AJ39" s="8" t="s">
        <v>121</v>
      </c>
      <c r="AQ39" s="1">
        <v>500</v>
      </c>
    </row>
    <row r="40" spans="2:43" x14ac:dyDescent="0.25">
      <c r="B40" s="2" t="s">
        <v>87</v>
      </c>
      <c r="C40" s="2" t="s">
        <v>88</v>
      </c>
      <c r="D40" s="2" t="s">
        <v>33</v>
      </c>
      <c r="E40" s="2" t="s">
        <v>17</v>
      </c>
      <c r="F40" s="2">
        <v>2.8000000000000001E-2</v>
      </c>
      <c r="G40" s="3">
        <v>0.13400000000000001</v>
      </c>
      <c r="H40" s="2">
        <v>600</v>
      </c>
      <c r="I40" s="2">
        <v>0</v>
      </c>
      <c r="J40" s="2"/>
      <c r="K40" s="2"/>
      <c r="L40" s="2"/>
      <c r="M40" s="2"/>
      <c r="N40" s="8">
        <f>+H40+I40+J40+K40+L40+M40-SUM(O40:Y40)</f>
        <v>600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7">
        <f>+G40*SUM(H40:M40)</f>
        <v>80.400000000000006</v>
      </c>
      <c r="AA40" s="7">
        <v>100</v>
      </c>
      <c r="AB40" s="7">
        <v>0</v>
      </c>
      <c r="AC40" s="8">
        <f>+H40*AB40</f>
        <v>0</v>
      </c>
      <c r="AD40" s="8">
        <v>0</v>
      </c>
      <c r="AE40" s="8">
        <f>+H40*AD40</f>
        <v>0</v>
      </c>
      <c r="AF40" s="8">
        <f t="shared" si="0"/>
        <v>0</v>
      </c>
      <c r="AG40" s="8">
        <v>0</v>
      </c>
      <c r="AH40" s="8">
        <v>0</v>
      </c>
      <c r="AI40" s="8" t="s">
        <v>119</v>
      </c>
      <c r="AJ40" s="8" t="s">
        <v>121</v>
      </c>
      <c r="AQ40" s="1">
        <v>300</v>
      </c>
    </row>
    <row r="41" spans="2:43" hidden="1" x14ac:dyDescent="0.25">
      <c r="B41" s="2" t="s">
        <v>87</v>
      </c>
      <c r="C41" s="2" t="s">
        <v>88</v>
      </c>
      <c r="D41" s="2" t="s">
        <v>34</v>
      </c>
      <c r="E41" s="2" t="s">
        <v>17</v>
      </c>
      <c r="F41" s="2">
        <v>2.8000000000000001E-2</v>
      </c>
      <c r="G41" s="3">
        <v>0.105</v>
      </c>
      <c r="H41" s="2">
        <v>0</v>
      </c>
      <c r="I41" s="2">
        <v>0</v>
      </c>
      <c r="J41" s="2"/>
      <c r="K41" s="2"/>
      <c r="L41" s="2"/>
      <c r="M41" s="2"/>
      <c r="N41" s="8">
        <f>+H41+I41+J41+K41+L41+M41-SUM(O41:Y41)</f>
        <v>0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7">
        <f>+G41*SUM(H41:M41)</f>
        <v>0</v>
      </c>
      <c r="AA41" s="7">
        <v>100</v>
      </c>
      <c r="AB41" s="7">
        <v>0</v>
      </c>
      <c r="AC41" s="8">
        <f>+H41*AB41</f>
        <v>0</v>
      </c>
      <c r="AD41" s="8">
        <v>0</v>
      </c>
      <c r="AE41" s="8">
        <f>+H41*AD41</f>
        <v>0</v>
      </c>
      <c r="AF41" s="8">
        <f t="shared" si="0"/>
        <v>0</v>
      </c>
      <c r="AG41" s="8">
        <v>0</v>
      </c>
      <c r="AH41" s="8">
        <v>0</v>
      </c>
      <c r="AI41" s="8" t="s">
        <v>119</v>
      </c>
      <c r="AJ41" s="8" t="s">
        <v>121</v>
      </c>
      <c r="AQ41" s="1">
        <v>0</v>
      </c>
    </row>
    <row r="42" spans="2:43" hidden="1" x14ac:dyDescent="0.25">
      <c r="B42" s="2" t="s">
        <v>87</v>
      </c>
      <c r="C42" s="2" t="s">
        <v>88</v>
      </c>
      <c r="D42" s="2" t="s">
        <v>35</v>
      </c>
      <c r="E42" s="2" t="s">
        <v>17</v>
      </c>
      <c r="F42" s="2">
        <v>2.8000000000000001E-2</v>
      </c>
      <c r="G42" s="3">
        <v>9.9000000000000005E-2</v>
      </c>
      <c r="H42" s="2">
        <v>0</v>
      </c>
      <c r="I42" s="2">
        <v>0</v>
      </c>
      <c r="J42" s="2"/>
      <c r="K42" s="2"/>
      <c r="L42" s="2"/>
      <c r="M42" s="2"/>
      <c r="N42" s="8">
        <f>+H42+I42+J42+K42+L42+M42-SUM(O42:Y42)</f>
        <v>0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7">
        <f>+G42*SUM(H42:M42)</f>
        <v>0</v>
      </c>
      <c r="AA42" s="7">
        <v>100</v>
      </c>
      <c r="AB42" s="7">
        <v>0</v>
      </c>
      <c r="AC42" s="8">
        <f>+H42*AB42</f>
        <v>0</v>
      </c>
      <c r="AD42" s="8">
        <v>0</v>
      </c>
      <c r="AE42" s="8">
        <f>+H42*AD42</f>
        <v>0</v>
      </c>
      <c r="AF42" s="8">
        <f t="shared" si="0"/>
        <v>0</v>
      </c>
      <c r="AG42" s="8">
        <v>0</v>
      </c>
      <c r="AH42" s="8">
        <v>0</v>
      </c>
      <c r="AI42" s="8" t="s">
        <v>119</v>
      </c>
      <c r="AJ42" s="8" t="s">
        <v>121</v>
      </c>
      <c r="AQ42" s="1">
        <v>300</v>
      </c>
    </row>
    <row r="43" spans="2:43" hidden="1" x14ac:dyDescent="0.25">
      <c r="B43" s="2" t="s">
        <v>87</v>
      </c>
      <c r="C43" s="2" t="s">
        <v>88</v>
      </c>
      <c r="D43" s="2" t="s">
        <v>36</v>
      </c>
      <c r="E43" s="2" t="s">
        <v>17</v>
      </c>
      <c r="F43" s="2">
        <v>2.8000000000000001E-2</v>
      </c>
      <c r="G43" s="3">
        <v>0.13100000000000001</v>
      </c>
      <c r="H43" s="2">
        <v>0</v>
      </c>
      <c r="I43" s="2">
        <v>0</v>
      </c>
      <c r="J43" s="2"/>
      <c r="K43" s="2"/>
      <c r="L43" s="2"/>
      <c r="M43" s="2"/>
      <c r="N43" s="8">
        <f>+H43+I43+J43+K43+L43+M43-SUM(O43:Y43)</f>
        <v>0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7">
        <f>+G43*SUM(H43:M43)</f>
        <v>0</v>
      </c>
      <c r="AA43" s="7">
        <v>100</v>
      </c>
      <c r="AB43" s="7">
        <v>0</v>
      </c>
      <c r="AC43" s="8">
        <f>+H43*AB43</f>
        <v>0</v>
      </c>
      <c r="AD43" s="8">
        <v>0</v>
      </c>
      <c r="AE43" s="8">
        <f>+H43*AD43</f>
        <v>0</v>
      </c>
      <c r="AF43" s="8">
        <f t="shared" si="0"/>
        <v>0</v>
      </c>
      <c r="AG43" s="8">
        <v>0</v>
      </c>
      <c r="AH43" s="8">
        <v>0</v>
      </c>
      <c r="AI43" s="8" t="s">
        <v>119</v>
      </c>
      <c r="AJ43" s="8" t="s">
        <v>121</v>
      </c>
      <c r="AQ43" s="1">
        <v>0</v>
      </c>
    </row>
    <row r="44" spans="2:43" hidden="1" x14ac:dyDescent="0.25">
      <c r="B44" s="2" t="s">
        <v>87</v>
      </c>
      <c r="C44" s="2" t="s">
        <v>88</v>
      </c>
      <c r="D44" s="2" t="s">
        <v>37</v>
      </c>
      <c r="E44" s="2" t="s">
        <v>17</v>
      </c>
      <c r="F44" s="2">
        <v>2.8000000000000001E-2</v>
      </c>
      <c r="G44" s="3">
        <v>9.4E-2</v>
      </c>
      <c r="H44" s="2">
        <v>0</v>
      </c>
      <c r="I44" s="2">
        <v>0</v>
      </c>
      <c r="J44" s="2"/>
      <c r="K44" s="2"/>
      <c r="L44" s="2"/>
      <c r="M44" s="2"/>
      <c r="N44" s="8">
        <f>+H44+I44+J44+K44+L44+M44-SUM(O44:Y44)</f>
        <v>0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7">
        <f>+G44*SUM(H44:M44)</f>
        <v>0</v>
      </c>
      <c r="AA44" s="7">
        <v>100</v>
      </c>
      <c r="AB44" s="7">
        <v>0</v>
      </c>
      <c r="AC44" s="8">
        <f>+H44*AB44</f>
        <v>0</v>
      </c>
      <c r="AD44" s="8">
        <v>0</v>
      </c>
      <c r="AE44" s="8">
        <f>+H44*AD44</f>
        <v>0</v>
      </c>
      <c r="AF44" s="8">
        <f t="shared" si="0"/>
        <v>0</v>
      </c>
      <c r="AG44" s="8">
        <v>0</v>
      </c>
      <c r="AH44" s="8">
        <v>0</v>
      </c>
      <c r="AI44" s="8" t="s">
        <v>119</v>
      </c>
      <c r="AJ44" s="8" t="s">
        <v>121</v>
      </c>
      <c r="AQ44" s="1">
        <v>0</v>
      </c>
    </row>
    <row r="45" spans="2:43" hidden="1" x14ac:dyDescent="0.25">
      <c r="B45" s="2" t="s">
        <v>87</v>
      </c>
      <c r="C45" s="2" t="s">
        <v>88</v>
      </c>
      <c r="D45" s="2" t="s">
        <v>38</v>
      </c>
      <c r="E45" s="2" t="s">
        <v>17</v>
      </c>
      <c r="F45" s="2">
        <v>2.8000000000000001E-2</v>
      </c>
      <c r="G45" s="3">
        <v>0.122</v>
      </c>
      <c r="H45" s="2">
        <v>0</v>
      </c>
      <c r="I45" s="2">
        <v>0</v>
      </c>
      <c r="J45" s="2"/>
      <c r="K45" s="2"/>
      <c r="L45" s="2"/>
      <c r="M45" s="2"/>
      <c r="N45" s="8">
        <f>+H45+I45+J45+K45+L45+M45-SUM(O45:Y45)</f>
        <v>0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7">
        <f>+G45*SUM(H45:M45)</f>
        <v>0</v>
      </c>
      <c r="AA45" s="7">
        <v>100</v>
      </c>
      <c r="AB45" s="7">
        <v>0</v>
      </c>
      <c r="AC45" s="8">
        <f>+H45*AB45</f>
        <v>0</v>
      </c>
      <c r="AD45" s="8">
        <v>0</v>
      </c>
      <c r="AE45" s="8">
        <f>+H45*AD45</f>
        <v>0</v>
      </c>
      <c r="AF45" s="8">
        <f t="shared" si="0"/>
        <v>0</v>
      </c>
      <c r="AG45" s="8">
        <v>0</v>
      </c>
      <c r="AH45" s="8">
        <v>0</v>
      </c>
      <c r="AI45" s="8" t="s">
        <v>119</v>
      </c>
      <c r="AJ45" s="8" t="s">
        <v>121</v>
      </c>
      <c r="AQ45" s="1">
        <v>0</v>
      </c>
    </row>
    <row r="46" spans="2:43" hidden="1" x14ac:dyDescent="0.25">
      <c r="B46" s="2" t="s">
        <v>87</v>
      </c>
      <c r="C46" s="2" t="s">
        <v>88</v>
      </c>
      <c r="D46" s="2" t="s">
        <v>39</v>
      </c>
      <c r="E46" s="2" t="s">
        <v>17</v>
      </c>
      <c r="F46" s="2">
        <v>2.8000000000000001E-2</v>
      </c>
      <c r="G46" s="3">
        <v>0.10100000000000001</v>
      </c>
      <c r="H46" s="2">
        <v>0</v>
      </c>
      <c r="I46" s="2">
        <v>0</v>
      </c>
      <c r="J46" s="2"/>
      <c r="K46" s="2"/>
      <c r="L46" s="2"/>
      <c r="M46" s="2"/>
      <c r="N46" s="8">
        <f>+H46+I46+J46+K46+L46+M46-SUM(O46:Y46)</f>
        <v>0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7">
        <f>+G46*SUM(H46:M46)</f>
        <v>0</v>
      </c>
      <c r="AA46" s="7">
        <v>100</v>
      </c>
      <c r="AB46" s="7">
        <v>0</v>
      </c>
      <c r="AC46" s="8">
        <f>+H46*AB46</f>
        <v>0</v>
      </c>
      <c r="AD46" s="8">
        <v>0</v>
      </c>
      <c r="AE46" s="8">
        <f>+H46*AD46</f>
        <v>0</v>
      </c>
      <c r="AF46" s="8">
        <f t="shared" si="0"/>
        <v>0</v>
      </c>
      <c r="AG46" s="8">
        <v>0</v>
      </c>
      <c r="AH46" s="8">
        <v>0</v>
      </c>
      <c r="AI46" s="8" t="s">
        <v>119</v>
      </c>
      <c r="AJ46" s="8" t="s">
        <v>121</v>
      </c>
      <c r="AQ46" s="1">
        <v>0</v>
      </c>
    </row>
    <row r="47" spans="2:43" hidden="1" x14ac:dyDescent="0.25">
      <c r="B47" s="2" t="s">
        <v>87</v>
      </c>
      <c r="C47" s="2" t="s">
        <v>88</v>
      </c>
      <c r="D47" s="2" t="s">
        <v>40</v>
      </c>
      <c r="E47" s="2" t="s">
        <v>17</v>
      </c>
      <c r="F47" s="2">
        <v>2.8000000000000001E-2</v>
      </c>
      <c r="G47" s="3">
        <v>0.11899999999999999</v>
      </c>
      <c r="H47" s="2">
        <v>0</v>
      </c>
      <c r="I47" s="2">
        <v>0</v>
      </c>
      <c r="J47" s="2"/>
      <c r="K47" s="2"/>
      <c r="L47" s="2"/>
      <c r="M47" s="2"/>
      <c r="N47" s="8">
        <f>+H47+I47+J47+K47+L47+M47-SUM(O47:Y47)</f>
        <v>0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7">
        <f>+G47*SUM(H47:M47)</f>
        <v>0</v>
      </c>
      <c r="AA47" s="7">
        <v>100</v>
      </c>
      <c r="AB47" s="7">
        <v>0</v>
      </c>
      <c r="AC47" s="8">
        <f>+H47*AB47</f>
        <v>0</v>
      </c>
      <c r="AD47" s="8">
        <v>0</v>
      </c>
      <c r="AE47" s="8">
        <f>+H47*AD47</f>
        <v>0</v>
      </c>
      <c r="AF47" s="8">
        <f t="shared" si="0"/>
        <v>0</v>
      </c>
      <c r="AG47" s="8">
        <v>0</v>
      </c>
      <c r="AH47" s="8">
        <v>0</v>
      </c>
      <c r="AI47" s="8" t="s">
        <v>119</v>
      </c>
      <c r="AJ47" s="8" t="s">
        <v>121</v>
      </c>
      <c r="AQ47" s="1">
        <v>0</v>
      </c>
    </row>
    <row r="48" spans="2:43" hidden="1" x14ac:dyDescent="0.25">
      <c r="B48" s="2" t="s">
        <v>87</v>
      </c>
      <c r="C48" s="2" t="s">
        <v>88</v>
      </c>
      <c r="D48" s="2" t="s">
        <v>41</v>
      </c>
      <c r="E48" s="2" t="s">
        <v>17</v>
      </c>
      <c r="F48" s="2">
        <v>2.8000000000000001E-2</v>
      </c>
      <c r="G48" s="3">
        <v>0.121</v>
      </c>
      <c r="H48" s="2">
        <v>0</v>
      </c>
      <c r="I48" s="2">
        <v>0</v>
      </c>
      <c r="J48" s="2"/>
      <c r="K48" s="2"/>
      <c r="L48" s="2"/>
      <c r="M48" s="2"/>
      <c r="N48" s="8">
        <f>+H48+I48+J48+K48+L48+M48-SUM(O48:Y48)</f>
        <v>0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7">
        <f>+G48*SUM(H48:M48)</f>
        <v>0</v>
      </c>
      <c r="AA48" s="7">
        <v>100</v>
      </c>
      <c r="AB48" s="7">
        <v>0</v>
      </c>
      <c r="AC48" s="8">
        <f>+H48*AB48</f>
        <v>0</v>
      </c>
      <c r="AD48" s="8">
        <v>0</v>
      </c>
      <c r="AE48" s="8">
        <f>+H48*AD48</f>
        <v>0</v>
      </c>
      <c r="AF48" s="8">
        <f t="shared" si="0"/>
        <v>0</v>
      </c>
      <c r="AG48" s="8">
        <v>0</v>
      </c>
      <c r="AH48" s="8">
        <v>0</v>
      </c>
      <c r="AI48" s="8" t="s">
        <v>119</v>
      </c>
      <c r="AJ48" s="8" t="s">
        <v>121</v>
      </c>
      <c r="AQ48" s="1">
        <v>0</v>
      </c>
    </row>
    <row r="49" spans="2:43" hidden="1" x14ac:dyDescent="0.25">
      <c r="B49" s="2" t="s">
        <v>87</v>
      </c>
      <c r="C49" s="2" t="s">
        <v>88</v>
      </c>
      <c r="D49" s="2" t="s">
        <v>42</v>
      </c>
      <c r="E49" s="2" t="s">
        <v>17</v>
      </c>
      <c r="F49" s="2">
        <v>2.8000000000000001E-2</v>
      </c>
      <c r="G49" s="3">
        <v>0.127</v>
      </c>
      <c r="H49" s="2">
        <v>0</v>
      </c>
      <c r="I49" s="2">
        <v>0</v>
      </c>
      <c r="J49" s="2"/>
      <c r="K49" s="2"/>
      <c r="L49" s="2"/>
      <c r="M49" s="2"/>
      <c r="N49" s="8">
        <f>+H49+I49+J49+K49+L49+M49-SUM(O49:Y49)</f>
        <v>0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7">
        <f>+G49*SUM(H49:M49)</f>
        <v>0</v>
      </c>
      <c r="AA49" s="7">
        <v>100</v>
      </c>
      <c r="AB49" s="7">
        <v>0</v>
      </c>
      <c r="AC49" s="8">
        <f>+H49*AB49</f>
        <v>0</v>
      </c>
      <c r="AD49" s="8">
        <v>0</v>
      </c>
      <c r="AE49" s="8">
        <f>+H49*AD49</f>
        <v>0</v>
      </c>
      <c r="AF49" s="8">
        <f t="shared" si="0"/>
        <v>0</v>
      </c>
      <c r="AG49" s="8">
        <v>0</v>
      </c>
      <c r="AH49" s="8">
        <v>0</v>
      </c>
      <c r="AI49" s="8" t="s">
        <v>119</v>
      </c>
      <c r="AJ49" s="8" t="s">
        <v>121</v>
      </c>
      <c r="AQ49" s="1">
        <v>0</v>
      </c>
    </row>
    <row r="50" spans="2:43" hidden="1" x14ac:dyDescent="0.25">
      <c r="B50" s="2" t="s">
        <v>87</v>
      </c>
      <c r="C50" s="2" t="s">
        <v>88</v>
      </c>
      <c r="D50" s="2" t="s">
        <v>43</v>
      </c>
      <c r="E50" s="2" t="s">
        <v>17</v>
      </c>
      <c r="F50" s="2">
        <v>2.8000000000000001E-2</v>
      </c>
      <c r="G50" s="3">
        <v>0.10299999999999999</v>
      </c>
      <c r="H50" s="2">
        <v>0</v>
      </c>
      <c r="I50" s="2">
        <v>0</v>
      </c>
      <c r="J50" s="2"/>
      <c r="K50" s="2"/>
      <c r="L50" s="2"/>
      <c r="M50" s="2"/>
      <c r="N50" s="8">
        <f>+H50+I50+J50+K50+L50+M50-SUM(O50:Y50)</f>
        <v>0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7">
        <f>+G50*SUM(H50:M50)</f>
        <v>0</v>
      </c>
      <c r="AA50" s="7">
        <v>100</v>
      </c>
      <c r="AB50" s="7">
        <v>0</v>
      </c>
      <c r="AC50" s="8">
        <f>+H50*AB50</f>
        <v>0</v>
      </c>
      <c r="AD50" s="8">
        <v>0</v>
      </c>
      <c r="AE50" s="8">
        <f>+H50*AD50</f>
        <v>0</v>
      </c>
      <c r="AF50" s="8">
        <f t="shared" si="0"/>
        <v>0</v>
      </c>
      <c r="AG50" s="8">
        <v>0</v>
      </c>
      <c r="AH50" s="8">
        <v>0</v>
      </c>
      <c r="AI50" s="8" t="s">
        <v>119</v>
      </c>
      <c r="AJ50" s="8" t="s">
        <v>121</v>
      </c>
      <c r="AQ50" s="1">
        <v>328</v>
      </c>
    </row>
    <row r="51" spans="2:43" hidden="1" x14ac:dyDescent="0.25">
      <c r="B51" s="2" t="s">
        <v>87</v>
      </c>
      <c r="C51" s="2" t="s">
        <v>88</v>
      </c>
      <c r="D51" s="2" t="s">
        <v>44</v>
      </c>
      <c r="E51" s="2" t="s">
        <v>17</v>
      </c>
      <c r="F51" s="2">
        <v>2.8000000000000001E-2</v>
      </c>
      <c r="G51" s="3">
        <v>0.23799999999999999</v>
      </c>
      <c r="H51" s="2">
        <v>0</v>
      </c>
      <c r="I51" s="2">
        <v>0</v>
      </c>
      <c r="J51" s="2"/>
      <c r="K51" s="2"/>
      <c r="L51" s="2"/>
      <c r="M51" s="2"/>
      <c r="N51" s="8">
        <f>+H51+I51+J51+K51+L51+M51-SUM(O51:Y51)</f>
        <v>0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7">
        <f>+G51*SUM(H51:M51)</f>
        <v>0</v>
      </c>
      <c r="AA51" s="7">
        <v>100</v>
      </c>
      <c r="AB51" s="7">
        <v>0</v>
      </c>
      <c r="AC51" s="8">
        <f>+H51*AB51</f>
        <v>0</v>
      </c>
      <c r="AD51" s="8">
        <v>0</v>
      </c>
      <c r="AE51" s="8">
        <f>+H51*AD51</f>
        <v>0</v>
      </c>
      <c r="AF51" s="8">
        <f t="shared" si="0"/>
        <v>0</v>
      </c>
      <c r="AG51" s="8">
        <v>0</v>
      </c>
      <c r="AH51" s="8">
        <v>0</v>
      </c>
      <c r="AI51" s="8" t="s">
        <v>119</v>
      </c>
      <c r="AJ51" s="8" t="s">
        <v>121</v>
      </c>
      <c r="AQ51" s="1">
        <v>400</v>
      </c>
    </row>
    <row r="52" spans="2:43" hidden="1" x14ac:dyDescent="0.25">
      <c r="B52" s="2" t="s">
        <v>87</v>
      </c>
      <c r="C52" s="2" t="s">
        <v>88</v>
      </c>
      <c r="D52" s="2" t="s">
        <v>45</v>
      </c>
      <c r="E52" s="2" t="s">
        <v>17</v>
      </c>
      <c r="F52" s="2">
        <v>2.8000000000000001E-2</v>
      </c>
      <c r="G52" s="3">
        <v>0.10100000000000001</v>
      </c>
      <c r="H52" s="2">
        <v>0</v>
      </c>
      <c r="I52" s="2">
        <v>0</v>
      </c>
      <c r="J52" s="2"/>
      <c r="K52" s="2"/>
      <c r="L52" s="2"/>
      <c r="M52" s="2"/>
      <c r="N52" s="8">
        <f>+H52+I52+J52+K52+L52+M52-SUM(O52:Y52)</f>
        <v>0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7">
        <f>+G52*SUM(H52:M52)</f>
        <v>0</v>
      </c>
      <c r="AA52" s="7">
        <v>100</v>
      </c>
      <c r="AB52" s="7">
        <v>0</v>
      </c>
      <c r="AC52" s="8">
        <f>+H52*AB52</f>
        <v>0</v>
      </c>
      <c r="AD52" s="8">
        <v>0</v>
      </c>
      <c r="AE52" s="8">
        <f>+H52*AD52</f>
        <v>0</v>
      </c>
      <c r="AF52" s="8">
        <f t="shared" si="0"/>
        <v>0</v>
      </c>
      <c r="AG52" s="8">
        <v>0</v>
      </c>
      <c r="AH52" s="8">
        <v>0</v>
      </c>
      <c r="AI52" s="8" t="s">
        <v>119</v>
      </c>
      <c r="AJ52" s="8" t="s">
        <v>121</v>
      </c>
      <c r="AQ52" s="1">
        <v>-1493</v>
      </c>
    </row>
    <row r="53" spans="2:43" x14ac:dyDescent="0.25">
      <c r="B53" s="2" t="s">
        <v>87</v>
      </c>
      <c r="C53" s="2" t="s">
        <v>88</v>
      </c>
      <c r="D53" s="2" t="s">
        <v>46</v>
      </c>
      <c r="E53" s="2" t="s">
        <v>17</v>
      </c>
      <c r="F53" s="2">
        <v>2.8000000000000001E-2</v>
      </c>
      <c r="G53" s="3">
        <v>3.9E-2</v>
      </c>
      <c r="H53" s="2">
        <v>1800</v>
      </c>
      <c r="I53" s="2">
        <v>0</v>
      </c>
      <c r="J53" s="2"/>
      <c r="K53" s="2"/>
      <c r="L53" s="2"/>
      <c r="M53" s="2"/>
      <c r="N53" s="8">
        <f>+H53+I53+J53+K53+L53+M53-SUM(O53:Y53)</f>
        <v>1800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7">
        <f>+G53*SUM(H53:M53)</f>
        <v>70.2</v>
      </c>
      <c r="AA53" s="7">
        <v>100</v>
      </c>
      <c r="AB53" s="7">
        <v>0</v>
      </c>
      <c r="AC53" s="8">
        <f>+H53*AB53</f>
        <v>0</v>
      </c>
      <c r="AD53" s="8">
        <v>0</v>
      </c>
      <c r="AE53" s="8">
        <f>+H53*AD53</f>
        <v>0</v>
      </c>
      <c r="AF53" s="8">
        <f t="shared" si="0"/>
        <v>0</v>
      </c>
      <c r="AG53" s="8">
        <v>0</v>
      </c>
      <c r="AH53" s="8">
        <v>0</v>
      </c>
      <c r="AI53" s="8" t="s">
        <v>119</v>
      </c>
      <c r="AJ53" s="8" t="s">
        <v>121</v>
      </c>
      <c r="AQ53" s="1">
        <v>-66</v>
      </c>
    </row>
    <row r="54" spans="2:43" hidden="1" x14ac:dyDescent="0.25">
      <c r="B54" s="2" t="s">
        <v>87</v>
      </c>
      <c r="C54" s="2" t="s">
        <v>88</v>
      </c>
      <c r="D54" s="2" t="s">
        <v>47</v>
      </c>
      <c r="E54" s="2" t="s">
        <v>48</v>
      </c>
      <c r="F54" s="2">
        <v>3.5000000000000003E-2</v>
      </c>
      <c r="G54" s="3">
        <v>0.14799999999999999</v>
      </c>
      <c r="H54" s="2">
        <v>0</v>
      </c>
      <c r="I54" s="2">
        <v>0</v>
      </c>
      <c r="J54" s="2"/>
      <c r="K54" s="2"/>
      <c r="L54" s="2"/>
      <c r="M54" s="2"/>
      <c r="N54" s="8">
        <f>+H54+I54+J54+K54+L54+M54-SUM(O54:Y54)</f>
        <v>0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7">
        <f>+G54*SUM(H54:M54)</f>
        <v>0</v>
      </c>
      <c r="AA54" s="7">
        <v>500</v>
      </c>
      <c r="AB54" s="7">
        <v>0</v>
      </c>
      <c r="AC54" s="8">
        <f>+H54*AB54</f>
        <v>0</v>
      </c>
      <c r="AD54" s="8">
        <v>0</v>
      </c>
      <c r="AE54" s="8">
        <f>+H54*AD54</f>
        <v>0</v>
      </c>
      <c r="AF54" s="8">
        <f t="shared" si="0"/>
        <v>0</v>
      </c>
      <c r="AG54" s="8">
        <v>0</v>
      </c>
      <c r="AH54" s="8">
        <v>0</v>
      </c>
      <c r="AI54" s="8" t="s">
        <v>119</v>
      </c>
      <c r="AJ54" s="8" t="s">
        <v>121</v>
      </c>
      <c r="AQ54" s="1">
        <v>0</v>
      </c>
    </row>
    <row r="55" spans="2:43" hidden="1" x14ac:dyDescent="0.25">
      <c r="B55" s="2" t="s">
        <v>87</v>
      </c>
      <c r="C55" s="2" t="s">
        <v>88</v>
      </c>
      <c r="D55" s="2" t="s">
        <v>49</v>
      </c>
      <c r="E55" s="2" t="s">
        <v>48</v>
      </c>
      <c r="F55" s="2">
        <v>3.5000000000000003E-2</v>
      </c>
      <c r="G55" s="3">
        <v>0.14399999999999999</v>
      </c>
      <c r="H55" s="2">
        <v>0</v>
      </c>
      <c r="I55" s="2">
        <v>0</v>
      </c>
      <c r="J55" s="2"/>
      <c r="K55" s="2"/>
      <c r="L55" s="2"/>
      <c r="M55" s="2"/>
      <c r="N55" s="8">
        <f>+H55+I55+J55+K55+L55+M55-SUM(O55:Y55)</f>
        <v>0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7">
        <f>+G55*SUM(H55:M55)</f>
        <v>0</v>
      </c>
      <c r="AA55" s="7">
        <v>500</v>
      </c>
      <c r="AB55" s="7">
        <v>0</v>
      </c>
      <c r="AC55" s="8">
        <f>+H55*AB55</f>
        <v>0</v>
      </c>
      <c r="AD55" s="8">
        <v>0</v>
      </c>
      <c r="AE55" s="8">
        <f>+H55*AD55</f>
        <v>0</v>
      </c>
      <c r="AF55" s="8">
        <f t="shared" si="0"/>
        <v>0</v>
      </c>
      <c r="AG55" s="8">
        <v>0</v>
      </c>
      <c r="AH55" s="8">
        <v>0</v>
      </c>
      <c r="AI55" s="8" t="s">
        <v>119</v>
      </c>
      <c r="AJ55" s="8" t="s">
        <v>121</v>
      </c>
      <c r="AQ55" s="1">
        <v>0</v>
      </c>
    </row>
    <row r="56" spans="2:43" x14ac:dyDescent="0.25">
      <c r="B56" s="2" t="s">
        <v>87</v>
      </c>
      <c r="C56" s="2" t="s">
        <v>88</v>
      </c>
      <c r="D56" s="2" t="s">
        <v>50</v>
      </c>
      <c r="E56" s="2" t="s">
        <v>48</v>
      </c>
      <c r="F56" s="2">
        <v>3.5000000000000003E-2</v>
      </c>
      <c r="G56" s="3">
        <v>5.2999999999999999E-2</v>
      </c>
      <c r="H56" s="2">
        <v>2000</v>
      </c>
      <c r="I56" s="2">
        <v>0</v>
      </c>
      <c r="J56" s="2"/>
      <c r="K56" s="2"/>
      <c r="L56" s="2"/>
      <c r="M56" s="2"/>
      <c r="N56" s="8">
        <f>+H56+I56+J56+K56+L56+M56-SUM(O56:Y56)</f>
        <v>2000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7">
        <f>+G56*SUM(H56:M56)</f>
        <v>106</v>
      </c>
      <c r="AA56" s="7">
        <v>1000</v>
      </c>
      <c r="AB56" s="7">
        <v>0</v>
      </c>
      <c r="AC56" s="8">
        <f>+H56*AB56</f>
        <v>0</v>
      </c>
      <c r="AD56" s="8">
        <v>0</v>
      </c>
      <c r="AE56" s="8">
        <f>+H56*AD56</f>
        <v>0</v>
      </c>
      <c r="AF56" s="8">
        <f t="shared" si="0"/>
        <v>0</v>
      </c>
      <c r="AG56" s="8">
        <v>0</v>
      </c>
      <c r="AH56" s="8">
        <v>0</v>
      </c>
      <c r="AI56" s="8" t="s">
        <v>119</v>
      </c>
      <c r="AJ56" s="8" t="s">
        <v>121</v>
      </c>
      <c r="AQ56" s="1">
        <v>1200</v>
      </c>
    </row>
    <row r="57" spans="2:43" x14ac:dyDescent="0.25">
      <c r="B57" s="2" t="s">
        <v>87</v>
      </c>
      <c r="C57" s="2" t="s">
        <v>88</v>
      </c>
      <c r="D57" s="2" t="s">
        <v>51</v>
      </c>
      <c r="E57" s="2" t="s">
        <v>48</v>
      </c>
      <c r="F57" s="2">
        <v>3.5000000000000003E-2</v>
      </c>
      <c r="G57" s="3">
        <v>0.13800000000000001</v>
      </c>
      <c r="H57" s="2">
        <v>1000</v>
      </c>
      <c r="I57" s="2">
        <v>0</v>
      </c>
      <c r="J57" s="2"/>
      <c r="K57" s="2"/>
      <c r="L57" s="2"/>
      <c r="M57" s="2"/>
      <c r="N57" s="8">
        <f>+H57+I57+J57+K57+L57+M57-SUM(O57:Y57)</f>
        <v>1000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7">
        <f>+G57*SUM(H57:M57)</f>
        <v>138</v>
      </c>
      <c r="AA57" s="7">
        <v>500</v>
      </c>
      <c r="AB57" s="7">
        <v>0</v>
      </c>
      <c r="AC57" s="8">
        <f>+H57*AB57</f>
        <v>0</v>
      </c>
      <c r="AD57" s="8">
        <v>0</v>
      </c>
      <c r="AE57" s="8">
        <f>+H57*AD57</f>
        <v>0</v>
      </c>
      <c r="AF57" s="8">
        <f t="shared" si="0"/>
        <v>0</v>
      </c>
      <c r="AG57" s="8">
        <v>0</v>
      </c>
      <c r="AH57" s="8">
        <v>0</v>
      </c>
      <c r="AI57" s="8" t="s">
        <v>119</v>
      </c>
      <c r="AJ57" s="8" t="s">
        <v>121</v>
      </c>
      <c r="AQ57" s="1">
        <v>0</v>
      </c>
    </row>
    <row r="58" spans="2:43" hidden="1" x14ac:dyDescent="0.25">
      <c r="B58" s="2" t="s">
        <v>87</v>
      </c>
      <c r="C58" s="2" t="s">
        <v>88</v>
      </c>
      <c r="D58" s="2" t="s">
        <v>52</v>
      </c>
      <c r="E58" s="2" t="s">
        <v>48</v>
      </c>
      <c r="F58" s="2">
        <v>3.5000000000000003E-2</v>
      </c>
      <c r="G58" s="3">
        <v>0.11</v>
      </c>
      <c r="H58" s="2">
        <v>0</v>
      </c>
      <c r="I58" s="2">
        <v>0</v>
      </c>
      <c r="J58" s="2"/>
      <c r="K58" s="2"/>
      <c r="L58" s="2"/>
      <c r="M58" s="2"/>
      <c r="N58" s="8">
        <f>+H58+I58+J58+K58+L58+M58-SUM(O58:Y58)</f>
        <v>0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7">
        <f>+G58*SUM(H58:M58)</f>
        <v>0</v>
      </c>
      <c r="AA58" s="7">
        <v>500</v>
      </c>
      <c r="AB58" s="7">
        <v>0</v>
      </c>
      <c r="AC58" s="8">
        <f>+H58*AB58</f>
        <v>0</v>
      </c>
      <c r="AD58" s="8">
        <v>0</v>
      </c>
      <c r="AE58" s="8">
        <f>+H58*AD58</f>
        <v>0</v>
      </c>
      <c r="AF58" s="8">
        <f t="shared" si="0"/>
        <v>0</v>
      </c>
      <c r="AG58" s="8">
        <v>0</v>
      </c>
      <c r="AH58" s="8">
        <v>0</v>
      </c>
      <c r="AI58" s="8" t="s">
        <v>119</v>
      </c>
      <c r="AJ58" s="8" t="s">
        <v>121</v>
      </c>
      <c r="AQ58" s="1">
        <v>1000</v>
      </c>
    </row>
    <row r="59" spans="2:43" x14ac:dyDescent="0.25">
      <c r="B59" s="2" t="s">
        <v>87</v>
      </c>
      <c r="C59" s="2" t="s">
        <v>88</v>
      </c>
      <c r="D59" s="2" t="s">
        <v>53</v>
      </c>
      <c r="E59" s="2" t="s">
        <v>54</v>
      </c>
      <c r="F59" s="2">
        <v>4.1000000000000002E-2</v>
      </c>
      <c r="G59" s="3">
        <v>7.3999999999999996E-2</v>
      </c>
      <c r="H59" s="2">
        <v>600</v>
      </c>
      <c r="I59" s="2">
        <v>0</v>
      </c>
      <c r="J59" s="2"/>
      <c r="K59" s="2"/>
      <c r="L59" s="2"/>
      <c r="M59" s="2"/>
      <c r="N59" s="8">
        <f>+H59+I59+J59+K59+L59+M59-SUM(O59:Y59)</f>
        <v>600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7">
        <f>+G59*SUM(H59:M59)</f>
        <v>44.4</v>
      </c>
      <c r="AA59" s="7">
        <v>1000</v>
      </c>
      <c r="AB59" s="7">
        <v>0</v>
      </c>
      <c r="AC59" s="8">
        <f>+H59*AB59</f>
        <v>0</v>
      </c>
      <c r="AD59" s="8">
        <v>0</v>
      </c>
      <c r="AE59" s="8">
        <f>+H59*AD59</f>
        <v>0</v>
      </c>
      <c r="AF59" s="8">
        <f t="shared" si="0"/>
        <v>0</v>
      </c>
      <c r="AG59" s="8">
        <v>0</v>
      </c>
      <c r="AH59" s="8">
        <v>0</v>
      </c>
      <c r="AI59" s="8" t="s">
        <v>119</v>
      </c>
      <c r="AJ59" s="8" t="s">
        <v>121</v>
      </c>
      <c r="AQ59" s="1">
        <v>2800</v>
      </c>
    </row>
    <row r="60" spans="2:43" hidden="1" x14ac:dyDescent="0.25">
      <c r="B60" s="2" t="s">
        <v>87</v>
      </c>
      <c r="C60" s="2" t="s">
        <v>88</v>
      </c>
      <c r="D60" s="2" t="s">
        <v>55</v>
      </c>
      <c r="E60" s="2" t="s">
        <v>54</v>
      </c>
      <c r="F60" s="2">
        <v>4.4999999999999998E-2</v>
      </c>
      <c r="G60" s="3">
        <v>0.46</v>
      </c>
      <c r="H60" s="2">
        <v>0</v>
      </c>
      <c r="I60" s="2">
        <v>0</v>
      </c>
      <c r="J60" s="2"/>
      <c r="K60" s="2"/>
      <c r="L60" s="2"/>
      <c r="M60" s="2"/>
      <c r="N60" s="8">
        <f>+H60+I60+J60+K60+L60+M60-SUM(O60:Y60)</f>
        <v>0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7">
        <f>+G60*SUM(H60:M60)</f>
        <v>0</v>
      </c>
      <c r="AA60" s="7">
        <v>200</v>
      </c>
      <c r="AB60" s="7">
        <v>0</v>
      </c>
      <c r="AC60" s="8">
        <f>+H60*AB60</f>
        <v>0</v>
      </c>
      <c r="AD60" s="8">
        <v>0</v>
      </c>
      <c r="AE60" s="8">
        <f>+H60*AD60</f>
        <v>0</v>
      </c>
      <c r="AF60" s="8">
        <f t="shared" si="0"/>
        <v>0</v>
      </c>
      <c r="AG60" s="8">
        <v>0</v>
      </c>
      <c r="AH60" s="8">
        <v>0</v>
      </c>
      <c r="AI60" s="8" t="s">
        <v>119</v>
      </c>
      <c r="AJ60" s="8" t="s">
        <v>121</v>
      </c>
      <c r="AQ60" s="1">
        <v>1000</v>
      </c>
    </row>
    <row r="61" spans="2:43" x14ac:dyDescent="0.25">
      <c r="B61" s="2" t="s">
        <v>87</v>
      </c>
      <c r="C61" s="2" t="s">
        <v>88</v>
      </c>
      <c r="D61" s="2" t="s">
        <v>56</v>
      </c>
      <c r="E61" s="2" t="s">
        <v>54</v>
      </c>
      <c r="F61" s="2">
        <v>4.4999999999999998E-2</v>
      </c>
      <c r="G61" s="3">
        <v>0.23300000000000001</v>
      </c>
      <c r="H61" s="2">
        <v>1700</v>
      </c>
      <c r="I61" s="2">
        <v>0</v>
      </c>
      <c r="J61" s="2"/>
      <c r="K61" s="2"/>
      <c r="L61" s="2"/>
      <c r="M61" s="2"/>
      <c r="N61" s="8">
        <f>+H61+I61+J61+K61+L61+M61-SUM(O61:Y61)</f>
        <v>1700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7">
        <f>+G61*SUM(H61:M61)</f>
        <v>396.1</v>
      </c>
      <c r="AA61" s="7">
        <v>500</v>
      </c>
      <c r="AB61" s="7">
        <v>0</v>
      </c>
      <c r="AC61" s="8">
        <f>+H61*AB61</f>
        <v>0</v>
      </c>
      <c r="AD61" s="8">
        <v>0</v>
      </c>
      <c r="AE61" s="8">
        <f>+H61*AD61</f>
        <v>0</v>
      </c>
      <c r="AF61" s="8">
        <f t="shared" si="0"/>
        <v>0</v>
      </c>
      <c r="AG61" s="8">
        <v>0</v>
      </c>
      <c r="AH61" s="8">
        <v>0</v>
      </c>
      <c r="AI61" s="8" t="s">
        <v>119</v>
      </c>
      <c r="AJ61" s="8" t="s">
        <v>121</v>
      </c>
      <c r="AQ61" s="1">
        <v>416</v>
      </c>
    </row>
    <row r="62" spans="2:43" x14ac:dyDescent="0.25">
      <c r="B62" s="2" t="s">
        <v>87</v>
      </c>
      <c r="C62" s="2" t="s">
        <v>88</v>
      </c>
      <c r="D62" s="2" t="s">
        <v>57</v>
      </c>
      <c r="E62" s="2" t="s">
        <v>54</v>
      </c>
      <c r="F62" s="2">
        <v>4.1000000000000002E-2</v>
      </c>
      <c r="G62" s="3">
        <v>0.19700000000000001</v>
      </c>
      <c r="H62" s="2">
        <v>2000</v>
      </c>
      <c r="I62" s="2">
        <v>0</v>
      </c>
      <c r="J62" s="2"/>
      <c r="K62" s="2"/>
      <c r="L62" s="2"/>
      <c r="M62" s="2"/>
      <c r="N62" s="8">
        <f>+H62+I62+J62+K62+L62+M62-SUM(O62:Y62)</f>
        <v>2000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7">
        <f>+G62*SUM(H62:M62)</f>
        <v>394</v>
      </c>
      <c r="AA62" s="7">
        <v>500</v>
      </c>
      <c r="AB62" s="7">
        <v>0</v>
      </c>
      <c r="AC62" s="8">
        <f>+H62*AB62</f>
        <v>0</v>
      </c>
      <c r="AD62" s="8">
        <v>0</v>
      </c>
      <c r="AE62" s="8">
        <f>+H62*AD62</f>
        <v>0</v>
      </c>
      <c r="AF62" s="8">
        <f t="shared" si="0"/>
        <v>0</v>
      </c>
      <c r="AG62" s="8">
        <v>0</v>
      </c>
      <c r="AH62" s="8">
        <v>0</v>
      </c>
      <c r="AI62" s="8" t="s">
        <v>119</v>
      </c>
      <c r="AJ62" s="8" t="s">
        <v>121</v>
      </c>
      <c r="AQ62" s="1">
        <v>2200</v>
      </c>
    </row>
    <row r="63" spans="2:43" hidden="1" x14ac:dyDescent="0.25">
      <c r="B63" s="2" t="s">
        <v>87</v>
      </c>
      <c r="C63" s="2" t="s">
        <v>88</v>
      </c>
      <c r="D63" s="2" t="s">
        <v>58</v>
      </c>
      <c r="E63" s="2" t="s">
        <v>54</v>
      </c>
      <c r="F63" s="2">
        <v>4.4999999999999998E-2</v>
      </c>
      <c r="G63" s="3">
        <v>0.17299999999999999</v>
      </c>
      <c r="H63" s="2">
        <v>0</v>
      </c>
      <c r="I63" s="2">
        <v>0</v>
      </c>
      <c r="J63" s="2"/>
      <c r="K63" s="2"/>
      <c r="L63" s="2"/>
      <c r="M63" s="2"/>
      <c r="N63" s="8">
        <f>+H63+I63+J63+K63+L63+M63-SUM(O63:Y63)</f>
        <v>0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7">
        <f>+G63*SUM(H63:M63)</f>
        <v>0</v>
      </c>
      <c r="AA63" s="7">
        <v>500</v>
      </c>
      <c r="AB63" s="7">
        <v>0</v>
      </c>
      <c r="AC63" s="8">
        <f>+H63*AB63</f>
        <v>0</v>
      </c>
      <c r="AD63" s="8">
        <v>0</v>
      </c>
      <c r="AE63" s="8">
        <f>+H63*AD63</f>
        <v>0</v>
      </c>
      <c r="AF63" s="8">
        <f t="shared" si="0"/>
        <v>0</v>
      </c>
      <c r="AG63" s="8">
        <v>0</v>
      </c>
      <c r="AH63" s="8">
        <v>0</v>
      </c>
      <c r="AI63" s="8" t="s">
        <v>119</v>
      </c>
      <c r="AJ63" s="8" t="s">
        <v>121</v>
      </c>
      <c r="AQ63" s="1">
        <v>1720</v>
      </c>
    </row>
    <row r="64" spans="2:43" ht="14.25" customHeight="1" x14ac:dyDescent="0.25">
      <c r="B64" s="2" t="s">
        <v>87</v>
      </c>
      <c r="C64" s="2" t="s">
        <v>88</v>
      </c>
      <c r="D64" s="2" t="s">
        <v>59</v>
      </c>
      <c r="E64" s="2" t="s">
        <v>60</v>
      </c>
      <c r="F64" s="2">
        <v>3.5000000000000003E-2</v>
      </c>
      <c r="G64" s="3">
        <v>0.29799999999999999</v>
      </c>
      <c r="H64" s="2">
        <v>144</v>
      </c>
      <c r="I64" s="2">
        <v>0</v>
      </c>
      <c r="J64" s="2"/>
      <c r="K64" s="2"/>
      <c r="L64" s="2"/>
      <c r="M64" s="2"/>
      <c r="N64" s="8">
        <f>+H64+I64+J64+K64+L64+M64-SUM(O64:Y64)</f>
        <v>144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7">
        <f>+G64*SUM(H64:M64)</f>
        <v>42.911999999999999</v>
      </c>
      <c r="AA64" s="7">
        <v>144</v>
      </c>
      <c r="AB64" s="7">
        <v>0</v>
      </c>
      <c r="AC64" s="8">
        <f>+H64*AB64</f>
        <v>0</v>
      </c>
      <c r="AD64" s="8">
        <v>0</v>
      </c>
      <c r="AE64" s="8">
        <f>+H64*AD64</f>
        <v>0</v>
      </c>
      <c r="AF64" s="8">
        <f t="shared" si="0"/>
        <v>0</v>
      </c>
      <c r="AG64" s="8" t="s">
        <v>110</v>
      </c>
      <c r="AH64" s="8">
        <f>+SUM(H64:M64)</f>
        <v>144</v>
      </c>
      <c r="AI64" s="8" t="s">
        <v>119</v>
      </c>
      <c r="AJ64" s="8" t="s">
        <v>121</v>
      </c>
      <c r="AQ64" s="1">
        <v>0</v>
      </c>
    </row>
    <row r="65" spans="2:43" hidden="1" x14ac:dyDescent="0.25">
      <c r="B65" s="2" t="s">
        <v>87</v>
      </c>
      <c r="C65" s="2" t="s">
        <v>88</v>
      </c>
      <c r="D65" s="2" t="s">
        <v>61</v>
      </c>
      <c r="E65" s="2" t="s">
        <v>60</v>
      </c>
      <c r="F65" s="2">
        <v>3.5000000000000003E-2</v>
      </c>
      <c r="G65" s="3">
        <v>0.249</v>
      </c>
      <c r="H65" s="2">
        <v>0</v>
      </c>
      <c r="I65" s="2">
        <v>0</v>
      </c>
      <c r="J65" s="2"/>
      <c r="K65" s="2"/>
      <c r="L65" s="2"/>
      <c r="M65" s="2"/>
      <c r="N65" s="8">
        <f>+H65+I65+J65+K65+L65+M65-SUM(O65:Y65)</f>
        <v>0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7">
        <f>+G65*SUM(H65:M65)</f>
        <v>0</v>
      </c>
      <c r="AA65" s="7">
        <v>144</v>
      </c>
      <c r="AB65" s="7">
        <v>1</v>
      </c>
      <c r="AC65" s="8">
        <f>+H65*AB65</f>
        <v>0</v>
      </c>
      <c r="AD65" s="8">
        <v>0</v>
      </c>
      <c r="AE65" s="8">
        <f>+H65*AD65</f>
        <v>0</v>
      </c>
      <c r="AF65" s="8">
        <f t="shared" si="0"/>
        <v>0</v>
      </c>
      <c r="AG65" s="8" t="s">
        <v>111</v>
      </c>
      <c r="AH65" s="8">
        <f>+SUM(H65:M65)</f>
        <v>0</v>
      </c>
      <c r="AI65" s="8" t="s">
        <v>119</v>
      </c>
      <c r="AJ65" s="8" t="s">
        <v>121</v>
      </c>
      <c r="AQ65" s="1">
        <v>-576</v>
      </c>
    </row>
    <row r="66" spans="2:43" hidden="1" x14ac:dyDescent="0.25">
      <c r="B66" s="2" t="s">
        <v>87</v>
      </c>
      <c r="C66" s="2" t="s">
        <v>88</v>
      </c>
      <c r="D66" s="2" t="s">
        <v>62</v>
      </c>
      <c r="E66" s="2" t="s">
        <v>60</v>
      </c>
      <c r="F66" s="2">
        <v>3.5000000000000003E-2</v>
      </c>
      <c r="G66" s="3">
        <v>0.253</v>
      </c>
      <c r="H66" s="2">
        <v>0</v>
      </c>
      <c r="I66" s="2">
        <v>0</v>
      </c>
      <c r="J66" s="2"/>
      <c r="K66" s="2"/>
      <c r="L66" s="2"/>
      <c r="M66" s="2"/>
      <c r="N66" s="8">
        <f>+H66+I66+J66+K66+L66+M66-SUM(O66:Y66)</f>
        <v>0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7">
        <f>+G66*SUM(H66:M66)</f>
        <v>0</v>
      </c>
      <c r="AA66" s="7">
        <v>144</v>
      </c>
      <c r="AB66" s="7">
        <v>1</v>
      </c>
      <c r="AC66" s="8">
        <f>+H66*AB66</f>
        <v>0</v>
      </c>
      <c r="AD66" s="8">
        <v>0</v>
      </c>
      <c r="AE66" s="8">
        <f>+H66*AD66</f>
        <v>0</v>
      </c>
      <c r="AF66" s="8">
        <f t="shared" si="0"/>
        <v>0</v>
      </c>
      <c r="AG66" s="8" t="s">
        <v>111</v>
      </c>
      <c r="AH66" s="8">
        <f>+SUM(H66:M66)</f>
        <v>0</v>
      </c>
      <c r="AI66" s="8" t="s">
        <v>119</v>
      </c>
      <c r="AJ66" s="8" t="s">
        <v>121</v>
      </c>
      <c r="AQ66" s="1">
        <v>0</v>
      </c>
    </row>
    <row r="67" spans="2:43" x14ac:dyDescent="0.25">
      <c r="B67" s="2" t="s">
        <v>87</v>
      </c>
      <c r="C67" s="2" t="s">
        <v>88</v>
      </c>
      <c r="D67" s="2" t="s">
        <v>63</v>
      </c>
      <c r="E67" s="2" t="s">
        <v>60</v>
      </c>
      <c r="F67" s="2">
        <v>3.5000000000000003E-2</v>
      </c>
      <c r="G67" s="3">
        <v>0.215</v>
      </c>
      <c r="H67" s="2">
        <v>432</v>
      </c>
      <c r="I67" s="2">
        <v>0</v>
      </c>
      <c r="J67" s="2"/>
      <c r="K67" s="2"/>
      <c r="L67" s="2"/>
      <c r="M67" s="2"/>
      <c r="N67" s="8">
        <f>+H67+I67+J67+K67+L67+M67-SUM(O67:Y67)</f>
        <v>432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7">
        <f>+G67*SUM(H67:M67)</f>
        <v>92.88</v>
      </c>
      <c r="AA67" s="7">
        <v>144</v>
      </c>
      <c r="AB67" s="7">
        <v>1</v>
      </c>
      <c r="AC67" s="8">
        <f>+H67*AB67</f>
        <v>432</v>
      </c>
      <c r="AD67" s="8">
        <v>0</v>
      </c>
      <c r="AE67" s="8">
        <f>+H67*AD67</f>
        <v>0</v>
      </c>
      <c r="AF67" s="8">
        <f t="shared" si="0"/>
        <v>0</v>
      </c>
      <c r="AG67" s="8" t="s">
        <v>111</v>
      </c>
      <c r="AH67" s="8">
        <f>+SUM(H67:M67)</f>
        <v>432</v>
      </c>
      <c r="AI67" s="8" t="s">
        <v>119</v>
      </c>
      <c r="AJ67" s="8" t="s">
        <v>121</v>
      </c>
      <c r="AQ67" s="1">
        <v>144</v>
      </c>
    </row>
    <row r="68" spans="2:43" x14ac:dyDescent="0.25">
      <c r="B68" s="2" t="s">
        <v>87</v>
      </c>
      <c r="C68" s="2" t="s">
        <v>88</v>
      </c>
      <c r="D68" s="2" t="s">
        <v>64</v>
      </c>
      <c r="E68" s="2" t="s">
        <v>60</v>
      </c>
      <c r="F68" s="2">
        <v>3.5000000000000003E-2</v>
      </c>
      <c r="G68" s="3">
        <v>0.253</v>
      </c>
      <c r="H68" s="2">
        <v>432</v>
      </c>
      <c r="I68" s="2">
        <v>0</v>
      </c>
      <c r="J68" s="2"/>
      <c r="K68" s="2"/>
      <c r="L68" s="2"/>
      <c r="M68" s="2"/>
      <c r="N68" s="8">
        <f>+H68+I68+J68+K68+L68+M68-SUM(O68:Y68)</f>
        <v>432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7">
        <f>+G68*SUM(H68:M68)</f>
        <v>109.29600000000001</v>
      </c>
      <c r="AA68" s="7">
        <v>144</v>
      </c>
      <c r="AB68" s="7">
        <v>1</v>
      </c>
      <c r="AC68" s="8">
        <f>+H68*AB68</f>
        <v>432</v>
      </c>
      <c r="AD68" s="8">
        <v>0</v>
      </c>
      <c r="AE68" s="8">
        <f>+H68*AD68</f>
        <v>0</v>
      </c>
      <c r="AF68" s="8">
        <f t="shared" si="0"/>
        <v>0</v>
      </c>
      <c r="AG68" s="8" t="s">
        <v>111</v>
      </c>
      <c r="AH68" s="8">
        <f>+SUM(H68:M68)</f>
        <v>432</v>
      </c>
      <c r="AI68" s="8" t="s">
        <v>119</v>
      </c>
      <c r="AJ68" s="8" t="s">
        <v>121</v>
      </c>
      <c r="AQ68" s="1">
        <v>0</v>
      </c>
    </row>
    <row r="69" spans="2:43" x14ac:dyDescent="0.25">
      <c r="B69" s="2" t="s">
        <v>87</v>
      </c>
      <c r="C69" s="2" t="s">
        <v>88</v>
      </c>
      <c r="D69" s="2" t="s">
        <v>65</v>
      </c>
      <c r="E69" s="2" t="s">
        <v>60</v>
      </c>
      <c r="F69" s="2">
        <v>3.5000000000000003E-2</v>
      </c>
      <c r="G69" s="3">
        <v>0.249</v>
      </c>
      <c r="H69" s="2">
        <v>720</v>
      </c>
      <c r="I69" s="2">
        <v>0</v>
      </c>
      <c r="J69" s="2"/>
      <c r="K69" s="2"/>
      <c r="L69" s="2"/>
      <c r="M69" s="2"/>
      <c r="N69" s="8">
        <f>+H69+I69+J69+K69+L69+M69-SUM(O69:Y69)</f>
        <v>720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7">
        <f>+G69*SUM(H69:M69)</f>
        <v>179.28</v>
      </c>
      <c r="AA69" s="7">
        <v>144</v>
      </c>
      <c r="AB69" s="7">
        <v>1</v>
      </c>
      <c r="AC69" s="8">
        <f>+H69*AB69</f>
        <v>720</v>
      </c>
      <c r="AD69" s="8">
        <v>0</v>
      </c>
      <c r="AE69" s="8">
        <f>+H69*AD69</f>
        <v>0</v>
      </c>
      <c r="AF69" s="8">
        <f t="shared" si="0"/>
        <v>0</v>
      </c>
      <c r="AG69" s="8" t="s">
        <v>111</v>
      </c>
      <c r="AH69" s="8">
        <f>+SUM(H69:M69)</f>
        <v>720</v>
      </c>
      <c r="AI69" s="8" t="s">
        <v>119</v>
      </c>
      <c r="AJ69" s="8" t="s">
        <v>121</v>
      </c>
      <c r="AQ69" s="1">
        <v>576</v>
      </c>
    </row>
    <row r="70" spans="2:43" hidden="1" x14ac:dyDescent="0.25">
      <c r="B70" s="2" t="s">
        <v>87</v>
      </c>
      <c r="C70" s="2" t="s">
        <v>88</v>
      </c>
      <c r="D70" s="2" t="s">
        <v>66</v>
      </c>
      <c r="E70" s="2" t="s">
        <v>60</v>
      </c>
      <c r="F70" s="2">
        <v>3.5000000000000003E-2</v>
      </c>
      <c r="G70" s="3">
        <v>0.30299999999999999</v>
      </c>
      <c r="H70" s="2">
        <v>0</v>
      </c>
      <c r="I70" s="2">
        <v>0</v>
      </c>
      <c r="J70" s="2"/>
      <c r="K70" s="2"/>
      <c r="L70" s="2"/>
      <c r="M70" s="2"/>
      <c r="N70" s="8">
        <f>+H70+I70+J70+K70+L70+M70-SUM(O70:Y70)</f>
        <v>0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7">
        <f>+G70*SUM(H70:M70)</f>
        <v>0</v>
      </c>
      <c r="AA70" s="7">
        <v>144</v>
      </c>
      <c r="AB70" s="7">
        <v>0</v>
      </c>
      <c r="AC70" s="8">
        <f>+H70*AB70</f>
        <v>0</v>
      </c>
      <c r="AD70" s="8">
        <v>0</v>
      </c>
      <c r="AE70" s="8">
        <f>+H70*AD70</f>
        <v>0</v>
      </c>
      <c r="AF70" s="8">
        <f t="shared" si="0"/>
        <v>0</v>
      </c>
      <c r="AG70" s="8" t="s">
        <v>110</v>
      </c>
      <c r="AH70" s="8">
        <f>+SUM(H70:M70)</f>
        <v>0</v>
      </c>
      <c r="AI70" s="8" t="s">
        <v>119</v>
      </c>
      <c r="AJ70" s="8" t="s">
        <v>121</v>
      </c>
      <c r="AQ70" s="1">
        <v>0</v>
      </c>
    </row>
    <row r="71" spans="2:43" hidden="1" x14ac:dyDescent="0.25">
      <c r="B71" s="2" t="s">
        <v>87</v>
      </c>
      <c r="C71" s="2" t="s">
        <v>88</v>
      </c>
      <c r="D71" s="2" t="s">
        <v>67</v>
      </c>
      <c r="E71" s="2" t="s">
        <v>60</v>
      </c>
      <c r="F71" s="2">
        <v>3.5000000000000003E-2</v>
      </c>
      <c r="G71" s="3">
        <v>0.216</v>
      </c>
      <c r="H71" s="2">
        <v>0</v>
      </c>
      <c r="I71" s="2">
        <v>0</v>
      </c>
      <c r="J71" s="2"/>
      <c r="K71" s="2"/>
      <c r="L71" s="2"/>
      <c r="M71" s="2"/>
      <c r="N71" s="8">
        <f>+H71+I71+J71+K71+L71+M71-SUM(O71:Y71)</f>
        <v>0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7">
        <f>+G71*SUM(H71:M71)</f>
        <v>0</v>
      </c>
      <c r="AA71" s="7">
        <v>144</v>
      </c>
      <c r="AB71" s="7">
        <v>1</v>
      </c>
      <c r="AC71" s="8">
        <f>+H71*AB71</f>
        <v>0</v>
      </c>
      <c r="AD71" s="8">
        <v>0</v>
      </c>
      <c r="AE71" s="8">
        <f>+H71*AD71</f>
        <v>0</v>
      </c>
      <c r="AF71" s="8">
        <f t="shared" si="0"/>
        <v>0</v>
      </c>
      <c r="AG71" s="8" t="s">
        <v>111</v>
      </c>
      <c r="AH71" s="8">
        <f>+SUM(H71:M71)</f>
        <v>0</v>
      </c>
      <c r="AI71" s="8" t="s">
        <v>119</v>
      </c>
      <c r="AJ71" s="8" t="s">
        <v>121</v>
      </c>
      <c r="AQ71" s="1">
        <v>0</v>
      </c>
    </row>
    <row r="72" spans="2:43" hidden="1" x14ac:dyDescent="0.25">
      <c r="B72" s="2" t="s">
        <v>87</v>
      </c>
      <c r="C72" s="2" t="s">
        <v>88</v>
      </c>
      <c r="D72" s="2" t="s">
        <v>68</v>
      </c>
      <c r="E72" s="2" t="s">
        <v>60</v>
      </c>
      <c r="F72" s="2">
        <v>3.5000000000000003E-2</v>
      </c>
      <c r="G72" s="3">
        <v>0.28399999999999997</v>
      </c>
      <c r="H72" s="2">
        <v>0</v>
      </c>
      <c r="I72" s="2">
        <v>0</v>
      </c>
      <c r="J72" s="2"/>
      <c r="K72" s="2"/>
      <c r="L72" s="2"/>
      <c r="M72" s="2"/>
      <c r="N72" s="8">
        <f>+H72+I72+J72+K72+L72+M72-SUM(O72:Y72)</f>
        <v>0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7">
        <f>+G72*SUM(H72:M72)</f>
        <v>0</v>
      </c>
      <c r="AA72" s="7">
        <v>144</v>
      </c>
      <c r="AB72" s="7">
        <v>0</v>
      </c>
      <c r="AC72" s="8">
        <f>+H72*AB72</f>
        <v>0</v>
      </c>
      <c r="AD72" s="8">
        <v>0</v>
      </c>
      <c r="AE72" s="8">
        <f>+H72*AD72</f>
        <v>0</v>
      </c>
      <c r="AF72" s="8">
        <f t="shared" si="0"/>
        <v>0</v>
      </c>
      <c r="AG72" s="8" t="s">
        <v>110</v>
      </c>
      <c r="AH72" s="8">
        <f>+SUM(H72:M72)</f>
        <v>0</v>
      </c>
      <c r="AI72" s="8" t="s">
        <v>119</v>
      </c>
      <c r="AJ72" s="8" t="s">
        <v>121</v>
      </c>
      <c r="AQ72" s="1">
        <v>0</v>
      </c>
    </row>
    <row r="73" spans="2:43" x14ac:dyDescent="0.25">
      <c r="B73" s="2" t="s">
        <v>87</v>
      </c>
      <c r="C73" s="2" t="s">
        <v>88</v>
      </c>
      <c r="D73" s="2" t="s">
        <v>69</v>
      </c>
      <c r="E73" s="2" t="s">
        <v>60</v>
      </c>
      <c r="F73" s="2">
        <v>3.5000000000000003E-2</v>
      </c>
      <c r="G73" s="3">
        <v>0.252</v>
      </c>
      <c r="H73" s="2">
        <v>288</v>
      </c>
      <c r="I73" s="2">
        <v>0</v>
      </c>
      <c r="J73" s="2"/>
      <c r="K73" s="2"/>
      <c r="L73" s="2"/>
      <c r="M73" s="2"/>
      <c r="N73" s="8">
        <f>+H73+I73+J73+K73+L73+M73-SUM(O73:Y73)</f>
        <v>288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7">
        <f>+G73*SUM(H73:M73)</f>
        <v>72.575999999999993</v>
      </c>
      <c r="AA73" s="7">
        <v>144</v>
      </c>
      <c r="AB73" s="7">
        <v>1</v>
      </c>
      <c r="AC73" s="8">
        <f>+H73*AB73</f>
        <v>288</v>
      </c>
      <c r="AD73" s="8">
        <v>0</v>
      </c>
      <c r="AE73" s="8">
        <f>+H73*AD73</f>
        <v>0</v>
      </c>
      <c r="AF73" s="8">
        <f t="shared" si="0"/>
        <v>0</v>
      </c>
      <c r="AG73" s="8" t="s">
        <v>111</v>
      </c>
      <c r="AH73" s="8">
        <f>+SUM(H73:M73)</f>
        <v>288</v>
      </c>
      <c r="AI73" s="8" t="s">
        <v>119</v>
      </c>
      <c r="AJ73" s="8" t="s">
        <v>121</v>
      </c>
      <c r="AQ73" s="1">
        <v>-144</v>
      </c>
    </row>
    <row r="74" spans="2:43" hidden="1" x14ac:dyDescent="0.25">
      <c r="B74" s="2" t="s">
        <v>87</v>
      </c>
      <c r="C74" s="2" t="s">
        <v>88</v>
      </c>
      <c r="D74" s="2" t="s">
        <v>70</v>
      </c>
      <c r="E74" s="2" t="s">
        <v>71</v>
      </c>
      <c r="F74" s="2">
        <v>4.4999999999999998E-2</v>
      </c>
      <c r="G74" s="3">
        <v>0.373</v>
      </c>
      <c r="H74" s="2">
        <v>0</v>
      </c>
      <c r="I74" s="2">
        <v>0</v>
      </c>
      <c r="J74" s="2"/>
      <c r="K74" s="2"/>
      <c r="L74" s="2"/>
      <c r="M74" s="2"/>
      <c r="N74" s="8">
        <f>+H74+I74+J74+K74+L74+M74-SUM(O74:Y74)</f>
        <v>0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7">
        <f>+G74*SUM(H74:M74)</f>
        <v>0</v>
      </c>
      <c r="AA74" s="7">
        <v>288</v>
      </c>
      <c r="AB74" s="7">
        <v>1</v>
      </c>
      <c r="AC74" s="8">
        <f>+H74*AB74</f>
        <v>0</v>
      </c>
      <c r="AD74" s="8">
        <v>0</v>
      </c>
      <c r="AE74" s="8">
        <f>+H74*AD74</f>
        <v>0</v>
      </c>
      <c r="AF74" s="8">
        <f t="shared" si="0"/>
        <v>0</v>
      </c>
      <c r="AG74" s="8" t="s">
        <v>112</v>
      </c>
      <c r="AH74" s="8">
        <f>+SUM(H74:M74)</f>
        <v>0</v>
      </c>
      <c r="AI74" s="8" t="s">
        <v>119</v>
      </c>
      <c r="AJ74" s="8" t="s">
        <v>121</v>
      </c>
      <c r="AQ74" s="1">
        <v>512</v>
      </c>
    </row>
    <row r="75" spans="2:43" hidden="1" x14ac:dyDescent="0.25">
      <c r="B75" s="2" t="s">
        <v>87</v>
      </c>
      <c r="C75" s="2" t="s">
        <v>88</v>
      </c>
      <c r="D75" s="2" t="s">
        <v>72</v>
      </c>
      <c r="E75" s="2" t="s">
        <v>71</v>
      </c>
      <c r="F75" s="2">
        <v>4.1000000000000002E-2</v>
      </c>
      <c r="G75" s="3">
        <v>0.375</v>
      </c>
      <c r="H75" s="2">
        <v>0</v>
      </c>
      <c r="I75" s="2">
        <v>0</v>
      </c>
      <c r="J75" s="2"/>
      <c r="K75" s="2"/>
      <c r="L75" s="2"/>
      <c r="M75" s="2"/>
      <c r="N75" s="8">
        <f>+H75+I75+J75+K75+L75+M75-SUM(O75:Y75)</f>
        <v>0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7">
        <f>+G75*SUM(H75:M75)</f>
        <v>0</v>
      </c>
      <c r="AA75" s="7">
        <v>288</v>
      </c>
      <c r="AB75" s="7">
        <v>0</v>
      </c>
      <c r="AC75" s="8">
        <f>+H75*AB75</f>
        <v>0</v>
      </c>
      <c r="AD75" s="8">
        <v>1</v>
      </c>
      <c r="AE75" s="8">
        <f>+H75*AD75</f>
        <v>0</v>
      </c>
      <c r="AF75" s="8">
        <f t="shared" si="0"/>
        <v>0</v>
      </c>
      <c r="AG75" s="8" t="s">
        <v>113</v>
      </c>
      <c r="AH75" s="8">
        <f>+SUM(H75:M75)</f>
        <v>0</v>
      </c>
      <c r="AI75" s="8" t="s">
        <v>119</v>
      </c>
      <c r="AJ75" s="8" t="s">
        <v>121</v>
      </c>
      <c r="AQ75" s="1">
        <v>0</v>
      </c>
    </row>
    <row r="76" spans="2:43" x14ac:dyDescent="0.25">
      <c r="B76" s="2" t="s">
        <v>87</v>
      </c>
      <c r="C76" s="2" t="s">
        <v>88</v>
      </c>
      <c r="D76" s="2" t="s">
        <v>73</v>
      </c>
      <c r="E76" s="2" t="s">
        <v>71</v>
      </c>
      <c r="F76" s="2">
        <v>4.4999999999999998E-2</v>
      </c>
      <c r="G76" s="3">
        <v>0.35599999999999998</v>
      </c>
      <c r="H76" s="2">
        <v>256</v>
      </c>
      <c r="I76" s="2">
        <v>0</v>
      </c>
      <c r="J76" s="2"/>
      <c r="K76" s="2"/>
      <c r="L76" s="2"/>
      <c r="M76" s="2"/>
      <c r="N76" s="8">
        <f>+H76+I76+J76+K76+L76+M76-SUM(O76:Y76)</f>
        <v>256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7">
        <f>+G76*SUM(H76:M76)</f>
        <v>91.135999999999996</v>
      </c>
      <c r="AA76" s="7">
        <v>288</v>
      </c>
      <c r="AB76" s="7">
        <v>1</v>
      </c>
      <c r="AC76" s="8">
        <f>+H76*AB76</f>
        <v>256</v>
      </c>
      <c r="AD76" s="8">
        <v>0</v>
      </c>
      <c r="AE76" s="8">
        <f>+H76*AD76</f>
        <v>0</v>
      </c>
      <c r="AF76" s="8">
        <f t="shared" ref="AF76:AF83" si="1">+AE76*2</f>
        <v>0</v>
      </c>
      <c r="AG76" s="8" t="s">
        <v>112</v>
      </c>
      <c r="AH76" s="8">
        <f>+SUM(H76:M76)</f>
        <v>256</v>
      </c>
      <c r="AI76" s="8" t="s">
        <v>119</v>
      </c>
      <c r="AJ76" s="8" t="s">
        <v>121</v>
      </c>
      <c r="AQ76" s="1">
        <v>0</v>
      </c>
    </row>
    <row r="77" spans="2:43" x14ac:dyDescent="0.25">
      <c r="B77" s="2" t="s">
        <v>87</v>
      </c>
      <c r="C77" s="2" t="s">
        <v>88</v>
      </c>
      <c r="D77" s="2" t="s">
        <v>74</v>
      </c>
      <c r="E77" s="2" t="s">
        <v>71</v>
      </c>
      <c r="F77" s="2">
        <v>4.4999999999999998E-2</v>
      </c>
      <c r="G77" s="3">
        <v>0.35199999999999998</v>
      </c>
      <c r="H77" s="2">
        <v>256</v>
      </c>
      <c r="I77" s="2">
        <v>0</v>
      </c>
      <c r="J77" s="2"/>
      <c r="K77" s="2"/>
      <c r="L77" s="2"/>
      <c r="M77" s="2"/>
      <c r="N77" s="8">
        <f>+H77+I77+J77+K77+L77+M77-SUM(O77:Y77)</f>
        <v>256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7">
        <f>+G77*SUM(H77:M77)</f>
        <v>90.111999999999995</v>
      </c>
      <c r="AA77" s="7">
        <v>288</v>
      </c>
      <c r="AB77" s="7">
        <v>1</v>
      </c>
      <c r="AC77" s="8">
        <f>+H77*AB77</f>
        <v>256</v>
      </c>
      <c r="AD77" s="8">
        <v>0</v>
      </c>
      <c r="AE77" s="8">
        <f>+H77*AD77</f>
        <v>0</v>
      </c>
      <c r="AF77" s="8">
        <f t="shared" si="1"/>
        <v>0</v>
      </c>
      <c r="AG77" s="8" t="s">
        <v>114</v>
      </c>
      <c r="AH77" s="8">
        <f>+SUM(H77:M77)</f>
        <v>256</v>
      </c>
      <c r="AI77" s="8" t="s">
        <v>119</v>
      </c>
      <c r="AJ77" s="8" t="s">
        <v>121</v>
      </c>
      <c r="AQ77" s="1">
        <v>0</v>
      </c>
    </row>
    <row r="78" spans="2:43" hidden="1" x14ac:dyDescent="0.25">
      <c r="B78" s="2" t="s">
        <v>87</v>
      </c>
      <c r="C78" s="2" t="s">
        <v>88</v>
      </c>
      <c r="D78" s="2" t="s">
        <v>75</v>
      </c>
      <c r="E78" s="2" t="s">
        <v>71</v>
      </c>
      <c r="F78" s="2">
        <v>4.4999999999999998E-2</v>
      </c>
      <c r="G78" s="3">
        <v>0.35299999999999998</v>
      </c>
      <c r="H78" s="2">
        <v>0</v>
      </c>
      <c r="I78" s="2">
        <v>0</v>
      </c>
      <c r="J78" s="2"/>
      <c r="K78" s="2"/>
      <c r="L78" s="2"/>
      <c r="M78" s="2"/>
      <c r="N78" s="8">
        <f>+H78+I78+J78+K78+L78+M78-SUM(O78:Y78)</f>
        <v>0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7">
        <f>+G78*SUM(H78:M78)</f>
        <v>0</v>
      </c>
      <c r="AA78" s="7">
        <v>288</v>
      </c>
      <c r="AB78" s="7">
        <v>1</v>
      </c>
      <c r="AC78" s="8">
        <f>+H78*AB78</f>
        <v>0</v>
      </c>
      <c r="AD78" s="8">
        <v>0</v>
      </c>
      <c r="AE78" s="8">
        <f>+H78*AD78</f>
        <v>0</v>
      </c>
      <c r="AF78" s="8">
        <f t="shared" si="1"/>
        <v>0</v>
      </c>
      <c r="AG78" s="8" t="s">
        <v>115</v>
      </c>
      <c r="AH78" s="8">
        <f>+SUM(H78:M78)</f>
        <v>0</v>
      </c>
      <c r="AI78" s="8" t="s">
        <v>119</v>
      </c>
      <c r="AJ78" s="8" t="s">
        <v>121</v>
      </c>
      <c r="AQ78" s="1">
        <v>0</v>
      </c>
    </row>
    <row r="79" spans="2:43" x14ac:dyDescent="0.25">
      <c r="B79" s="2" t="s">
        <v>87</v>
      </c>
      <c r="C79" s="2" t="s">
        <v>88</v>
      </c>
      <c r="D79" s="2" t="s">
        <v>76</v>
      </c>
      <c r="E79" s="2" t="s">
        <v>71</v>
      </c>
      <c r="F79" s="2">
        <v>4.4999999999999998E-2</v>
      </c>
      <c r="G79" s="3">
        <v>0.35599999999999998</v>
      </c>
      <c r="H79" s="2">
        <v>128</v>
      </c>
      <c r="I79" s="2">
        <v>0</v>
      </c>
      <c r="J79" s="2"/>
      <c r="K79" s="2"/>
      <c r="L79" s="2"/>
      <c r="M79" s="2"/>
      <c r="N79" s="8">
        <f>+H79+I79+J79+K79+L79+M79-SUM(O79:Y79)</f>
        <v>128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7">
        <f>+G79*SUM(H79:M79)</f>
        <v>45.567999999999998</v>
      </c>
      <c r="AA79" s="7">
        <v>288</v>
      </c>
      <c r="AB79" s="7">
        <v>1</v>
      </c>
      <c r="AC79" s="8">
        <f>+H79*AB79</f>
        <v>128</v>
      </c>
      <c r="AD79" s="8">
        <v>0</v>
      </c>
      <c r="AE79" s="8">
        <f>+H79*AD79</f>
        <v>0</v>
      </c>
      <c r="AF79" s="8">
        <f t="shared" si="1"/>
        <v>0</v>
      </c>
      <c r="AG79" s="8" t="s">
        <v>115</v>
      </c>
      <c r="AH79" s="8">
        <f>+SUM(H79:M79)</f>
        <v>128</v>
      </c>
      <c r="AI79" s="8" t="s">
        <v>119</v>
      </c>
      <c r="AJ79" s="8" t="s">
        <v>121</v>
      </c>
      <c r="AQ79" s="1">
        <v>0</v>
      </c>
    </row>
    <row r="80" spans="2:43" hidden="1" x14ac:dyDescent="0.25">
      <c r="B80" s="2" t="s">
        <v>87</v>
      </c>
      <c r="C80" s="2" t="s">
        <v>88</v>
      </c>
      <c r="D80" s="2" t="s">
        <v>77</v>
      </c>
      <c r="E80" s="2" t="s">
        <v>71</v>
      </c>
      <c r="F80" s="2">
        <v>4.1000000000000002E-2</v>
      </c>
      <c r="G80" s="3">
        <v>0.441</v>
      </c>
      <c r="H80" s="2">
        <v>0</v>
      </c>
      <c r="I80" s="2">
        <v>0</v>
      </c>
      <c r="J80" s="2"/>
      <c r="K80" s="2"/>
      <c r="L80" s="2"/>
      <c r="M80" s="2"/>
      <c r="N80" s="8">
        <f>+H80+I80+J80+K80+L80+M80-SUM(O80:Y80)</f>
        <v>0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7">
        <f>+G80*SUM(H80:M80)</f>
        <v>0</v>
      </c>
      <c r="AA80" s="7">
        <v>288</v>
      </c>
      <c r="AB80" s="7">
        <v>0</v>
      </c>
      <c r="AC80" s="8">
        <f>+H80*AB80</f>
        <v>0</v>
      </c>
      <c r="AD80" s="8">
        <v>0</v>
      </c>
      <c r="AE80" s="8">
        <f>+H80*AD80</f>
        <v>0</v>
      </c>
      <c r="AF80" s="8">
        <f t="shared" si="1"/>
        <v>0</v>
      </c>
      <c r="AG80" s="8" t="s">
        <v>116</v>
      </c>
      <c r="AH80" s="8">
        <f>+SUM(H80:M80)</f>
        <v>0</v>
      </c>
      <c r="AI80" s="8" t="s">
        <v>119</v>
      </c>
      <c r="AJ80" s="8" t="s">
        <v>121</v>
      </c>
      <c r="AQ80" s="1">
        <v>0</v>
      </c>
    </row>
    <row r="81" spans="1:43" x14ac:dyDescent="0.25">
      <c r="B81" s="2" t="s">
        <v>87</v>
      </c>
      <c r="C81" s="2" t="s">
        <v>88</v>
      </c>
      <c r="D81" s="2" t="s">
        <v>78</v>
      </c>
      <c r="E81" s="2" t="s">
        <v>71</v>
      </c>
      <c r="F81" s="2">
        <v>4.4999999999999998E-2</v>
      </c>
      <c r="G81" s="3">
        <v>0.374</v>
      </c>
      <c r="H81" s="2">
        <v>128</v>
      </c>
      <c r="I81" s="2">
        <v>0</v>
      </c>
      <c r="J81" s="2"/>
      <c r="K81" s="2"/>
      <c r="L81" s="2"/>
      <c r="M81" s="2"/>
      <c r="N81" s="8">
        <f>+H81+I81+J81+K81+L81+M81-SUM(O81:Y81)</f>
        <v>128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7">
        <f>+G81*SUM(H81:M81)</f>
        <v>47.872</v>
      </c>
      <c r="AA81" s="7">
        <v>288</v>
      </c>
      <c r="AB81" s="7">
        <v>1</v>
      </c>
      <c r="AC81" s="8">
        <f>+H81*AB81</f>
        <v>128</v>
      </c>
      <c r="AD81" s="8">
        <v>0</v>
      </c>
      <c r="AE81" s="8">
        <f>+H81*AD81</f>
        <v>0</v>
      </c>
      <c r="AF81" s="8">
        <f t="shared" si="1"/>
        <v>0</v>
      </c>
      <c r="AG81" s="8" t="s">
        <v>112</v>
      </c>
      <c r="AH81" s="8">
        <f>+SUM(H81:M81)</f>
        <v>128</v>
      </c>
      <c r="AI81" s="8" t="s">
        <v>119</v>
      </c>
      <c r="AJ81" s="8" t="s">
        <v>121</v>
      </c>
      <c r="AQ81" s="1">
        <v>128</v>
      </c>
    </row>
    <row r="82" spans="1:43" hidden="1" x14ac:dyDescent="0.25">
      <c r="B82" s="2" t="s">
        <v>87</v>
      </c>
      <c r="C82" s="2" t="s">
        <v>88</v>
      </c>
      <c r="D82" s="2" t="s">
        <v>79</v>
      </c>
      <c r="E82" s="2" t="s">
        <v>71</v>
      </c>
      <c r="F82" s="2">
        <v>4.1000000000000002E-2</v>
      </c>
      <c r="G82" s="3">
        <v>0.41599999999999998</v>
      </c>
      <c r="H82" s="2">
        <v>0</v>
      </c>
      <c r="I82" s="2">
        <v>0</v>
      </c>
      <c r="J82" s="2"/>
      <c r="K82" s="2"/>
      <c r="L82" s="2"/>
      <c r="M82" s="2"/>
      <c r="N82" s="8">
        <f>+H82+I82+J82+K82+L82+M82-SUM(O82:Y82)</f>
        <v>0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7">
        <f>+G82*SUM(H82:M82)</f>
        <v>0</v>
      </c>
      <c r="AA82" s="7">
        <v>288</v>
      </c>
      <c r="AB82" s="7">
        <v>0</v>
      </c>
      <c r="AC82" s="8">
        <f>+H82*AB82</f>
        <v>0</v>
      </c>
      <c r="AD82" s="8">
        <v>1</v>
      </c>
      <c r="AE82" s="8">
        <f>+H82*AD82</f>
        <v>0</v>
      </c>
      <c r="AF82" s="8">
        <f t="shared" si="1"/>
        <v>0</v>
      </c>
      <c r="AG82" s="8" t="s">
        <v>117</v>
      </c>
      <c r="AH82" s="8">
        <f>+SUM(H82:M82)</f>
        <v>0</v>
      </c>
      <c r="AI82" s="8" t="s">
        <v>119</v>
      </c>
      <c r="AJ82" s="8" t="s">
        <v>121</v>
      </c>
      <c r="AQ82" s="1">
        <v>0</v>
      </c>
    </row>
    <row r="83" spans="1:43" hidden="1" x14ac:dyDescent="0.25">
      <c r="B83" s="2" t="s">
        <v>87</v>
      </c>
      <c r="C83" s="2" t="s">
        <v>88</v>
      </c>
      <c r="D83" s="2" t="s">
        <v>80</v>
      </c>
      <c r="E83" s="2" t="s">
        <v>71</v>
      </c>
      <c r="F83" s="2">
        <v>4.4999999999999998E-2</v>
      </c>
      <c r="G83" s="3">
        <v>0.39500000000000002</v>
      </c>
      <c r="H83" s="2">
        <v>0</v>
      </c>
      <c r="I83" s="2">
        <v>0</v>
      </c>
      <c r="J83" s="2"/>
      <c r="K83" s="2"/>
      <c r="L83" s="2"/>
      <c r="M83" s="2"/>
      <c r="N83" s="8">
        <f>+H83+I83+J83+K83+L83+M83-SUM(O83:Y83)</f>
        <v>0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7">
        <f>+G83*SUM(H83:M83)</f>
        <v>0</v>
      </c>
      <c r="AA83" s="7">
        <v>288</v>
      </c>
      <c r="AB83" s="7">
        <v>1</v>
      </c>
      <c r="AC83" s="8">
        <f>+H83*AB83</f>
        <v>0</v>
      </c>
      <c r="AD83" s="8">
        <v>0</v>
      </c>
      <c r="AE83" s="8">
        <f>+H83*AD83</f>
        <v>0</v>
      </c>
      <c r="AF83" s="8">
        <f t="shared" si="1"/>
        <v>0</v>
      </c>
      <c r="AG83" s="8" t="s">
        <v>112</v>
      </c>
      <c r="AH83" s="8">
        <f>+SUM(H83:M83)</f>
        <v>0</v>
      </c>
      <c r="AI83" s="8" t="s">
        <v>119</v>
      </c>
      <c r="AJ83" s="8" t="s">
        <v>121</v>
      </c>
      <c r="AQ83" s="1">
        <v>0</v>
      </c>
    </row>
    <row r="84" spans="1:43" x14ac:dyDescent="0.25">
      <c r="G84" s="4" t="s">
        <v>102</v>
      </c>
      <c r="H84" s="9">
        <f>SUM(H11:H83)</f>
        <v>26884</v>
      </c>
      <c r="I84" s="9">
        <f t="shared" ref="I84:M84" si="2">SUM(I11:I83)</f>
        <v>0</v>
      </c>
      <c r="J84" s="9">
        <f t="shared" si="2"/>
        <v>0</v>
      </c>
      <c r="K84" s="9">
        <f t="shared" si="2"/>
        <v>0</v>
      </c>
      <c r="L84" s="9">
        <f t="shared" si="2"/>
        <v>0</v>
      </c>
      <c r="M84" s="9">
        <f t="shared" si="2"/>
        <v>0</v>
      </c>
      <c r="N84" s="13">
        <f>SUM(N11:N83)</f>
        <v>26884</v>
      </c>
      <c r="O84" s="9">
        <f t="shared" ref="O84:X84" si="3">SUBTOTAL(9,O18:O83)</f>
        <v>0</v>
      </c>
      <c r="P84" s="9">
        <f t="shared" si="3"/>
        <v>0</v>
      </c>
      <c r="Q84" s="9">
        <f t="shared" si="3"/>
        <v>0</v>
      </c>
      <c r="R84" s="9">
        <f t="shared" si="3"/>
        <v>0</v>
      </c>
      <c r="S84" s="9">
        <f t="shared" si="3"/>
        <v>0</v>
      </c>
      <c r="T84" s="9">
        <f t="shared" si="3"/>
        <v>0</v>
      </c>
      <c r="U84" s="9">
        <f t="shared" si="3"/>
        <v>0</v>
      </c>
      <c r="V84" s="9">
        <f t="shared" si="3"/>
        <v>0</v>
      </c>
      <c r="W84" s="9">
        <f t="shared" si="3"/>
        <v>0</v>
      </c>
      <c r="X84" s="9">
        <f t="shared" si="3"/>
        <v>0</v>
      </c>
      <c r="Y84" s="9">
        <f>SUBTOTAL(9,Y18:Y83)</f>
        <v>0</v>
      </c>
      <c r="Z84" s="9">
        <f t="shared" ref="Z84:AF84" si="4">SUM(Z11:Z83)</f>
        <v>2840.9319999999998</v>
      </c>
      <c r="AA84" s="9"/>
      <c r="AB84" s="10">
        <f t="shared" si="4"/>
        <v>14</v>
      </c>
      <c r="AC84" s="11">
        <f t="shared" si="4"/>
        <v>2640</v>
      </c>
      <c r="AD84" s="11">
        <f t="shared" si="4"/>
        <v>2</v>
      </c>
      <c r="AE84" s="11">
        <f t="shared" si="4"/>
        <v>0</v>
      </c>
      <c r="AF84" s="11">
        <f t="shared" si="4"/>
        <v>0</v>
      </c>
      <c r="AH84" s="11">
        <f>SUM(AH11:AH83)</f>
        <v>2784</v>
      </c>
    </row>
    <row r="85" spans="1:43" hidden="1" x14ac:dyDescent="0.25">
      <c r="G85" s="4" t="s">
        <v>108</v>
      </c>
      <c r="H85" s="91">
        <f>+H84+I84+J84+K84+L84+M84</f>
        <v>26884</v>
      </c>
      <c r="I85" s="91"/>
      <c r="J85" s="91"/>
      <c r="K85" s="91"/>
      <c r="L85" s="91"/>
      <c r="M85" s="91"/>
      <c r="O85" s="92">
        <f>+O84+P84</f>
        <v>0</v>
      </c>
      <c r="P85" s="93"/>
      <c r="Q85" s="92">
        <f>+Q84+R84</f>
        <v>0</v>
      </c>
      <c r="R85" s="93"/>
      <c r="S85" s="92">
        <f>+S84+T84</f>
        <v>0</v>
      </c>
      <c r="T85" s="93"/>
      <c r="U85" s="92">
        <f>+U84+V84</f>
        <v>0</v>
      </c>
      <c r="V85" s="93"/>
      <c r="W85" s="92">
        <f>+W84+X84</f>
        <v>0</v>
      </c>
      <c r="X85" s="93"/>
      <c r="Y85" s="12">
        <f>+Y84</f>
        <v>0</v>
      </c>
    </row>
    <row r="86" spans="1:43" x14ac:dyDescent="0.25">
      <c r="H86" s="1">
        <v>0</v>
      </c>
      <c r="I86" s="1">
        <f>SUM(I18:I83)</f>
        <v>0</v>
      </c>
      <c r="J86" s="1">
        <f>SUM(J18:J83)</f>
        <v>0</v>
      </c>
      <c r="K86" s="1">
        <f t="shared" ref="K86:M86" si="5">SUM(K18:K83)</f>
        <v>0</v>
      </c>
      <c r="L86" s="1">
        <f t="shared" si="5"/>
        <v>0</v>
      </c>
      <c r="M86" s="1">
        <f t="shared" si="5"/>
        <v>0</v>
      </c>
    </row>
    <row r="87" spans="1:43" x14ac:dyDescent="0.25">
      <c r="N87" s="1">
        <v>6</v>
      </c>
    </row>
    <row r="88" spans="1:43" x14ac:dyDescent="0.25">
      <c r="C88" s="2" t="s">
        <v>143</v>
      </c>
      <c r="D88" s="2" t="s">
        <v>144</v>
      </c>
      <c r="E88" s="2" t="s">
        <v>145</v>
      </c>
      <c r="F88" s="2" t="s">
        <v>179</v>
      </c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</row>
    <row r="89" spans="1:43" x14ac:dyDescent="0.25">
      <c r="B89" s="2" t="s">
        <v>138</v>
      </c>
      <c r="C89" s="8">
        <v>22268</v>
      </c>
      <c r="D89" s="2">
        <f>+C89/5</f>
        <v>4453.6000000000004</v>
      </c>
      <c r="E89" s="2">
        <f>+D89/2</f>
        <v>2226.8000000000002</v>
      </c>
      <c r="F89" s="8">
        <v>7742</v>
      </c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19"/>
    </row>
    <row r="90" spans="1:43" x14ac:dyDescent="0.25">
      <c r="B90" s="2" t="s">
        <v>142</v>
      </c>
      <c r="C90" s="8">
        <v>18966</v>
      </c>
      <c r="F90" s="2" t="s">
        <v>180</v>
      </c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19"/>
    </row>
    <row r="91" spans="1:43" x14ac:dyDescent="0.25">
      <c r="B91" s="2" t="s">
        <v>139</v>
      </c>
      <c r="C91" s="2">
        <f>+C89-C90</f>
        <v>3302</v>
      </c>
      <c r="F91" s="2">
        <f>+F89/5</f>
        <v>1548.4</v>
      </c>
    </row>
    <row r="92" spans="1:43" x14ac:dyDescent="0.25">
      <c r="B92" s="2" t="s">
        <v>136</v>
      </c>
      <c r="C92" s="25">
        <f>+C91/C89</f>
        <v>0.1482845338602479</v>
      </c>
    </row>
    <row r="93" spans="1:43" x14ac:dyDescent="0.25">
      <c r="B93" s="2" t="s">
        <v>137</v>
      </c>
      <c r="C93" s="25">
        <f>+C90/C89</f>
        <v>0.85171546613975213</v>
      </c>
    </row>
    <row r="95" spans="1:43" x14ac:dyDescent="0.25">
      <c r="A95" s="83" t="s">
        <v>189</v>
      </c>
      <c r="B95" s="84"/>
      <c r="C95" s="84"/>
      <c r="D95" s="84"/>
      <c r="E95" s="84"/>
      <c r="F95" s="85"/>
      <c r="N95" s="1" t="s">
        <v>197</v>
      </c>
    </row>
    <row r="96" spans="1:43" x14ac:dyDescent="0.25">
      <c r="A96" s="86" t="s">
        <v>195</v>
      </c>
      <c r="B96" s="44">
        <v>46307</v>
      </c>
      <c r="C96" s="44">
        <v>46308</v>
      </c>
      <c r="D96" s="44">
        <v>46309</v>
      </c>
      <c r="E96" s="44">
        <v>46310</v>
      </c>
      <c r="F96" s="44">
        <v>46311</v>
      </c>
    </row>
    <row r="97" spans="1:14" x14ac:dyDescent="0.25">
      <c r="A97" s="86"/>
      <c r="B97" s="45" t="s">
        <v>148</v>
      </c>
      <c r="C97" s="4" t="s">
        <v>149</v>
      </c>
      <c r="D97" s="4" t="s">
        <v>150</v>
      </c>
      <c r="E97" s="4" t="s">
        <v>151</v>
      </c>
      <c r="F97" s="4" t="s">
        <v>160</v>
      </c>
    </row>
    <row r="98" spans="1:14" x14ac:dyDescent="0.25">
      <c r="A98" s="11" t="s">
        <v>153</v>
      </c>
      <c r="B98" s="35"/>
      <c r="C98" s="35"/>
      <c r="D98" s="35"/>
      <c r="E98" s="35"/>
      <c r="F98" s="35"/>
    </row>
    <row r="99" spans="1:14" x14ac:dyDescent="0.25">
      <c r="A99" s="11" t="s">
        <v>154</v>
      </c>
      <c r="B99" s="35"/>
      <c r="C99" s="35"/>
      <c r="D99" s="35"/>
      <c r="E99" s="35"/>
      <c r="F99" s="35"/>
    </row>
    <row r="101" spans="1:14" x14ac:dyDescent="0.25">
      <c r="N101" s="78" t="s">
        <v>198</v>
      </c>
    </row>
  </sheetData>
  <autoFilter ref="B10:AJ85" xr:uid="{00000000-0009-0000-0000-00000F000000}">
    <filterColumn colId="12">
      <customFilters>
        <customFilter operator="greaterThan" val="1"/>
      </customFilters>
    </filterColumn>
  </autoFilter>
  <mergeCells count="16">
    <mergeCell ref="A96:A97"/>
    <mergeCell ref="A95:F95"/>
    <mergeCell ref="W9:X9"/>
    <mergeCell ref="H85:M85"/>
    <mergeCell ref="O85:P85"/>
    <mergeCell ref="Q85:R85"/>
    <mergeCell ref="S85:T85"/>
    <mergeCell ref="U85:V85"/>
    <mergeCell ref="W85:X85"/>
    <mergeCell ref="O9:P9"/>
    <mergeCell ref="Q9:R9"/>
    <mergeCell ref="S9:T9"/>
    <mergeCell ref="U9:V9"/>
    <mergeCell ref="C7:D7"/>
    <mergeCell ref="B8:B9"/>
    <mergeCell ref="I9:M9"/>
  </mergeCells>
  <conditionalFormatting sqref="O89:X89">
    <cfRule type="cellIs" dxfId="2" priority="1" operator="between">
      <formula>1</formula>
      <formula>5</formula>
    </cfRule>
    <cfRule type="cellIs" dxfId="1" priority="2" operator="between">
      <formula>0.85</formula>
      <formula>0.99</formula>
    </cfRule>
    <cfRule type="cellIs" dxfId="0" priority="3" operator="between">
      <formula>0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scale="78" orientation="landscape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8</vt:i4>
      </vt:variant>
    </vt:vector>
  </HeadingPairs>
  <TitlesOfParts>
    <vt:vector size="25" baseType="lpstr">
      <vt:lpstr>HELIAN</vt:lpstr>
      <vt:lpstr>SEMANA 29,30</vt:lpstr>
      <vt:lpstr>SEMANA 30</vt:lpstr>
      <vt:lpstr>SEMANA 31</vt:lpstr>
      <vt:lpstr>SEMANA 32</vt:lpstr>
      <vt:lpstr>SEMANA 33</vt:lpstr>
      <vt:lpstr>SEMANA 34</vt:lpstr>
      <vt:lpstr>EMPAQUE</vt:lpstr>
      <vt:lpstr>SEMANA 35</vt:lpstr>
      <vt:lpstr>SEMANA 36</vt:lpstr>
      <vt:lpstr>SEMANA 37</vt:lpstr>
      <vt:lpstr>SEMANA 38</vt:lpstr>
      <vt:lpstr>SEMANA 39</vt:lpstr>
      <vt:lpstr>SEMANA 40</vt:lpstr>
      <vt:lpstr>SEMANA 41</vt:lpstr>
      <vt:lpstr>SEMANA 42</vt:lpstr>
      <vt:lpstr>SEMANA 43</vt:lpstr>
      <vt:lpstr>EMPAQUE!Área_de_impresión</vt:lpstr>
      <vt:lpstr>'SEMANA 31'!Área_de_impresión</vt:lpstr>
      <vt:lpstr>'SEMANA 32'!Área_de_impresión</vt:lpstr>
      <vt:lpstr>'SEMANA 33'!Área_de_impresión</vt:lpstr>
      <vt:lpstr>'SEMANA 40'!Área_de_impresión</vt:lpstr>
      <vt:lpstr>'SEMANA 41'!Área_de_impresión</vt:lpstr>
      <vt:lpstr>'SEMANA 42'!Área_de_impresión</vt:lpstr>
      <vt:lpstr>'SEMANA 43'!Área_de_impresión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Martinez</dc:creator>
  <cp:lastModifiedBy>Juan Cabello</cp:lastModifiedBy>
  <cp:lastPrinted>2026-10-14T14:08:26Z</cp:lastPrinted>
  <dcterms:created xsi:type="dcterms:W3CDTF">2026-07-15T02:40:42Z</dcterms:created>
  <dcterms:modified xsi:type="dcterms:W3CDTF">2026-10-14T14:14:24Z</dcterms:modified>
</cp:coreProperties>
</file>