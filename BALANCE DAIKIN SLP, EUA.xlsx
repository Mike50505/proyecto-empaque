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comments4.xml" ContentType="application/vnd.openxmlformats-officedocument.spreadsheetml.comments+xml"/>
  <Override PartName="/xl/pivotTables/pivotTable6.xml" ContentType="application/vnd.openxmlformats-officedocument.spreadsheetml.pivotTable+xml"/>
  <Override PartName="/xl/comments5.xml" ContentType="application/vnd.openxmlformats-officedocument.spreadsheetml.comment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6.xml" ContentType="application/vnd.openxmlformats-officedocument.spreadsheetml.comments+xml"/>
  <Override PartName="/xl/pivotTables/pivotTable9.xml" ContentType="application/vnd.openxmlformats-officedocument.spreadsheetml.pivotTable+xml"/>
  <Override PartName="/xl/comments7.xml" ContentType="application/vnd.openxmlformats-officedocument.spreadsheetml.comments+xml"/>
  <Override PartName="/xl/pivotTables/pivotTable10.xml" ContentType="application/vnd.openxmlformats-officedocument.spreadsheetml.pivotTable+xml"/>
  <Override PartName="/xl/comments8.xml" ContentType="application/vnd.openxmlformats-officedocument.spreadsheetml.comments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omments10.xml" ContentType="application/vnd.openxmlformats-officedocument.spreadsheetml.comments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25.54\Mesa Ramos\PLANEACIÓN\BALANCES Fco\EMPAQUE\"/>
    </mc:Choice>
  </mc:AlternateContent>
  <xr:revisionPtr revIDLastSave="0" documentId="8_{6A21F593-F825-448B-B42E-41C7F1BDD6A3}" xr6:coauthVersionLast="47" xr6:coauthVersionMax="47" xr10:uidLastSave="{00000000-0000-0000-0000-000000000000}"/>
  <bookViews>
    <workbookView xWindow="-120" yWindow="-120" windowWidth="29040" windowHeight="15720" firstSheet="6" activeTab="14" xr2:uid="{00000000-000D-0000-FFFF-FFFF00000000}"/>
  </bookViews>
  <sheets>
    <sheet name="EMPAQUE" sheetId="5" r:id="rId1"/>
    <sheet name="HELIAN" sheetId="6" r:id="rId2"/>
    <sheet name="SEMANA 28" sheetId="1" r:id="rId3"/>
    <sheet name="SEMANA 30" sheetId="4" r:id="rId4"/>
    <sheet name="SEMANA 31" sheetId="9" r:id="rId5"/>
    <sheet name="SEMANA 32" sheetId="13" r:id="rId6"/>
    <sheet name="SEMANA 33" sheetId="14" r:id="rId7"/>
    <sheet name="SEMANA 34" sheetId="15" r:id="rId8"/>
    <sheet name="SEMANA 35" sheetId="16" r:id="rId9"/>
    <sheet name="SEMANA 36" sheetId="17" r:id="rId10"/>
    <sheet name="SEMANA 37" sheetId="18" r:id="rId11"/>
    <sheet name="SEMANA 38" sheetId="20" r:id="rId12"/>
    <sheet name="SEMANA 39" sheetId="21" r:id="rId13"/>
    <sheet name="SEMANA 40" sheetId="22" r:id="rId14"/>
    <sheet name="SEMANA 42" sheetId="23" r:id="rId15"/>
  </sheets>
  <externalReferences>
    <externalReference r:id="rId16"/>
  </externalReferences>
  <definedNames>
    <definedName name="_xlnm._FilterDatabase" localSheetId="0" hidden="1">EMPAQUE!$D$8:$H$30</definedName>
    <definedName name="_xlnm._FilterDatabase" localSheetId="1" hidden="1">HELIAN!$K$8:$O$44</definedName>
    <definedName name="_xlnm._FilterDatabase" localSheetId="2" hidden="1">'SEMANA 28'!$B$5:$AP$65</definedName>
    <definedName name="_xlnm._FilterDatabase" localSheetId="3" hidden="1">'SEMANA 30'!$B$5:$AP$65</definedName>
    <definedName name="_xlnm._FilterDatabase" localSheetId="4" hidden="1">'SEMANA 31'!$B$5:$AF$65</definedName>
    <definedName name="_xlnm._FilterDatabase" localSheetId="5" hidden="1">'SEMANA 32'!$B$5:$AF$65</definedName>
    <definedName name="_xlnm._FilterDatabase" localSheetId="6" hidden="1">'SEMANA 33'!$B$5:$AF$65</definedName>
    <definedName name="_xlnm._FilterDatabase" localSheetId="7" hidden="1">'SEMANA 34'!$B$5:$AF$66</definedName>
    <definedName name="_xlnm._FilterDatabase" localSheetId="8" hidden="1">'SEMANA 35'!$B$5:$AF$65</definedName>
    <definedName name="_xlnm._FilterDatabase" localSheetId="9" hidden="1">'SEMANA 36'!$B$5:$AF$65</definedName>
    <definedName name="_xlnm._FilterDatabase" localSheetId="10" hidden="1">'SEMANA 37'!$B$5:$AF$65</definedName>
    <definedName name="_xlnm._FilterDatabase" localSheetId="11" hidden="1">'SEMANA 38'!$B$5:$AF$65</definedName>
    <definedName name="_xlnm._FilterDatabase" localSheetId="12" hidden="1">'SEMANA 39'!$B$10:$AF$70</definedName>
    <definedName name="_xlnm._FilterDatabase" localSheetId="13" hidden="1">'SEMANA 40'!$B$10:$AZ$70</definedName>
    <definedName name="_xlnm._FilterDatabase" localSheetId="14" hidden="1">'SEMANA 42'!$B$10:$BJ$70</definedName>
    <definedName name="_xlnm.Print_Area" localSheetId="0">EMPAQUE!$B$1:$Q$48</definedName>
    <definedName name="_xlnm.Print_Area" localSheetId="1">HELIAN!$A$1:$Q$48</definedName>
    <definedName name="_xlnm.Print_Area" localSheetId="3">'SEMANA 30'!$A$1:$O$33</definedName>
    <definedName name="_xlnm.Print_Area" localSheetId="4">'SEMANA 31'!$B$1:$O$33</definedName>
    <definedName name="_xlnm.Print_Area" localSheetId="5">'SEMANA 32'!$B$1:$O$63</definedName>
    <definedName name="_xlnm.Print_Area" localSheetId="6">'SEMANA 33'!$A$1:$O$33</definedName>
    <definedName name="_xlnm.Print_Area" localSheetId="7">'SEMANA 34'!$A$1:$O$33</definedName>
    <definedName name="_xlnm.Print_Area" localSheetId="8">'SEMANA 35'!$A$1:$O$33</definedName>
    <definedName name="_xlnm.Print_Area" localSheetId="9">'SEMANA 36'!$A$1:$O$33</definedName>
    <definedName name="_xlnm.Print_Area" localSheetId="10">'SEMANA 37'!$A$1:$O$33</definedName>
    <definedName name="_xlnm.Print_Area" localSheetId="11">'SEMANA 38'!$A$1:$O$33</definedName>
    <definedName name="_xlnm.Print_Area" localSheetId="12">'SEMANA 39'!$A$6:$O$86</definedName>
    <definedName name="_xlnm.Print_Area" localSheetId="13">'SEMANA 40'!$A$6:$O$86</definedName>
    <definedName name="_xlnm.Print_Area" localSheetId="14">'SEMANA 42'!$A$6:$O$88</definedName>
  </definedNames>
  <calcPr calcId="191029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8" i="23" l="1"/>
  <c r="C76" i="23"/>
  <c r="C77" i="23" s="1"/>
  <c r="D75" i="23"/>
  <c r="E75" i="23" s="1"/>
  <c r="D74" i="23"/>
  <c r="E74" i="23" s="1"/>
  <c r="BD69" i="23"/>
  <c r="BD70" i="23" s="1"/>
  <c r="Y69" i="23"/>
  <c r="Y74" i="23" s="1"/>
  <c r="X69" i="23"/>
  <c r="W69" i="23"/>
  <c r="W74" i="23" s="1"/>
  <c r="V69" i="23"/>
  <c r="U69" i="23"/>
  <c r="U74" i="23" s="1"/>
  <c r="T69" i="23"/>
  <c r="S69" i="23"/>
  <c r="S74" i="23" s="1"/>
  <c r="R69" i="23"/>
  <c r="Q69" i="23"/>
  <c r="Q74" i="23" s="1"/>
  <c r="P69" i="23"/>
  <c r="N69" i="23"/>
  <c r="N71" i="23" s="1"/>
  <c r="M69" i="23"/>
  <c r="M71" i="23" s="1"/>
  <c r="L69" i="23"/>
  <c r="L71" i="23" s="1"/>
  <c r="K69" i="23"/>
  <c r="K71" i="23" s="1"/>
  <c r="J69" i="23"/>
  <c r="J71" i="23" s="1"/>
  <c r="I69" i="23"/>
  <c r="I70" i="23" s="1"/>
  <c r="BJ68" i="23"/>
  <c r="BG68" i="23"/>
  <c r="BE68" i="23"/>
  <c r="O68" i="23"/>
  <c r="BJ67" i="23"/>
  <c r="BG67" i="23"/>
  <c r="BE67" i="23"/>
  <c r="O67" i="23"/>
  <c r="BJ66" i="23"/>
  <c r="BG66" i="23"/>
  <c r="BE66" i="23"/>
  <c r="O66" i="23"/>
  <c r="BJ65" i="23"/>
  <c r="BG65" i="23"/>
  <c r="BE65" i="23"/>
  <c r="O65" i="23"/>
  <c r="BJ64" i="23"/>
  <c r="BG64" i="23"/>
  <c r="BE64" i="23"/>
  <c r="O64" i="23"/>
  <c r="BJ63" i="23"/>
  <c r="BG63" i="23"/>
  <c r="BE63" i="23"/>
  <c r="O63" i="23"/>
  <c r="BJ62" i="23"/>
  <c r="BG62" i="23"/>
  <c r="BE62" i="23"/>
  <c r="O62" i="23"/>
  <c r="BJ61" i="23"/>
  <c r="BG61" i="23"/>
  <c r="BE61" i="23"/>
  <c r="O61" i="23"/>
  <c r="BJ60" i="23"/>
  <c r="BG60" i="23"/>
  <c r="BE60" i="23"/>
  <c r="O60" i="23"/>
  <c r="BJ59" i="23"/>
  <c r="BG59" i="23"/>
  <c r="BE59" i="23"/>
  <c r="O59" i="23"/>
  <c r="BJ58" i="23"/>
  <c r="BG58" i="23"/>
  <c r="BE58" i="23"/>
  <c r="O58" i="23"/>
  <c r="BJ57" i="23"/>
  <c r="BG57" i="23"/>
  <c r="BE57" i="23"/>
  <c r="O57" i="23"/>
  <c r="BJ56" i="23"/>
  <c r="BG56" i="23"/>
  <c r="BE56" i="23"/>
  <c r="O56" i="23"/>
  <c r="BJ55" i="23"/>
  <c r="BG55" i="23"/>
  <c r="BE55" i="23"/>
  <c r="O55" i="23"/>
  <c r="BJ54" i="23"/>
  <c r="BG54" i="23"/>
  <c r="BE54" i="23"/>
  <c r="O54" i="23"/>
  <c r="BJ53" i="23"/>
  <c r="BG53" i="23"/>
  <c r="BE53" i="23"/>
  <c r="O53" i="23"/>
  <c r="BJ52" i="23"/>
  <c r="BG52" i="23"/>
  <c r="BE52" i="23"/>
  <c r="O52" i="23"/>
  <c r="BJ51" i="23"/>
  <c r="BG51" i="23"/>
  <c r="BE51" i="23"/>
  <c r="O51" i="23"/>
  <c r="BJ50" i="23"/>
  <c r="BG50" i="23"/>
  <c r="BE50" i="23"/>
  <c r="O50" i="23"/>
  <c r="BJ49" i="23"/>
  <c r="BG49" i="23"/>
  <c r="BE49" i="23"/>
  <c r="O49" i="23"/>
  <c r="BJ48" i="23"/>
  <c r="BG48" i="23"/>
  <c r="BE48" i="23"/>
  <c r="O48" i="23"/>
  <c r="BJ47" i="23"/>
  <c r="BG47" i="23"/>
  <c r="BE47" i="23"/>
  <c r="O47" i="23"/>
  <c r="BJ46" i="23"/>
  <c r="BG46" i="23"/>
  <c r="BE46" i="23"/>
  <c r="O46" i="23"/>
  <c r="BJ45" i="23"/>
  <c r="BG45" i="23"/>
  <c r="BE45" i="23"/>
  <c r="O45" i="23"/>
  <c r="BJ44" i="23"/>
  <c r="BG44" i="23"/>
  <c r="BE44" i="23"/>
  <c r="O44" i="23"/>
  <c r="BJ43" i="23"/>
  <c r="BG43" i="23"/>
  <c r="BE43" i="23"/>
  <c r="O43" i="23"/>
  <c r="BJ42" i="23"/>
  <c r="BG42" i="23"/>
  <c r="BE42" i="23"/>
  <c r="O42" i="23"/>
  <c r="BJ41" i="23"/>
  <c r="BG41" i="23"/>
  <c r="BE41" i="23"/>
  <c r="O41" i="23"/>
  <c r="BJ40" i="23"/>
  <c r="BG40" i="23"/>
  <c r="BE40" i="23"/>
  <c r="O40" i="23"/>
  <c r="BJ39" i="23"/>
  <c r="BG39" i="23"/>
  <c r="BE39" i="23"/>
  <c r="O39" i="23"/>
  <c r="BJ38" i="23"/>
  <c r="BG38" i="23"/>
  <c r="BE38" i="23"/>
  <c r="O38" i="23"/>
  <c r="BJ37" i="23"/>
  <c r="BG37" i="23"/>
  <c r="BE37" i="23"/>
  <c r="O37" i="23"/>
  <c r="BJ36" i="23"/>
  <c r="BG36" i="23"/>
  <c r="BE36" i="23"/>
  <c r="O36" i="23"/>
  <c r="BJ35" i="23"/>
  <c r="BG35" i="23"/>
  <c r="BE35" i="23"/>
  <c r="O35" i="23"/>
  <c r="BJ34" i="23"/>
  <c r="BG34" i="23"/>
  <c r="BE34" i="23"/>
  <c r="O34" i="23"/>
  <c r="BJ33" i="23"/>
  <c r="BG33" i="23"/>
  <c r="BE33" i="23"/>
  <c r="O33" i="23"/>
  <c r="BJ32" i="23"/>
  <c r="BG32" i="23"/>
  <c r="BE32" i="23"/>
  <c r="O32" i="23"/>
  <c r="BJ31" i="23"/>
  <c r="BG31" i="23"/>
  <c r="BE31" i="23"/>
  <c r="O31" i="23"/>
  <c r="BJ30" i="23"/>
  <c r="BG30" i="23"/>
  <c r="BE30" i="23"/>
  <c r="O30" i="23"/>
  <c r="BJ29" i="23"/>
  <c r="BG29" i="23"/>
  <c r="BE29" i="23"/>
  <c r="O29" i="23"/>
  <c r="BJ28" i="23"/>
  <c r="BG28" i="23"/>
  <c r="BE28" i="23"/>
  <c r="O28" i="23"/>
  <c r="BJ27" i="23"/>
  <c r="BG27" i="23"/>
  <c r="BE27" i="23"/>
  <c r="O27" i="23"/>
  <c r="BJ26" i="23"/>
  <c r="BG26" i="23"/>
  <c r="BE26" i="23"/>
  <c r="O26" i="23"/>
  <c r="BJ25" i="23"/>
  <c r="BG25" i="23"/>
  <c r="BE25" i="23"/>
  <c r="O25" i="23"/>
  <c r="BJ24" i="23"/>
  <c r="BG24" i="23"/>
  <c r="BE24" i="23"/>
  <c r="O24" i="23"/>
  <c r="BJ23" i="23"/>
  <c r="BG23" i="23"/>
  <c r="BE23" i="23"/>
  <c r="O23" i="23"/>
  <c r="BJ22" i="23"/>
  <c r="BG22" i="23"/>
  <c r="BE22" i="23"/>
  <c r="O22" i="23"/>
  <c r="BJ21" i="23"/>
  <c r="BG21" i="23"/>
  <c r="BE21" i="23"/>
  <c r="O21" i="23"/>
  <c r="BJ20" i="23"/>
  <c r="BG20" i="23"/>
  <c r="BE20" i="23"/>
  <c r="O20" i="23"/>
  <c r="BJ19" i="23"/>
  <c r="BG19" i="23"/>
  <c r="BE19" i="23"/>
  <c r="O19" i="23"/>
  <c r="BJ18" i="23"/>
  <c r="BG18" i="23"/>
  <c r="BE18" i="23"/>
  <c r="O18" i="23"/>
  <c r="BJ17" i="23"/>
  <c r="BG17" i="23"/>
  <c r="BE17" i="23"/>
  <c r="O17" i="23"/>
  <c r="BJ16" i="23"/>
  <c r="BG16" i="23"/>
  <c r="BE16" i="23"/>
  <c r="O16" i="23"/>
  <c r="BJ15" i="23"/>
  <c r="BG15" i="23"/>
  <c r="BE15" i="23"/>
  <c r="O15" i="23"/>
  <c r="BJ14" i="23"/>
  <c r="BG14" i="23"/>
  <c r="BE14" i="23"/>
  <c r="O14" i="23"/>
  <c r="BJ13" i="23"/>
  <c r="BG13" i="23"/>
  <c r="BE13" i="23"/>
  <c r="O13" i="23"/>
  <c r="BJ12" i="23"/>
  <c r="BG12" i="23"/>
  <c r="BE12" i="23"/>
  <c r="O12" i="23"/>
  <c r="BJ11" i="23"/>
  <c r="BG11" i="23"/>
  <c r="BE11" i="23"/>
  <c r="O11" i="23"/>
  <c r="AB9" i="23"/>
  <c r="AD9" i="23" s="1"/>
  <c r="AF9" i="23" s="1"/>
  <c r="AH9" i="23" s="1"/>
  <c r="B8" i="23"/>
  <c r="O30" i="22"/>
  <c r="AB9" i="22"/>
  <c r="AD9" i="22"/>
  <c r="AF9" i="22" s="1"/>
  <c r="AH9" i="22" s="1"/>
  <c r="C78" i="22"/>
  <c r="C76" i="22"/>
  <c r="C77" i="22" s="1"/>
  <c r="D75" i="22"/>
  <c r="E75" i="22" s="1"/>
  <c r="D74" i="22"/>
  <c r="E74" i="22" s="1"/>
  <c r="AT69" i="22"/>
  <c r="AT70" i="22" s="1"/>
  <c r="Y69" i="22"/>
  <c r="Y74" i="22" s="1"/>
  <c r="X69" i="22"/>
  <c r="W69" i="22"/>
  <c r="W74" i="22" s="1"/>
  <c r="V69" i="22"/>
  <c r="U69" i="22"/>
  <c r="U74" i="22" s="1"/>
  <c r="T69" i="22"/>
  <c r="S69" i="22"/>
  <c r="R69" i="22"/>
  <c r="Q69" i="22"/>
  <c r="P69" i="22"/>
  <c r="N69" i="22"/>
  <c r="N71" i="22" s="1"/>
  <c r="M69" i="22"/>
  <c r="M71" i="22" s="1"/>
  <c r="L69" i="22"/>
  <c r="L71" i="22" s="1"/>
  <c r="K69" i="22"/>
  <c r="K71" i="22" s="1"/>
  <c r="J69" i="22"/>
  <c r="J71" i="22" s="1"/>
  <c r="I69" i="22"/>
  <c r="AZ68" i="22"/>
  <c r="AW68" i="22"/>
  <c r="AU68" i="22"/>
  <c r="O68" i="22"/>
  <c r="AZ67" i="22"/>
  <c r="AW67" i="22"/>
  <c r="AU67" i="22"/>
  <c r="O67" i="22"/>
  <c r="AZ66" i="22"/>
  <c r="AW66" i="22"/>
  <c r="AU66" i="22"/>
  <c r="O66" i="22"/>
  <c r="AZ65" i="22"/>
  <c r="AW65" i="22"/>
  <c r="AU65" i="22"/>
  <c r="O65" i="22"/>
  <c r="AZ64" i="22"/>
  <c r="AW64" i="22"/>
  <c r="AU64" i="22"/>
  <c r="O64" i="22"/>
  <c r="AZ63" i="22"/>
  <c r="AW63" i="22"/>
  <c r="AU63" i="22"/>
  <c r="O63" i="22"/>
  <c r="AZ62" i="22"/>
  <c r="AW62" i="22"/>
  <c r="AU62" i="22"/>
  <c r="O62" i="22"/>
  <c r="AZ61" i="22"/>
  <c r="AW61" i="22"/>
  <c r="AU61" i="22"/>
  <c r="O61" i="22"/>
  <c r="AZ60" i="22"/>
  <c r="AW60" i="22"/>
  <c r="AU60" i="22"/>
  <c r="O60" i="22"/>
  <c r="AZ59" i="22"/>
  <c r="AW59" i="22"/>
  <c r="AU59" i="22"/>
  <c r="O59" i="22"/>
  <c r="AZ58" i="22"/>
  <c r="AW58" i="22"/>
  <c r="AU58" i="22"/>
  <c r="O58" i="22"/>
  <c r="AZ57" i="22"/>
  <c r="AW57" i="22"/>
  <c r="AU57" i="22"/>
  <c r="O57" i="22"/>
  <c r="AZ56" i="22"/>
  <c r="AW56" i="22"/>
  <c r="AU56" i="22"/>
  <c r="O56" i="22"/>
  <c r="AZ55" i="22"/>
  <c r="AW55" i="22"/>
  <c r="AU55" i="22"/>
  <c r="O55" i="22"/>
  <c r="AZ54" i="22"/>
  <c r="AW54" i="22"/>
  <c r="AU54" i="22"/>
  <c r="O54" i="22"/>
  <c r="AZ53" i="22"/>
  <c r="AW53" i="22"/>
  <c r="AU53" i="22"/>
  <c r="O53" i="22"/>
  <c r="AZ52" i="22"/>
  <c r="AW52" i="22"/>
  <c r="AU52" i="22"/>
  <c r="O52" i="22"/>
  <c r="AZ51" i="22"/>
  <c r="AW51" i="22"/>
  <c r="AU51" i="22"/>
  <c r="O51" i="22"/>
  <c r="AZ50" i="22"/>
  <c r="AW50" i="22"/>
  <c r="AU50" i="22"/>
  <c r="O50" i="22"/>
  <c r="AZ49" i="22"/>
  <c r="AW49" i="22"/>
  <c r="AU49" i="22"/>
  <c r="O49" i="22"/>
  <c r="AZ48" i="22"/>
  <c r="AW48" i="22"/>
  <c r="AU48" i="22"/>
  <c r="O48" i="22"/>
  <c r="AZ47" i="22"/>
  <c r="AW47" i="22"/>
  <c r="AU47" i="22"/>
  <c r="O47" i="22"/>
  <c r="AZ46" i="22"/>
  <c r="AW46" i="22"/>
  <c r="AU46" i="22"/>
  <c r="O46" i="22"/>
  <c r="AZ45" i="22"/>
  <c r="AW45" i="22"/>
  <c r="AU45" i="22"/>
  <c r="O45" i="22"/>
  <c r="AZ44" i="22"/>
  <c r="AW44" i="22"/>
  <c r="AU44" i="22"/>
  <c r="O44" i="22"/>
  <c r="AZ43" i="22"/>
  <c r="AW43" i="22"/>
  <c r="AU43" i="22"/>
  <c r="O43" i="22"/>
  <c r="AZ42" i="22"/>
  <c r="AW42" i="22"/>
  <c r="AU42" i="22"/>
  <c r="O42" i="22"/>
  <c r="AZ41" i="22"/>
  <c r="AW41" i="22"/>
  <c r="AU41" i="22"/>
  <c r="O41" i="22"/>
  <c r="AZ40" i="22"/>
  <c r="AW40" i="22"/>
  <c r="AU40" i="22"/>
  <c r="O40" i="22"/>
  <c r="AZ39" i="22"/>
  <c r="AW39" i="22"/>
  <c r="AU39" i="22"/>
  <c r="O39" i="22"/>
  <c r="AZ38" i="22"/>
  <c r="AW38" i="22"/>
  <c r="AU38" i="22"/>
  <c r="O38" i="22"/>
  <c r="AZ37" i="22"/>
  <c r="AW37" i="22"/>
  <c r="AU37" i="22"/>
  <c r="O37" i="22"/>
  <c r="AZ36" i="22"/>
  <c r="AW36" i="22"/>
  <c r="AU36" i="22"/>
  <c r="O36" i="22"/>
  <c r="AZ35" i="22"/>
  <c r="AW35" i="22"/>
  <c r="AU35" i="22"/>
  <c r="O35" i="22"/>
  <c r="AZ34" i="22"/>
  <c r="AW34" i="22"/>
  <c r="AU34" i="22"/>
  <c r="O34" i="22"/>
  <c r="AZ33" i="22"/>
  <c r="AW33" i="22"/>
  <c r="AU33" i="22"/>
  <c r="O33" i="22"/>
  <c r="AZ32" i="22"/>
  <c r="AW32" i="22"/>
  <c r="AU32" i="22"/>
  <c r="O32" i="22"/>
  <c r="AZ31" i="22"/>
  <c r="AW31" i="22"/>
  <c r="AU31" i="22"/>
  <c r="O31" i="22"/>
  <c r="AZ30" i="22"/>
  <c r="AW30" i="22"/>
  <c r="AU30" i="22"/>
  <c r="AZ29" i="22"/>
  <c r="AW29" i="22"/>
  <c r="AU29" i="22"/>
  <c r="O29" i="22"/>
  <c r="AZ28" i="22"/>
  <c r="AW28" i="22"/>
  <c r="AU28" i="22"/>
  <c r="O28" i="22"/>
  <c r="AZ27" i="22"/>
  <c r="AW27" i="22"/>
  <c r="AU27" i="22"/>
  <c r="O27" i="22"/>
  <c r="AZ26" i="22"/>
  <c r="AW26" i="22"/>
  <c r="AU26" i="22"/>
  <c r="O26" i="22"/>
  <c r="AZ25" i="22"/>
  <c r="AW25" i="22"/>
  <c r="AU25" i="22"/>
  <c r="O25" i="22"/>
  <c r="AZ24" i="22"/>
  <c r="AW24" i="22"/>
  <c r="AU24" i="22"/>
  <c r="O24" i="22"/>
  <c r="AZ23" i="22"/>
  <c r="AW23" i="22"/>
  <c r="AU23" i="22"/>
  <c r="O23" i="22"/>
  <c r="AZ22" i="22"/>
  <c r="AW22" i="22"/>
  <c r="AU22" i="22"/>
  <c r="O22" i="22"/>
  <c r="AZ21" i="22"/>
  <c r="AW21" i="22"/>
  <c r="AU21" i="22"/>
  <c r="O21" i="22"/>
  <c r="AZ20" i="22"/>
  <c r="AW20" i="22"/>
  <c r="AU20" i="22"/>
  <c r="O20" i="22"/>
  <c r="AZ19" i="22"/>
  <c r="AW19" i="22"/>
  <c r="AU19" i="22"/>
  <c r="O19" i="22"/>
  <c r="AZ18" i="22"/>
  <c r="AW18" i="22"/>
  <c r="AU18" i="22"/>
  <c r="O18" i="22"/>
  <c r="AZ17" i="22"/>
  <c r="AW17" i="22"/>
  <c r="AU17" i="22"/>
  <c r="O17" i="22"/>
  <c r="AZ16" i="22"/>
  <c r="AW16" i="22"/>
  <c r="AU16" i="22"/>
  <c r="O16" i="22"/>
  <c r="AZ15" i="22"/>
  <c r="AW15" i="22"/>
  <c r="AU15" i="22"/>
  <c r="O15" i="22"/>
  <c r="AZ14" i="22"/>
  <c r="AW14" i="22"/>
  <c r="AU14" i="22"/>
  <c r="O14" i="22"/>
  <c r="AZ13" i="22"/>
  <c r="AW13" i="22"/>
  <c r="AU13" i="22"/>
  <c r="O13" i="22"/>
  <c r="AZ12" i="22"/>
  <c r="AW12" i="22"/>
  <c r="AU12" i="22"/>
  <c r="O12" i="22"/>
  <c r="AZ11" i="22"/>
  <c r="AW11" i="22"/>
  <c r="AU11" i="22"/>
  <c r="O11" i="22"/>
  <c r="B8" i="22"/>
  <c r="AC12" i="2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C38" i="21"/>
  <c r="AC39" i="21"/>
  <c r="AC40" i="21"/>
  <c r="AC41" i="21"/>
  <c r="AC42" i="21"/>
  <c r="AC43" i="21"/>
  <c r="AC44" i="21"/>
  <c r="AC45" i="21"/>
  <c r="AC46" i="21"/>
  <c r="AC47" i="21"/>
  <c r="AC48" i="21"/>
  <c r="AC49" i="21"/>
  <c r="AC50" i="21"/>
  <c r="AC51" i="21"/>
  <c r="AC52" i="21"/>
  <c r="AC53" i="21"/>
  <c r="AC54" i="21"/>
  <c r="AC55" i="21"/>
  <c r="AC56" i="21"/>
  <c r="AC57" i="21"/>
  <c r="AC58" i="21"/>
  <c r="AC59" i="21"/>
  <c r="AC60" i="21"/>
  <c r="AC61" i="21"/>
  <c r="AC62" i="21"/>
  <c r="AC63" i="21"/>
  <c r="AC64" i="21"/>
  <c r="AC65" i="21"/>
  <c r="AC66" i="21"/>
  <c r="AC67" i="21"/>
  <c r="AC68" i="21"/>
  <c r="AC11" i="21"/>
  <c r="C78" i="21"/>
  <c r="C76" i="21"/>
  <c r="C77" i="21" s="1"/>
  <c r="D75" i="21"/>
  <c r="E75" i="21" s="1"/>
  <c r="D74" i="21"/>
  <c r="E74" i="21" s="1"/>
  <c r="Z69" i="21"/>
  <c r="Z70" i="21" s="1"/>
  <c r="Y69" i="21"/>
  <c r="X69" i="21"/>
  <c r="W69" i="21"/>
  <c r="V69" i="21"/>
  <c r="U69" i="21"/>
  <c r="T69" i="21"/>
  <c r="S69" i="21"/>
  <c r="R69" i="21"/>
  <c r="Q69" i="21"/>
  <c r="P69" i="21"/>
  <c r="N69" i="21"/>
  <c r="N71" i="21" s="1"/>
  <c r="M69" i="21"/>
  <c r="M71" i="21" s="1"/>
  <c r="L69" i="21"/>
  <c r="L71" i="21" s="1"/>
  <c r="K69" i="21"/>
  <c r="K71" i="21" s="1"/>
  <c r="J69" i="21"/>
  <c r="J71" i="21" s="1"/>
  <c r="I69" i="21"/>
  <c r="AF68" i="21"/>
  <c r="AA68" i="21"/>
  <c r="O68" i="21"/>
  <c r="AF67" i="21"/>
  <c r="AA67" i="21"/>
  <c r="O67" i="21"/>
  <c r="AF66" i="21"/>
  <c r="AA66" i="21"/>
  <c r="O66" i="21"/>
  <c r="AF65" i="21"/>
  <c r="AA65" i="21"/>
  <c r="O65" i="21"/>
  <c r="AF64" i="21"/>
  <c r="AA64" i="21"/>
  <c r="O64" i="21"/>
  <c r="AF63" i="21"/>
  <c r="AA63" i="21"/>
  <c r="O63" i="21"/>
  <c r="AF62" i="21"/>
  <c r="AA62" i="21"/>
  <c r="O62" i="21"/>
  <c r="AF61" i="21"/>
  <c r="AA61" i="21"/>
  <c r="O61" i="21"/>
  <c r="AF60" i="21"/>
  <c r="AA60" i="21"/>
  <c r="O60" i="21"/>
  <c r="AF59" i="21"/>
  <c r="AA59" i="21"/>
  <c r="O59" i="21"/>
  <c r="AF58" i="21"/>
  <c r="AA58" i="21"/>
  <c r="O58" i="21"/>
  <c r="AF57" i="21"/>
  <c r="AA57" i="21"/>
  <c r="O57" i="21"/>
  <c r="AF56" i="21"/>
  <c r="AA56" i="21"/>
  <c r="O56" i="21"/>
  <c r="AF55" i="21"/>
  <c r="AA55" i="21"/>
  <c r="O55" i="21"/>
  <c r="AF54" i="21"/>
  <c r="AA54" i="21"/>
  <c r="O54" i="21"/>
  <c r="AF53" i="21"/>
  <c r="AA53" i="21"/>
  <c r="O53" i="21"/>
  <c r="AF52" i="21"/>
  <c r="AA52" i="21"/>
  <c r="O52" i="21"/>
  <c r="AF51" i="21"/>
  <c r="AA51" i="21"/>
  <c r="O51" i="21"/>
  <c r="AF50" i="21"/>
  <c r="AA50" i="21"/>
  <c r="O50" i="21"/>
  <c r="AF49" i="21"/>
  <c r="AA49" i="21"/>
  <c r="O49" i="21"/>
  <c r="AF48" i="21"/>
  <c r="AA48" i="21"/>
  <c r="O48" i="21"/>
  <c r="AF47" i="21"/>
  <c r="AA47" i="21"/>
  <c r="O47" i="21"/>
  <c r="AF46" i="21"/>
  <c r="AA46" i="21"/>
  <c r="O46" i="21"/>
  <c r="AF45" i="21"/>
  <c r="AA45" i="21"/>
  <c r="O45" i="21"/>
  <c r="AF44" i="21"/>
  <c r="AA44" i="21"/>
  <c r="O44" i="21"/>
  <c r="AF43" i="21"/>
  <c r="AA43" i="21"/>
  <c r="O43" i="21"/>
  <c r="AF42" i="21"/>
  <c r="AA42" i="21"/>
  <c r="O42" i="21"/>
  <c r="AF41" i="21"/>
  <c r="AA41" i="21"/>
  <c r="O41" i="21"/>
  <c r="AF40" i="21"/>
  <c r="AA40" i="21"/>
  <c r="O40" i="21"/>
  <c r="AF39" i="21"/>
  <c r="AA39" i="21"/>
  <c r="O39" i="21"/>
  <c r="AF38" i="21"/>
  <c r="AA38" i="21"/>
  <c r="O38" i="21"/>
  <c r="AF37" i="21"/>
  <c r="AA37" i="21"/>
  <c r="O37" i="21"/>
  <c r="AF36" i="21"/>
  <c r="AA36" i="21"/>
  <c r="O36" i="21"/>
  <c r="AF35" i="21"/>
  <c r="AA35" i="21"/>
  <c r="O35" i="21"/>
  <c r="AF34" i="21"/>
  <c r="AA34" i="21"/>
  <c r="O34" i="21"/>
  <c r="AF33" i="21"/>
  <c r="AA33" i="21"/>
  <c r="O33" i="21"/>
  <c r="AF32" i="21"/>
  <c r="AA32" i="21"/>
  <c r="O32" i="21"/>
  <c r="AF31" i="21"/>
  <c r="AA31" i="21"/>
  <c r="O31" i="21"/>
  <c r="AF30" i="21"/>
  <c r="AA30" i="21"/>
  <c r="O30" i="21"/>
  <c r="AF29" i="21"/>
  <c r="AA29" i="21"/>
  <c r="O29" i="21"/>
  <c r="AF28" i="21"/>
  <c r="AA28" i="21"/>
  <c r="O28" i="21"/>
  <c r="AF27" i="21"/>
  <c r="AA27" i="21"/>
  <c r="O27" i="21"/>
  <c r="AF26" i="21"/>
  <c r="AA26" i="21"/>
  <c r="O26" i="21"/>
  <c r="AF25" i="21"/>
  <c r="AA25" i="21"/>
  <c r="O25" i="21"/>
  <c r="AF24" i="21"/>
  <c r="AA24" i="21"/>
  <c r="O24" i="21"/>
  <c r="AF23" i="21"/>
  <c r="AA23" i="21"/>
  <c r="O23" i="21"/>
  <c r="AF22" i="21"/>
  <c r="AA22" i="21"/>
  <c r="O22" i="21"/>
  <c r="AF21" i="21"/>
  <c r="AA21" i="21"/>
  <c r="O21" i="21"/>
  <c r="AF20" i="21"/>
  <c r="AA20" i="21"/>
  <c r="O20" i="21"/>
  <c r="AF19" i="21"/>
  <c r="AA19" i="21"/>
  <c r="O19" i="21"/>
  <c r="AF18" i="21"/>
  <c r="AA18" i="21"/>
  <c r="O18" i="21"/>
  <c r="AF17" i="21"/>
  <c r="AA17" i="21"/>
  <c r="O17" i="21"/>
  <c r="AF16" i="21"/>
  <c r="AA16" i="21"/>
  <c r="O16" i="21"/>
  <c r="AF15" i="21"/>
  <c r="AA15" i="21"/>
  <c r="O15" i="21"/>
  <c r="AF14" i="21"/>
  <c r="AA14" i="21"/>
  <c r="O14" i="21"/>
  <c r="AF13" i="21"/>
  <c r="AA13" i="21"/>
  <c r="O13" i="21"/>
  <c r="AF12" i="21"/>
  <c r="AA12" i="21"/>
  <c r="O12" i="21"/>
  <c r="AF11" i="21"/>
  <c r="AA11" i="21"/>
  <c r="O11" i="21"/>
  <c r="B8" i="21"/>
  <c r="BJ69" i="23" l="1"/>
  <c r="BE69" i="23"/>
  <c r="O69" i="23"/>
  <c r="X74" i="23"/>
  <c r="X70" i="23"/>
  <c r="V74" i="23"/>
  <c r="V70" i="23"/>
  <c r="T74" i="23"/>
  <c r="T70" i="23"/>
  <c r="R74" i="23"/>
  <c r="R70" i="23"/>
  <c r="P74" i="23"/>
  <c r="P70" i="23"/>
  <c r="I70" i="22"/>
  <c r="S74" i="22"/>
  <c r="Q74" i="22"/>
  <c r="AZ69" i="22"/>
  <c r="AU69" i="22"/>
  <c r="O69" i="22"/>
  <c r="X74" i="22"/>
  <c r="X70" i="22"/>
  <c r="V74" i="22"/>
  <c r="V70" i="22"/>
  <c r="T74" i="22"/>
  <c r="T70" i="22"/>
  <c r="R74" i="22"/>
  <c r="R70" i="22"/>
  <c r="P74" i="22"/>
  <c r="P70" i="22"/>
  <c r="V70" i="21"/>
  <c r="W74" i="21"/>
  <c r="X74" i="21"/>
  <c r="Y74" i="21"/>
  <c r="P74" i="21"/>
  <c r="Q74" i="21"/>
  <c r="R74" i="21"/>
  <c r="U74" i="21"/>
  <c r="S74" i="21"/>
  <c r="T70" i="21"/>
  <c r="X70" i="21"/>
  <c r="T74" i="21"/>
  <c r="I70" i="21"/>
  <c r="O69" i="21"/>
  <c r="AA69" i="21"/>
  <c r="AF69" i="21"/>
  <c r="V74" i="21"/>
  <c r="P70" i="21"/>
  <c r="R70" i="21"/>
  <c r="C73" i="20" l="1"/>
  <c r="C71" i="20"/>
  <c r="C72" i="20" s="1"/>
  <c r="D70" i="20"/>
  <c r="E70" i="20" s="1"/>
  <c r="D69" i="20"/>
  <c r="E69" i="20" s="1"/>
  <c r="Z64" i="20"/>
  <c r="Z65" i="20" s="1"/>
  <c r="Y64" i="20"/>
  <c r="X64" i="20"/>
  <c r="W64" i="20"/>
  <c r="V64" i="20"/>
  <c r="U64" i="20"/>
  <c r="T64" i="20"/>
  <c r="S64" i="20"/>
  <c r="R64" i="20"/>
  <c r="Q64" i="20"/>
  <c r="P64" i="20"/>
  <c r="N64" i="20"/>
  <c r="N66" i="20" s="1"/>
  <c r="M64" i="20"/>
  <c r="M66" i="20" s="1"/>
  <c r="L64" i="20"/>
  <c r="L66" i="20" s="1"/>
  <c r="K64" i="20"/>
  <c r="K66" i="20" s="1"/>
  <c r="J64" i="20"/>
  <c r="I64" i="20"/>
  <c r="AF63" i="20"/>
  <c r="AA63" i="20"/>
  <c r="O63" i="20"/>
  <c r="AF62" i="20"/>
  <c r="AA62" i="20"/>
  <c r="O62" i="20"/>
  <c r="AF61" i="20"/>
  <c r="AA61" i="20"/>
  <c r="O61" i="20"/>
  <c r="AF60" i="20"/>
  <c r="AA60" i="20"/>
  <c r="O60" i="20"/>
  <c r="AF59" i="20"/>
  <c r="AA59" i="20"/>
  <c r="O59" i="20"/>
  <c r="AF58" i="20"/>
  <c r="AA58" i="20"/>
  <c r="O58" i="20"/>
  <c r="AF57" i="20"/>
  <c r="AA57" i="20"/>
  <c r="O57" i="20"/>
  <c r="AF56" i="20"/>
  <c r="AA56" i="20"/>
  <c r="O56" i="20"/>
  <c r="AF55" i="20"/>
  <c r="AA55" i="20"/>
  <c r="O55" i="20"/>
  <c r="AF54" i="20"/>
  <c r="AA54" i="20"/>
  <c r="O54" i="20"/>
  <c r="AF53" i="20"/>
  <c r="AA53" i="20"/>
  <c r="O53" i="20"/>
  <c r="AF52" i="20"/>
  <c r="AA52" i="20"/>
  <c r="O52" i="20"/>
  <c r="AF51" i="20"/>
  <c r="AA51" i="20"/>
  <c r="O51" i="20"/>
  <c r="AF50" i="20"/>
  <c r="AA50" i="20"/>
  <c r="O50" i="20"/>
  <c r="AF49" i="20"/>
  <c r="AA49" i="20"/>
  <c r="O49" i="20"/>
  <c r="AF48" i="20"/>
  <c r="AA48" i="20"/>
  <c r="O48" i="20"/>
  <c r="AF47" i="20"/>
  <c r="AA47" i="20"/>
  <c r="O47" i="20"/>
  <c r="AF46" i="20"/>
  <c r="AA46" i="20"/>
  <c r="O46" i="20"/>
  <c r="AF45" i="20"/>
  <c r="AA45" i="20"/>
  <c r="O45" i="20"/>
  <c r="AF44" i="20"/>
  <c r="AA44" i="20"/>
  <c r="O44" i="20"/>
  <c r="AF43" i="20"/>
  <c r="AA43" i="20"/>
  <c r="O43" i="20"/>
  <c r="AF42" i="20"/>
  <c r="AA42" i="20"/>
  <c r="O42" i="20"/>
  <c r="AF41" i="20"/>
  <c r="AA41" i="20"/>
  <c r="O41" i="20"/>
  <c r="AF40" i="20"/>
  <c r="AA40" i="20"/>
  <c r="O40" i="20"/>
  <c r="AF39" i="20"/>
  <c r="AA39" i="20"/>
  <c r="O39" i="20"/>
  <c r="AF38" i="20"/>
  <c r="AA38" i="20"/>
  <c r="O38" i="20"/>
  <c r="AF37" i="20"/>
  <c r="AA37" i="20"/>
  <c r="O37" i="20"/>
  <c r="AF36" i="20"/>
  <c r="AA36" i="20"/>
  <c r="O36" i="20"/>
  <c r="AF35" i="20"/>
  <c r="AA35" i="20"/>
  <c r="O35" i="20"/>
  <c r="AF34" i="20"/>
  <c r="AA34" i="20"/>
  <c r="O34" i="20"/>
  <c r="AF33" i="20"/>
  <c r="AA33" i="20"/>
  <c r="O33" i="20"/>
  <c r="AF32" i="20"/>
  <c r="AA32" i="20"/>
  <c r="O32" i="20"/>
  <c r="AF31" i="20"/>
  <c r="AA31" i="20"/>
  <c r="O31" i="20"/>
  <c r="AF30" i="20"/>
  <c r="AA30" i="20"/>
  <c r="O30" i="20"/>
  <c r="AF29" i="20"/>
  <c r="AA29" i="20"/>
  <c r="O29" i="20"/>
  <c r="AF28" i="20"/>
  <c r="AA28" i="20"/>
  <c r="O28" i="20"/>
  <c r="AF27" i="20"/>
  <c r="AA27" i="20"/>
  <c r="O27" i="20"/>
  <c r="AF26" i="20"/>
  <c r="AA26" i="20"/>
  <c r="O26" i="20"/>
  <c r="AF25" i="20"/>
  <c r="AA25" i="20"/>
  <c r="O25" i="20"/>
  <c r="AF24" i="20"/>
  <c r="AA24" i="20"/>
  <c r="O24" i="20"/>
  <c r="AF23" i="20"/>
  <c r="AA23" i="20"/>
  <c r="O23" i="20"/>
  <c r="AF22" i="20"/>
  <c r="AA22" i="20"/>
  <c r="O22" i="20"/>
  <c r="AF21" i="20"/>
  <c r="AA21" i="20"/>
  <c r="O21" i="20"/>
  <c r="AF20" i="20"/>
  <c r="AA20" i="20"/>
  <c r="O20" i="20"/>
  <c r="AF19" i="20"/>
  <c r="AA19" i="20"/>
  <c r="O19" i="20"/>
  <c r="AF18" i="20"/>
  <c r="AA18" i="20"/>
  <c r="O18" i="20"/>
  <c r="AF17" i="20"/>
  <c r="AA17" i="20"/>
  <c r="O17" i="20"/>
  <c r="AF16" i="20"/>
  <c r="AA16" i="20"/>
  <c r="O16" i="20"/>
  <c r="AF15" i="20"/>
  <c r="AA15" i="20"/>
  <c r="O15" i="20"/>
  <c r="AF14" i="20"/>
  <c r="AA14" i="20"/>
  <c r="O14" i="20"/>
  <c r="AF13" i="20"/>
  <c r="AA13" i="20"/>
  <c r="O13" i="20"/>
  <c r="AF12" i="20"/>
  <c r="AA12" i="20"/>
  <c r="O12" i="20"/>
  <c r="AF11" i="20"/>
  <c r="AA11" i="20"/>
  <c r="O11" i="20"/>
  <c r="AF10" i="20"/>
  <c r="AA10" i="20"/>
  <c r="O10" i="20"/>
  <c r="AF9" i="20"/>
  <c r="AA9" i="20"/>
  <c r="O9" i="20"/>
  <c r="AF8" i="20"/>
  <c r="AA8" i="20"/>
  <c r="O8" i="20"/>
  <c r="AF7" i="20"/>
  <c r="AA7" i="20"/>
  <c r="O7" i="20"/>
  <c r="AF6" i="20"/>
  <c r="AA6" i="20"/>
  <c r="O6" i="20"/>
  <c r="B3" i="20"/>
  <c r="V65" i="20" l="1"/>
  <c r="P69" i="20"/>
  <c r="Q69" i="20"/>
  <c r="W69" i="20"/>
  <c r="X69" i="20"/>
  <c r="Y69" i="20"/>
  <c r="AA64" i="20"/>
  <c r="I65" i="20"/>
  <c r="X65" i="20"/>
  <c r="AF64" i="20"/>
  <c r="O64" i="20"/>
  <c r="T65" i="20"/>
  <c r="U69" i="20"/>
  <c r="T69" i="20"/>
  <c r="S69" i="20"/>
  <c r="R69" i="20"/>
  <c r="J66" i="20"/>
  <c r="V69" i="20"/>
  <c r="P65" i="20"/>
  <c r="R65" i="20"/>
  <c r="AF9" i="18"/>
  <c r="AF12" i="18"/>
  <c r="AF13" i="18"/>
  <c r="AF15" i="18"/>
  <c r="AF16" i="18"/>
  <c r="AF17" i="18"/>
  <c r="AF18" i="18"/>
  <c r="AF21" i="18"/>
  <c r="AF24" i="18"/>
  <c r="AF25" i="18"/>
  <c r="AF27" i="18"/>
  <c r="AF28" i="18"/>
  <c r="AF29" i="18"/>
  <c r="AF30" i="18"/>
  <c r="AF33" i="18"/>
  <c r="AF36" i="18"/>
  <c r="AF37" i="18"/>
  <c r="AF39" i="18"/>
  <c r="AF40" i="18"/>
  <c r="AF41" i="18"/>
  <c r="AF42" i="18"/>
  <c r="AF45" i="18"/>
  <c r="AF48" i="18"/>
  <c r="AF49" i="18"/>
  <c r="AF51" i="18"/>
  <c r="AF52" i="18"/>
  <c r="AF53" i="18"/>
  <c r="AF54" i="18"/>
  <c r="AF57" i="18"/>
  <c r="AF60" i="18"/>
  <c r="AF61" i="18"/>
  <c r="AF63" i="18"/>
  <c r="AF6" i="18"/>
  <c r="C73" i="18"/>
  <c r="C71" i="18"/>
  <c r="C72" i="18" s="1"/>
  <c r="D70" i="18"/>
  <c r="E70" i="18" s="1"/>
  <c r="D69" i="18"/>
  <c r="E69" i="18" s="1"/>
  <c r="Z64" i="18"/>
  <c r="Z65" i="18" s="1"/>
  <c r="Y64" i="18"/>
  <c r="X64" i="18"/>
  <c r="X69" i="18" s="1"/>
  <c r="W64" i="18"/>
  <c r="W69" i="18" s="1"/>
  <c r="V64" i="18"/>
  <c r="U64" i="18"/>
  <c r="T64" i="18"/>
  <c r="S64" i="18"/>
  <c r="R64" i="18"/>
  <c r="R69" i="18" s="1"/>
  <c r="Q64" i="18"/>
  <c r="Q69" i="18" s="1"/>
  <c r="P64" i="18"/>
  <c r="P69" i="18" s="1"/>
  <c r="N64" i="18"/>
  <c r="N66" i="18" s="1"/>
  <c r="M64" i="18"/>
  <c r="M66" i="18" s="1"/>
  <c r="L64" i="18"/>
  <c r="L66" i="18" s="1"/>
  <c r="K64" i="18"/>
  <c r="K66" i="18" s="1"/>
  <c r="I64" i="18"/>
  <c r="O63" i="18"/>
  <c r="AF62" i="18"/>
  <c r="AA62" i="18"/>
  <c r="O62" i="18"/>
  <c r="O60" i="18"/>
  <c r="AF59" i="18"/>
  <c r="AA59" i="18"/>
  <c r="O59" i="18"/>
  <c r="AF58" i="18"/>
  <c r="AA58" i="18"/>
  <c r="O58" i="18"/>
  <c r="O57" i="18"/>
  <c r="AF56" i="18"/>
  <c r="AA56" i="18"/>
  <c r="O56" i="18"/>
  <c r="AF55" i="18"/>
  <c r="AA55" i="18"/>
  <c r="O55" i="18"/>
  <c r="O54" i="18"/>
  <c r="O51" i="18"/>
  <c r="AF50" i="18"/>
  <c r="AA50" i="18"/>
  <c r="O50" i="18"/>
  <c r="O48" i="18"/>
  <c r="AF47" i="18"/>
  <c r="AA47" i="18"/>
  <c r="O47" i="18"/>
  <c r="AF46" i="18"/>
  <c r="AA46" i="18"/>
  <c r="O46" i="18"/>
  <c r="O45" i="18"/>
  <c r="AF44" i="18"/>
  <c r="AA44" i="18"/>
  <c r="O44" i="18"/>
  <c r="AF43" i="18"/>
  <c r="AA43" i="18"/>
  <c r="O43" i="18"/>
  <c r="O42" i="18"/>
  <c r="O39" i="18"/>
  <c r="AF38" i="18"/>
  <c r="AA38" i="18"/>
  <c r="O38" i="18"/>
  <c r="O36" i="18"/>
  <c r="AF35" i="18"/>
  <c r="AA35" i="18"/>
  <c r="O35" i="18"/>
  <c r="AF34" i="18"/>
  <c r="AA34" i="18"/>
  <c r="O34" i="18"/>
  <c r="O33" i="18"/>
  <c r="AF32" i="18"/>
  <c r="AA32" i="18"/>
  <c r="O32" i="18"/>
  <c r="AF31" i="18"/>
  <c r="AA31" i="18"/>
  <c r="O31" i="18"/>
  <c r="O30" i="18"/>
  <c r="O27" i="18"/>
  <c r="AF26" i="18"/>
  <c r="AA26" i="18"/>
  <c r="O26" i="18"/>
  <c r="O24" i="18"/>
  <c r="AF23" i="18"/>
  <c r="AA23" i="18"/>
  <c r="O23" i="18"/>
  <c r="AF22" i="18"/>
  <c r="AA22" i="18"/>
  <c r="O22" i="18"/>
  <c r="O21" i="18"/>
  <c r="AF20" i="18"/>
  <c r="AA20" i="18"/>
  <c r="O20" i="18"/>
  <c r="AF19" i="18"/>
  <c r="AA19" i="18"/>
  <c r="O19" i="18"/>
  <c r="O18" i="18"/>
  <c r="O15" i="18"/>
  <c r="AF14" i="18"/>
  <c r="AA14" i="18"/>
  <c r="O14" i="18"/>
  <c r="O12" i="18"/>
  <c r="AF11" i="18"/>
  <c r="AA11" i="18"/>
  <c r="O11" i="18"/>
  <c r="AF10" i="18"/>
  <c r="AA10" i="18"/>
  <c r="O10" i="18"/>
  <c r="O9" i="18"/>
  <c r="AF8" i="18"/>
  <c r="AA8" i="18"/>
  <c r="O8" i="18"/>
  <c r="AF7" i="18"/>
  <c r="AA7" i="18"/>
  <c r="O7" i="18"/>
  <c r="B3" i="18"/>
  <c r="Y69" i="18" l="1"/>
  <c r="AA18" i="18"/>
  <c r="AA30" i="18"/>
  <c r="AA42" i="18"/>
  <c r="AA54" i="18"/>
  <c r="AA15" i="18"/>
  <c r="AA27" i="18"/>
  <c r="AA39" i="18"/>
  <c r="AA51" i="18"/>
  <c r="AA63" i="18"/>
  <c r="O16" i="18"/>
  <c r="O28" i="18"/>
  <c r="O40" i="18"/>
  <c r="O52" i="18"/>
  <c r="AA12" i="18"/>
  <c r="AA16" i="18"/>
  <c r="AA24" i="18"/>
  <c r="AA28" i="18"/>
  <c r="AA36" i="18"/>
  <c r="AA40" i="18"/>
  <c r="AA48" i="18"/>
  <c r="AA52" i="18"/>
  <c r="AA60" i="18"/>
  <c r="O13" i="18"/>
  <c r="O17" i="18"/>
  <c r="O25" i="18"/>
  <c r="O29" i="18"/>
  <c r="O37" i="18"/>
  <c r="O41" i="18"/>
  <c r="O49" i="18"/>
  <c r="O53" i="18"/>
  <c r="O61" i="18"/>
  <c r="AA9" i="18"/>
  <c r="AA13" i="18"/>
  <c r="AA17" i="18"/>
  <c r="AA21" i="18"/>
  <c r="AA25" i="18"/>
  <c r="AA29" i="18"/>
  <c r="AA33" i="18"/>
  <c r="AA37" i="18"/>
  <c r="AA41" i="18"/>
  <c r="AA45" i="18"/>
  <c r="AA49" i="18"/>
  <c r="AA53" i="18"/>
  <c r="AA57" i="18"/>
  <c r="AA61" i="18"/>
  <c r="J64" i="18"/>
  <c r="J66" i="18" s="1"/>
  <c r="O6" i="18"/>
  <c r="AA6" i="18"/>
  <c r="V65" i="18"/>
  <c r="AF64" i="18"/>
  <c r="X65" i="18"/>
  <c r="T65" i="18"/>
  <c r="S69" i="18"/>
  <c r="U69" i="18"/>
  <c r="T69" i="18"/>
  <c r="V69" i="18"/>
  <c r="P65" i="18"/>
  <c r="R65" i="18"/>
  <c r="O25" i="16"/>
  <c r="AA64" i="18" l="1"/>
  <c r="O64" i="18"/>
  <c r="I65" i="18"/>
  <c r="J23" i="14"/>
  <c r="C71" i="13" l="1"/>
  <c r="J64" i="13" l="1"/>
  <c r="I64" i="13"/>
  <c r="C71" i="9" l="1"/>
  <c r="C72" i="9" s="1"/>
  <c r="C73" i="17"/>
  <c r="C71" i="17"/>
  <c r="C72" i="17" s="1"/>
  <c r="D70" i="17"/>
  <c r="E70" i="17" s="1"/>
  <c r="D69" i="17"/>
  <c r="E69" i="17" s="1"/>
  <c r="Z64" i="17"/>
  <c r="Z65" i="17" s="1"/>
  <c r="Y64" i="17"/>
  <c r="Y69" i="17" s="1"/>
  <c r="X64" i="17"/>
  <c r="X69" i="17" s="1"/>
  <c r="W64" i="17"/>
  <c r="W69" i="17" s="1"/>
  <c r="V64" i="17"/>
  <c r="U64" i="17"/>
  <c r="U69" i="17" s="1"/>
  <c r="T64" i="17"/>
  <c r="T69" i="17" s="1"/>
  <c r="S64" i="17"/>
  <c r="S69" i="17" s="1"/>
  <c r="R64" i="17"/>
  <c r="R69" i="17" s="1"/>
  <c r="Q64" i="17"/>
  <c r="Q69" i="17" s="1"/>
  <c r="P64" i="17"/>
  <c r="P69" i="17" s="1"/>
  <c r="N64" i="17"/>
  <c r="N66" i="17" s="1"/>
  <c r="M64" i="17"/>
  <c r="M66" i="17" s="1"/>
  <c r="L64" i="17"/>
  <c r="K64" i="17"/>
  <c r="K66" i="17" s="1"/>
  <c r="J64" i="17"/>
  <c r="J66" i="17" s="1"/>
  <c r="I64" i="17"/>
  <c r="AF63" i="17"/>
  <c r="AA63" i="17"/>
  <c r="O63" i="17"/>
  <c r="AF62" i="17"/>
  <c r="AA62" i="17"/>
  <c r="O62" i="17"/>
  <c r="AF61" i="17"/>
  <c r="AA61" i="17"/>
  <c r="O61" i="17"/>
  <c r="AF60" i="17"/>
  <c r="AA60" i="17"/>
  <c r="O60" i="17"/>
  <c r="AF59" i="17"/>
  <c r="AA59" i="17"/>
  <c r="O59" i="17"/>
  <c r="AF58" i="17"/>
  <c r="AA58" i="17"/>
  <c r="O58" i="17"/>
  <c r="AF57" i="17"/>
  <c r="AA57" i="17"/>
  <c r="O57" i="17"/>
  <c r="AF56" i="17"/>
  <c r="AA56" i="17"/>
  <c r="O56" i="17"/>
  <c r="AF55" i="17"/>
  <c r="AA55" i="17"/>
  <c r="O55" i="17"/>
  <c r="AF54" i="17"/>
  <c r="AA54" i="17"/>
  <c r="O54" i="17"/>
  <c r="AF53" i="17"/>
  <c r="AA53" i="17"/>
  <c r="O53" i="17"/>
  <c r="AF52" i="17"/>
  <c r="AA52" i="17"/>
  <c r="O52" i="17"/>
  <c r="AF51" i="17"/>
  <c r="AA51" i="17"/>
  <c r="O51" i="17"/>
  <c r="AF50" i="17"/>
  <c r="AA50" i="17"/>
  <c r="O50" i="17"/>
  <c r="AF49" i="17"/>
  <c r="AA49" i="17"/>
  <c r="O49" i="17"/>
  <c r="AF48" i="17"/>
  <c r="AA48" i="17"/>
  <c r="O48" i="17"/>
  <c r="AF47" i="17"/>
  <c r="AA47" i="17"/>
  <c r="O47" i="17"/>
  <c r="AF46" i="17"/>
  <c r="AA46" i="17"/>
  <c r="O46" i="17"/>
  <c r="AF45" i="17"/>
  <c r="AA45" i="17"/>
  <c r="O45" i="17"/>
  <c r="AF44" i="17"/>
  <c r="AA44" i="17"/>
  <c r="O44" i="17"/>
  <c r="AF43" i="17"/>
  <c r="AA43" i="17"/>
  <c r="O43" i="17"/>
  <c r="AF42" i="17"/>
  <c r="AA42" i="17"/>
  <c r="O42" i="17"/>
  <c r="AF41" i="17"/>
  <c r="AA41" i="17"/>
  <c r="O41" i="17"/>
  <c r="AF40" i="17"/>
  <c r="AA40" i="17"/>
  <c r="O40" i="17"/>
  <c r="AF39" i="17"/>
  <c r="AA39" i="17"/>
  <c r="O39" i="17"/>
  <c r="AF38" i="17"/>
  <c r="AA38" i="17"/>
  <c r="O38" i="17"/>
  <c r="AF37" i="17"/>
  <c r="AA37" i="17"/>
  <c r="O37" i="17"/>
  <c r="AF36" i="17"/>
  <c r="AA36" i="17"/>
  <c r="O36" i="17"/>
  <c r="AF35" i="17"/>
  <c r="AA35" i="17"/>
  <c r="O35" i="17"/>
  <c r="AF34" i="17"/>
  <c r="AA34" i="17"/>
  <c r="O34" i="17"/>
  <c r="AF33" i="17"/>
  <c r="AA33" i="17"/>
  <c r="O33" i="17"/>
  <c r="AF32" i="17"/>
  <c r="AA32" i="17"/>
  <c r="O32" i="17"/>
  <c r="AF31" i="17"/>
  <c r="AA31" i="17"/>
  <c r="O31" i="17"/>
  <c r="AF30" i="17"/>
  <c r="AA30" i="17"/>
  <c r="O30" i="17"/>
  <c r="AF29" i="17"/>
  <c r="AA29" i="17"/>
  <c r="O29" i="17"/>
  <c r="AF28" i="17"/>
  <c r="AA28" i="17"/>
  <c r="O28" i="17"/>
  <c r="AF27" i="17"/>
  <c r="AA27" i="17"/>
  <c r="O27" i="17"/>
  <c r="AF26" i="17"/>
  <c r="AA26" i="17"/>
  <c r="O26" i="17"/>
  <c r="AF25" i="17"/>
  <c r="AA25" i="17"/>
  <c r="O25" i="17"/>
  <c r="AF24" i="17"/>
  <c r="AA24" i="17"/>
  <c r="O24" i="17"/>
  <c r="AF23" i="17"/>
  <c r="AA23" i="17"/>
  <c r="O23" i="17"/>
  <c r="AF22" i="17"/>
  <c r="AA22" i="17"/>
  <c r="O22" i="17"/>
  <c r="AF21" i="17"/>
  <c r="AA21" i="17"/>
  <c r="O21" i="17"/>
  <c r="AF20" i="17"/>
  <c r="AA20" i="17"/>
  <c r="O20" i="17"/>
  <c r="AF19" i="17"/>
  <c r="AA19" i="17"/>
  <c r="O19" i="17"/>
  <c r="AF18" i="17"/>
  <c r="AA18" i="17"/>
  <c r="O18" i="17"/>
  <c r="AF17" i="17"/>
  <c r="AA17" i="17"/>
  <c r="O17" i="17"/>
  <c r="AF16" i="17"/>
  <c r="AA16" i="17"/>
  <c r="O16" i="17"/>
  <c r="AF15" i="17"/>
  <c r="AA15" i="17"/>
  <c r="O15" i="17"/>
  <c r="AF14" i="17"/>
  <c r="AA14" i="17"/>
  <c r="O14" i="17"/>
  <c r="AF13" i="17"/>
  <c r="AA13" i="17"/>
  <c r="O13" i="17"/>
  <c r="AF12" i="17"/>
  <c r="AA12" i="17"/>
  <c r="O12" i="17"/>
  <c r="AF11" i="17"/>
  <c r="AA11" i="17"/>
  <c r="O11" i="17"/>
  <c r="AF10" i="17"/>
  <c r="AA10" i="17"/>
  <c r="O10" i="17"/>
  <c r="AF9" i="17"/>
  <c r="AA9" i="17"/>
  <c r="O9" i="17"/>
  <c r="AF8" i="17"/>
  <c r="AA8" i="17"/>
  <c r="O8" i="17"/>
  <c r="AF7" i="17"/>
  <c r="AA7" i="17"/>
  <c r="O7" i="17"/>
  <c r="AF6" i="17"/>
  <c r="AA6" i="17"/>
  <c r="O6" i="17"/>
  <c r="B3" i="17"/>
  <c r="C73" i="16"/>
  <c r="C71" i="16"/>
  <c r="C72" i="16" s="1"/>
  <c r="D70" i="16"/>
  <c r="E70" i="16" s="1"/>
  <c r="D69" i="16"/>
  <c r="E69" i="16" s="1"/>
  <c r="Z64" i="16"/>
  <c r="Z65" i="16" s="1"/>
  <c r="Y64" i="16"/>
  <c r="X64" i="16"/>
  <c r="W64" i="16"/>
  <c r="V64" i="16"/>
  <c r="U64" i="16"/>
  <c r="T64" i="16"/>
  <c r="S64" i="16"/>
  <c r="R64" i="16"/>
  <c r="Q64" i="16"/>
  <c r="P64" i="16"/>
  <c r="N64" i="16"/>
  <c r="N66" i="16" s="1"/>
  <c r="M64" i="16"/>
  <c r="M66" i="16" s="1"/>
  <c r="L64" i="16"/>
  <c r="L66" i="16" s="1"/>
  <c r="K64" i="16"/>
  <c r="K66" i="16" s="1"/>
  <c r="J64" i="16"/>
  <c r="J66" i="16" s="1"/>
  <c r="I64" i="16"/>
  <c r="AF63" i="16"/>
  <c r="AA63" i="16"/>
  <c r="O63" i="16"/>
  <c r="AF62" i="16"/>
  <c r="AA62" i="16"/>
  <c r="O62" i="16"/>
  <c r="AF61" i="16"/>
  <c r="AA61" i="16"/>
  <c r="O61" i="16"/>
  <c r="AF60" i="16"/>
  <c r="AA60" i="16"/>
  <c r="O60" i="16"/>
  <c r="AF59" i="16"/>
  <c r="AA59" i="16"/>
  <c r="O59" i="16"/>
  <c r="AF58" i="16"/>
  <c r="AA58" i="16"/>
  <c r="O58" i="16"/>
  <c r="AF57" i="16"/>
  <c r="AA57" i="16"/>
  <c r="O57" i="16"/>
  <c r="AF56" i="16"/>
  <c r="AA56" i="16"/>
  <c r="O56" i="16"/>
  <c r="AF55" i="16"/>
  <c r="AA55" i="16"/>
  <c r="O55" i="16"/>
  <c r="AF54" i="16"/>
  <c r="AA54" i="16"/>
  <c r="O54" i="16"/>
  <c r="AF53" i="16"/>
  <c r="AA53" i="16"/>
  <c r="O53" i="16"/>
  <c r="AF52" i="16"/>
  <c r="AA52" i="16"/>
  <c r="O52" i="16"/>
  <c r="AF51" i="16"/>
  <c r="AA51" i="16"/>
  <c r="O51" i="16"/>
  <c r="AF50" i="16"/>
  <c r="AA50" i="16"/>
  <c r="O50" i="16"/>
  <c r="AF49" i="16"/>
  <c r="AA49" i="16"/>
  <c r="O49" i="16"/>
  <c r="AF48" i="16"/>
  <c r="AA48" i="16"/>
  <c r="O48" i="16"/>
  <c r="AF47" i="16"/>
  <c r="AA47" i="16"/>
  <c r="O47" i="16"/>
  <c r="AF46" i="16"/>
  <c r="AA46" i="16"/>
  <c r="O46" i="16"/>
  <c r="AF45" i="16"/>
  <c r="AA45" i="16"/>
  <c r="O45" i="16"/>
  <c r="AF44" i="16"/>
  <c r="AA44" i="16"/>
  <c r="O44" i="16"/>
  <c r="AF43" i="16"/>
  <c r="AA43" i="16"/>
  <c r="O43" i="16"/>
  <c r="AF42" i="16"/>
  <c r="AA42" i="16"/>
  <c r="O42" i="16"/>
  <c r="AF41" i="16"/>
  <c r="AA41" i="16"/>
  <c r="O41" i="16"/>
  <c r="AF40" i="16"/>
  <c r="AA40" i="16"/>
  <c r="O40" i="16"/>
  <c r="AF39" i="16"/>
  <c r="AA39" i="16"/>
  <c r="O39" i="16"/>
  <c r="AF38" i="16"/>
  <c r="AA38" i="16"/>
  <c r="O38" i="16"/>
  <c r="AF37" i="16"/>
  <c r="AA37" i="16"/>
  <c r="O37" i="16"/>
  <c r="AF36" i="16"/>
  <c r="AA36" i="16"/>
  <c r="O36" i="16"/>
  <c r="AF35" i="16"/>
  <c r="AA35" i="16"/>
  <c r="O35" i="16"/>
  <c r="AF34" i="16"/>
  <c r="AA34" i="16"/>
  <c r="O34" i="16"/>
  <c r="AF33" i="16"/>
  <c r="AA33" i="16"/>
  <c r="O33" i="16"/>
  <c r="AF32" i="16"/>
  <c r="AA32" i="16"/>
  <c r="O32" i="16"/>
  <c r="AF31" i="16"/>
  <c r="AA31" i="16"/>
  <c r="O31" i="16"/>
  <c r="AF30" i="16"/>
  <c r="AA30" i="16"/>
  <c r="O30" i="16"/>
  <c r="AF29" i="16"/>
  <c r="AA29" i="16"/>
  <c r="O29" i="16"/>
  <c r="AF28" i="16"/>
  <c r="AA28" i="16"/>
  <c r="O28" i="16"/>
  <c r="AF27" i="16"/>
  <c r="AA27" i="16"/>
  <c r="O27" i="16"/>
  <c r="AF26" i="16"/>
  <c r="AA26" i="16"/>
  <c r="O26" i="16"/>
  <c r="AF25" i="16"/>
  <c r="AA25" i="16"/>
  <c r="AF24" i="16"/>
  <c r="AA24" i="16"/>
  <c r="O24" i="16"/>
  <c r="AF23" i="16"/>
  <c r="AA23" i="16"/>
  <c r="O23" i="16"/>
  <c r="AF22" i="16"/>
  <c r="AA22" i="16"/>
  <c r="O22" i="16"/>
  <c r="AF21" i="16"/>
  <c r="AA21" i="16"/>
  <c r="O21" i="16"/>
  <c r="AF20" i="16"/>
  <c r="AA20" i="16"/>
  <c r="O20" i="16"/>
  <c r="AF19" i="16"/>
  <c r="AA19" i="16"/>
  <c r="O19" i="16"/>
  <c r="AF18" i="16"/>
  <c r="AA18" i="16"/>
  <c r="O18" i="16"/>
  <c r="AF17" i="16"/>
  <c r="AA17" i="16"/>
  <c r="O17" i="16"/>
  <c r="AF16" i="16"/>
  <c r="AA16" i="16"/>
  <c r="O16" i="16"/>
  <c r="AF15" i="16"/>
  <c r="AA15" i="16"/>
  <c r="O15" i="16"/>
  <c r="AF14" i="16"/>
  <c r="AA14" i="16"/>
  <c r="O14" i="16"/>
  <c r="AF13" i="16"/>
  <c r="AA13" i="16"/>
  <c r="O13" i="16"/>
  <c r="AF12" i="16"/>
  <c r="AA12" i="16"/>
  <c r="O12" i="16"/>
  <c r="AF11" i="16"/>
  <c r="AA11" i="16"/>
  <c r="O11" i="16"/>
  <c r="AF10" i="16"/>
  <c r="AA10" i="16"/>
  <c r="O10" i="16"/>
  <c r="AF9" i="16"/>
  <c r="AA9" i="16"/>
  <c r="O9" i="16"/>
  <c r="AF8" i="16"/>
  <c r="AA8" i="16"/>
  <c r="O8" i="16"/>
  <c r="AF7" i="16"/>
  <c r="AA7" i="16"/>
  <c r="O7" i="16"/>
  <c r="AF6" i="16"/>
  <c r="AA6" i="16"/>
  <c r="O6" i="16"/>
  <c r="B3" i="16"/>
  <c r="C73" i="15"/>
  <c r="C71" i="15"/>
  <c r="C72" i="15" s="1"/>
  <c r="D70" i="15"/>
  <c r="E70" i="15" s="1"/>
  <c r="D69" i="15"/>
  <c r="E69" i="15" s="1"/>
  <c r="Z64" i="15"/>
  <c r="Z65" i="15" s="1"/>
  <c r="Y64" i="15"/>
  <c r="X64" i="15"/>
  <c r="W64" i="15"/>
  <c r="V64" i="15"/>
  <c r="U64" i="15"/>
  <c r="T64" i="15"/>
  <c r="S64" i="15"/>
  <c r="R64" i="15"/>
  <c r="R65" i="15" s="1"/>
  <c r="Q64" i="15"/>
  <c r="P64" i="15"/>
  <c r="N64" i="15"/>
  <c r="N66" i="15" s="1"/>
  <c r="M64" i="15"/>
  <c r="M66" i="15" s="1"/>
  <c r="L64" i="15"/>
  <c r="L66" i="15" s="1"/>
  <c r="K64" i="15"/>
  <c r="J64" i="15"/>
  <c r="J66" i="15" s="1"/>
  <c r="I64" i="15"/>
  <c r="AF63" i="15"/>
  <c r="AA63" i="15"/>
  <c r="O63" i="15"/>
  <c r="AF62" i="15"/>
  <c r="AA62" i="15"/>
  <c r="O62" i="15"/>
  <c r="AF61" i="15"/>
  <c r="AA61" i="15"/>
  <c r="O61" i="15"/>
  <c r="AF60" i="15"/>
  <c r="AA60" i="15"/>
  <c r="O60" i="15"/>
  <c r="AF59" i="15"/>
  <c r="AA59" i="15"/>
  <c r="O59" i="15"/>
  <c r="AF58" i="15"/>
  <c r="AA58" i="15"/>
  <c r="O58" i="15"/>
  <c r="AF57" i="15"/>
  <c r="AA57" i="15"/>
  <c r="O57" i="15"/>
  <c r="AF56" i="15"/>
  <c r="AA56" i="15"/>
  <c r="O56" i="15"/>
  <c r="AF55" i="15"/>
  <c r="AA55" i="15"/>
  <c r="O55" i="15"/>
  <c r="AF54" i="15"/>
  <c r="AA54" i="15"/>
  <c r="O54" i="15"/>
  <c r="AF53" i="15"/>
  <c r="AA53" i="15"/>
  <c r="O53" i="15"/>
  <c r="AF52" i="15"/>
  <c r="AA52" i="15"/>
  <c r="O52" i="15"/>
  <c r="AF51" i="15"/>
  <c r="AA51" i="15"/>
  <c r="O51" i="15"/>
  <c r="AF50" i="15"/>
  <c r="AA50" i="15"/>
  <c r="O50" i="15"/>
  <c r="AF49" i="15"/>
  <c r="AA49" i="15"/>
  <c r="O49" i="15"/>
  <c r="AF48" i="15"/>
  <c r="AA48" i="15"/>
  <c r="O48" i="15"/>
  <c r="AF47" i="15"/>
  <c r="AA47" i="15"/>
  <c r="O47" i="15"/>
  <c r="AF46" i="15"/>
  <c r="AA46" i="15"/>
  <c r="O46" i="15"/>
  <c r="AF45" i="15"/>
  <c r="AA45" i="15"/>
  <c r="O45" i="15"/>
  <c r="AF44" i="15"/>
  <c r="AA44" i="15"/>
  <c r="O44" i="15"/>
  <c r="AF43" i="15"/>
  <c r="AA43" i="15"/>
  <c r="O43" i="15"/>
  <c r="AF42" i="15"/>
  <c r="AA42" i="15"/>
  <c r="O42" i="15"/>
  <c r="AF41" i="15"/>
  <c r="AA41" i="15"/>
  <c r="O41" i="15"/>
  <c r="AF40" i="15"/>
  <c r="AA40" i="15"/>
  <c r="O40" i="15"/>
  <c r="AF39" i="15"/>
  <c r="AA39" i="15"/>
  <c r="O39" i="15"/>
  <c r="AF38" i="15"/>
  <c r="AA38" i="15"/>
  <c r="O38" i="15"/>
  <c r="AF37" i="15"/>
  <c r="AA37" i="15"/>
  <c r="O37" i="15"/>
  <c r="AF36" i="15"/>
  <c r="AA36" i="15"/>
  <c r="O36" i="15"/>
  <c r="AF35" i="15"/>
  <c r="AA35" i="15"/>
  <c r="O35" i="15"/>
  <c r="AF34" i="15"/>
  <c r="AA34" i="15"/>
  <c r="O34" i="15"/>
  <c r="AF33" i="15"/>
  <c r="AA33" i="15"/>
  <c r="O33" i="15"/>
  <c r="AF32" i="15"/>
  <c r="AA32" i="15"/>
  <c r="O32" i="15"/>
  <c r="AF31" i="15"/>
  <c r="AA31" i="15"/>
  <c r="O31" i="15"/>
  <c r="AF30" i="15"/>
  <c r="AA30" i="15"/>
  <c r="O30" i="15"/>
  <c r="AF29" i="15"/>
  <c r="AA29" i="15"/>
  <c r="O29" i="15"/>
  <c r="AF28" i="15"/>
  <c r="AA28" i="15"/>
  <c r="O28" i="15"/>
  <c r="AF27" i="15"/>
  <c r="AA27" i="15"/>
  <c r="O27" i="15"/>
  <c r="AF26" i="15"/>
  <c r="AA26" i="15"/>
  <c r="O26" i="15"/>
  <c r="AF25" i="15"/>
  <c r="AA25" i="15"/>
  <c r="O25" i="15"/>
  <c r="AF24" i="15"/>
  <c r="AA24" i="15"/>
  <c r="O24" i="15"/>
  <c r="AF23" i="15"/>
  <c r="AA23" i="15"/>
  <c r="O23" i="15"/>
  <c r="AF22" i="15"/>
  <c r="AA22" i="15"/>
  <c r="O22" i="15"/>
  <c r="AF21" i="15"/>
  <c r="AA21" i="15"/>
  <c r="O21" i="15"/>
  <c r="AF20" i="15"/>
  <c r="AA20" i="15"/>
  <c r="O20" i="15"/>
  <c r="AF19" i="15"/>
  <c r="AA19" i="15"/>
  <c r="O19" i="15"/>
  <c r="AF18" i="15"/>
  <c r="AA18" i="15"/>
  <c r="O18" i="15"/>
  <c r="AF17" i="15"/>
  <c r="AA17" i="15"/>
  <c r="O17" i="15"/>
  <c r="AF16" i="15"/>
  <c r="AA16" i="15"/>
  <c r="O16" i="15"/>
  <c r="AF15" i="15"/>
  <c r="AA15" i="15"/>
  <c r="O15" i="15"/>
  <c r="AF14" i="15"/>
  <c r="AA14" i="15"/>
  <c r="O14" i="15"/>
  <c r="AF13" i="15"/>
  <c r="AA13" i="15"/>
  <c r="O13" i="15"/>
  <c r="AF12" i="15"/>
  <c r="AA12" i="15"/>
  <c r="O12" i="15"/>
  <c r="AF11" i="15"/>
  <c r="AA11" i="15"/>
  <c r="O11" i="15"/>
  <c r="AF10" i="15"/>
  <c r="AA10" i="15"/>
  <c r="O10" i="15"/>
  <c r="AF9" i="15"/>
  <c r="AA9" i="15"/>
  <c r="O9" i="15"/>
  <c r="AF8" i="15"/>
  <c r="AA8" i="15"/>
  <c r="O8" i="15"/>
  <c r="AF7" i="15"/>
  <c r="AA7" i="15"/>
  <c r="O7" i="15"/>
  <c r="AF6" i="15"/>
  <c r="AA6" i="15"/>
  <c r="O6" i="15"/>
  <c r="B3" i="15"/>
  <c r="C73" i="14"/>
  <c r="C71" i="14"/>
  <c r="C72" i="14" s="1"/>
  <c r="D70" i="14"/>
  <c r="E70" i="14" s="1"/>
  <c r="D69" i="14"/>
  <c r="E69" i="14" s="1"/>
  <c r="Z64" i="14"/>
  <c r="Z65" i="14" s="1"/>
  <c r="Y64" i="14"/>
  <c r="X64" i="14"/>
  <c r="W64" i="14"/>
  <c r="V64" i="14"/>
  <c r="U64" i="14"/>
  <c r="T64" i="14"/>
  <c r="S64" i="14"/>
  <c r="R64" i="14"/>
  <c r="Q64" i="14"/>
  <c r="P64" i="14"/>
  <c r="N64" i="14"/>
  <c r="N66" i="14" s="1"/>
  <c r="M64" i="14"/>
  <c r="M66" i="14" s="1"/>
  <c r="L64" i="14"/>
  <c r="L66" i="14" s="1"/>
  <c r="K64" i="14"/>
  <c r="K66" i="14" s="1"/>
  <c r="J64" i="14"/>
  <c r="I64" i="14"/>
  <c r="I66" i="14" s="1"/>
  <c r="AF63" i="14"/>
  <c r="AA63" i="14"/>
  <c r="O63" i="14"/>
  <c r="AF62" i="14"/>
  <c r="AA62" i="14"/>
  <c r="O62" i="14"/>
  <c r="AF61" i="14"/>
  <c r="AA61" i="14"/>
  <c r="O61" i="14"/>
  <c r="AF60" i="14"/>
  <c r="AA60" i="14"/>
  <c r="O60" i="14"/>
  <c r="AF59" i="14"/>
  <c r="AA59" i="14"/>
  <c r="O59" i="14"/>
  <c r="AF58" i="14"/>
  <c r="AA58" i="14"/>
  <c r="O58" i="14"/>
  <c r="AF57" i="14"/>
  <c r="AA57" i="14"/>
  <c r="O57" i="14"/>
  <c r="AF56" i="14"/>
  <c r="AA56" i="14"/>
  <c r="O56" i="14"/>
  <c r="AF55" i="14"/>
  <c r="AA55" i="14"/>
  <c r="O55" i="14"/>
  <c r="AF54" i="14"/>
  <c r="AA54" i="14"/>
  <c r="O54" i="14"/>
  <c r="AF53" i="14"/>
  <c r="AA53" i="14"/>
  <c r="O53" i="14"/>
  <c r="AF52" i="14"/>
  <c r="AA52" i="14"/>
  <c r="O52" i="14"/>
  <c r="AF51" i="14"/>
  <c r="AA51" i="14"/>
  <c r="O51" i="14"/>
  <c r="AF50" i="14"/>
  <c r="AA50" i="14"/>
  <c r="O50" i="14"/>
  <c r="AF49" i="14"/>
  <c r="AA49" i="14"/>
  <c r="O49" i="14"/>
  <c r="AF48" i="14"/>
  <c r="AA48" i="14"/>
  <c r="O48" i="14"/>
  <c r="AF47" i="14"/>
  <c r="AA47" i="14"/>
  <c r="O47" i="14"/>
  <c r="AF46" i="14"/>
  <c r="AA46" i="14"/>
  <c r="O46" i="14"/>
  <c r="AF45" i="14"/>
  <c r="AA45" i="14"/>
  <c r="O45" i="14"/>
  <c r="AF44" i="14"/>
  <c r="AA44" i="14"/>
  <c r="O44" i="14"/>
  <c r="AF43" i="14"/>
  <c r="AA43" i="14"/>
  <c r="O43" i="14"/>
  <c r="AF42" i="14"/>
  <c r="AA42" i="14"/>
  <c r="O42" i="14"/>
  <c r="AF41" i="14"/>
  <c r="AA41" i="14"/>
  <c r="O41" i="14"/>
  <c r="AF40" i="14"/>
  <c r="AA40" i="14"/>
  <c r="O40" i="14"/>
  <c r="AF39" i="14"/>
  <c r="AA39" i="14"/>
  <c r="O39" i="14"/>
  <c r="AF38" i="14"/>
  <c r="AA38" i="14"/>
  <c r="O38" i="14"/>
  <c r="AF37" i="14"/>
  <c r="AA37" i="14"/>
  <c r="O37" i="14"/>
  <c r="AF36" i="14"/>
  <c r="AA36" i="14"/>
  <c r="O36" i="14"/>
  <c r="AF35" i="14"/>
  <c r="AA35" i="14"/>
  <c r="O35" i="14"/>
  <c r="AF34" i="14"/>
  <c r="AA34" i="14"/>
  <c r="O34" i="14"/>
  <c r="AF33" i="14"/>
  <c r="AA33" i="14"/>
  <c r="O33" i="14"/>
  <c r="AF32" i="14"/>
  <c r="AA32" i="14"/>
  <c r="O32" i="14"/>
  <c r="AF31" i="14"/>
  <c r="AA31" i="14"/>
  <c r="O31" i="14"/>
  <c r="AF30" i="14"/>
  <c r="AA30" i="14"/>
  <c r="O30" i="14"/>
  <c r="AF29" i="14"/>
  <c r="AA29" i="14"/>
  <c r="O29" i="14"/>
  <c r="AF28" i="14"/>
  <c r="AA28" i="14"/>
  <c r="O28" i="14"/>
  <c r="AF27" i="14"/>
  <c r="AA27" i="14"/>
  <c r="O27" i="14"/>
  <c r="AF26" i="14"/>
  <c r="AA26" i="14"/>
  <c r="O26" i="14"/>
  <c r="AF25" i="14"/>
  <c r="AA25" i="14"/>
  <c r="O25" i="14"/>
  <c r="AF24" i="14"/>
  <c r="AA24" i="14"/>
  <c r="O24" i="14"/>
  <c r="AF23" i="14"/>
  <c r="AA23" i="14"/>
  <c r="O23" i="14"/>
  <c r="AF22" i="14"/>
  <c r="AA22" i="14"/>
  <c r="O22" i="14"/>
  <c r="AF21" i="14"/>
  <c r="AA21" i="14"/>
  <c r="O21" i="14"/>
  <c r="AF20" i="14"/>
  <c r="AA20" i="14"/>
  <c r="O20" i="14"/>
  <c r="AF19" i="14"/>
  <c r="AA19" i="14"/>
  <c r="O19" i="14"/>
  <c r="AF18" i="14"/>
  <c r="AA18" i="14"/>
  <c r="O18" i="14"/>
  <c r="AF17" i="14"/>
  <c r="AA17" i="14"/>
  <c r="O17" i="14"/>
  <c r="AF16" i="14"/>
  <c r="AA16" i="14"/>
  <c r="O16" i="14"/>
  <c r="AF15" i="14"/>
  <c r="AA15" i="14"/>
  <c r="O15" i="14"/>
  <c r="AF14" i="14"/>
  <c r="AA14" i="14"/>
  <c r="O14" i="14"/>
  <c r="AF13" i="14"/>
  <c r="AA13" i="14"/>
  <c r="O13" i="14"/>
  <c r="AF12" i="14"/>
  <c r="AA12" i="14"/>
  <c r="O12" i="14"/>
  <c r="AF11" i="14"/>
  <c r="AA11" i="14"/>
  <c r="O11" i="14"/>
  <c r="AF10" i="14"/>
  <c r="AA10" i="14"/>
  <c r="O10" i="14"/>
  <c r="AF9" i="14"/>
  <c r="AA9" i="14"/>
  <c r="O9" i="14"/>
  <c r="AF8" i="14"/>
  <c r="AA8" i="14"/>
  <c r="O8" i="14"/>
  <c r="AF7" i="14"/>
  <c r="AA7" i="14"/>
  <c r="O7" i="14"/>
  <c r="AF6" i="14"/>
  <c r="AA6" i="14"/>
  <c r="O6" i="14"/>
  <c r="B3" i="14"/>
  <c r="C73" i="13"/>
  <c r="C72" i="13"/>
  <c r="D70" i="13"/>
  <c r="E70" i="13" s="1"/>
  <c r="D69" i="13"/>
  <c r="E69" i="13" s="1"/>
  <c r="Z64" i="13"/>
  <c r="Z65" i="13" s="1"/>
  <c r="Y64" i="13"/>
  <c r="Y69" i="13" s="1"/>
  <c r="X64" i="13"/>
  <c r="W64" i="13"/>
  <c r="V64" i="13"/>
  <c r="U64" i="13"/>
  <c r="T64" i="13"/>
  <c r="S64" i="13"/>
  <c r="R64" i="13"/>
  <c r="Q64" i="13"/>
  <c r="P64" i="13"/>
  <c r="N64" i="13"/>
  <c r="N66" i="13" s="1"/>
  <c r="M64" i="13"/>
  <c r="M66" i="13" s="1"/>
  <c r="L64" i="13"/>
  <c r="K64" i="13"/>
  <c r="K66" i="13" s="1"/>
  <c r="J66" i="13"/>
  <c r="AF63" i="13"/>
  <c r="AA63" i="13"/>
  <c r="O63" i="13"/>
  <c r="AF62" i="13"/>
  <c r="AA62" i="13"/>
  <c r="O62" i="13"/>
  <c r="AF61" i="13"/>
  <c r="AA61" i="13"/>
  <c r="O61" i="13"/>
  <c r="AF60" i="13"/>
  <c r="AA60" i="13"/>
  <c r="O60" i="13"/>
  <c r="AF59" i="13"/>
  <c r="AA59" i="13"/>
  <c r="O59" i="13"/>
  <c r="AF58" i="13"/>
  <c r="AA58" i="13"/>
  <c r="O58" i="13"/>
  <c r="AF57" i="13"/>
  <c r="AA57" i="13"/>
  <c r="O57" i="13"/>
  <c r="AF56" i="13"/>
  <c r="AA56" i="13"/>
  <c r="O56" i="13"/>
  <c r="AF55" i="13"/>
  <c r="AA55" i="13"/>
  <c r="O55" i="13"/>
  <c r="AF54" i="13"/>
  <c r="AA54" i="13"/>
  <c r="O54" i="13"/>
  <c r="AF53" i="13"/>
  <c r="AA53" i="13"/>
  <c r="O53" i="13"/>
  <c r="AF52" i="13"/>
  <c r="AA52" i="13"/>
  <c r="O52" i="13"/>
  <c r="AF51" i="13"/>
  <c r="AA51" i="13"/>
  <c r="O51" i="13"/>
  <c r="AF50" i="13"/>
  <c r="AA50" i="13"/>
  <c r="O50" i="13"/>
  <c r="AF49" i="13"/>
  <c r="AA49" i="13"/>
  <c r="O49" i="13"/>
  <c r="AF48" i="13"/>
  <c r="AA48" i="13"/>
  <c r="O48" i="13"/>
  <c r="AF47" i="13"/>
  <c r="AA47" i="13"/>
  <c r="O47" i="13"/>
  <c r="AF46" i="13"/>
  <c r="AA46" i="13"/>
  <c r="O46" i="13"/>
  <c r="AF45" i="13"/>
  <c r="AA45" i="13"/>
  <c r="O45" i="13"/>
  <c r="AF44" i="13"/>
  <c r="AA44" i="13"/>
  <c r="O44" i="13"/>
  <c r="AF43" i="13"/>
  <c r="AA43" i="13"/>
  <c r="O43" i="13"/>
  <c r="AF42" i="13"/>
  <c r="AA42" i="13"/>
  <c r="O42" i="13"/>
  <c r="AF41" i="13"/>
  <c r="AA41" i="13"/>
  <c r="O41" i="13"/>
  <c r="AF40" i="13"/>
  <c r="AA40" i="13"/>
  <c r="O40" i="13"/>
  <c r="AF39" i="13"/>
  <c r="AA39" i="13"/>
  <c r="O39" i="13"/>
  <c r="AF38" i="13"/>
  <c r="AA38" i="13"/>
  <c r="O38" i="13"/>
  <c r="AF37" i="13"/>
  <c r="AA37" i="13"/>
  <c r="O37" i="13"/>
  <c r="AF36" i="13"/>
  <c r="AA36" i="13"/>
  <c r="O36" i="13"/>
  <c r="AF35" i="13"/>
  <c r="AA35" i="13"/>
  <c r="O35" i="13"/>
  <c r="AF34" i="13"/>
  <c r="AA34" i="13"/>
  <c r="O34" i="13"/>
  <c r="AF33" i="13"/>
  <c r="AA33" i="13"/>
  <c r="O33" i="13"/>
  <c r="AF32" i="13"/>
  <c r="AA32" i="13"/>
  <c r="O32" i="13"/>
  <c r="AF31" i="13"/>
  <c r="AA31" i="13"/>
  <c r="O31" i="13"/>
  <c r="AF30" i="13"/>
  <c r="AA30" i="13"/>
  <c r="O30" i="13"/>
  <c r="AF29" i="13"/>
  <c r="AA29" i="13"/>
  <c r="O29" i="13"/>
  <c r="AF28" i="13"/>
  <c r="AA28" i="13"/>
  <c r="O28" i="13"/>
  <c r="AF27" i="13"/>
  <c r="AA27" i="13"/>
  <c r="O27" i="13"/>
  <c r="AF26" i="13"/>
  <c r="AA26" i="13"/>
  <c r="O26" i="13"/>
  <c r="AF25" i="13"/>
  <c r="AA25" i="13"/>
  <c r="O25" i="13"/>
  <c r="AF24" i="13"/>
  <c r="AA24" i="13"/>
  <c r="O24" i="13"/>
  <c r="AF23" i="13"/>
  <c r="AA23" i="13"/>
  <c r="O23" i="13"/>
  <c r="AF22" i="13"/>
  <c r="AA22" i="13"/>
  <c r="O22" i="13"/>
  <c r="AF21" i="13"/>
  <c r="AA21" i="13"/>
  <c r="O21" i="13"/>
  <c r="AF20" i="13"/>
  <c r="AA20" i="13"/>
  <c r="O20" i="13"/>
  <c r="AF19" i="13"/>
  <c r="AA19" i="13"/>
  <c r="O19" i="13"/>
  <c r="AF18" i="13"/>
  <c r="AA18" i="13"/>
  <c r="O18" i="13"/>
  <c r="AF17" i="13"/>
  <c r="AA17" i="13"/>
  <c r="O17" i="13"/>
  <c r="AF16" i="13"/>
  <c r="AA16" i="13"/>
  <c r="O16" i="13"/>
  <c r="AF15" i="13"/>
  <c r="AA15" i="13"/>
  <c r="O15" i="13"/>
  <c r="AF14" i="13"/>
  <c r="AA14" i="13"/>
  <c r="O14" i="13"/>
  <c r="AF13" i="13"/>
  <c r="AA13" i="13"/>
  <c r="O13" i="13"/>
  <c r="AF12" i="13"/>
  <c r="AA12" i="13"/>
  <c r="O12" i="13"/>
  <c r="AF11" i="13"/>
  <c r="AA11" i="13"/>
  <c r="O11" i="13"/>
  <c r="AF10" i="13"/>
  <c r="AA10" i="13"/>
  <c r="O10" i="13"/>
  <c r="AF9" i="13"/>
  <c r="AA9" i="13"/>
  <c r="O9" i="13"/>
  <c r="AF8" i="13"/>
  <c r="AA8" i="13"/>
  <c r="O8" i="13"/>
  <c r="AF7" i="13"/>
  <c r="AA7" i="13"/>
  <c r="O7" i="13"/>
  <c r="AF6" i="13"/>
  <c r="AA6" i="13"/>
  <c r="O6" i="13"/>
  <c r="B3" i="13"/>
  <c r="C74" i="4"/>
  <c r="C72" i="4"/>
  <c r="C73" i="4" s="1"/>
  <c r="D71" i="4"/>
  <c r="E71" i="4" s="1"/>
  <c r="D70" i="4"/>
  <c r="E70" i="4" s="1"/>
  <c r="D70" i="9"/>
  <c r="E70" i="9" s="1"/>
  <c r="C73" i="9"/>
  <c r="D69" i="9"/>
  <c r="E69" i="9" s="1"/>
  <c r="V65" i="17" l="1"/>
  <c r="V69" i="17"/>
  <c r="V65" i="16"/>
  <c r="R65" i="16"/>
  <c r="X65" i="15"/>
  <c r="X65" i="17"/>
  <c r="R69" i="13"/>
  <c r="S69" i="13"/>
  <c r="T69" i="13"/>
  <c r="U69" i="13"/>
  <c r="Q69" i="13"/>
  <c r="V69" i="13"/>
  <c r="W69" i="13"/>
  <c r="X69" i="13"/>
  <c r="R65" i="17"/>
  <c r="V65" i="14"/>
  <c r="P65" i="14"/>
  <c r="P65" i="13"/>
  <c r="P69" i="13"/>
  <c r="R65" i="13"/>
  <c r="T65" i="13"/>
  <c r="P65" i="16"/>
  <c r="T65" i="17"/>
  <c r="I65" i="14"/>
  <c r="P65" i="15"/>
  <c r="V65" i="15"/>
  <c r="X65" i="14"/>
  <c r="T65" i="15"/>
  <c r="T65" i="16"/>
  <c r="I65" i="17"/>
  <c r="AF64" i="14"/>
  <c r="AF64" i="17"/>
  <c r="AA64" i="17"/>
  <c r="X65" i="16"/>
  <c r="P65" i="17"/>
  <c r="V65" i="13"/>
  <c r="R65" i="14"/>
  <c r="AF64" i="15"/>
  <c r="I65" i="15"/>
  <c r="O64" i="16"/>
  <c r="X65" i="13"/>
  <c r="T65" i="14"/>
  <c r="AA64" i="14"/>
  <c r="O64" i="17"/>
  <c r="J66" i="14"/>
  <c r="AA64" i="16"/>
  <c r="O64" i="14"/>
  <c r="AF64" i="16"/>
  <c r="O64" i="15"/>
  <c r="AA64" i="15"/>
  <c r="L66" i="17"/>
  <c r="I65" i="16"/>
  <c r="K66" i="15"/>
  <c r="O64" i="13"/>
  <c r="I65" i="13"/>
  <c r="AA64" i="13"/>
  <c r="AF64" i="13"/>
  <c r="L66" i="13"/>
  <c r="Z64" i="9" l="1"/>
  <c r="Z65" i="9" s="1"/>
  <c r="Y64" i="9"/>
  <c r="Y70" i="9" s="1"/>
  <c r="X64" i="9"/>
  <c r="X70" i="9" s="1"/>
  <c r="W64" i="9"/>
  <c r="W70" i="9" s="1"/>
  <c r="V64" i="9"/>
  <c r="V70" i="9" s="1"/>
  <c r="U64" i="9"/>
  <c r="U70" i="9" s="1"/>
  <c r="T64" i="9"/>
  <c r="T70" i="9" s="1"/>
  <c r="S64" i="9"/>
  <c r="S70" i="9" s="1"/>
  <c r="R64" i="9"/>
  <c r="R70" i="9" s="1"/>
  <c r="Q64" i="9"/>
  <c r="Q70" i="9" s="1"/>
  <c r="P64" i="9"/>
  <c r="P70" i="9" s="1"/>
  <c r="N64" i="9"/>
  <c r="N66" i="9" s="1"/>
  <c r="M64" i="9"/>
  <c r="M66" i="9" s="1"/>
  <c r="L64" i="9"/>
  <c r="L66" i="9" s="1"/>
  <c r="K64" i="9"/>
  <c r="K66" i="9" s="1"/>
  <c r="J64" i="9"/>
  <c r="J66" i="9" s="1"/>
  <c r="I64" i="9"/>
  <c r="AF63" i="9"/>
  <c r="AA63" i="9"/>
  <c r="O63" i="9"/>
  <c r="AF62" i="9"/>
  <c r="AA62" i="9"/>
  <c r="O62" i="9"/>
  <c r="AF61" i="9"/>
  <c r="AA61" i="9"/>
  <c r="O61" i="9"/>
  <c r="AF60" i="9"/>
  <c r="AA60" i="9"/>
  <c r="O60" i="9"/>
  <c r="AF59" i="9"/>
  <c r="AA59" i="9"/>
  <c r="O59" i="9"/>
  <c r="AF58" i="9"/>
  <c r="AA58" i="9"/>
  <c r="O58" i="9"/>
  <c r="AF57" i="9"/>
  <c r="AA57" i="9"/>
  <c r="O57" i="9"/>
  <c r="AF56" i="9"/>
  <c r="AA56" i="9"/>
  <c r="O56" i="9"/>
  <c r="AF55" i="9"/>
  <c r="AA55" i="9"/>
  <c r="O55" i="9"/>
  <c r="AF54" i="9"/>
  <c r="AA54" i="9"/>
  <c r="O54" i="9"/>
  <c r="AF53" i="9"/>
  <c r="AA53" i="9"/>
  <c r="O53" i="9"/>
  <c r="AF52" i="9"/>
  <c r="AA52" i="9"/>
  <c r="O52" i="9"/>
  <c r="AF51" i="9"/>
  <c r="AA51" i="9"/>
  <c r="O51" i="9"/>
  <c r="AF50" i="9"/>
  <c r="AA50" i="9"/>
  <c r="O50" i="9"/>
  <c r="AF49" i="9"/>
  <c r="AA49" i="9"/>
  <c r="O49" i="9"/>
  <c r="AF48" i="9"/>
  <c r="AA48" i="9"/>
  <c r="O48" i="9"/>
  <c r="AF47" i="9"/>
  <c r="AA47" i="9"/>
  <c r="O47" i="9"/>
  <c r="AF46" i="9"/>
  <c r="AA46" i="9"/>
  <c r="O46" i="9"/>
  <c r="AF45" i="9"/>
  <c r="AA45" i="9"/>
  <c r="O45" i="9"/>
  <c r="AF44" i="9"/>
  <c r="AA44" i="9"/>
  <c r="O44" i="9"/>
  <c r="AF43" i="9"/>
  <c r="AA43" i="9"/>
  <c r="O43" i="9"/>
  <c r="AF42" i="9"/>
  <c r="AA42" i="9"/>
  <c r="O42" i="9"/>
  <c r="AF41" i="9"/>
  <c r="AA41" i="9"/>
  <c r="O41" i="9"/>
  <c r="AF40" i="9"/>
  <c r="AA40" i="9"/>
  <c r="O40" i="9"/>
  <c r="AF39" i="9"/>
  <c r="AA39" i="9"/>
  <c r="O39" i="9"/>
  <c r="AF38" i="9"/>
  <c r="AA38" i="9"/>
  <c r="O38" i="9"/>
  <c r="AF37" i="9"/>
  <c r="AA37" i="9"/>
  <c r="O37" i="9"/>
  <c r="AF36" i="9"/>
  <c r="AA36" i="9"/>
  <c r="O36" i="9"/>
  <c r="AF35" i="9"/>
  <c r="AA35" i="9"/>
  <c r="O35" i="9"/>
  <c r="AF34" i="9"/>
  <c r="AA34" i="9"/>
  <c r="O34" i="9"/>
  <c r="AF33" i="9"/>
  <c r="AA33" i="9"/>
  <c r="O33" i="9"/>
  <c r="AF32" i="9"/>
  <c r="AA32" i="9"/>
  <c r="O32" i="9"/>
  <c r="AF31" i="9"/>
  <c r="AA31" i="9"/>
  <c r="O31" i="9"/>
  <c r="AF30" i="9"/>
  <c r="AA30" i="9"/>
  <c r="O30" i="9"/>
  <c r="AF29" i="9"/>
  <c r="AA29" i="9"/>
  <c r="O29" i="9"/>
  <c r="AF28" i="9"/>
  <c r="AA28" i="9"/>
  <c r="O28" i="9"/>
  <c r="AF27" i="9"/>
  <c r="AA27" i="9"/>
  <c r="O27" i="9"/>
  <c r="AF26" i="9"/>
  <c r="AA26" i="9"/>
  <c r="O26" i="9"/>
  <c r="AF25" i="9"/>
  <c r="AA25" i="9"/>
  <c r="O25" i="9"/>
  <c r="AF24" i="9"/>
  <c r="AA24" i="9"/>
  <c r="O24" i="9"/>
  <c r="AF23" i="9"/>
  <c r="AA23" i="9"/>
  <c r="O23" i="9"/>
  <c r="AF22" i="9"/>
  <c r="AA22" i="9"/>
  <c r="O22" i="9"/>
  <c r="AF21" i="9"/>
  <c r="AA21" i="9"/>
  <c r="O21" i="9"/>
  <c r="AF20" i="9"/>
  <c r="AA20" i="9"/>
  <c r="O20" i="9"/>
  <c r="AF19" i="9"/>
  <c r="AA19" i="9"/>
  <c r="O19" i="9"/>
  <c r="AF18" i="9"/>
  <c r="AA18" i="9"/>
  <c r="O18" i="9"/>
  <c r="AF17" i="9"/>
  <c r="AA17" i="9"/>
  <c r="O17" i="9"/>
  <c r="AF16" i="9"/>
  <c r="AA16" i="9"/>
  <c r="O16" i="9"/>
  <c r="AF15" i="9"/>
  <c r="AA15" i="9"/>
  <c r="O15" i="9"/>
  <c r="AF14" i="9"/>
  <c r="AA14" i="9"/>
  <c r="O14" i="9"/>
  <c r="AF13" i="9"/>
  <c r="AA13" i="9"/>
  <c r="O13" i="9"/>
  <c r="AF12" i="9"/>
  <c r="AA12" i="9"/>
  <c r="O12" i="9"/>
  <c r="AF11" i="9"/>
  <c r="AA11" i="9"/>
  <c r="O11" i="9"/>
  <c r="AF10" i="9"/>
  <c r="AA10" i="9"/>
  <c r="O10" i="9"/>
  <c r="AF9" i="9"/>
  <c r="AA9" i="9"/>
  <c r="O9" i="9"/>
  <c r="AF8" i="9"/>
  <c r="AA8" i="9"/>
  <c r="O8" i="9"/>
  <c r="AF7" i="9"/>
  <c r="AA7" i="9"/>
  <c r="O7" i="9"/>
  <c r="AF6" i="9"/>
  <c r="AA6" i="9"/>
  <c r="O6" i="9"/>
  <c r="B3" i="9"/>
  <c r="T66" i="9" l="1"/>
  <c r="P66" i="9"/>
  <c r="X66" i="9"/>
  <c r="R66" i="9"/>
  <c r="V66" i="9"/>
  <c r="T65" i="9"/>
  <c r="R65" i="9"/>
  <c r="V65" i="9"/>
  <c r="P65" i="9"/>
  <c r="X65" i="9"/>
  <c r="AF64" i="9"/>
  <c r="I65" i="9"/>
  <c r="O64" i="9"/>
  <c r="AA64" i="9"/>
  <c r="AJ64" i="4"/>
  <c r="AJ65" i="4" s="1"/>
  <c r="AI64" i="4"/>
  <c r="AH64" i="4"/>
  <c r="AG64" i="4"/>
  <c r="AF64" i="4"/>
  <c r="AF65" i="4" s="1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R65" i="4" s="1"/>
  <c r="Q64" i="4"/>
  <c r="P64" i="4"/>
  <c r="N64" i="4"/>
  <c r="N66" i="4" s="1"/>
  <c r="M64" i="4"/>
  <c r="M66" i="4" s="1"/>
  <c r="L64" i="4"/>
  <c r="L66" i="4" s="1"/>
  <c r="K64" i="4"/>
  <c r="K66" i="4" s="1"/>
  <c r="J64" i="4"/>
  <c r="J66" i="4" s="1"/>
  <c r="I64" i="4"/>
  <c r="AP63" i="4"/>
  <c r="AK63" i="4"/>
  <c r="O63" i="4"/>
  <c r="AP62" i="4"/>
  <c r="AK62" i="4"/>
  <c r="O62" i="4"/>
  <c r="AP61" i="4"/>
  <c r="AK61" i="4"/>
  <c r="O61" i="4"/>
  <c r="AP60" i="4"/>
  <c r="AK60" i="4"/>
  <c r="O60" i="4"/>
  <c r="AP59" i="4"/>
  <c r="AK59" i="4"/>
  <c r="O59" i="4"/>
  <c r="AP58" i="4"/>
  <c r="AK58" i="4"/>
  <c r="O58" i="4"/>
  <c r="AP57" i="4"/>
  <c r="AK57" i="4"/>
  <c r="O57" i="4"/>
  <c r="AP56" i="4"/>
  <c r="AK56" i="4"/>
  <c r="O56" i="4"/>
  <c r="AP55" i="4"/>
  <c r="AK55" i="4"/>
  <c r="O55" i="4"/>
  <c r="AP54" i="4"/>
  <c r="AK54" i="4"/>
  <c r="O54" i="4"/>
  <c r="AP53" i="4"/>
  <c r="AK53" i="4"/>
  <c r="O53" i="4"/>
  <c r="AP52" i="4"/>
  <c r="AK52" i="4"/>
  <c r="O52" i="4"/>
  <c r="AP51" i="4"/>
  <c r="AK51" i="4"/>
  <c r="O51" i="4"/>
  <c r="AP50" i="4"/>
  <c r="AK50" i="4"/>
  <c r="O50" i="4"/>
  <c r="AP49" i="4"/>
  <c r="AK49" i="4"/>
  <c r="O49" i="4"/>
  <c r="AP48" i="4"/>
  <c r="AK48" i="4"/>
  <c r="O48" i="4"/>
  <c r="AP47" i="4"/>
  <c r="AK47" i="4"/>
  <c r="O47" i="4"/>
  <c r="AP46" i="4"/>
  <c r="AK46" i="4"/>
  <c r="O46" i="4"/>
  <c r="AP45" i="4"/>
  <c r="AK45" i="4"/>
  <c r="O45" i="4"/>
  <c r="AP44" i="4"/>
  <c r="AK44" i="4"/>
  <c r="O44" i="4"/>
  <c r="AP43" i="4"/>
  <c r="AK43" i="4"/>
  <c r="O43" i="4"/>
  <c r="AP42" i="4"/>
  <c r="AK42" i="4"/>
  <c r="O42" i="4"/>
  <c r="AP41" i="4"/>
  <c r="AK41" i="4"/>
  <c r="O41" i="4"/>
  <c r="AP40" i="4"/>
  <c r="AK40" i="4"/>
  <c r="O40" i="4"/>
  <c r="AP39" i="4"/>
  <c r="AK39" i="4"/>
  <c r="O39" i="4"/>
  <c r="AP38" i="4"/>
  <c r="AK38" i="4"/>
  <c r="O38" i="4"/>
  <c r="AP37" i="4"/>
  <c r="AK37" i="4"/>
  <c r="O37" i="4"/>
  <c r="AP36" i="4"/>
  <c r="AK36" i="4"/>
  <c r="O36" i="4"/>
  <c r="AP35" i="4"/>
  <c r="AK35" i="4"/>
  <c r="O35" i="4"/>
  <c r="AP34" i="4"/>
  <c r="AK34" i="4"/>
  <c r="O34" i="4"/>
  <c r="AP33" i="4"/>
  <c r="AK33" i="4"/>
  <c r="O33" i="4"/>
  <c r="AP32" i="4"/>
  <c r="AK32" i="4"/>
  <c r="O32" i="4"/>
  <c r="AP31" i="4"/>
  <c r="AK31" i="4"/>
  <c r="O31" i="4"/>
  <c r="AP30" i="4"/>
  <c r="AK30" i="4"/>
  <c r="O30" i="4"/>
  <c r="AP29" i="4"/>
  <c r="AK29" i="4"/>
  <c r="O29" i="4"/>
  <c r="AP28" i="4"/>
  <c r="AK28" i="4"/>
  <c r="O28" i="4"/>
  <c r="AP27" i="4"/>
  <c r="AK27" i="4"/>
  <c r="O27" i="4"/>
  <c r="AP26" i="4"/>
  <c r="AK26" i="4"/>
  <c r="O26" i="4"/>
  <c r="AP25" i="4"/>
  <c r="AK25" i="4"/>
  <c r="O25" i="4"/>
  <c r="AP24" i="4"/>
  <c r="AK24" i="4"/>
  <c r="O24" i="4"/>
  <c r="AP23" i="4"/>
  <c r="AK23" i="4"/>
  <c r="O23" i="4"/>
  <c r="AP22" i="4"/>
  <c r="AK22" i="4"/>
  <c r="O22" i="4"/>
  <c r="AP21" i="4"/>
  <c r="AK21" i="4"/>
  <c r="O21" i="4"/>
  <c r="AP20" i="4"/>
  <c r="AK20" i="4"/>
  <c r="O20" i="4"/>
  <c r="AP19" i="4"/>
  <c r="AK19" i="4"/>
  <c r="O19" i="4"/>
  <c r="AP18" i="4"/>
  <c r="AK18" i="4"/>
  <c r="O18" i="4"/>
  <c r="AP17" i="4"/>
  <c r="AK17" i="4"/>
  <c r="O17" i="4"/>
  <c r="AP16" i="4"/>
  <c r="AK16" i="4"/>
  <c r="O16" i="4"/>
  <c r="AP15" i="4"/>
  <c r="AK15" i="4"/>
  <c r="O15" i="4"/>
  <c r="AP14" i="4"/>
  <c r="AK14" i="4"/>
  <c r="O14" i="4"/>
  <c r="AP13" i="4"/>
  <c r="AK13" i="4"/>
  <c r="O13" i="4"/>
  <c r="AP12" i="4"/>
  <c r="AK12" i="4"/>
  <c r="O12" i="4"/>
  <c r="AP11" i="4"/>
  <c r="AK11" i="4"/>
  <c r="O11" i="4"/>
  <c r="AP10" i="4"/>
  <c r="AK10" i="4"/>
  <c r="O10" i="4"/>
  <c r="AP9" i="4"/>
  <c r="AK9" i="4"/>
  <c r="O9" i="4"/>
  <c r="AP8" i="4"/>
  <c r="AK8" i="4"/>
  <c r="O8" i="4"/>
  <c r="AP7" i="4"/>
  <c r="AK7" i="4"/>
  <c r="O7" i="4"/>
  <c r="AP6" i="4"/>
  <c r="AK6" i="4"/>
  <c r="O6" i="4"/>
  <c r="B3" i="4"/>
  <c r="T65" i="4" l="1"/>
  <c r="AH65" i="4"/>
  <c r="AD65" i="4"/>
  <c r="V65" i="4"/>
  <c r="X65" i="4"/>
  <c r="AP64" i="4"/>
  <c r="AK64" i="4"/>
  <c r="I65" i="4"/>
  <c r="Z65" i="4"/>
  <c r="O64" i="4"/>
  <c r="P65" i="4"/>
  <c r="AB65" i="4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" i="1" l="1"/>
  <c r="AP64" i="1" l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AB64" i="1" l="1"/>
  <c r="AC64" i="1"/>
  <c r="AD64" i="1"/>
  <c r="AE64" i="1"/>
  <c r="AF64" i="1"/>
  <c r="AG64" i="1"/>
  <c r="AH64" i="1"/>
  <c r="AI64" i="1"/>
  <c r="L64" i="1"/>
  <c r="M64" i="1"/>
  <c r="N64" i="1"/>
  <c r="O18" i="1"/>
  <c r="B3" i="1"/>
  <c r="AK16" i="1" l="1"/>
  <c r="AK15" i="1"/>
  <c r="O17" i="1"/>
  <c r="AK17" i="1"/>
  <c r="AK14" i="1"/>
  <c r="AK13" i="1"/>
  <c r="AK12" i="1"/>
  <c r="AK11" i="1"/>
  <c r="AK22" i="1"/>
  <c r="AK10" i="1"/>
  <c r="AK21" i="1"/>
  <c r="AK9" i="1"/>
  <c r="AK20" i="1"/>
  <c r="AK8" i="1"/>
  <c r="AK18" i="1"/>
  <c r="AK6" i="1"/>
  <c r="AK19" i="1"/>
  <c r="AK7" i="1"/>
  <c r="O15" i="1"/>
  <c r="O14" i="1"/>
  <c r="O10" i="1"/>
  <c r="O22" i="1"/>
  <c r="O9" i="1"/>
  <c r="O21" i="1"/>
  <c r="O8" i="1"/>
  <c r="O13" i="1"/>
  <c r="O20" i="1"/>
  <c r="O7" i="1"/>
  <c r="O12" i="1"/>
  <c r="O11" i="1"/>
  <c r="O6" i="1"/>
  <c r="O19" i="1"/>
  <c r="K64" i="1"/>
  <c r="O16" i="1"/>
  <c r="AB65" i="1"/>
  <c r="AJ64" i="1"/>
  <c r="AJ65" i="1" s="1"/>
  <c r="AH65" i="1"/>
  <c r="I64" i="1"/>
  <c r="AF65" i="1"/>
  <c r="J64" i="1"/>
  <c r="AD65" i="1"/>
  <c r="P64" i="1"/>
  <c r="Q64" i="1"/>
  <c r="T64" i="1"/>
  <c r="Z64" i="1"/>
  <c r="Y64" i="1"/>
  <c r="X64" i="1"/>
  <c r="W64" i="1"/>
  <c r="R64" i="1"/>
  <c r="S64" i="1"/>
  <c r="U64" i="1"/>
  <c r="V64" i="1"/>
  <c r="AA64" i="1"/>
  <c r="R65" i="1" l="1"/>
  <c r="I65" i="1"/>
  <c r="AK64" i="1"/>
  <c r="V65" i="1"/>
  <c r="P65" i="1"/>
  <c r="X65" i="1"/>
  <c r="Z65" i="1"/>
  <c r="T65" i="1"/>
  <c r="O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210726</t>
        </r>
      </text>
    </comment>
    <comment ref="AJ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Ajuste con Miguel</t>
        </r>
      </text>
    </comment>
    <comment ref="AJ2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Ajuste con Miguel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  <author>Auxiliar Planeacion Ramos</author>
  </authors>
  <commentList>
    <comment ref="J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210726</t>
        </r>
      </text>
    </comment>
    <comment ref="D77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No hubo empaque de DAIKIN, por lo cual se queda con el avance del 9% del 27/07/2026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  <author>Auxiliar Planeacion Ramos</author>
  </authors>
  <commentList>
    <comment ref="J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Atraso W30</t>
        </r>
      </text>
    </comment>
    <comment ref="Z21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210726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210726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210726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210726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210726</t>
        </r>
      </text>
    </comment>
    <comment ref="Z2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 xml:space="preserve">EZO
</t>
        </r>
      </text>
    </comment>
    <comment ref="Z30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 xml:space="preserve">EZO
</t>
        </r>
      </text>
    </comment>
    <comment ref="Z48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MIGUEL</t>
        </r>
      </text>
    </comment>
    <comment ref="Z50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 xml:space="preserve">EZO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10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210726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10" authorId="0" shapeId="0" xr:uid="{C050ED28-E210-4BF5-BD09-8BC3F8278172}">
      <text>
        <r>
          <rPr>
            <b/>
            <sz val="9"/>
            <color indexed="81"/>
            <rFont val="Tahoma"/>
            <family val="2"/>
          </rPr>
          <t>210726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J10" authorId="0" shapeId="0" xr:uid="{2E3686C4-35A1-4420-A71C-F38486B5BAD8}">
      <text>
        <r>
          <rPr>
            <b/>
            <sz val="9"/>
            <color indexed="81"/>
            <rFont val="Tahoma"/>
            <family val="2"/>
          </rPr>
          <t>210726</t>
        </r>
      </text>
    </comment>
  </commentList>
</comments>
</file>

<file path=xl/sharedStrings.xml><?xml version="1.0" encoding="utf-8"?>
<sst xmlns="http://schemas.openxmlformats.org/spreadsheetml/2006/main" count="5601" uniqueCount="167">
  <si>
    <t>CLIENTE</t>
  </si>
  <si>
    <t>DIAMETRO</t>
  </si>
  <si>
    <t>PARED</t>
  </si>
  <si>
    <t>PESO</t>
  </si>
  <si>
    <t>PROGRAMA</t>
  </si>
  <si>
    <t>SEMANA</t>
  </si>
  <si>
    <t>DESTINO</t>
  </si>
  <si>
    <t>NÚMERO DE PARTE</t>
  </si>
  <si>
    <t>KG</t>
  </si>
  <si>
    <t>Ag2</t>
  </si>
  <si>
    <t>Ag1</t>
  </si>
  <si>
    <t>Ag3</t>
  </si>
  <si>
    <t>Ag4</t>
  </si>
  <si>
    <t>Ag5</t>
  </si>
  <si>
    <t>BALANCE</t>
  </si>
  <si>
    <t>A</t>
  </si>
  <si>
    <t>B</t>
  </si>
  <si>
    <t>DÍA</t>
  </si>
  <si>
    <t>TURNO</t>
  </si>
  <si>
    <t>TOTAL</t>
  </si>
  <si>
    <t>AYB</t>
  </si>
  <si>
    <t>MAS AGREGADO</t>
  </si>
  <si>
    <t>CAJA</t>
  </si>
  <si>
    <t>HOJA COLOR</t>
  </si>
  <si>
    <t>CANT. X CAJA</t>
  </si>
  <si>
    <t>12.5X12.5X12.5</t>
  </si>
  <si>
    <t>12.5x12.5x12.5</t>
  </si>
  <si>
    <t>25x20x12.5</t>
  </si>
  <si>
    <t>TOTAL CAJAS</t>
  </si>
  <si>
    <t>Row Labels</t>
  </si>
  <si>
    <t>Grand Total</t>
  </si>
  <si>
    <t>Sum of TOTAL CAJAS</t>
  </si>
  <si>
    <t>PRECIO</t>
  </si>
  <si>
    <t>DAIKIN</t>
  </si>
  <si>
    <t>SLP</t>
  </si>
  <si>
    <t>4P617472-1</t>
  </si>
  <si>
    <t>4P666279-1</t>
  </si>
  <si>
    <t>4P665998-1</t>
  </si>
  <si>
    <t>4P555172-1</t>
  </si>
  <si>
    <t>4P666768-1</t>
  </si>
  <si>
    <t>4P555172-2</t>
  </si>
  <si>
    <t>4P503730-1</t>
  </si>
  <si>
    <t>4P671651-1</t>
  </si>
  <si>
    <t>4P671666-1</t>
  </si>
  <si>
    <t>4P557739-1</t>
  </si>
  <si>
    <t>4P666772-1</t>
  </si>
  <si>
    <t>3P490023-1</t>
  </si>
  <si>
    <t>4P546961-1</t>
  </si>
  <si>
    <t>3P490024-1</t>
  </si>
  <si>
    <t>4P666833-1</t>
  </si>
  <si>
    <t>4P667309-1</t>
  </si>
  <si>
    <t>3P666815-1</t>
  </si>
  <si>
    <t>4P659797-1</t>
  </si>
  <si>
    <t>4P661680-1</t>
  </si>
  <si>
    <t>4P659994-1</t>
  </si>
  <si>
    <t>4P490052-1</t>
  </si>
  <si>
    <t>4P490051-1</t>
  </si>
  <si>
    <t>7mm</t>
  </si>
  <si>
    <t>4P642427-1</t>
  </si>
  <si>
    <t>4P617378-1</t>
  </si>
  <si>
    <t>4P617381-1</t>
  </si>
  <si>
    <t>4P622839-1</t>
  </si>
  <si>
    <t>4P530191-1</t>
  </si>
  <si>
    <t>4P527161-1</t>
  </si>
  <si>
    <t>4P558159-1</t>
  </si>
  <si>
    <t>4P558244-1</t>
  </si>
  <si>
    <t>4P526971-1</t>
  </si>
  <si>
    <t>4P642244-1</t>
  </si>
  <si>
    <t>4P627528-1</t>
  </si>
  <si>
    <t>4P632207-1</t>
  </si>
  <si>
    <t>4P632210-1</t>
  </si>
  <si>
    <t>4P632221-1</t>
  </si>
  <si>
    <t>4P372831-1</t>
  </si>
  <si>
    <t>4P632007-3</t>
  </si>
  <si>
    <t>4P632220-1</t>
  </si>
  <si>
    <t>3P701491-1</t>
  </si>
  <si>
    <t>3P701487-1</t>
  </si>
  <si>
    <t>4P701497-1</t>
  </si>
  <si>
    <t>4P701495-1</t>
  </si>
  <si>
    <t>4P620753-1</t>
  </si>
  <si>
    <t>4P524842-1</t>
  </si>
  <si>
    <t>4P524825-1</t>
  </si>
  <si>
    <t>4P524844-1</t>
  </si>
  <si>
    <t>4P524821-1</t>
  </si>
  <si>
    <t>4P627503-1</t>
  </si>
  <si>
    <t>4P545975-1</t>
  </si>
  <si>
    <t>4P547956-1</t>
  </si>
  <si>
    <t>4P627490-1</t>
  </si>
  <si>
    <t>4P527124-1</t>
  </si>
  <si>
    <t>4P620774-1</t>
  </si>
  <si>
    <t>4P632560-1</t>
  </si>
  <si>
    <t>4P304692-1</t>
  </si>
  <si>
    <t>4P299934-1</t>
  </si>
  <si>
    <t>4P304689-1</t>
  </si>
  <si>
    <t>USA</t>
  </si>
  <si>
    <t>30x20x7</t>
  </si>
  <si>
    <t>44 7/16x41 3/8x12</t>
  </si>
  <si>
    <t>42x42x24</t>
  </si>
  <si>
    <t>HEADERS</t>
  </si>
  <si>
    <t>INDIVIDUALES</t>
  </si>
  <si>
    <t>IND. / HEAD</t>
  </si>
  <si>
    <t>BLANCO</t>
  </si>
  <si>
    <t>AMARILLO</t>
  </si>
  <si>
    <t>x</t>
  </si>
  <si>
    <t>REPORTE DE PIEZAS ENTREGADAS DAIKIN (EMPAQUE)</t>
  </si>
  <si>
    <t xml:space="preserve">FECHA: </t>
  </si>
  <si>
    <t>LÍNEA:</t>
  </si>
  <si>
    <t>TURNO:</t>
  </si>
  <si>
    <t>COORDINADOR:</t>
  </si>
  <si>
    <t>CANTIDAD</t>
  </si>
  <si>
    <t>REPORTE DE PIEZAS - MÁQUINAS INTEGRADORAS (HELIAN)</t>
  </si>
  <si>
    <t>META</t>
  </si>
  <si>
    <t>X DÍA</t>
  </si>
  <si>
    <t>X TURNO</t>
  </si>
  <si>
    <t>programado</t>
  </si>
  <si>
    <t>pendiente / balance</t>
  </si>
  <si>
    <t>entregado</t>
  </si>
  <si>
    <t>avance</t>
  </si>
  <si>
    <t>pendiente</t>
  </si>
  <si>
    <t>Convertirlo a horas</t>
  </si>
  <si>
    <t xml:space="preserve">AVANCE </t>
  </si>
  <si>
    <t>PENDIENTE</t>
  </si>
  <si>
    <t>Lunes</t>
  </si>
  <si>
    <t>Martes</t>
  </si>
  <si>
    <t>Miércoles</t>
  </si>
  <si>
    <t>Jueves</t>
  </si>
  <si>
    <t>Viernes</t>
  </si>
  <si>
    <t>Sábado</t>
  </si>
  <si>
    <t xml:space="preserve">Viernes </t>
  </si>
  <si>
    <r>
      <t xml:space="preserve">PORCENTAJES DE AVANCES AL </t>
    </r>
    <r>
      <rPr>
        <b/>
        <sz val="11"/>
        <color theme="1"/>
        <rFont val="Calibri"/>
        <family val="2"/>
        <scheme val="minor"/>
      </rPr>
      <t>FINALIZAR</t>
    </r>
    <r>
      <rPr>
        <sz val="11"/>
        <color theme="1"/>
        <rFont val="Calibri"/>
        <family val="2"/>
        <scheme val="minor"/>
      </rPr>
      <t xml:space="preserve"> AMBOS </t>
    </r>
    <r>
      <rPr>
        <b/>
        <sz val="11"/>
        <color theme="1"/>
        <rFont val="Calibri"/>
        <family val="2"/>
        <scheme val="minor"/>
      </rPr>
      <t>TURNOS</t>
    </r>
    <r>
      <rPr>
        <sz val="11"/>
        <color theme="1"/>
        <rFont val="Calibri"/>
        <family val="2"/>
        <scheme val="minor"/>
      </rPr>
      <t xml:space="preserve"> </t>
    </r>
  </si>
  <si>
    <t xml:space="preserve"> W31</t>
  </si>
  <si>
    <t xml:space="preserve">A </t>
  </si>
  <si>
    <t xml:space="preserve">Jueves </t>
  </si>
  <si>
    <t>W31</t>
  </si>
  <si>
    <t xml:space="preserve">Avance </t>
  </si>
  <si>
    <t xml:space="preserve">Pendiente </t>
  </si>
  <si>
    <t>AVANCE X DÍA</t>
  </si>
  <si>
    <r>
      <t xml:space="preserve">PORCENTAJES DE AVANCES AL </t>
    </r>
    <r>
      <rPr>
        <b/>
        <sz val="11"/>
        <color theme="1"/>
        <rFont val="Calibri"/>
        <family val="2"/>
        <scheme val="minor"/>
      </rPr>
      <t>FINALIZAR</t>
    </r>
    <r>
      <rPr>
        <sz val="11"/>
        <color theme="1"/>
        <rFont val="Calibri"/>
        <family val="2"/>
        <scheme val="minor"/>
      </rPr>
      <t xml:space="preserve"> AMBOS </t>
    </r>
    <r>
      <rPr>
        <b/>
        <sz val="11"/>
        <color theme="1"/>
        <rFont val="Calibri"/>
        <family val="2"/>
        <scheme val="minor"/>
      </rPr>
      <t xml:space="preserve">TURNOS </t>
    </r>
  </si>
  <si>
    <t>W34</t>
  </si>
  <si>
    <t>S34</t>
  </si>
  <si>
    <t>S35</t>
  </si>
  <si>
    <t>W35</t>
  </si>
  <si>
    <t>W36</t>
  </si>
  <si>
    <t>W37</t>
  </si>
  <si>
    <t>S36</t>
  </si>
  <si>
    <t>COMPROMISO</t>
  </si>
  <si>
    <t>CERRAR LENNOX 37</t>
  </si>
  <si>
    <t>DAIKIN EUA 4792</t>
  </si>
  <si>
    <t>REVISAR LA 9994 SI SE DEBE</t>
  </si>
  <si>
    <t>38  Y 39</t>
  </si>
  <si>
    <t>NO SE PRODIUCE RHEEM</t>
  </si>
  <si>
    <t>EN LA 40 ME DICES QUE SE OCUPA</t>
  </si>
  <si>
    <t>LOS PICOS QUE SALGAN HACERLOS TU</t>
  </si>
  <si>
    <t>Mandar correo a rogelio</t>
  </si>
  <si>
    <t xml:space="preserve">y a rodolfo </t>
  </si>
  <si>
    <t>plan de recuperación de la semana 37</t>
  </si>
  <si>
    <t>y que se pongan al día con la 38</t>
  </si>
  <si>
    <t>jorges copia</t>
  </si>
  <si>
    <t>W38</t>
  </si>
  <si>
    <t>S37</t>
  </si>
  <si>
    <t>prioridad</t>
  </si>
  <si>
    <t>FESTIVO</t>
  </si>
  <si>
    <t>W39</t>
  </si>
  <si>
    <t>PARO PROGRAMADO</t>
  </si>
  <si>
    <t>EUAS39</t>
  </si>
  <si>
    <t xml:space="preserve">	
FO-CP-03</t>
  </si>
  <si>
    <t>W42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</si>
</sst>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dd/mm/yy;@"/>
    <numFmt numFmtId="167" formatCode="#\ ???/???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3" fontId="0" fillId="0" borderId="1" xfId="0" applyNumberFormat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4" borderId="0" xfId="0" applyFill="1"/>
    <xf numFmtId="0" fontId="10" fillId="4" borderId="0" xfId="0" applyFont="1" applyFill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9" fontId="0" fillId="4" borderId="0" xfId="2" applyFont="1" applyFill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3" fontId="12" fillId="9" borderId="1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0" fontId="12" fillId="9" borderId="0" xfId="0" applyFont="1" applyFill="1"/>
    <xf numFmtId="0" fontId="12" fillId="9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166" fontId="2" fillId="6" borderId="9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3" fontId="12" fillId="4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2" fillId="4" borderId="0" xfId="0" applyFont="1" applyFill="1"/>
    <xf numFmtId="0" fontId="12" fillId="4" borderId="0" xfId="0" applyFont="1" applyFill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0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FEE0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34F62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3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4F62A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BALANCE%20DAIKIN%20SLP,%20EUA.xlsx" TargetMode="External"/><Relationship Id="rId2" Type="http://schemas.openxmlformats.org/officeDocument/2006/relationships/hyperlink" Target="BALANCE%20RHEEM%20TRANSFERENCIA,%20FALCON,%20CIP,%20NIPLES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LENNOX%201.xlsx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BALANCE%20DAIKIN%20SLP,%20EUA.xlsx" TargetMode="External"/><Relationship Id="rId2" Type="http://schemas.openxmlformats.org/officeDocument/2006/relationships/hyperlink" Target="BALANCE%20RHEEM%20TRANSFERENCIA,%20FALCON,%20CIP,%20NIPLES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LENNOX%201.xlsx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BALANCE%20DAIKIN%20SLP,%20EUA.xlsx" TargetMode="External"/><Relationship Id="rId2" Type="http://schemas.openxmlformats.org/officeDocument/2006/relationships/hyperlink" Target="BALANCE%20RHEEM%20TRANSFERENCIA,%20FALCON,%20CIP,%20NIPLES.xlsx" TargetMode="External"/><Relationship Id="rId1" Type="http://schemas.openxmlformats.org/officeDocument/2006/relationships/hyperlink" Target="BALANCE%20MTY.xlsx" TargetMode="External"/><Relationship Id="rId4" Type="http://schemas.openxmlformats.org/officeDocument/2006/relationships/hyperlink" Target="BALANCE%20LENNOX%201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364598</xdr:colOff>
      <xdr:row>0</xdr:row>
      <xdr:rowOff>156576</xdr:rowOff>
    </xdr:from>
    <xdr:to>
      <xdr:col>14</xdr:col>
      <xdr:colOff>386592</xdr:colOff>
      <xdr:row>3</xdr:row>
      <xdr:rowOff>181738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1F3E68-C998-4079-9732-D89798326947}"/>
            </a:ext>
          </a:extLst>
        </xdr:cNvPr>
        <xdr:cNvSpPr/>
      </xdr:nvSpPr>
      <xdr:spPr>
        <a:xfrm>
          <a:off x="7162577" y="156576"/>
          <a:ext cx="2122714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3</xdr:col>
      <xdr:colOff>1027431</xdr:colOff>
      <xdr:row>0</xdr:row>
      <xdr:rowOff>183787</xdr:rowOff>
    </xdr:from>
    <xdr:to>
      <xdr:col>6</xdr:col>
      <xdr:colOff>201310</xdr:colOff>
      <xdr:row>4</xdr:row>
      <xdr:rowOff>15951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BB1B08-715D-495E-9055-0D8C907D0A5B}"/>
            </a:ext>
          </a:extLst>
        </xdr:cNvPr>
        <xdr:cNvSpPr/>
      </xdr:nvSpPr>
      <xdr:spPr>
        <a:xfrm>
          <a:off x="4876575" y="183787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1</xdr:col>
      <xdr:colOff>1898475</xdr:colOff>
      <xdr:row>0</xdr:row>
      <xdr:rowOff>170179</xdr:rowOff>
    </xdr:from>
    <xdr:to>
      <xdr:col>3</xdr:col>
      <xdr:colOff>850538</xdr:colOff>
      <xdr:row>3</xdr:row>
      <xdr:rowOff>195341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A5E00C-6238-402C-B345-EC30FBA68CF3}"/>
            </a:ext>
          </a:extLst>
        </xdr:cNvPr>
        <xdr:cNvSpPr/>
      </xdr:nvSpPr>
      <xdr:spPr>
        <a:xfrm>
          <a:off x="2576968" y="170179"/>
          <a:ext cx="2122714" cy="612320"/>
        </a:xfrm>
        <a:prstGeom prst="roundRect">
          <a:avLst/>
        </a:prstGeom>
        <a:solidFill>
          <a:srgbClr val="002060"/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195719</xdr:colOff>
      <xdr:row>0</xdr:row>
      <xdr:rowOff>172900</xdr:rowOff>
    </xdr:from>
    <xdr:to>
      <xdr:col>1</xdr:col>
      <xdr:colOff>1639940</xdr:colOff>
      <xdr:row>4</xdr:row>
      <xdr:rowOff>5064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E2F179-9454-4544-BD72-FDE43FDBA9B4}"/>
            </a:ext>
          </a:extLst>
        </xdr:cNvPr>
        <xdr:cNvSpPr/>
      </xdr:nvSpPr>
      <xdr:spPr>
        <a:xfrm>
          <a:off x="195719" y="172900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364598</xdr:colOff>
      <xdr:row>0</xdr:row>
      <xdr:rowOff>156576</xdr:rowOff>
    </xdr:from>
    <xdr:to>
      <xdr:col>14</xdr:col>
      <xdr:colOff>386592</xdr:colOff>
      <xdr:row>3</xdr:row>
      <xdr:rowOff>181738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937FB7-9A75-4109-B8C9-4F4CAF53EA0F}"/>
            </a:ext>
          </a:extLst>
        </xdr:cNvPr>
        <xdr:cNvSpPr/>
      </xdr:nvSpPr>
      <xdr:spPr>
        <a:xfrm>
          <a:off x="7146398" y="156576"/>
          <a:ext cx="2117494" cy="596662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3</xdr:col>
      <xdr:colOff>1027431</xdr:colOff>
      <xdr:row>0</xdr:row>
      <xdr:rowOff>183787</xdr:rowOff>
    </xdr:from>
    <xdr:to>
      <xdr:col>6</xdr:col>
      <xdr:colOff>201310</xdr:colOff>
      <xdr:row>4</xdr:row>
      <xdr:rowOff>15951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F33AB4-72AB-46D4-9CEC-6DA3F263DAFB}"/>
            </a:ext>
          </a:extLst>
        </xdr:cNvPr>
        <xdr:cNvSpPr/>
      </xdr:nvSpPr>
      <xdr:spPr>
        <a:xfrm>
          <a:off x="4866006" y="183787"/>
          <a:ext cx="2117104" cy="594164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1</xdr:col>
      <xdr:colOff>1898475</xdr:colOff>
      <xdr:row>0</xdr:row>
      <xdr:rowOff>170179</xdr:rowOff>
    </xdr:from>
    <xdr:to>
      <xdr:col>3</xdr:col>
      <xdr:colOff>850538</xdr:colOff>
      <xdr:row>3</xdr:row>
      <xdr:rowOff>195341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904333-FA9F-4755-BE41-91A4CDE7F878}"/>
            </a:ext>
          </a:extLst>
        </xdr:cNvPr>
        <xdr:cNvSpPr/>
      </xdr:nvSpPr>
      <xdr:spPr>
        <a:xfrm>
          <a:off x="2574750" y="170179"/>
          <a:ext cx="2114363" cy="587137"/>
        </a:xfrm>
        <a:prstGeom prst="roundRect">
          <a:avLst/>
        </a:prstGeom>
        <a:solidFill>
          <a:srgbClr val="002060"/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195719</xdr:colOff>
      <xdr:row>0</xdr:row>
      <xdr:rowOff>172900</xdr:rowOff>
    </xdr:from>
    <xdr:to>
      <xdr:col>1</xdr:col>
      <xdr:colOff>1639940</xdr:colOff>
      <xdr:row>4</xdr:row>
      <xdr:rowOff>5064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87ED3B-3282-4D82-9511-4F88EF804270}"/>
            </a:ext>
          </a:extLst>
        </xdr:cNvPr>
        <xdr:cNvSpPr/>
      </xdr:nvSpPr>
      <xdr:spPr>
        <a:xfrm>
          <a:off x="195719" y="172900"/>
          <a:ext cx="2120496" cy="594164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364598</xdr:colOff>
      <xdr:row>0</xdr:row>
      <xdr:rowOff>156576</xdr:rowOff>
    </xdr:from>
    <xdr:to>
      <xdr:col>14</xdr:col>
      <xdr:colOff>386592</xdr:colOff>
      <xdr:row>3</xdr:row>
      <xdr:rowOff>181738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C199C0-B587-4104-9716-60182D8AE705}"/>
            </a:ext>
          </a:extLst>
        </xdr:cNvPr>
        <xdr:cNvSpPr/>
      </xdr:nvSpPr>
      <xdr:spPr>
        <a:xfrm>
          <a:off x="7146398" y="156576"/>
          <a:ext cx="2822344" cy="596662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3</xdr:col>
      <xdr:colOff>1027431</xdr:colOff>
      <xdr:row>0</xdr:row>
      <xdr:rowOff>183787</xdr:rowOff>
    </xdr:from>
    <xdr:to>
      <xdr:col>6</xdr:col>
      <xdr:colOff>201310</xdr:colOff>
      <xdr:row>4</xdr:row>
      <xdr:rowOff>15951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66ED24-C90F-4715-9E4A-CD892523E4CF}"/>
            </a:ext>
          </a:extLst>
        </xdr:cNvPr>
        <xdr:cNvSpPr/>
      </xdr:nvSpPr>
      <xdr:spPr>
        <a:xfrm>
          <a:off x="4866006" y="183787"/>
          <a:ext cx="2117104" cy="594164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1</xdr:col>
      <xdr:colOff>1898475</xdr:colOff>
      <xdr:row>0</xdr:row>
      <xdr:rowOff>170179</xdr:rowOff>
    </xdr:from>
    <xdr:to>
      <xdr:col>3</xdr:col>
      <xdr:colOff>850538</xdr:colOff>
      <xdr:row>3</xdr:row>
      <xdr:rowOff>195341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EAC476-CB79-430E-B0AC-FC4CA769EFFA}"/>
            </a:ext>
          </a:extLst>
        </xdr:cNvPr>
        <xdr:cNvSpPr/>
      </xdr:nvSpPr>
      <xdr:spPr>
        <a:xfrm>
          <a:off x="2574750" y="170179"/>
          <a:ext cx="2114363" cy="587137"/>
        </a:xfrm>
        <a:prstGeom prst="roundRect">
          <a:avLst/>
        </a:prstGeom>
        <a:solidFill>
          <a:srgbClr val="002060"/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0</xdr:col>
      <xdr:colOff>195719</xdr:colOff>
      <xdr:row>0</xdr:row>
      <xdr:rowOff>172900</xdr:rowOff>
    </xdr:from>
    <xdr:to>
      <xdr:col>1</xdr:col>
      <xdr:colOff>1639940</xdr:colOff>
      <xdr:row>4</xdr:row>
      <xdr:rowOff>5064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890A27-6DFC-4287-A773-4673F7B8FB85}"/>
            </a:ext>
          </a:extLst>
        </xdr:cNvPr>
        <xdr:cNvSpPr/>
      </xdr:nvSpPr>
      <xdr:spPr>
        <a:xfrm>
          <a:off x="195719" y="172900"/>
          <a:ext cx="2120496" cy="594164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.cabello\Documents\Donaldo%20Lira\AV-IM-72%20Estandar%20de%20Empaque%20de%20Individuales%20Daikin%20%20Rev05.xlsx" TargetMode="External"/><Relationship Id="rId1" Type="http://schemas.openxmlformats.org/officeDocument/2006/relationships/externalLinkPath" Target="file:///C:\Users\juan.cabello\Documents\Donaldo%20Lira\AV-IM-72%20Estandar%20de%20Empaque%20de%20Individuales%20Daikin%20%20Rev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andar de Empaque Header"/>
      <sheetName val="Estándar de Emp Ind Daiki"/>
    </sheetNames>
    <sheetDataSet>
      <sheetData sheetId="0" refreshError="1"/>
      <sheetData sheetId="1">
        <row r="2">
          <cell r="O2" t="str">
            <v>4P617378-1</v>
          </cell>
          <cell r="P2" t="str">
            <v>INDIVIDUALES</v>
          </cell>
        </row>
        <row r="3">
          <cell r="O3" t="str">
            <v>4P617381-1</v>
          </cell>
          <cell r="P3" t="str">
            <v>INDIVIDUALES</v>
          </cell>
        </row>
        <row r="4">
          <cell r="O4" t="str">
            <v>4P617472-1</v>
          </cell>
          <cell r="P4" t="str">
            <v>INDIVIDUALES</v>
          </cell>
        </row>
        <row r="5">
          <cell r="O5" t="str">
            <v>4P622659-1</v>
          </cell>
          <cell r="P5" t="str">
            <v>INDIVIDUALES</v>
          </cell>
        </row>
        <row r="6">
          <cell r="O6" t="str">
            <v>4P622839-1</v>
          </cell>
          <cell r="P6" t="str">
            <v>INDIVIDUALES</v>
          </cell>
        </row>
        <row r="7">
          <cell r="O7" t="str">
            <v>4P625250-1</v>
          </cell>
          <cell r="P7" t="str">
            <v>INDIVIDUALES</v>
          </cell>
        </row>
        <row r="8">
          <cell r="O8" t="str">
            <v>4P642427-1</v>
          </cell>
          <cell r="P8" t="str">
            <v>INDIVIDUALES</v>
          </cell>
        </row>
        <row r="9">
          <cell r="O9" t="str">
            <v>4P299934-1</v>
          </cell>
          <cell r="P9" t="str">
            <v>INDIVIDUALES</v>
          </cell>
        </row>
        <row r="10">
          <cell r="O10" t="str">
            <v>4P304689-1</v>
          </cell>
          <cell r="P10" t="str">
            <v>INDIVIDUALES</v>
          </cell>
        </row>
        <row r="11">
          <cell r="O11" t="str">
            <v>4P403035-1</v>
          </cell>
          <cell r="P11" t="str">
            <v>INDIVIDUALES</v>
          </cell>
        </row>
        <row r="12">
          <cell r="O12" t="str">
            <v>4P403038-1</v>
          </cell>
          <cell r="P12" t="str">
            <v>INDIVIDUALES</v>
          </cell>
        </row>
        <row r="13">
          <cell r="O13" t="str">
            <v>4P403976-1</v>
          </cell>
          <cell r="P13" t="str">
            <v>INDIVIDUALES</v>
          </cell>
        </row>
        <row r="14">
          <cell r="O14" t="str">
            <v>4P403977-1</v>
          </cell>
          <cell r="P14" t="str">
            <v>INDIVIDUALES</v>
          </cell>
        </row>
        <row r="15">
          <cell r="O15" t="str">
            <v>4P490051-1</v>
          </cell>
          <cell r="P15" t="str">
            <v>INDIVIDUALES</v>
          </cell>
        </row>
        <row r="16">
          <cell r="O16" t="str">
            <v>4P490052-1</v>
          </cell>
          <cell r="P16" t="str">
            <v>INDIVIDUALES</v>
          </cell>
        </row>
        <row r="17">
          <cell r="O17" t="str">
            <v>4P490053-1</v>
          </cell>
          <cell r="P17" t="str">
            <v>INDIVIDUALES</v>
          </cell>
        </row>
        <row r="18">
          <cell r="O18" t="str">
            <v>4P372831-1</v>
          </cell>
          <cell r="P18" t="str">
            <v>INDIVIDUALES</v>
          </cell>
        </row>
        <row r="19">
          <cell r="O19" t="str">
            <v>4P480316-1</v>
          </cell>
          <cell r="P19" t="str">
            <v>INDIVIDUALES</v>
          </cell>
        </row>
        <row r="20">
          <cell r="O20" t="str">
            <v>4P555172-1</v>
          </cell>
          <cell r="P20" t="str">
            <v>INDIVIDUALES</v>
          </cell>
        </row>
        <row r="21">
          <cell r="O21" t="str">
            <v>4P555172-2</v>
          </cell>
          <cell r="P21" t="str">
            <v>INDIVIDUALES</v>
          </cell>
        </row>
        <row r="22">
          <cell r="O22" t="str">
            <v>4P557739-1</v>
          </cell>
          <cell r="P22" t="str">
            <v>INDIVIDUALES</v>
          </cell>
        </row>
        <row r="23">
          <cell r="O23" t="str">
            <v>4P627475-1</v>
          </cell>
          <cell r="P23" t="str">
            <v>INDIVIDUALES</v>
          </cell>
        </row>
        <row r="24">
          <cell r="O24" t="str">
            <v>4P627528-1</v>
          </cell>
          <cell r="P24" t="str">
            <v>INDIVIDUALES</v>
          </cell>
        </row>
        <row r="25">
          <cell r="O25" t="str">
            <v>4P632007-3</v>
          </cell>
          <cell r="P25" t="str">
            <v>INDIVIDUALES</v>
          </cell>
        </row>
        <row r="26">
          <cell r="O26" t="str">
            <v>4P632207-1</v>
          </cell>
          <cell r="P26" t="str">
            <v>INDIVIDUALES</v>
          </cell>
        </row>
        <row r="27">
          <cell r="O27" t="str">
            <v>4P632210-1</v>
          </cell>
          <cell r="P27" t="str">
            <v>INDIVIDUALES</v>
          </cell>
        </row>
        <row r="28">
          <cell r="O28" t="str">
            <v>4P632220-1</v>
          </cell>
          <cell r="P28" t="str">
            <v>INDIVIDUALES</v>
          </cell>
        </row>
        <row r="29">
          <cell r="O29" t="str">
            <v>4P632221-1</v>
          </cell>
          <cell r="P29" t="str">
            <v>INDIVIDUALES</v>
          </cell>
        </row>
        <row r="30">
          <cell r="O30" t="str">
            <v>4P642244-1</v>
          </cell>
          <cell r="P30" t="str">
            <v>INDIVIDUALES</v>
          </cell>
        </row>
        <row r="31">
          <cell r="O31" t="str">
            <v>4P663164-1</v>
          </cell>
          <cell r="P31" t="str">
            <v>INDIVIDUALES</v>
          </cell>
        </row>
        <row r="32">
          <cell r="O32" t="str">
            <v>4P667208-1</v>
          </cell>
          <cell r="P32" t="str">
            <v>INDIVIDUALES</v>
          </cell>
        </row>
        <row r="33">
          <cell r="O33" t="str">
            <v>4P667209-1</v>
          </cell>
          <cell r="P33" t="str">
            <v>INDIVIDUALES</v>
          </cell>
        </row>
        <row r="34">
          <cell r="O34" t="str">
            <v>4P671656-1</v>
          </cell>
          <cell r="P34" t="str">
            <v>INDIVIDUALES</v>
          </cell>
        </row>
        <row r="35">
          <cell r="O35" t="str">
            <v>4P671664-1</v>
          </cell>
          <cell r="P35" t="str">
            <v>INDIVIDUALES</v>
          </cell>
        </row>
        <row r="36">
          <cell r="O36" t="str">
            <v>4P671666-1</v>
          </cell>
          <cell r="P36" t="str">
            <v>INDIVIDUALES</v>
          </cell>
        </row>
        <row r="37">
          <cell r="O37" t="str">
            <v>4P708663-1</v>
          </cell>
          <cell r="P37" t="str">
            <v>INDIVIDUALES</v>
          </cell>
        </row>
        <row r="38">
          <cell r="O38" t="str">
            <v>4P708669-1</v>
          </cell>
          <cell r="P38" t="str">
            <v>INDIVIDUALES</v>
          </cell>
        </row>
        <row r="39">
          <cell r="O39" t="str">
            <v>3P490023-1</v>
          </cell>
          <cell r="P39" t="str">
            <v>INDIVIDUALES</v>
          </cell>
        </row>
        <row r="40">
          <cell r="O40" t="str">
            <v>3P490024-1</v>
          </cell>
          <cell r="P40" t="str">
            <v>INDIVIDUALES</v>
          </cell>
        </row>
        <row r="41">
          <cell r="O41" t="str">
            <v>4P546961-1</v>
          </cell>
          <cell r="P41" t="str">
            <v>INDIVIDUALES</v>
          </cell>
        </row>
        <row r="42">
          <cell r="O42" t="str">
            <v>4P620753-1</v>
          </cell>
          <cell r="P42" t="str">
            <v>INDIVIDUALES</v>
          </cell>
        </row>
        <row r="43">
          <cell r="O43" t="str">
            <v>4P666772-1</v>
          </cell>
          <cell r="P43" t="str">
            <v>INDIVIDUALES</v>
          </cell>
        </row>
        <row r="44">
          <cell r="O44" t="str">
            <v>4P676072-1</v>
          </cell>
          <cell r="P44" t="str">
            <v>INDIVIDUALES</v>
          </cell>
        </row>
        <row r="45">
          <cell r="O45" t="str">
            <v>4P524842-1</v>
          </cell>
          <cell r="P45" t="str">
            <v>INDIVIDUALES</v>
          </cell>
        </row>
        <row r="46">
          <cell r="O46" t="str">
            <v>4P659797-1</v>
          </cell>
          <cell r="P46" t="str">
            <v>INDIVIDUALES</v>
          </cell>
        </row>
        <row r="47">
          <cell r="O47" t="str">
            <v>4P661680-1</v>
          </cell>
          <cell r="P47" t="str">
            <v>INDIVIDUALES</v>
          </cell>
        </row>
        <row r="48">
          <cell r="O48" t="str">
            <v>4P667309-1</v>
          </cell>
          <cell r="P48" t="str">
            <v>INDIVIDUALES</v>
          </cell>
        </row>
        <row r="49">
          <cell r="O49" t="str">
            <v>4P524821-1</v>
          </cell>
          <cell r="P49" t="str">
            <v>INDIVIDUALES</v>
          </cell>
        </row>
        <row r="50">
          <cell r="O50" t="str">
            <v>4P524825-1</v>
          </cell>
          <cell r="P50" t="str">
            <v>INDIVIDUALES</v>
          </cell>
        </row>
        <row r="51">
          <cell r="O51" t="str">
            <v>4P524844-1</v>
          </cell>
          <cell r="P51" t="str">
            <v>INDIVIDUALES</v>
          </cell>
        </row>
        <row r="52">
          <cell r="O52" t="str">
            <v>4P545975-1</v>
          </cell>
          <cell r="P52" t="str">
            <v>INDIVIDUALES</v>
          </cell>
        </row>
        <row r="53">
          <cell r="O53" t="str">
            <v>4P547956-1</v>
          </cell>
          <cell r="P53" t="str">
            <v>INDIVIDUALES</v>
          </cell>
        </row>
        <row r="54">
          <cell r="O54" t="str">
            <v>4P577592-1</v>
          </cell>
          <cell r="P54" t="str">
            <v>INDIVIDUALES</v>
          </cell>
        </row>
        <row r="55">
          <cell r="O55" t="str">
            <v>4P627490-1</v>
          </cell>
          <cell r="P55" t="str">
            <v>INDIVIDUALES</v>
          </cell>
        </row>
        <row r="56">
          <cell r="O56" t="str">
            <v>4P627503-1</v>
          </cell>
          <cell r="P56" t="str">
            <v>INDIVIDUALES</v>
          </cell>
        </row>
        <row r="57">
          <cell r="O57" t="str">
            <v>4P659868-1</v>
          </cell>
          <cell r="P57" t="str">
            <v>INDIVIDUALES</v>
          </cell>
        </row>
        <row r="58">
          <cell r="O58" t="str">
            <v>4P659876-1</v>
          </cell>
          <cell r="P58" t="str">
            <v>INDIVIDUALES</v>
          </cell>
        </row>
        <row r="59">
          <cell r="O59" t="str">
            <v>4P666877-1</v>
          </cell>
          <cell r="P59" t="str">
            <v>INDIVIDUALES</v>
          </cell>
        </row>
        <row r="60">
          <cell r="O60" t="str">
            <v>4P527124-1</v>
          </cell>
          <cell r="P60" t="str">
            <v>INDIVIDUALES</v>
          </cell>
        </row>
        <row r="61">
          <cell r="O61" t="str">
            <v>4P620774-1</v>
          </cell>
          <cell r="P61" t="str">
            <v>INDIVIDUALES</v>
          </cell>
        </row>
        <row r="62">
          <cell r="O62" t="str">
            <v>4P632560-1</v>
          </cell>
          <cell r="P62" t="str">
            <v>INDIVIDUALES</v>
          </cell>
        </row>
        <row r="63">
          <cell r="O63" t="str">
            <v>4P304692-1</v>
          </cell>
          <cell r="P63" t="str">
            <v>HEADERS</v>
          </cell>
        </row>
        <row r="64">
          <cell r="O64" t="str">
            <v>4P503730-1</v>
          </cell>
          <cell r="P64" t="str">
            <v>HEADERS</v>
          </cell>
        </row>
        <row r="65">
          <cell r="O65" t="str">
            <v>4P526971-1</v>
          </cell>
          <cell r="P65" t="str">
            <v>HEADERS</v>
          </cell>
        </row>
        <row r="66">
          <cell r="O66" t="str">
            <v>4P527161-1</v>
          </cell>
          <cell r="P66" t="str">
            <v>HEADERS</v>
          </cell>
        </row>
        <row r="67">
          <cell r="O67" t="str">
            <v>4P530191-1</v>
          </cell>
          <cell r="P67" t="str">
            <v>HEADERS</v>
          </cell>
        </row>
        <row r="68">
          <cell r="O68" t="str">
            <v>4P558159-1</v>
          </cell>
          <cell r="P68" t="str">
            <v>HEADERS</v>
          </cell>
        </row>
        <row r="69">
          <cell r="O69" t="str">
            <v>4P558244-1</v>
          </cell>
          <cell r="P69" t="str">
            <v>HEADERS</v>
          </cell>
        </row>
        <row r="70">
          <cell r="O70" t="str">
            <v>4P666279-1</v>
          </cell>
          <cell r="P70" t="str">
            <v>HEADERS</v>
          </cell>
        </row>
        <row r="71">
          <cell r="O71" t="str">
            <v>4P665998-1</v>
          </cell>
          <cell r="P71" t="str">
            <v>HEADERS</v>
          </cell>
        </row>
        <row r="72">
          <cell r="O72" t="str">
            <v>4P666761-1</v>
          </cell>
          <cell r="P72" t="str">
            <v>HEADERS</v>
          </cell>
        </row>
        <row r="73">
          <cell r="O73" t="str">
            <v>4P666768-1</v>
          </cell>
          <cell r="P73" t="str">
            <v>HEADERS</v>
          </cell>
        </row>
        <row r="74">
          <cell r="O74" t="str">
            <v>4P671651-1</v>
          </cell>
          <cell r="P74" t="str">
            <v>HEADERS</v>
          </cell>
        </row>
        <row r="75">
          <cell r="O75" t="str">
            <v>3P701487-1</v>
          </cell>
          <cell r="P75" t="str">
            <v>HEADERS</v>
          </cell>
        </row>
        <row r="76">
          <cell r="O76" t="str">
            <v>3P701491-1</v>
          </cell>
          <cell r="P76" t="str">
            <v>HEADERS</v>
          </cell>
        </row>
        <row r="77">
          <cell r="O77" t="str">
            <v>4P701495-1</v>
          </cell>
          <cell r="P77" t="str">
            <v>HEADERS</v>
          </cell>
        </row>
        <row r="78">
          <cell r="O78" t="str">
            <v>4P701497-1</v>
          </cell>
          <cell r="P78" t="str">
            <v>HEADERS</v>
          </cell>
        </row>
        <row r="79">
          <cell r="O79" t="str">
            <v>3P666815-1</v>
          </cell>
          <cell r="P79" t="str">
            <v>HEADERS</v>
          </cell>
        </row>
        <row r="80">
          <cell r="O80" t="str">
            <v>3P666818-1</v>
          </cell>
          <cell r="P80" t="str">
            <v>HEADERS</v>
          </cell>
        </row>
        <row r="81">
          <cell r="O81" t="str">
            <v>4P659994-1</v>
          </cell>
          <cell r="P81" t="str">
            <v>HEADERS</v>
          </cell>
        </row>
        <row r="82">
          <cell r="O82" t="str">
            <v>4P666833-1</v>
          </cell>
          <cell r="P82" t="str">
            <v>HEADERS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rtinez" refreshedDate="46218.933025347222" createdVersion="5" refreshedVersion="5" minRefreshableVersion="3" recordCount="58" xr:uid="{00000000-000A-0000-FFFF-FFFF00000000}">
  <cacheSource type="worksheet">
    <worksheetSource ref="AL5:AP63" sheet="SEMANA 28"/>
  </cacheSource>
  <cacheFields count="5">
    <cacheField name="CAJA" numFmtId="0">
      <sharedItems containsMixedTypes="1" containsNumber="1" containsInteger="1" minValue="0" maxValue="0" count="6">
        <s v="12.5x12.5x12.5"/>
        <s v="30x20x7"/>
        <s v="25x20x12.5"/>
        <s v="44 7/16x41 3/8x12"/>
        <s v="42x42x24"/>
        <n v="0" u="1"/>
      </sharedItems>
    </cacheField>
    <cacheField name="IND. / HEAD" numFmtId="0">
      <sharedItems containsBlank="1"/>
    </cacheField>
    <cacheField name="CANT. X CAJA" numFmtId="0">
      <sharedItems containsSemiMixedTypes="0" containsString="0" containsNumber="1" containsInteger="1" minValue="50" maxValue="520"/>
    </cacheField>
    <cacheField name="HOJA COLOR" numFmtId="0">
      <sharedItems containsNonDate="0" containsString="0" containsBlank="1"/>
    </cacheField>
    <cacheField name="TOTAL CAJA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">
  <r>
    <x v="0"/>
    <m/>
    <n v="260"/>
    <m/>
    <n v="0"/>
  </r>
  <r>
    <x v="1"/>
    <m/>
    <n v="70"/>
    <m/>
    <n v="0"/>
  </r>
  <r>
    <x v="1"/>
    <m/>
    <n v="70"/>
    <m/>
    <n v="0"/>
  </r>
  <r>
    <x v="0"/>
    <m/>
    <n v="70"/>
    <m/>
    <n v="0"/>
  </r>
  <r>
    <x v="1"/>
    <m/>
    <n v="70"/>
    <m/>
    <n v="0"/>
  </r>
  <r>
    <x v="0"/>
    <m/>
    <n v="160"/>
    <m/>
    <n v="0"/>
  </r>
  <r>
    <x v="1"/>
    <m/>
    <n v="200"/>
    <m/>
    <n v="0"/>
  </r>
  <r>
    <x v="1"/>
    <m/>
    <n v="280"/>
    <m/>
    <n v="0"/>
  </r>
  <r>
    <x v="0"/>
    <m/>
    <n v="260"/>
    <m/>
    <n v="0"/>
  </r>
  <r>
    <x v="0"/>
    <m/>
    <n v="520"/>
    <m/>
    <n v="0"/>
  </r>
  <r>
    <x v="2"/>
    <m/>
    <n v="150"/>
    <m/>
    <n v="0"/>
  </r>
  <r>
    <x v="3"/>
    <m/>
    <n v="400"/>
    <m/>
    <n v="0"/>
  </r>
  <r>
    <x v="2"/>
    <m/>
    <n v="150"/>
    <m/>
    <n v="0"/>
  </r>
  <r>
    <x v="3"/>
    <m/>
    <n v="420"/>
    <m/>
    <n v="0"/>
  </r>
  <r>
    <x v="1"/>
    <m/>
    <n v="64"/>
    <m/>
    <n v="0"/>
  </r>
  <r>
    <x v="2"/>
    <m/>
    <n v="92"/>
    <m/>
    <n v="0"/>
  </r>
  <r>
    <x v="4"/>
    <m/>
    <n v="200"/>
    <m/>
    <n v="0"/>
  </r>
  <r>
    <x v="4"/>
    <m/>
    <n v="260"/>
    <m/>
    <n v="0"/>
  </r>
  <r>
    <x v="2"/>
    <m/>
    <n v="100"/>
    <m/>
    <n v="0"/>
  </r>
  <r>
    <x v="1"/>
    <m/>
    <n v="64"/>
    <m/>
    <n v="0"/>
  </r>
  <r>
    <x v="0"/>
    <m/>
    <n v="200"/>
    <m/>
    <n v="0"/>
  </r>
  <r>
    <x v="0"/>
    <m/>
    <n v="200"/>
    <m/>
    <n v="0"/>
  </r>
  <r>
    <x v="0"/>
    <s v="INDIVIDUALES"/>
    <n v="500"/>
    <m/>
    <n v="0"/>
  </r>
  <r>
    <x v="0"/>
    <s v="INDIVIDUALES"/>
    <n v="200"/>
    <m/>
    <n v="0"/>
  </r>
  <r>
    <x v="0"/>
    <s v="INDIVIDUALES"/>
    <n v="200"/>
    <m/>
    <n v="0"/>
  </r>
  <r>
    <x v="0"/>
    <s v="INDIVIDUALES"/>
    <n v="100"/>
    <m/>
    <n v="0"/>
  </r>
  <r>
    <x v="4"/>
    <s v="HEADERS"/>
    <n v="400"/>
    <m/>
    <n v="0"/>
  </r>
  <r>
    <x v="0"/>
    <s v="HEADERS"/>
    <n v="250"/>
    <m/>
    <n v="0"/>
  </r>
  <r>
    <x v="0"/>
    <s v="HEADERS"/>
    <n v="300"/>
    <m/>
    <n v="0"/>
  </r>
  <r>
    <x v="0"/>
    <s v="HEADERS"/>
    <n v="300"/>
    <m/>
    <n v="0"/>
  </r>
  <r>
    <x v="4"/>
    <s v="HEADERS"/>
    <n v="250"/>
    <m/>
    <n v="0"/>
  </r>
  <r>
    <x v="0"/>
    <s v="INDIVIDUALES"/>
    <n v="100"/>
    <m/>
    <n v="0"/>
  </r>
  <r>
    <x v="0"/>
    <s v="INDIVIDUALES"/>
    <n v="100"/>
    <m/>
    <n v="0"/>
  </r>
  <r>
    <x v="0"/>
    <s v="INDIVIDUALES"/>
    <n v="300"/>
    <m/>
    <n v="0"/>
  </r>
  <r>
    <x v="0"/>
    <s v="INDIVIDUALES"/>
    <n v="200"/>
    <m/>
    <n v="0"/>
  </r>
  <r>
    <x v="0"/>
    <s v="INDIVIDUALES"/>
    <n v="100"/>
    <m/>
    <n v="0"/>
  </r>
  <r>
    <x v="0"/>
    <s v="INDIVIDUALES"/>
    <n v="300"/>
    <m/>
    <n v="0"/>
  </r>
  <r>
    <x v="0"/>
    <s v="INDIVIDUALES"/>
    <n v="260"/>
    <m/>
    <n v="0"/>
  </r>
  <r>
    <x v="0"/>
    <s v="INDIVIDUALES"/>
    <n v="500"/>
    <m/>
    <n v="0"/>
  </r>
  <r>
    <x v="1"/>
    <s v="HEADERS"/>
    <n v="50"/>
    <m/>
    <n v="0"/>
  </r>
  <r>
    <x v="1"/>
    <s v="HEADERS"/>
    <n v="50"/>
    <m/>
    <n v="0"/>
  </r>
  <r>
    <x v="1"/>
    <s v="HEADERS"/>
    <n v="50"/>
    <m/>
    <n v="0"/>
  </r>
  <r>
    <x v="1"/>
    <s v="HEADERS"/>
    <n v="50"/>
    <m/>
    <n v="0"/>
  </r>
  <r>
    <x v="0"/>
    <s v="INDIVIDUALES"/>
    <n v="100"/>
    <m/>
    <n v="0"/>
  </r>
  <r>
    <x v="0"/>
    <s v="INDIVIDUALES"/>
    <n v="50"/>
    <m/>
    <n v="0"/>
  </r>
  <r>
    <x v="4"/>
    <s v="INDIVIDUALES"/>
    <n v="400"/>
    <m/>
    <n v="0"/>
  </r>
  <r>
    <x v="2"/>
    <s v="INDIVIDUALES"/>
    <n v="50"/>
    <m/>
    <n v="0"/>
  </r>
  <r>
    <x v="4"/>
    <s v="INDIVIDUALES"/>
    <n v="400"/>
    <m/>
    <n v="0"/>
  </r>
  <r>
    <x v="4"/>
    <s v="INDIVIDUALES"/>
    <n v="400"/>
    <m/>
    <n v="0"/>
  </r>
  <r>
    <x v="2"/>
    <s v="INDIVIDUALES"/>
    <n v="60"/>
    <m/>
    <n v="0"/>
  </r>
  <r>
    <x v="2"/>
    <s v="INDIVIDUALES"/>
    <n v="70"/>
    <m/>
    <n v="0"/>
  </r>
  <r>
    <x v="4"/>
    <s v="INDIVIDUALES"/>
    <n v="400"/>
    <m/>
    <n v="0"/>
  </r>
  <r>
    <x v="4"/>
    <s v="INDIVIDUALES"/>
    <n v="300"/>
    <m/>
    <n v="0"/>
  </r>
  <r>
    <x v="4"/>
    <s v="INDIVIDUALES"/>
    <n v="500"/>
    <m/>
    <n v="0"/>
  </r>
  <r>
    <x v="4"/>
    <s v="INDIVIDUALES"/>
    <n v="500"/>
    <m/>
    <n v="0"/>
  </r>
  <r>
    <x v="0"/>
    <s v="HEADERS"/>
    <n v="250"/>
    <m/>
    <n v="0"/>
  </r>
  <r>
    <x v="0"/>
    <s v="INDIVIDUALES"/>
    <n v="300"/>
    <m/>
    <n v="0"/>
  </r>
  <r>
    <x v="0"/>
    <s v="INDIVIDUALES"/>
    <n v="25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R5:AS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0"/>
    </format>
    <format dxfId="92">
      <pivotArea dataOnly="0" labelOnly="1" outline="0" axis="axisValues" fieldPosition="0"/>
    </format>
    <format dxfId="91">
      <pivotArea dataOnly="0" labelOnly="1" fieldPosition="0">
        <references count="1">
          <reference field="0" count="0"/>
        </references>
      </pivotArea>
    </format>
    <format dxfId="9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R5:AS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0" type="button" dataOnly="0" labelOnly="1" outline="0" axis="axisRow" fieldPosition="0"/>
    </format>
    <format dxfId="86">
      <pivotArea dataOnly="0" labelOnly="1" outline="0" axis="axisValues" fieldPosition="0"/>
    </format>
    <format dxfId="85">
      <pivotArea dataOnly="0" labelOnly="1" fieldPosition="0">
        <references count="1">
          <reference field="0" count="0"/>
        </references>
      </pivotArea>
    </format>
    <format dxfId="8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outline="0" axis="axisValues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outline="0" axis="axisValues" fieldPosition="0"/>
    </format>
    <format dxfId="73">
      <pivotArea dataOnly="0" labelOnly="1" fieldPosition="0">
        <references count="1">
          <reference field="0" count="0"/>
        </references>
      </pivotArea>
    </format>
    <format dxfId="7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0" type="button" dataOnly="0" labelOnly="1" outline="0" axis="axisRow" fieldPosition="0"/>
    </format>
    <format dxfId="68">
      <pivotArea dataOnly="0" labelOnly="1" outline="0" axis="axisValues" fieldPosition="0"/>
    </format>
    <format dxfId="67">
      <pivotArea dataOnly="0" labelOnly="1" fieldPosition="0">
        <references count="1">
          <reference field="0" count="0"/>
        </references>
      </pivotArea>
    </format>
    <format dxfId="6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 axis="axisRow" fieldPosition="0"/>
    </format>
    <format dxfId="62">
      <pivotArea dataOnly="0" labelOnly="1" outline="0" axis="axisValues" fieldPosition="0"/>
    </format>
    <format dxfId="61">
      <pivotArea dataOnly="0" labelOnly="1" fieldPosition="0">
        <references count="1">
          <reference field="0" count="0"/>
        </references>
      </pivotArea>
    </format>
    <format dxfId="6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dataOnly="0" labelOnly="1" outline="0" axis="axisValues" fieldPosition="0"/>
    </format>
    <format dxfId="55">
      <pivotArea dataOnly="0" labelOnly="1" fieldPosition="0">
        <references count="1">
          <reference field="0" count="0"/>
        </references>
      </pivotArea>
    </format>
    <format dxfId="5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8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outline="0" axis="axisValues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9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outline="0" axis="axisValues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A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1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10:AI16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dataOnly="0" labelOnly="1" outline="0" axis="axisValues" fieldPosition="0"/>
    </format>
    <format dxfId="97">
      <pivotArea dataOnly="0" labelOnly="1" fieldPosition="0">
        <references count="1">
          <reference field="0" count="0"/>
        </references>
      </pivotArea>
    </format>
    <format dxfId="9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AECFD-E8BE-4E40-BDCF-3C7E3E32210A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B10:BC16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217CB-EE6A-4EC1-B0C1-BEE6E23580D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L10:BM16" firstHeaderRow="1" firstDataRow="1" firstDataCol="1"/>
  <pivotFields count="5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 defaultSubtotal="0"/>
    <pivotField showAll="0"/>
    <pivotField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4" baseField="0" baseItem="0"/>
  </dataFields>
  <formats count="6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0" type="button" dataOnly="0" labelOnly="1" outline="0" axis="axisRow" fieldPosition="0"/>
    </format>
    <format dxfId="27">
      <pivotArea dataOnly="0" labelOnly="1" outline="0" axis="axisValues" fieldPosition="0"/>
    </format>
    <format dxfId="28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8.xml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9.xml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0.xml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1.xm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2.xml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3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O48"/>
  <sheetViews>
    <sheetView view="pageBreakPreview" zoomScale="70" zoomScaleNormal="100" zoomScaleSheetLayoutView="70" workbookViewId="0">
      <selection activeCell="S34" sqref="S34"/>
    </sheetView>
  </sheetViews>
  <sheetFormatPr baseColWidth="10" defaultColWidth="8.7109375" defaultRowHeight="15" x14ac:dyDescent="0.25"/>
  <cols>
    <col min="1" max="3" width="8.7109375" style="1"/>
    <col min="4" max="4" width="8.140625" style="1" customWidth="1"/>
    <col min="5" max="5" width="8" style="1" customWidth="1"/>
    <col min="6" max="6" width="18" style="1" customWidth="1"/>
    <col min="7" max="7" width="10.7109375" style="1" customWidth="1"/>
    <col min="8" max="8" width="10.28515625" style="1" customWidth="1"/>
    <col min="9" max="10" width="7.5703125" style="1" bestFit="1" customWidth="1"/>
    <col min="11" max="11" width="8" style="1" customWidth="1"/>
    <col min="12" max="12" width="8.5703125" style="1" customWidth="1"/>
    <col min="13" max="13" width="18" style="1" customWidth="1"/>
    <col min="14" max="14" width="10.42578125" style="1" customWidth="1"/>
    <col min="15" max="15" width="10" style="1" customWidth="1"/>
    <col min="16" max="16384" width="8.7109375" style="1"/>
  </cols>
  <sheetData>
    <row r="2" spans="4:15" x14ac:dyDescent="0.25">
      <c r="E2" s="61" t="s">
        <v>33</v>
      </c>
      <c r="F2" s="61"/>
      <c r="G2" s="61"/>
      <c r="H2" s="61"/>
      <c r="I2" s="61"/>
      <c r="J2" s="61"/>
      <c r="K2" s="61"/>
      <c r="L2" s="61"/>
      <c r="M2" s="61"/>
      <c r="N2" s="61"/>
    </row>
    <row r="3" spans="4:15" x14ac:dyDescent="0.25"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4:15" x14ac:dyDescent="0.25">
      <c r="E4" s="61"/>
      <c r="F4" s="61"/>
      <c r="G4" s="61"/>
      <c r="H4" s="61"/>
      <c r="I4" s="61"/>
      <c r="J4" s="61"/>
      <c r="K4" s="61"/>
      <c r="L4" s="61"/>
      <c r="M4" s="61"/>
      <c r="N4" s="61"/>
    </row>
    <row r="6" spans="4:15" ht="42.6" customHeight="1" thickBot="1" x14ac:dyDescent="0.3">
      <c r="D6" s="62" t="s">
        <v>104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</row>
    <row r="8" spans="4:15" x14ac:dyDescent="0.25">
      <c r="D8" s="4" t="s">
        <v>0</v>
      </c>
      <c r="E8" s="4" t="s">
        <v>6</v>
      </c>
      <c r="F8" s="4" t="s">
        <v>7</v>
      </c>
      <c r="G8" s="4" t="s">
        <v>1</v>
      </c>
      <c r="H8" s="4" t="s">
        <v>109</v>
      </c>
      <c r="K8" s="4" t="s">
        <v>0</v>
      </c>
      <c r="L8" s="4" t="s">
        <v>6</v>
      </c>
      <c r="M8" s="4" t="s">
        <v>7</v>
      </c>
      <c r="N8" s="4" t="s">
        <v>1</v>
      </c>
      <c r="O8" s="4" t="s">
        <v>109</v>
      </c>
    </row>
    <row r="9" spans="4:15" x14ac:dyDescent="0.25">
      <c r="D9" s="2" t="s">
        <v>33</v>
      </c>
      <c r="E9" s="2" t="s">
        <v>34</v>
      </c>
      <c r="F9" s="2" t="s">
        <v>35</v>
      </c>
      <c r="G9" s="21">
        <v>0.25</v>
      </c>
      <c r="H9" s="2"/>
      <c r="K9" s="2" t="s">
        <v>33</v>
      </c>
      <c r="L9" s="2" t="s">
        <v>94</v>
      </c>
      <c r="M9" s="2" t="s">
        <v>59</v>
      </c>
      <c r="N9" s="21">
        <v>0.25</v>
      </c>
      <c r="O9" s="2"/>
    </row>
    <row r="10" spans="4:15" x14ac:dyDescent="0.25">
      <c r="D10" s="2" t="s">
        <v>33</v>
      </c>
      <c r="E10" s="2" t="s">
        <v>34</v>
      </c>
      <c r="F10" s="2" t="s">
        <v>41</v>
      </c>
      <c r="G10" s="21">
        <v>0.375</v>
      </c>
      <c r="H10" s="2"/>
      <c r="K10" s="2" t="s">
        <v>33</v>
      </c>
      <c r="L10" s="2" t="s">
        <v>94</v>
      </c>
      <c r="M10" s="2" t="s">
        <v>60</v>
      </c>
      <c r="N10" s="21">
        <v>0.25</v>
      </c>
      <c r="O10" s="2"/>
    </row>
    <row r="11" spans="4:15" x14ac:dyDescent="0.25">
      <c r="D11" s="2" t="s">
        <v>33</v>
      </c>
      <c r="E11" s="2" t="s">
        <v>34</v>
      </c>
      <c r="F11" s="2" t="s">
        <v>38</v>
      </c>
      <c r="G11" s="21">
        <v>0.375</v>
      </c>
      <c r="H11" s="2"/>
      <c r="K11" s="2" t="s">
        <v>33</v>
      </c>
      <c r="L11" s="2" t="s">
        <v>94</v>
      </c>
      <c r="M11" s="2" t="s">
        <v>61</v>
      </c>
      <c r="N11" s="21">
        <v>0.25</v>
      </c>
      <c r="O11" s="2"/>
    </row>
    <row r="12" spans="4:15" x14ac:dyDescent="0.25">
      <c r="D12" s="2" t="s">
        <v>33</v>
      </c>
      <c r="E12" s="2" t="s">
        <v>34</v>
      </c>
      <c r="F12" s="2" t="s">
        <v>40</v>
      </c>
      <c r="G12" s="21">
        <v>0.375</v>
      </c>
      <c r="H12" s="2"/>
      <c r="K12" s="2" t="s">
        <v>33</v>
      </c>
      <c r="L12" s="2" t="s">
        <v>94</v>
      </c>
      <c r="M12" s="2" t="s">
        <v>58</v>
      </c>
      <c r="N12" s="21">
        <v>0.25</v>
      </c>
      <c r="O12" s="2"/>
    </row>
    <row r="13" spans="4:15" x14ac:dyDescent="0.25">
      <c r="D13" s="2" t="s">
        <v>33</v>
      </c>
      <c r="E13" s="2" t="s">
        <v>34</v>
      </c>
      <c r="F13" s="2" t="s">
        <v>44</v>
      </c>
      <c r="G13" s="21">
        <v>0.375</v>
      </c>
      <c r="H13" s="2"/>
      <c r="K13" s="2" t="s">
        <v>33</v>
      </c>
      <c r="L13" s="2" t="s">
        <v>94</v>
      </c>
      <c r="M13" s="2" t="s">
        <v>72</v>
      </c>
      <c r="N13" s="21">
        <v>0.375</v>
      </c>
      <c r="O13" s="2"/>
    </row>
    <row r="14" spans="4:15" x14ac:dyDescent="0.25">
      <c r="D14" s="2" t="s">
        <v>33</v>
      </c>
      <c r="E14" s="2" t="s">
        <v>34</v>
      </c>
      <c r="F14" s="2" t="s">
        <v>37</v>
      </c>
      <c r="G14" s="21">
        <v>0.375</v>
      </c>
      <c r="H14" s="2"/>
      <c r="K14" s="2" t="s">
        <v>33</v>
      </c>
      <c r="L14" s="2" t="s">
        <v>94</v>
      </c>
      <c r="M14" s="2" t="s">
        <v>66</v>
      </c>
      <c r="N14" s="21">
        <v>0.375</v>
      </c>
      <c r="O14" s="2"/>
    </row>
    <row r="15" spans="4:15" x14ac:dyDescent="0.25">
      <c r="D15" s="2" t="s">
        <v>33</v>
      </c>
      <c r="E15" s="2" t="s">
        <v>34</v>
      </c>
      <c r="F15" s="2" t="s">
        <v>36</v>
      </c>
      <c r="G15" s="21">
        <v>0.375</v>
      </c>
      <c r="H15" s="2"/>
      <c r="K15" s="2" t="s">
        <v>33</v>
      </c>
      <c r="L15" s="2" t="s">
        <v>94</v>
      </c>
      <c r="M15" s="2" t="s">
        <v>63</v>
      </c>
      <c r="N15" s="21">
        <v>0.375</v>
      </c>
      <c r="O15" s="2"/>
    </row>
    <row r="16" spans="4:15" x14ac:dyDescent="0.25">
      <c r="D16" s="2" t="s">
        <v>33</v>
      </c>
      <c r="E16" s="2" t="s">
        <v>34</v>
      </c>
      <c r="F16" s="2" t="s">
        <v>39</v>
      </c>
      <c r="G16" s="21">
        <v>0.375</v>
      </c>
      <c r="H16" s="2"/>
      <c r="K16" s="2" t="s">
        <v>33</v>
      </c>
      <c r="L16" s="2" t="s">
        <v>94</v>
      </c>
      <c r="M16" s="2" t="s">
        <v>62</v>
      </c>
      <c r="N16" s="21">
        <v>0.375</v>
      </c>
      <c r="O16" s="2"/>
    </row>
    <row r="17" spans="4:15" x14ac:dyDescent="0.25">
      <c r="D17" s="2" t="s">
        <v>33</v>
      </c>
      <c r="E17" s="2" t="s">
        <v>34</v>
      </c>
      <c r="F17" s="2" t="s">
        <v>42</v>
      </c>
      <c r="G17" s="21">
        <v>0.375</v>
      </c>
      <c r="H17" s="2"/>
      <c r="K17" s="2" t="s">
        <v>33</v>
      </c>
      <c r="L17" s="2" t="s">
        <v>94</v>
      </c>
      <c r="M17" s="2" t="s">
        <v>64</v>
      </c>
      <c r="N17" s="21">
        <v>0.375</v>
      </c>
      <c r="O17" s="2"/>
    </row>
    <row r="18" spans="4:15" x14ac:dyDescent="0.25">
      <c r="D18" s="2" t="s">
        <v>33</v>
      </c>
      <c r="E18" s="2" t="s">
        <v>34</v>
      </c>
      <c r="F18" s="2" t="s">
        <v>43</v>
      </c>
      <c r="G18" s="21">
        <v>0.375</v>
      </c>
      <c r="H18" s="2"/>
      <c r="K18" s="2" t="s">
        <v>33</v>
      </c>
      <c r="L18" s="2" t="s">
        <v>94</v>
      </c>
      <c r="M18" s="2" t="s">
        <v>65</v>
      </c>
      <c r="N18" s="21">
        <v>0.375</v>
      </c>
      <c r="O18" s="2"/>
    </row>
    <row r="19" spans="4:15" x14ac:dyDescent="0.25">
      <c r="D19" s="2" t="s">
        <v>33</v>
      </c>
      <c r="E19" s="2" t="s">
        <v>34</v>
      </c>
      <c r="F19" s="2" t="s">
        <v>46</v>
      </c>
      <c r="G19" s="21">
        <v>0.5</v>
      </c>
      <c r="H19" s="2"/>
      <c r="K19" s="2" t="s">
        <v>33</v>
      </c>
      <c r="L19" s="2" t="s">
        <v>94</v>
      </c>
      <c r="M19" s="2" t="s">
        <v>68</v>
      </c>
      <c r="N19" s="21">
        <v>0.375</v>
      </c>
      <c r="O19" s="2"/>
    </row>
    <row r="20" spans="4:15" x14ac:dyDescent="0.25">
      <c r="D20" s="2" t="s">
        <v>33</v>
      </c>
      <c r="E20" s="2" t="s">
        <v>34</v>
      </c>
      <c r="F20" s="2" t="s">
        <v>48</v>
      </c>
      <c r="G20" s="21">
        <v>0.5</v>
      </c>
      <c r="H20" s="2"/>
      <c r="K20" s="2" t="s">
        <v>33</v>
      </c>
      <c r="L20" s="2" t="s">
        <v>94</v>
      </c>
      <c r="M20" s="2" t="s">
        <v>73</v>
      </c>
      <c r="N20" s="21">
        <v>0.375</v>
      </c>
      <c r="O20" s="2"/>
    </row>
    <row r="21" spans="4:15" x14ac:dyDescent="0.25">
      <c r="D21" s="2" t="s">
        <v>33</v>
      </c>
      <c r="E21" s="2" t="s">
        <v>34</v>
      </c>
      <c r="F21" s="2" t="s">
        <v>47</v>
      </c>
      <c r="G21" s="21">
        <v>0.5</v>
      </c>
      <c r="H21" s="2"/>
      <c r="K21" s="2" t="s">
        <v>33</v>
      </c>
      <c r="L21" s="2" t="s">
        <v>94</v>
      </c>
      <c r="M21" s="2" t="s">
        <v>69</v>
      </c>
      <c r="N21" s="21">
        <v>0.375</v>
      </c>
      <c r="O21" s="2"/>
    </row>
    <row r="22" spans="4:15" x14ac:dyDescent="0.25">
      <c r="D22" s="2" t="s">
        <v>33</v>
      </c>
      <c r="E22" s="2" t="s">
        <v>34</v>
      </c>
      <c r="F22" s="2" t="s">
        <v>45</v>
      </c>
      <c r="G22" s="21">
        <v>0.5</v>
      </c>
      <c r="H22" s="2"/>
      <c r="K22" s="2" t="s">
        <v>33</v>
      </c>
      <c r="L22" s="2" t="s">
        <v>94</v>
      </c>
      <c r="M22" s="2" t="s">
        <v>70</v>
      </c>
      <c r="N22" s="21">
        <v>0.375</v>
      </c>
      <c r="O22" s="2"/>
    </row>
    <row r="23" spans="4:15" x14ac:dyDescent="0.25">
      <c r="D23" s="2" t="s">
        <v>33</v>
      </c>
      <c r="E23" s="2" t="s">
        <v>34</v>
      </c>
      <c r="F23" s="2" t="s">
        <v>51</v>
      </c>
      <c r="G23" s="21">
        <v>0.625</v>
      </c>
      <c r="H23" s="2"/>
      <c r="K23" s="2" t="s">
        <v>33</v>
      </c>
      <c r="L23" s="2" t="s">
        <v>94</v>
      </c>
      <c r="M23" s="2" t="s">
        <v>74</v>
      </c>
      <c r="N23" s="21">
        <v>0.375</v>
      </c>
      <c r="O23" s="2"/>
    </row>
    <row r="24" spans="4:15" x14ac:dyDescent="0.25">
      <c r="D24" s="2" t="s">
        <v>33</v>
      </c>
      <c r="E24" s="2" t="s">
        <v>34</v>
      </c>
      <c r="F24" s="2" t="s">
        <v>52</v>
      </c>
      <c r="G24" s="21">
        <v>0.625</v>
      </c>
      <c r="H24" s="2"/>
      <c r="K24" s="2" t="s">
        <v>33</v>
      </c>
      <c r="L24" s="2" t="s">
        <v>94</v>
      </c>
      <c r="M24" s="2" t="s">
        <v>71</v>
      </c>
      <c r="N24" s="21">
        <v>0.375</v>
      </c>
      <c r="O24" s="2"/>
    </row>
    <row r="25" spans="4:15" x14ac:dyDescent="0.25">
      <c r="D25" s="2" t="s">
        <v>33</v>
      </c>
      <c r="E25" s="2" t="s">
        <v>34</v>
      </c>
      <c r="F25" s="2" t="s">
        <v>54</v>
      </c>
      <c r="G25" s="21">
        <v>0.625</v>
      </c>
      <c r="H25" s="2"/>
      <c r="K25" s="2" t="s">
        <v>33</v>
      </c>
      <c r="L25" s="2" t="s">
        <v>94</v>
      </c>
      <c r="M25" s="2" t="s">
        <v>67</v>
      </c>
      <c r="N25" s="21">
        <v>0.375</v>
      </c>
      <c r="O25" s="2"/>
    </row>
    <row r="26" spans="4:15" x14ac:dyDescent="0.25">
      <c r="D26" s="2" t="s">
        <v>33</v>
      </c>
      <c r="E26" s="2" t="s">
        <v>34</v>
      </c>
      <c r="F26" s="2" t="s">
        <v>53</v>
      </c>
      <c r="G26" s="21">
        <v>0.625</v>
      </c>
      <c r="H26" s="2"/>
      <c r="K26" s="2" t="s">
        <v>33</v>
      </c>
      <c r="L26" s="2" t="s">
        <v>94</v>
      </c>
      <c r="M26" s="2" t="s">
        <v>76</v>
      </c>
      <c r="N26" s="21">
        <v>0.5</v>
      </c>
      <c r="O26" s="2"/>
    </row>
    <row r="27" spans="4:15" x14ac:dyDescent="0.25">
      <c r="D27" s="2" t="s">
        <v>33</v>
      </c>
      <c r="E27" s="2" t="s">
        <v>34</v>
      </c>
      <c r="F27" s="2" t="s">
        <v>49</v>
      </c>
      <c r="G27" s="21">
        <v>0.625</v>
      </c>
      <c r="H27" s="2"/>
      <c r="K27" s="2" t="s">
        <v>33</v>
      </c>
      <c r="L27" s="2" t="s">
        <v>94</v>
      </c>
      <c r="M27" s="2" t="s">
        <v>75</v>
      </c>
      <c r="N27" s="21">
        <v>0.5</v>
      </c>
      <c r="O27" s="2"/>
    </row>
    <row r="28" spans="4:15" x14ac:dyDescent="0.25">
      <c r="D28" s="2" t="s">
        <v>33</v>
      </c>
      <c r="E28" s="2" t="s">
        <v>34</v>
      </c>
      <c r="F28" s="2" t="s">
        <v>50</v>
      </c>
      <c r="G28" s="21">
        <v>0.625</v>
      </c>
      <c r="H28" s="2"/>
      <c r="K28" s="2" t="s">
        <v>33</v>
      </c>
      <c r="L28" s="2" t="s">
        <v>94</v>
      </c>
      <c r="M28" s="2" t="s">
        <v>79</v>
      </c>
      <c r="N28" s="21">
        <v>0.5</v>
      </c>
      <c r="O28" s="2"/>
    </row>
    <row r="29" spans="4:15" x14ac:dyDescent="0.25">
      <c r="D29" s="2" t="s">
        <v>33</v>
      </c>
      <c r="E29" s="2" t="s">
        <v>34</v>
      </c>
      <c r="F29" s="2" t="s">
        <v>56</v>
      </c>
      <c r="G29" s="21" t="s">
        <v>57</v>
      </c>
      <c r="H29" s="2"/>
      <c r="K29" s="2" t="s">
        <v>33</v>
      </c>
      <c r="L29" s="2" t="s">
        <v>94</v>
      </c>
      <c r="M29" s="2" t="s">
        <v>78</v>
      </c>
      <c r="N29" s="21">
        <v>0.5</v>
      </c>
      <c r="O29" s="2"/>
    </row>
    <row r="30" spans="4:15" x14ac:dyDescent="0.25">
      <c r="D30" s="2" t="s">
        <v>33</v>
      </c>
      <c r="E30" s="2" t="s">
        <v>34</v>
      </c>
      <c r="F30" s="2" t="s">
        <v>55</v>
      </c>
      <c r="G30" s="21" t="s">
        <v>57</v>
      </c>
      <c r="H30" s="2"/>
      <c r="K30" s="2" t="s">
        <v>33</v>
      </c>
      <c r="L30" s="2" t="s">
        <v>94</v>
      </c>
      <c r="M30" s="2" t="s">
        <v>77</v>
      </c>
      <c r="N30" s="21">
        <v>0.5</v>
      </c>
      <c r="O30" s="2"/>
    </row>
    <row r="31" spans="4:15" x14ac:dyDescent="0.25">
      <c r="K31" s="2" t="s">
        <v>33</v>
      </c>
      <c r="L31" s="2" t="s">
        <v>94</v>
      </c>
      <c r="M31" s="2" t="s">
        <v>80</v>
      </c>
      <c r="N31" s="21">
        <v>0.625</v>
      </c>
      <c r="O31" s="2"/>
    </row>
    <row r="32" spans="4:15" x14ac:dyDescent="0.25">
      <c r="K32" s="2" t="s">
        <v>33</v>
      </c>
      <c r="L32" s="2" t="s">
        <v>94</v>
      </c>
      <c r="M32" s="2" t="s">
        <v>83</v>
      </c>
      <c r="N32" s="21">
        <v>0.75</v>
      </c>
      <c r="O32" s="2"/>
    </row>
    <row r="33" spans="4:15" x14ac:dyDescent="0.25">
      <c r="K33" s="2" t="s">
        <v>33</v>
      </c>
      <c r="L33" s="2" t="s">
        <v>94</v>
      </c>
      <c r="M33" s="2" t="s">
        <v>81</v>
      </c>
      <c r="N33" s="21">
        <v>0.75</v>
      </c>
      <c r="O33" s="2"/>
    </row>
    <row r="34" spans="4:15" x14ac:dyDescent="0.25">
      <c r="K34" s="2" t="s">
        <v>33</v>
      </c>
      <c r="L34" s="2" t="s">
        <v>94</v>
      </c>
      <c r="M34" s="2" t="s">
        <v>82</v>
      </c>
      <c r="N34" s="21">
        <v>0.75</v>
      </c>
      <c r="O34" s="2"/>
    </row>
    <row r="35" spans="4:15" x14ac:dyDescent="0.25">
      <c r="K35" s="2" t="s">
        <v>33</v>
      </c>
      <c r="L35" s="2" t="s">
        <v>94</v>
      </c>
      <c r="M35" s="2" t="s">
        <v>85</v>
      </c>
      <c r="N35" s="21">
        <v>0.75</v>
      </c>
      <c r="O35" s="2"/>
    </row>
    <row r="36" spans="4:15" x14ac:dyDescent="0.25">
      <c r="K36" s="2" t="s">
        <v>33</v>
      </c>
      <c r="L36" s="2" t="s">
        <v>94</v>
      </c>
      <c r="M36" s="2" t="s">
        <v>86</v>
      </c>
      <c r="N36" s="21">
        <v>0.75</v>
      </c>
      <c r="O36" s="2"/>
    </row>
    <row r="37" spans="4:15" x14ac:dyDescent="0.25">
      <c r="K37" s="2" t="s">
        <v>33</v>
      </c>
      <c r="L37" s="2" t="s">
        <v>94</v>
      </c>
      <c r="M37" s="2" t="s">
        <v>87</v>
      </c>
      <c r="N37" s="21">
        <v>0.75</v>
      </c>
      <c r="O37" s="2"/>
    </row>
    <row r="38" spans="4:15" x14ac:dyDescent="0.25">
      <c r="K38" s="2" t="s">
        <v>33</v>
      </c>
      <c r="L38" s="2" t="s">
        <v>94</v>
      </c>
      <c r="M38" s="2" t="s">
        <v>84</v>
      </c>
      <c r="N38" s="21">
        <v>0.75</v>
      </c>
      <c r="O38" s="2"/>
    </row>
    <row r="39" spans="4:15" x14ac:dyDescent="0.25">
      <c r="K39" s="2" t="s">
        <v>33</v>
      </c>
      <c r="L39" s="2" t="s">
        <v>94</v>
      </c>
      <c r="M39" s="2" t="s">
        <v>88</v>
      </c>
      <c r="N39" s="21">
        <v>0.875</v>
      </c>
      <c r="O39" s="2"/>
    </row>
    <row r="40" spans="4:15" x14ac:dyDescent="0.25">
      <c r="K40" s="2" t="s">
        <v>33</v>
      </c>
      <c r="L40" s="2" t="s">
        <v>94</v>
      </c>
      <c r="M40" s="2" t="s">
        <v>89</v>
      </c>
      <c r="N40" s="21">
        <v>0.875</v>
      </c>
      <c r="O40" s="2"/>
    </row>
    <row r="41" spans="4:15" x14ac:dyDescent="0.25">
      <c r="K41" s="2" t="s">
        <v>33</v>
      </c>
      <c r="L41" s="2" t="s">
        <v>94</v>
      </c>
      <c r="M41" s="2" t="s">
        <v>90</v>
      </c>
      <c r="N41" s="21">
        <v>0.875</v>
      </c>
      <c r="O41" s="2"/>
    </row>
    <row r="42" spans="4:15" x14ac:dyDescent="0.25">
      <c r="K42" s="2" t="s">
        <v>33</v>
      </c>
      <c r="L42" s="2" t="s">
        <v>94</v>
      </c>
      <c r="M42" s="2" t="s">
        <v>92</v>
      </c>
      <c r="N42" s="21" t="s">
        <v>57</v>
      </c>
      <c r="O42" s="2"/>
    </row>
    <row r="43" spans="4:15" x14ac:dyDescent="0.25">
      <c r="K43" s="2" t="s">
        <v>33</v>
      </c>
      <c r="L43" s="2" t="s">
        <v>94</v>
      </c>
      <c r="M43" s="2" t="s">
        <v>93</v>
      </c>
      <c r="N43" s="21" t="s">
        <v>57</v>
      </c>
      <c r="O43" s="2"/>
    </row>
    <row r="44" spans="4:15" x14ac:dyDescent="0.25">
      <c r="K44" s="2" t="s">
        <v>33</v>
      </c>
      <c r="L44" s="2" t="s">
        <v>94</v>
      </c>
      <c r="M44" s="2" t="s">
        <v>91</v>
      </c>
      <c r="N44" s="21" t="s">
        <v>57</v>
      </c>
      <c r="O44" s="2"/>
    </row>
    <row r="48" spans="4:15" ht="15.75" thickBot="1" x14ac:dyDescent="0.3">
      <c r="D48" s="22" t="s">
        <v>105</v>
      </c>
      <c r="E48" s="63"/>
      <c r="F48" s="63"/>
      <c r="G48" s="22" t="s">
        <v>106</v>
      </c>
      <c r="H48" s="63"/>
      <c r="I48" s="63"/>
      <c r="J48" s="22" t="s">
        <v>107</v>
      </c>
      <c r="K48" s="63"/>
      <c r="L48" s="63"/>
      <c r="M48" s="22" t="s">
        <v>108</v>
      </c>
      <c r="N48" s="64"/>
      <c r="O48" s="64"/>
    </row>
  </sheetData>
  <mergeCells count="6">
    <mergeCell ref="E2:N4"/>
    <mergeCell ref="D6:O6"/>
    <mergeCell ref="E48:F48"/>
    <mergeCell ref="H48:I48"/>
    <mergeCell ref="K48:L48"/>
    <mergeCell ref="N48:O48"/>
  </mergeCells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O48"/>
  <sheetViews>
    <sheetView view="pageBreakPreview" zoomScaleNormal="100" zoomScaleSheetLayoutView="100" workbookViewId="0">
      <selection activeCell="B21" sqref="B21"/>
    </sheetView>
  </sheetViews>
  <sheetFormatPr baseColWidth="10" defaultColWidth="8.7109375" defaultRowHeight="15" x14ac:dyDescent="0.25"/>
  <cols>
    <col min="1" max="1" width="8.7109375" style="1"/>
    <col min="2" max="2" width="8.7109375" style="1" customWidth="1"/>
    <col min="3" max="3" width="8.7109375" style="1"/>
    <col min="4" max="4" width="7.5703125" style="1" customWidth="1"/>
    <col min="5" max="5" width="8.7109375" style="1" customWidth="1"/>
    <col min="6" max="6" width="17.85546875" style="1" customWidth="1"/>
    <col min="7" max="7" width="10.85546875" style="1" customWidth="1"/>
    <col min="8" max="8" width="10.28515625" style="1" customWidth="1"/>
    <col min="9" max="10" width="7.5703125" style="1" bestFit="1" customWidth="1"/>
    <col min="11" max="11" width="8" style="1" customWidth="1"/>
    <col min="12" max="12" width="8.7109375" style="1" customWidth="1"/>
    <col min="13" max="13" width="18.140625" style="1" customWidth="1"/>
    <col min="14" max="14" width="10.5703125" style="1" customWidth="1"/>
    <col min="15" max="15" width="10" style="1" customWidth="1"/>
    <col min="16" max="16384" width="8.7109375" style="1"/>
  </cols>
  <sheetData>
    <row r="2" spans="4:15" x14ac:dyDescent="0.25">
      <c r="E2" s="61" t="s">
        <v>33</v>
      </c>
      <c r="F2" s="61"/>
      <c r="G2" s="61"/>
      <c r="H2" s="61"/>
      <c r="I2" s="61"/>
      <c r="J2" s="61"/>
      <c r="K2" s="61"/>
      <c r="L2" s="61"/>
      <c r="M2" s="61"/>
      <c r="N2" s="61"/>
    </row>
    <row r="3" spans="4:15" x14ac:dyDescent="0.25"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4:15" x14ac:dyDescent="0.25"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4:15" ht="15.75" thickBot="1" x14ac:dyDescent="0.3"/>
    <row r="6" spans="4:15" ht="42.6" customHeight="1" thickBot="1" x14ac:dyDescent="0.3">
      <c r="D6" s="65" t="s">
        <v>110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7"/>
    </row>
    <row r="8" spans="4:15" x14ac:dyDescent="0.25">
      <c r="D8" s="4" t="s">
        <v>0</v>
      </c>
      <c r="E8" s="4" t="s">
        <v>6</v>
      </c>
      <c r="F8" s="4" t="s">
        <v>7</v>
      </c>
      <c r="G8" s="4" t="s">
        <v>1</v>
      </c>
      <c r="H8" s="4" t="s">
        <v>109</v>
      </c>
      <c r="K8" s="4" t="s">
        <v>0</v>
      </c>
      <c r="L8" s="4" t="s">
        <v>6</v>
      </c>
      <c r="M8" s="4" t="s">
        <v>7</v>
      </c>
      <c r="N8" s="4" t="s">
        <v>1</v>
      </c>
      <c r="O8" s="4" t="s">
        <v>109</v>
      </c>
    </row>
    <row r="9" spans="4:15" x14ac:dyDescent="0.25">
      <c r="D9" s="2" t="s">
        <v>33</v>
      </c>
      <c r="E9" s="2" t="s">
        <v>34</v>
      </c>
      <c r="F9" s="2" t="s">
        <v>35</v>
      </c>
      <c r="G9" s="21">
        <v>0.25</v>
      </c>
      <c r="H9" s="2"/>
      <c r="K9" s="2" t="s">
        <v>33</v>
      </c>
      <c r="L9" s="2" t="s">
        <v>94</v>
      </c>
      <c r="M9" s="2" t="s">
        <v>59</v>
      </c>
      <c r="N9" s="21">
        <v>0.25</v>
      </c>
      <c r="O9" s="2"/>
    </row>
    <row r="10" spans="4:15" x14ac:dyDescent="0.25">
      <c r="D10" s="2" t="s">
        <v>33</v>
      </c>
      <c r="E10" s="2" t="s">
        <v>34</v>
      </c>
      <c r="F10" s="2" t="s">
        <v>41</v>
      </c>
      <c r="G10" s="21">
        <v>0.375</v>
      </c>
      <c r="H10" s="2"/>
      <c r="K10" s="2" t="s">
        <v>33</v>
      </c>
      <c r="L10" s="2" t="s">
        <v>94</v>
      </c>
      <c r="M10" s="2" t="s">
        <v>60</v>
      </c>
      <c r="N10" s="21">
        <v>0.25</v>
      </c>
      <c r="O10" s="2"/>
    </row>
    <row r="11" spans="4:15" x14ac:dyDescent="0.25">
      <c r="D11" s="2" t="s">
        <v>33</v>
      </c>
      <c r="E11" s="2" t="s">
        <v>34</v>
      </c>
      <c r="F11" s="2" t="s">
        <v>38</v>
      </c>
      <c r="G11" s="21">
        <v>0.375</v>
      </c>
      <c r="H11" s="2"/>
      <c r="K11" s="2" t="s">
        <v>33</v>
      </c>
      <c r="L11" s="2" t="s">
        <v>94</v>
      </c>
      <c r="M11" s="2" t="s">
        <v>61</v>
      </c>
      <c r="N11" s="21">
        <v>0.25</v>
      </c>
      <c r="O11" s="2"/>
    </row>
    <row r="12" spans="4:15" x14ac:dyDescent="0.25">
      <c r="D12" s="2" t="s">
        <v>33</v>
      </c>
      <c r="E12" s="2" t="s">
        <v>34</v>
      </c>
      <c r="F12" s="2" t="s">
        <v>40</v>
      </c>
      <c r="G12" s="21">
        <v>0.375</v>
      </c>
      <c r="H12" s="2"/>
      <c r="K12" s="2" t="s">
        <v>33</v>
      </c>
      <c r="L12" s="2" t="s">
        <v>94</v>
      </c>
      <c r="M12" s="2" t="s">
        <v>58</v>
      </c>
      <c r="N12" s="21">
        <v>0.25</v>
      </c>
      <c r="O12" s="2"/>
    </row>
    <row r="13" spans="4:15" x14ac:dyDescent="0.25">
      <c r="D13" s="2" t="s">
        <v>33</v>
      </c>
      <c r="E13" s="2" t="s">
        <v>34</v>
      </c>
      <c r="F13" s="2" t="s">
        <v>44</v>
      </c>
      <c r="G13" s="21">
        <v>0.375</v>
      </c>
      <c r="H13" s="2"/>
      <c r="K13" s="2" t="s">
        <v>33</v>
      </c>
      <c r="L13" s="2" t="s">
        <v>94</v>
      </c>
      <c r="M13" s="2" t="s">
        <v>72</v>
      </c>
      <c r="N13" s="21">
        <v>0.375</v>
      </c>
      <c r="O13" s="2"/>
    </row>
    <row r="14" spans="4:15" x14ac:dyDescent="0.25">
      <c r="D14" s="2" t="s">
        <v>33</v>
      </c>
      <c r="E14" s="2" t="s">
        <v>34</v>
      </c>
      <c r="F14" s="2" t="s">
        <v>37</v>
      </c>
      <c r="G14" s="21">
        <v>0.375</v>
      </c>
      <c r="H14" s="2"/>
      <c r="K14" s="2" t="s">
        <v>33</v>
      </c>
      <c r="L14" s="2" t="s">
        <v>94</v>
      </c>
      <c r="M14" s="2" t="s">
        <v>66</v>
      </c>
      <c r="N14" s="21">
        <v>0.375</v>
      </c>
      <c r="O14" s="2"/>
    </row>
    <row r="15" spans="4:15" x14ac:dyDescent="0.25">
      <c r="D15" s="2" t="s">
        <v>33</v>
      </c>
      <c r="E15" s="2" t="s">
        <v>34</v>
      </c>
      <c r="F15" s="2" t="s">
        <v>36</v>
      </c>
      <c r="G15" s="21">
        <v>0.375</v>
      </c>
      <c r="H15" s="2"/>
      <c r="K15" s="2" t="s">
        <v>33</v>
      </c>
      <c r="L15" s="2" t="s">
        <v>94</v>
      </c>
      <c r="M15" s="2" t="s">
        <v>63</v>
      </c>
      <c r="N15" s="21">
        <v>0.375</v>
      </c>
      <c r="O15" s="2"/>
    </row>
    <row r="16" spans="4:15" x14ac:dyDescent="0.25">
      <c r="D16" s="2" t="s">
        <v>33</v>
      </c>
      <c r="E16" s="2" t="s">
        <v>34</v>
      </c>
      <c r="F16" s="2" t="s">
        <v>39</v>
      </c>
      <c r="G16" s="21">
        <v>0.375</v>
      </c>
      <c r="H16" s="2"/>
      <c r="K16" s="2" t="s">
        <v>33</v>
      </c>
      <c r="L16" s="2" t="s">
        <v>94</v>
      </c>
      <c r="M16" s="2" t="s">
        <v>62</v>
      </c>
      <c r="N16" s="21">
        <v>0.375</v>
      </c>
      <c r="O16" s="2"/>
    </row>
    <row r="17" spans="4:15" x14ac:dyDescent="0.25">
      <c r="D17" s="2" t="s">
        <v>33</v>
      </c>
      <c r="E17" s="2" t="s">
        <v>34</v>
      </c>
      <c r="F17" s="2" t="s">
        <v>42</v>
      </c>
      <c r="G17" s="21">
        <v>0.375</v>
      </c>
      <c r="H17" s="2"/>
      <c r="K17" s="2" t="s">
        <v>33</v>
      </c>
      <c r="L17" s="2" t="s">
        <v>94</v>
      </c>
      <c r="M17" s="2" t="s">
        <v>64</v>
      </c>
      <c r="N17" s="21">
        <v>0.375</v>
      </c>
      <c r="O17" s="2"/>
    </row>
    <row r="18" spans="4:15" x14ac:dyDescent="0.25">
      <c r="D18" s="2" t="s">
        <v>33</v>
      </c>
      <c r="E18" s="2" t="s">
        <v>34</v>
      </c>
      <c r="F18" s="2" t="s">
        <v>43</v>
      </c>
      <c r="G18" s="21">
        <v>0.375</v>
      </c>
      <c r="H18" s="2"/>
      <c r="K18" s="2" t="s">
        <v>33</v>
      </c>
      <c r="L18" s="2" t="s">
        <v>94</v>
      </c>
      <c r="M18" s="2" t="s">
        <v>65</v>
      </c>
      <c r="N18" s="21">
        <v>0.375</v>
      </c>
      <c r="O18" s="2"/>
    </row>
    <row r="19" spans="4:15" x14ac:dyDescent="0.25">
      <c r="D19" s="2" t="s">
        <v>33</v>
      </c>
      <c r="E19" s="2" t="s">
        <v>34</v>
      </c>
      <c r="F19" s="2" t="s">
        <v>46</v>
      </c>
      <c r="G19" s="21">
        <v>0.5</v>
      </c>
      <c r="H19" s="2"/>
      <c r="K19" s="2" t="s">
        <v>33</v>
      </c>
      <c r="L19" s="2" t="s">
        <v>94</v>
      </c>
      <c r="M19" s="2" t="s">
        <v>68</v>
      </c>
      <c r="N19" s="21">
        <v>0.375</v>
      </c>
      <c r="O19" s="2"/>
    </row>
    <row r="20" spans="4:15" x14ac:dyDescent="0.25">
      <c r="D20" s="2" t="s">
        <v>33</v>
      </c>
      <c r="E20" s="2" t="s">
        <v>34</v>
      </c>
      <c r="F20" s="2" t="s">
        <v>48</v>
      </c>
      <c r="G20" s="21">
        <v>0.5</v>
      </c>
      <c r="H20" s="2"/>
      <c r="K20" s="2" t="s">
        <v>33</v>
      </c>
      <c r="L20" s="2" t="s">
        <v>94</v>
      </c>
      <c r="M20" s="2" t="s">
        <v>73</v>
      </c>
      <c r="N20" s="21">
        <v>0.375</v>
      </c>
      <c r="O20" s="2"/>
    </row>
    <row r="21" spans="4:15" x14ac:dyDescent="0.25">
      <c r="D21" s="2" t="s">
        <v>33</v>
      </c>
      <c r="E21" s="2" t="s">
        <v>34</v>
      </c>
      <c r="F21" s="2" t="s">
        <v>47</v>
      </c>
      <c r="G21" s="21">
        <v>0.5</v>
      </c>
      <c r="H21" s="2"/>
      <c r="K21" s="2" t="s">
        <v>33</v>
      </c>
      <c r="L21" s="2" t="s">
        <v>94</v>
      </c>
      <c r="M21" s="2" t="s">
        <v>69</v>
      </c>
      <c r="N21" s="21">
        <v>0.375</v>
      </c>
      <c r="O21" s="2"/>
    </row>
    <row r="22" spans="4:15" x14ac:dyDescent="0.25">
      <c r="D22" s="2" t="s">
        <v>33</v>
      </c>
      <c r="E22" s="2" t="s">
        <v>34</v>
      </c>
      <c r="F22" s="2" t="s">
        <v>45</v>
      </c>
      <c r="G22" s="21">
        <v>0.5</v>
      </c>
      <c r="H22" s="2"/>
      <c r="K22" s="2" t="s">
        <v>33</v>
      </c>
      <c r="L22" s="2" t="s">
        <v>94</v>
      </c>
      <c r="M22" s="2" t="s">
        <v>70</v>
      </c>
      <c r="N22" s="21">
        <v>0.375</v>
      </c>
      <c r="O22" s="2"/>
    </row>
    <row r="23" spans="4:15" x14ac:dyDescent="0.25">
      <c r="D23" s="2" t="s">
        <v>33</v>
      </c>
      <c r="E23" s="2" t="s">
        <v>34</v>
      </c>
      <c r="F23" s="2" t="s">
        <v>51</v>
      </c>
      <c r="G23" s="21">
        <v>0.625</v>
      </c>
      <c r="H23" s="2"/>
      <c r="K23" s="2" t="s">
        <v>33</v>
      </c>
      <c r="L23" s="2" t="s">
        <v>94</v>
      </c>
      <c r="M23" s="2" t="s">
        <v>74</v>
      </c>
      <c r="N23" s="21">
        <v>0.375</v>
      </c>
      <c r="O23" s="2"/>
    </row>
    <row r="24" spans="4:15" x14ac:dyDescent="0.25">
      <c r="D24" s="2" t="s">
        <v>33</v>
      </c>
      <c r="E24" s="2" t="s">
        <v>34</v>
      </c>
      <c r="F24" s="2" t="s">
        <v>52</v>
      </c>
      <c r="G24" s="21">
        <v>0.625</v>
      </c>
      <c r="H24" s="2"/>
      <c r="K24" s="2" t="s">
        <v>33</v>
      </c>
      <c r="L24" s="2" t="s">
        <v>94</v>
      </c>
      <c r="M24" s="2" t="s">
        <v>71</v>
      </c>
      <c r="N24" s="21">
        <v>0.375</v>
      </c>
      <c r="O24" s="2"/>
    </row>
    <row r="25" spans="4:15" x14ac:dyDescent="0.25">
      <c r="D25" s="2" t="s">
        <v>33</v>
      </c>
      <c r="E25" s="2" t="s">
        <v>34</v>
      </c>
      <c r="F25" s="2" t="s">
        <v>54</v>
      </c>
      <c r="G25" s="21">
        <v>0.625</v>
      </c>
      <c r="H25" s="2"/>
      <c r="K25" s="2" t="s">
        <v>33</v>
      </c>
      <c r="L25" s="2" t="s">
        <v>94</v>
      </c>
      <c r="M25" s="2" t="s">
        <v>67</v>
      </c>
      <c r="N25" s="21">
        <v>0.375</v>
      </c>
      <c r="O25" s="2"/>
    </row>
    <row r="26" spans="4:15" x14ac:dyDescent="0.25">
      <c r="D26" s="2" t="s">
        <v>33</v>
      </c>
      <c r="E26" s="2" t="s">
        <v>34</v>
      </c>
      <c r="F26" s="2" t="s">
        <v>53</v>
      </c>
      <c r="G26" s="21">
        <v>0.625</v>
      </c>
      <c r="H26" s="2"/>
      <c r="K26" s="2" t="s">
        <v>33</v>
      </c>
      <c r="L26" s="2" t="s">
        <v>94</v>
      </c>
      <c r="M26" s="2" t="s">
        <v>76</v>
      </c>
      <c r="N26" s="21">
        <v>0.5</v>
      </c>
      <c r="O26" s="2"/>
    </row>
    <row r="27" spans="4:15" x14ac:dyDescent="0.25">
      <c r="D27" s="2" t="s">
        <v>33</v>
      </c>
      <c r="E27" s="2" t="s">
        <v>34</v>
      </c>
      <c r="F27" s="2" t="s">
        <v>49</v>
      </c>
      <c r="G27" s="21">
        <v>0.625</v>
      </c>
      <c r="H27" s="2"/>
      <c r="K27" s="2" t="s">
        <v>33</v>
      </c>
      <c r="L27" s="2" t="s">
        <v>94</v>
      </c>
      <c r="M27" s="2" t="s">
        <v>75</v>
      </c>
      <c r="N27" s="21">
        <v>0.5</v>
      </c>
      <c r="O27" s="2"/>
    </row>
    <row r="28" spans="4:15" x14ac:dyDescent="0.25">
      <c r="D28" s="2" t="s">
        <v>33</v>
      </c>
      <c r="E28" s="2" t="s">
        <v>34</v>
      </c>
      <c r="F28" s="2" t="s">
        <v>50</v>
      </c>
      <c r="G28" s="21">
        <v>0.625</v>
      </c>
      <c r="H28" s="2"/>
      <c r="K28" s="2" t="s">
        <v>33</v>
      </c>
      <c r="L28" s="2" t="s">
        <v>94</v>
      </c>
      <c r="M28" s="2" t="s">
        <v>79</v>
      </c>
      <c r="N28" s="21">
        <v>0.5</v>
      </c>
      <c r="O28" s="2"/>
    </row>
    <row r="29" spans="4:15" x14ac:dyDescent="0.25">
      <c r="D29" s="2" t="s">
        <v>33</v>
      </c>
      <c r="E29" s="2" t="s">
        <v>34</v>
      </c>
      <c r="F29" s="2" t="s">
        <v>56</v>
      </c>
      <c r="G29" s="21" t="s">
        <v>57</v>
      </c>
      <c r="H29" s="2"/>
      <c r="K29" s="2" t="s">
        <v>33</v>
      </c>
      <c r="L29" s="2" t="s">
        <v>94</v>
      </c>
      <c r="M29" s="2" t="s">
        <v>78</v>
      </c>
      <c r="N29" s="21">
        <v>0.5</v>
      </c>
      <c r="O29" s="2"/>
    </row>
    <row r="30" spans="4:15" x14ac:dyDescent="0.25">
      <c r="D30" s="2" t="s">
        <v>33</v>
      </c>
      <c r="E30" s="2" t="s">
        <v>34</v>
      </c>
      <c r="F30" s="2" t="s">
        <v>55</v>
      </c>
      <c r="G30" s="21" t="s">
        <v>57</v>
      </c>
      <c r="H30" s="2"/>
      <c r="K30" s="2" t="s">
        <v>33</v>
      </c>
      <c r="L30" s="2" t="s">
        <v>94</v>
      </c>
      <c r="M30" s="2" t="s">
        <v>77</v>
      </c>
      <c r="N30" s="21">
        <v>0.5</v>
      </c>
      <c r="O30" s="2"/>
    </row>
    <row r="31" spans="4:15" x14ac:dyDescent="0.25">
      <c r="K31" s="2" t="s">
        <v>33</v>
      </c>
      <c r="L31" s="2" t="s">
        <v>94</v>
      </c>
      <c r="M31" s="2" t="s">
        <v>80</v>
      </c>
      <c r="N31" s="21">
        <v>0.625</v>
      </c>
      <c r="O31" s="2"/>
    </row>
    <row r="32" spans="4:15" x14ac:dyDescent="0.25">
      <c r="K32" s="2" t="s">
        <v>33</v>
      </c>
      <c r="L32" s="2" t="s">
        <v>94</v>
      </c>
      <c r="M32" s="2" t="s">
        <v>83</v>
      </c>
      <c r="N32" s="21">
        <v>0.75</v>
      </c>
      <c r="O32" s="2"/>
    </row>
    <row r="33" spans="4:15" x14ac:dyDescent="0.25">
      <c r="K33" s="2" t="s">
        <v>33</v>
      </c>
      <c r="L33" s="2" t="s">
        <v>94</v>
      </c>
      <c r="M33" s="2" t="s">
        <v>81</v>
      </c>
      <c r="N33" s="21">
        <v>0.75</v>
      </c>
      <c r="O33" s="2"/>
    </row>
    <row r="34" spans="4:15" x14ac:dyDescent="0.25">
      <c r="K34" s="2" t="s">
        <v>33</v>
      </c>
      <c r="L34" s="2" t="s">
        <v>94</v>
      </c>
      <c r="M34" s="2" t="s">
        <v>82</v>
      </c>
      <c r="N34" s="21">
        <v>0.75</v>
      </c>
      <c r="O34" s="2"/>
    </row>
    <row r="35" spans="4:15" x14ac:dyDescent="0.25">
      <c r="K35" s="2" t="s">
        <v>33</v>
      </c>
      <c r="L35" s="2" t="s">
        <v>94</v>
      </c>
      <c r="M35" s="2" t="s">
        <v>85</v>
      </c>
      <c r="N35" s="21">
        <v>0.75</v>
      </c>
      <c r="O35" s="2"/>
    </row>
    <row r="36" spans="4:15" x14ac:dyDescent="0.25">
      <c r="K36" s="2" t="s">
        <v>33</v>
      </c>
      <c r="L36" s="2" t="s">
        <v>94</v>
      </c>
      <c r="M36" s="2" t="s">
        <v>86</v>
      </c>
      <c r="N36" s="21">
        <v>0.75</v>
      </c>
      <c r="O36" s="2"/>
    </row>
    <row r="37" spans="4:15" x14ac:dyDescent="0.25">
      <c r="K37" s="2" t="s">
        <v>33</v>
      </c>
      <c r="L37" s="2" t="s">
        <v>94</v>
      </c>
      <c r="M37" s="2" t="s">
        <v>87</v>
      </c>
      <c r="N37" s="21">
        <v>0.75</v>
      </c>
      <c r="O37" s="2"/>
    </row>
    <row r="38" spans="4:15" x14ac:dyDescent="0.25">
      <c r="K38" s="2" t="s">
        <v>33</v>
      </c>
      <c r="L38" s="2" t="s">
        <v>94</v>
      </c>
      <c r="M38" s="2" t="s">
        <v>84</v>
      </c>
      <c r="N38" s="21">
        <v>0.75</v>
      </c>
      <c r="O38" s="2"/>
    </row>
    <row r="39" spans="4:15" x14ac:dyDescent="0.25">
      <c r="K39" s="2" t="s">
        <v>33</v>
      </c>
      <c r="L39" s="2" t="s">
        <v>94</v>
      </c>
      <c r="M39" s="2" t="s">
        <v>88</v>
      </c>
      <c r="N39" s="21">
        <v>0.875</v>
      </c>
      <c r="O39" s="2"/>
    </row>
    <row r="40" spans="4:15" x14ac:dyDescent="0.25">
      <c r="K40" s="2" t="s">
        <v>33</v>
      </c>
      <c r="L40" s="2" t="s">
        <v>94</v>
      </c>
      <c r="M40" s="2" t="s">
        <v>89</v>
      </c>
      <c r="N40" s="21">
        <v>0.875</v>
      </c>
      <c r="O40" s="2"/>
    </row>
    <row r="41" spans="4:15" x14ac:dyDescent="0.25">
      <c r="K41" s="2" t="s">
        <v>33</v>
      </c>
      <c r="L41" s="2" t="s">
        <v>94</v>
      </c>
      <c r="M41" s="2" t="s">
        <v>90</v>
      </c>
      <c r="N41" s="21">
        <v>0.875</v>
      </c>
      <c r="O41" s="2"/>
    </row>
    <row r="42" spans="4:15" x14ac:dyDescent="0.25">
      <c r="K42" s="2" t="s">
        <v>33</v>
      </c>
      <c r="L42" s="2" t="s">
        <v>94</v>
      </c>
      <c r="M42" s="2" t="s">
        <v>92</v>
      </c>
      <c r="N42" s="21" t="s">
        <v>57</v>
      </c>
      <c r="O42" s="2"/>
    </row>
    <row r="43" spans="4:15" x14ac:dyDescent="0.25">
      <c r="K43" s="2" t="s">
        <v>33</v>
      </c>
      <c r="L43" s="2" t="s">
        <v>94</v>
      </c>
      <c r="M43" s="2" t="s">
        <v>93</v>
      </c>
      <c r="N43" s="21" t="s">
        <v>57</v>
      </c>
      <c r="O43" s="2"/>
    </row>
    <row r="44" spans="4:15" x14ac:dyDescent="0.25">
      <c r="K44" s="2" t="s">
        <v>33</v>
      </c>
      <c r="L44" s="2" t="s">
        <v>94</v>
      </c>
      <c r="M44" s="2" t="s">
        <v>91</v>
      </c>
      <c r="N44" s="21" t="s">
        <v>57</v>
      </c>
      <c r="O44" s="2"/>
    </row>
    <row r="48" spans="4:15" ht="15.75" thickBot="1" x14ac:dyDescent="0.3">
      <c r="D48" s="22" t="s">
        <v>105</v>
      </c>
      <c r="E48" s="63"/>
      <c r="F48" s="63"/>
      <c r="G48" s="22" t="s">
        <v>106</v>
      </c>
      <c r="H48" s="63"/>
      <c r="I48" s="63"/>
      <c r="J48" s="22" t="s">
        <v>107</v>
      </c>
      <c r="K48" s="63"/>
      <c r="L48" s="63"/>
      <c r="M48" s="22" t="s">
        <v>108</v>
      </c>
      <c r="N48" s="64"/>
      <c r="O48" s="64"/>
    </row>
  </sheetData>
  <sortState xmlns:xlrd2="http://schemas.microsoft.com/office/spreadsheetml/2017/richdata2" ref="K9:O44">
    <sortCondition ref="M12:M44"/>
  </sortState>
  <mergeCells count="6">
    <mergeCell ref="E2:N4"/>
    <mergeCell ref="D6:O6"/>
    <mergeCell ref="E48:F48"/>
    <mergeCell ref="H48:I48"/>
    <mergeCell ref="K48:L48"/>
    <mergeCell ref="N48:O48"/>
  </mergeCells>
  <pageMargins left="0.7" right="0.7" top="0.75" bottom="0.75" header="0.3" footer="0.3"/>
  <pageSetup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50"/>
  </sheetPr>
  <dimension ref="A2:AT65"/>
  <sheetViews>
    <sheetView zoomScale="115" zoomScaleNormal="115" workbookViewId="0">
      <selection activeCell="A7" sqref="A7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7" customWidth="1"/>
    <col min="18" max="18" width="8.7109375" style="17" customWidth="1"/>
    <col min="19" max="19" width="8.7109375" style="1" customWidth="1"/>
    <col min="20" max="20" width="8.7109375" style="17" customWidth="1"/>
    <col min="21" max="21" width="8.7109375" style="1" customWidth="1"/>
    <col min="22" max="31" width="8.7109375" style="17" customWidth="1"/>
    <col min="32" max="36" width="8.7109375" style="1" customWidth="1"/>
    <col min="37" max="37" width="8.7109375" style="1"/>
    <col min="38" max="38" width="16.85546875" style="1" bestFit="1" customWidth="1"/>
    <col min="39" max="39" width="16.5703125" style="1" bestFit="1" customWidth="1"/>
    <col min="40" max="40" width="13" style="1" customWidth="1"/>
    <col min="41" max="41" width="11.5703125" style="1" bestFit="1" customWidth="1"/>
    <col min="42" max="42" width="12.140625" style="1" bestFit="1" customWidth="1"/>
    <col min="43" max="43" width="8.7109375" style="1"/>
    <col min="44" max="44" width="16.28515625" style="1" customWidth="1"/>
    <col min="45" max="45" width="19.7109375" style="1" bestFit="1" customWidth="1"/>
    <col min="46" max="16384" width="8.7109375" style="1"/>
  </cols>
  <sheetData>
    <row r="2" spans="1:46" x14ac:dyDescent="0.25">
      <c r="B2" s="4" t="s">
        <v>17</v>
      </c>
      <c r="C2" s="58" t="s">
        <v>18</v>
      </c>
      <c r="D2" s="58"/>
    </row>
    <row r="3" spans="1:4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</row>
    <row r="4" spans="1:46" x14ac:dyDescent="0.25">
      <c r="B4" s="59"/>
      <c r="C4" s="4" t="s">
        <v>16</v>
      </c>
      <c r="D4" s="2"/>
      <c r="I4" s="4" t="s">
        <v>5</v>
      </c>
      <c r="P4" s="55">
        <v>46209</v>
      </c>
      <c r="Q4" s="55"/>
      <c r="R4" s="55">
        <v>46210</v>
      </c>
      <c r="S4" s="55"/>
      <c r="T4" s="55">
        <v>46211</v>
      </c>
      <c r="U4" s="55"/>
      <c r="V4" s="55">
        <v>46212</v>
      </c>
      <c r="W4" s="55"/>
      <c r="X4" s="55">
        <v>46213</v>
      </c>
      <c r="Y4" s="55"/>
      <c r="Z4" s="68">
        <v>46216</v>
      </c>
      <c r="AA4" s="68"/>
      <c r="AB4" s="68">
        <v>46217</v>
      </c>
      <c r="AC4" s="68"/>
      <c r="AD4" s="68">
        <v>46218</v>
      </c>
      <c r="AE4" s="68"/>
      <c r="AF4" s="68">
        <v>46219</v>
      </c>
      <c r="AG4" s="68"/>
      <c r="AH4" s="68">
        <v>46220</v>
      </c>
      <c r="AI4" s="68"/>
      <c r="AJ4" s="6" t="s">
        <v>10</v>
      </c>
    </row>
    <row r="5" spans="1:4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29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18" t="s">
        <v>15</v>
      </c>
      <c r="AA5" s="18" t="s">
        <v>16</v>
      </c>
      <c r="AB5" s="18" t="s">
        <v>15</v>
      </c>
      <c r="AC5" s="18" t="s">
        <v>16</v>
      </c>
      <c r="AD5" s="18" t="s">
        <v>15</v>
      </c>
      <c r="AE5" s="18" t="s">
        <v>16</v>
      </c>
      <c r="AF5" s="4" t="s">
        <v>15</v>
      </c>
      <c r="AG5" s="4" t="s">
        <v>16</v>
      </c>
      <c r="AH5" s="4" t="s">
        <v>15</v>
      </c>
      <c r="AI5" s="4" t="s">
        <v>16</v>
      </c>
      <c r="AJ5" s="4" t="s">
        <v>20</v>
      </c>
      <c r="AK5" s="4" t="s">
        <v>8</v>
      </c>
      <c r="AL5" s="4" t="s">
        <v>22</v>
      </c>
      <c r="AM5" s="4" t="s">
        <v>100</v>
      </c>
      <c r="AN5" s="4" t="s">
        <v>24</v>
      </c>
      <c r="AO5" s="4" t="s">
        <v>23</v>
      </c>
      <c r="AP5" s="4" t="s">
        <v>28</v>
      </c>
      <c r="AQ5"/>
      <c r="AR5" s="14" t="s">
        <v>29</v>
      </c>
      <c r="AS5" s="15" t="s">
        <v>31</v>
      </c>
      <c r="AT5"/>
    </row>
    <row r="6" spans="1:46" hidden="1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>
        <v>0</v>
      </c>
      <c r="J6" s="2"/>
      <c r="K6" s="2"/>
      <c r="L6" s="2"/>
      <c r="M6" s="2"/>
      <c r="N6" s="2"/>
      <c r="O6" s="8">
        <f>+I6+J6+K6+L6+M6+N6-SUM(P6:AJ6)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"/>
      <c r="AG6" s="2"/>
      <c r="AH6" s="2"/>
      <c r="AI6" s="2"/>
      <c r="AJ6" s="2"/>
      <c r="AK6" s="7">
        <f>+G6*SUM(I6:N6)</f>
        <v>0</v>
      </c>
      <c r="AL6" s="8" t="s">
        <v>26</v>
      </c>
      <c r="AM6" s="8">
        <v>0</v>
      </c>
      <c r="AN6" s="8">
        <v>260</v>
      </c>
      <c r="AO6" s="8" t="s">
        <v>101</v>
      </c>
      <c r="AP6" s="8">
        <f>+SUM(I6:N6)/AN6</f>
        <v>0</v>
      </c>
      <c r="AQ6"/>
      <c r="AR6" s="16" t="s">
        <v>26</v>
      </c>
      <c r="AS6" s="15">
        <v>0</v>
      </c>
      <c r="AT6"/>
    </row>
    <row r="7" spans="1:46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>
        <v>3650</v>
      </c>
      <c r="J7" s="2"/>
      <c r="K7" s="2"/>
      <c r="L7" s="2"/>
      <c r="M7" s="2"/>
      <c r="N7" s="2"/>
      <c r="O7" s="8">
        <f t="shared" ref="O7:O63" si="0">+I7+J7+K7+L7+M7+N7-SUM(P7:AJ7)</f>
        <v>1424</v>
      </c>
      <c r="P7" s="19">
        <v>56</v>
      </c>
      <c r="Q7" s="19"/>
      <c r="R7" s="19"/>
      <c r="S7" s="2"/>
      <c r="T7" s="19"/>
      <c r="U7" s="2"/>
      <c r="V7" s="19"/>
      <c r="W7" s="19"/>
      <c r="X7" s="19">
        <v>140</v>
      </c>
      <c r="Y7" s="19">
        <v>350</v>
      </c>
      <c r="Z7" s="19">
        <v>350</v>
      </c>
      <c r="AA7" s="19">
        <v>70</v>
      </c>
      <c r="AB7" s="19">
        <v>560</v>
      </c>
      <c r="AC7" s="19">
        <v>280</v>
      </c>
      <c r="AD7" s="19">
        <v>210</v>
      </c>
      <c r="AE7" s="19"/>
      <c r="AF7" s="2"/>
      <c r="AG7" s="2"/>
      <c r="AH7" s="2">
        <v>210</v>
      </c>
      <c r="AI7" s="2"/>
      <c r="AJ7" s="2"/>
      <c r="AK7" s="7">
        <f t="shared" ref="AK7:AK22" si="1">+G7*SUM(I7:N7)</f>
        <v>372.29999999999995</v>
      </c>
      <c r="AL7" s="8" t="s">
        <v>95</v>
      </c>
      <c r="AM7" s="8">
        <v>0</v>
      </c>
      <c r="AN7" s="8">
        <v>70</v>
      </c>
      <c r="AO7" s="8" t="s">
        <v>101</v>
      </c>
      <c r="AP7" s="8">
        <f t="shared" ref="AP7:AP63" si="2">+SUM(I7:N7)/AN7</f>
        <v>52.142857142857146</v>
      </c>
      <c r="AQ7"/>
      <c r="AR7" s="16" t="s">
        <v>95</v>
      </c>
      <c r="AS7" s="15">
        <v>0</v>
      </c>
      <c r="AT7"/>
    </row>
    <row r="8" spans="1:46" hidden="1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>
        <v>0</v>
      </c>
      <c r="J8" s="2"/>
      <c r="K8" s="2"/>
      <c r="L8" s="2"/>
      <c r="M8" s="2"/>
      <c r="N8" s="2"/>
      <c r="O8" s="8">
        <f t="shared" si="0"/>
        <v>-61</v>
      </c>
      <c r="P8" s="19"/>
      <c r="Q8" s="19"/>
      <c r="R8" s="19">
        <v>61</v>
      </c>
      <c r="S8" s="2"/>
      <c r="T8" s="19"/>
      <c r="U8" s="2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"/>
      <c r="AG8" s="2"/>
      <c r="AH8" s="2"/>
      <c r="AI8" s="2"/>
      <c r="AJ8" s="2"/>
      <c r="AK8" s="7">
        <f t="shared" si="1"/>
        <v>0</v>
      </c>
      <c r="AL8" s="8" t="s">
        <v>95</v>
      </c>
      <c r="AM8" s="8">
        <v>0</v>
      </c>
      <c r="AN8" s="8">
        <v>70</v>
      </c>
      <c r="AO8" s="8" t="s">
        <v>101</v>
      </c>
      <c r="AP8" s="8">
        <f t="shared" si="2"/>
        <v>0</v>
      </c>
      <c r="AQ8"/>
      <c r="AR8" s="16" t="s">
        <v>27</v>
      </c>
      <c r="AS8" s="15">
        <v>0</v>
      </c>
      <c r="AT8"/>
    </row>
    <row r="9" spans="1:46" hidden="1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>
        <v>0</v>
      </c>
      <c r="J9" s="2"/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19"/>
      <c r="AA9" s="19"/>
      <c r="AB9" s="19"/>
      <c r="AC9" s="19"/>
      <c r="AD9" s="19"/>
      <c r="AE9" s="19"/>
      <c r="AF9" s="2"/>
      <c r="AG9" s="2"/>
      <c r="AH9" s="2"/>
      <c r="AI9" s="2"/>
      <c r="AJ9" s="2"/>
      <c r="AK9" s="7">
        <f t="shared" si="1"/>
        <v>0</v>
      </c>
      <c r="AL9" s="8" t="s">
        <v>26</v>
      </c>
      <c r="AM9" s="8">
        <v>0</v>
      </c>
      <c r="AN9" s="8">
        <v>70</v>
      </c>
      <c r="AO9" s="8" t="s">
        <v>101</v>
      </c>
      <c r="AP9" s="8">
        <f t="shared" si="2"/>
        <v>0</v>
      </c>
      <c r="AQ9"/>
      <c r="AR9" s="16" t="s">
        <v>96</v>
      </c>
      <c r="AS9" s="15">
        <v>0</v>
      </c>
      <c r="AT9"/>
    </row>
    <row r="10" spans="1:46" hidden="1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>
        <v>0</v>
      </c>
      <c r="J10" s="2"/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2"/>
      <c r="AG10" s="2"/>
      <c r="AH10" s="2"/>
      <c r="AI10" s="2"/>
      <c r="AJ10" s="2"/>
      <c r="AK10" s="7">
        <f t="shared" si="1"/>
        <v>0</v>
      </c>
      <c r="AL10" s="8" t="s">
        <v>95</v>
      </c>
      <c r="AM10" s="8">
        <v>0</v>
      </c>
      <c r="AN10" s="8">
        <v>70</v>
      </c>
      <c r="AO10" s="8" t="s">
        <v>101</v>
      </c>
      <c r="AP10" s="8">
        <f t="shared" si="2"/>
        <v>0</v>
      </c>
      <c r="AQ10"/>
      <c r="AR10" s="16" t="s">
        <v>97</v>
      </c>
      <c r="AS10" s="15">
        <v>0</v>
      </c>
      <c r="AT10"/>
    </row>
    <row r="11" spans="1:46" hidden="1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>
        <v>0</v>
      </c>
      <c r="J11" s="2"/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2"/>
      <c r="AG11" s="2"/>
      <c r="AH11" s="2"/>
      <c r="AI11" s="2"/>
      <c r="AJ11" s="2"/>
      <c r="AK11" s="7">
        <f t="shared" si="1"/>
        <v>0</v>
      </c>
      <c r="AL11" s="8" t="s">
        <v>26</v>
      </c>
      <c r="AM11" s="8">
        <v>0</v>
      </c>
      <c r="AN11" s="8">
        <v>160</v>
      </c>
      <c r="AO11" s="8" t="s">
        <v>101</v>
      </c>
      <c r="AP11" s="8">
        <f t="shared" si="2"/>
        <v>0</v>
      </c>
      <c r="AQ11"/>
      <c r="AR11" s="16" t="s">
        <v>30</v>
      </c>
      <c r="AS11" s="15">
        <v>0</v>
      </c>
      <c r="AT11"/>
    </row>
    <row r="12" spans="1:46" hidden="1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>
        <v>0</v>
      </c>
      <c r="J12" s="2"/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2"/>
      <c r="AG12" s="2"/>
      <c r="AH12" s="2"/>
      <c r="AI12" s="2"/>
      <c r="AJ12" s="2"/>
      <c r="AK12" s="7">
        <f t="shared" si="1"/>
        <v>0</v>
      </c>
      <c r="AL12" s="8" t="s">
        <v>95</v>
      </c>
      <c r="AM12" s="8">
        <v>0</v>
      </c>
      <c r="AN12" s="8">
        <v>200</v>
      </c>
      <c r="AO12" s="8" t="s">
        <v>101</v>
      </c>
      <c r="AP12" s="8">
        <f t="shared" si="2"/>
        <v>0</v>
      </c>
      <c r="AQ12"/>
      <c r="AR12"/>
      <c r="AS12"/>
      <c r="AT12"/>
    </row>
    <row r="13" spans="1:46" hidden="1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>
        <v>0</v>
      </c>
      <c r="J13" s="2"/>
      <c r="K13" s="2"/>
      <c r="L13" s="2"/>
      <c r="M13" s="2"/>
      <c r="N13" s="2"/>
      <c r="O13" s="8">
        <f t="shared" si="0"/>
        <v>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2"/>
      <c r="AG13" s="2"/>
      <c r="AH13" s="2"/>
      <c r="AI13" s="2"/>
      <c r="AJ13" s="2"/>
      <c r="AK13" s="7">
        <f t="shared" si="1"/>
        <v>0</v>
      </c>
      <c r="AL13" s="8" t="s">
        <v>95</v>
      </c>
      <c r="AM13" s="8">
        <v>0</v>
      </c>
      <c r="AN13" s="8">
        <v>280</v>
      </c>
      <c r="AO13" s="8" t="s">
        <v>101</v>
      </c>
      <c r="AP13" s="8">
        <f t="shared" si="2"/>
        <v>0</v>
      </c>
      <c r="AQ13"/>
      <c r="AR13"/>
      <c r="AS13"/>
      <c r="AT13"/>
    </row>
    <row r="14" spans="1:46" hidden="1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>
        <v>0</v>
      </c>
      <c r="J14" s="2"/>
      <c r="K14" s="2"/>
      <c r="L14" s="2"/>
      <c r="M14" s="2"/>
      <c r="N14" s="2"/>
      <c r="O14" s="8">
        <f t="shared" si="0"/>
        <v>-940</v>
      </c>
      <c r="P14" s="19"/>
      <c r="Q14" s="19"/>
      <c r="R14" s="19"/>
      <c r="S14" s="2"/>
      <c r="T14" s="19">
        <v>940</v>
      </c>
      <c r="U14" s="2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2"/>
      <c r="AG14" s="2"/>
      <c r="AH14" s="2"/>
      <c r="AI14" s="2"/>
      <c r="AJ14" s="2"/>
      <c r="AK14" s="7">
        <f t="shared" si="1"/>
        <v>0</v>
      </c>
      <c r="AL14" s="8" t="s">
        <v>26</v>
      </c>
      <c r="AM14" s="8">
        <v>0</v>
      </c>
      <c r="AN14" s="8">
        <v>260</v>
      </c>
      <c r="AO14" s="8" t="s">
        <v>101</v>
      </c>
      <c r="AP14" s="8">
        <f t="shared" si="2"/>
        <v>0</v>
      </c>
      <c r="AQ14"/>
      <c r="AR14"/>
      <c r="AS14"/>
      <c r="AT14"/>
    </row>
    <row r="15" spans="1:46" hidden="1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>
        <v>0</v>
      </c>
      <c r="J15" s="2"/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2"/>
      <c r="AG15" s="2"/>
      <c r="AH15" s="2"/>
      <c r="AI15" s="2"/>
      <c r="AJ15" s="2"/>
      <c r="AK15" s="7">
        <f t="shared" si="1"/>
        <v>0</v>
      </c>
      <c r="AL15" s="8" t="s">
        <v>26</v>
      </c>
      <c r="AM15" s="8">
        <v>0</v>
      </c>
      <c r="AN15" s="8">
        <v>520</v>
      </c>
      <c r="AO15" s="8" t="s">
        <v>101</v>
      </c>
      <c r="AP15" s="8">
        <f t="shared" si="2"/>
        <v>0</v>
      </c>
      <c r="AQ15"/>
      <c r="AR15"/>
      <c r="AS15"/>
      <c r="AT15"/>
    </row>
    <row r="16" spans="1:46" hidden="1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>
        <v>0</v>
      </c>
      <c r="J16" s="2"/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2"/>
      <c r="AG16" s="2"/>
      <c r="AH16" s="2"/>
      <c r="AI16" s="2"/>
      <c r="AJ16" s="2"/>
      <c r="AK16" s="7">
        <f t="shared" si="1"/>
        <v>0</v>
      </c>
      <c r="AL16" s="8" t="s">
        <v>27</v>
      </c>
      <c r="AM16" s="8">
        <v>0</v>
      </c>
      <c r="AN16" s="8">
        <v>150</v>
      </c>
      <c r="AO16" s="8" t="s">
        <v>101</v>
      </c>
      <c r="AP16" s="8">
        <f t="shared" si="2"/>
        <v>0</v>
      </c>
      <c r="AQ16"/>
      <c r="AR16"/>
      <c r="AS16"/>
      <c r="AT16"/>
    </row>
    <row r="17" spans="1:46" hidden="1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1200</v>
      </c>
      <c r="J17" s="2"/>
      <c r="K17" s="2"/>
      <c r="L17" s="2"/>
      <c r="M17" s="2"/>
      <c r="N17" s="2"/>
      <c r="O17" s="8">
        <f t="shared" si="0"/>
        <v>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19"/>
      <c r="AA17" s="19"/>
      <c r="AB17" s="19">
        <v>400</v>
      </c>
      <c r="AC17" s="19">
        <v>400</v>
      </c>
      <c r="AD17" s="19"/>
      <c r="AE17" s="19">
        <v>400</v>
      </c>
      <c r="AF17" s="2"/>
      <c r="AG17" s="2"/>
      <c r="AH17" s="2"/>
      <c r="AI17" s="2"/>
      <c r="AJ17" s="2"/>
      <c r="AK17" s="7">
        <f t="shared" si="1"/>
        <v>260.39999999999998</v>
      </c>
      <c r="AL17" s="8" t="s">
        <v>96</v>
      </c>
      <c r="AM17" s="8">
        <v>0</v>
      </c>
      <c r="AN17" s="8">
        <v>400</v>
      </c>
      <c r="AO17" s="8" t="s">
        <v>101</v>
      </c>
      <c r="AP17" s="8">
        <f t="shared" si="2"/>
        <v>3</v>
      </c>
      <c r="AQ17"/>
      <c r="AR17"/>
      <c r="AS17"/>
      <c r="AT17"/>
    </row>
    <row r="18" spans="1:46" hidden="1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>
        <v>1650</v>
      </c>
      <c r="J18" s="2"/>
      <c r="K18" s="2"/>
      <c r="L18" s="2"/>
      <c r="M18" s="2"/>
      <c r="N18" s="2"/>
      <c r="O18" s="8">
        <f t="shared" si="0"/>
        <v>-1309</v>
      </c>
      <c r="P18" s="19"/>
      <c r="Q18" s="19"/>
      <c r="R18" s="19"/>
      <c r="S18" s="2"/>
      <c r="T18" s="19"/>
      <c r="U18" s="2"/>
      <c r="V18" s="19"/>
      <c r="W18" s="19"/>
      <c r="X18" s="19">
        <v>109</v>
      </c>
      <c r="Y18" s="19"/>
      <c r="Z18" s="19">
        <v>300</v>
      </c>
      <c r="AA18" s="19"/>
      <c r="AB18" s="19">
        <v>900</v>
      </c>
      <c r="AC18" s="19"/>
      <c r="AD18" s="19">
        <v>450</v>
      </c>
      <c r="AE18" s="19">
        <v>750</v>
      </c>
      <c r="AF18" s="2">
        <v>450</v>
      </c>
      <c r="AG18" s="2"/>
      <c r="AH18" s="2"/>
      <c r="AI18" s="2"/>
      <c r="AJ18" s="2"/>
      <c r="AK18" s="7">
        <f t="shared" si="1"/>
        <v>174.9</v>
      </c>
      <c r="AL18" s="8" t="s">
        <v>27</v>
      </c>
      <c r="AM18" s="8">
        <v>0</v>
      </c>
      <c r="AN18" s="8">
        <v>150</v>
      </c>
      <c r="AO18" s="8" t="s">
        <v>101</v>
      </c>
      <c r="AP18" s="8">
        <f t="shared" si="2"/>
        <v>11</v>
      </c>
      <c r="AQ18"/>
      <c r="AR18"/>
      <c r="AS18"/>
      <c r="AT18"/>
    </row>
    <row r="19" spans="1:46" hidden="1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>
        <v>1260</v>
      </c>
      <c r="J19" s="2"/>
      <c r="K19" s="2"/>
      <c r="L19" s="2"/>
      <c r="M19" s="2"/>
      <c r="N19" s="2"/>
      <c r="O19" s="8">
        <f t="shared" si="0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19"/>
      <c r="AA19" s="19"/>
      <c r="AB19" s="19"/>
      <c r="AC19" s="19"/>
      <c r="AD19" s="19"/>
      <c r="AE19" s="19">
        <v>225</v>
      </c>
      <c r="AF19" s="2">
        <v>1035</v>
      </c>
      <c r="AG19" s="2"/>
      <c r="AH19" s="2"/>
      <c r="AI19" s="2"/>
      <c r="AJ19" s="2"/>
      <c r="AK19" s="7">
        <f t="shared" si="1"/>
        <v>223.01999999999998</v>
      </c>
      <c r="AL19" s="8" t="s">
        <v>96</v>
      </c>
      <c r="AM19" s="8">
        <v>0</v>
      </c>
      <c r="AN19" s="8">
        <v>420</v>
      </c>
      <c r="AO19" s="8" t="s">
        <v>101</v>
      </c>
      <c r="AP19" s="8">
        <f t="shared" si="2"/>
        <v>3</v>
      </c>
      <c r="AQ19"/>
      <c r="AR19"/>
      <c r="AS19"/>
      <c r="AT19"/>
    </row>
    <row r="20" spans="1:46" hidden="1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>
        <v>0</v>
      </c>
      <c r="J20" s="2"/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2"/>
      <c r="AG20" s="2"/>
      <c r="AH20" s="2"/>
      <c r="AI20" s="2"/>
      <c r="AJ20" s="2"/>
      <c r="AK20" s="7">
        <f t="shared" si="1"/>
        <v>0</v>
      </c>
      <c r="AL20" s="8" t="s">
        <v>95</v>
      </c>
      <c r="AM20" s="8">
        <v>0</v>
      </c>
      <c r="AN20" s="8">
        <v>64</v>
      </c>
      <c r="AO20" s="8" t="s">
        <v>101</v>
      </c>
      <c r="AP20" s="8">
        <f t="shared" si="2"/>
        <v>0</v>
      </c>
      <c r="AQ20"/>
      <c r="AR20"/>
      <c r="AS20"/>
      <c r="AT20"/>
    </row>
    <row r="21" spans="1:46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>
        <v>1288</v>
      </c>
      <c r="J21" s="2"/>
      <c r="K21" s="2"/>
      <c r="L21" s="2"/>
      <c r="M21" s="2"/>
      <c r="N21" s="2"/>
      <c r="O21" s="8">
        <f t="shared" si="0"/>
        <v>276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"/>
      <c r="AG21" s="2"/>
      <c r="AH21" s="2">
        <v>368</v>
      </c>
      <c r="AI21" s="2">
        <v>644</v>
      </c>
      <c r="AJ21" s="2"/>
      <c r="AK21" s="7">
        <f t="shared" si="1"/>
        <v>186.76</v>
      </c>
      <c r="AL21" s="8" t="s">
        <v>27</v>
      </c>
      <c r="AM21" s="8">
        <v>0</v>
      </c>
      <c r="AN21" s="8">
        <v>92</v>
      </c>
      <c r="AO21" s="8" t="s">
        <v>101</v>
      </c>
      <c r="AP21" s="8">
        <f t="shared" si="2"/>
        <v>14</v>
      </c>
      <c r="AQ21"/>
      <c r="AR21"/>
      <c r="AS21"/>
      <c r="AT21"/>
    </row>
    <row r="22" spans="1:46" hidden="1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>
        <v>0</v>
      </c>
      <c r="J22" s="2"/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"/>
      <c r="AG22" s="2"/>
      <c r="AH22" s="2"/>
      <c r="AI22" s="2"/>
      <c r="AJ22" s="2"/>
      <c r="AK22" s="7">
        <f t="shared" si="1"/>
        <v>0</v>
      </c>
      <c r="AL22" s="8" t="s">
        <v>97</v>
      </c>
      <c r="AM22" s="8">
        <v>0</v>
      </c>
      <c r="AN22" s="8">
        <v>200</v>
      </c>
      <c r="AO22" s="8" t="s">
        <v>101</v>
      </c>
      <c r="AP22" s="8">
        <f t="shared" si="2"/>
        <v>0</v>
      </c>
      <c r="AQ22"/>
      <c r="AR22"/>
      <c r="AS22"/>
      <c r="AT22"/>
    </row>
    <row r="23" spans="1:46" hidden="1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>
        <v>0</v>
      </c>
      <c r="J23" s="2"/>
      <c r="K23" s="2"/>
      <c r="L23" s="2"/>
      <c r="M23" s="2"/>
      <c r="N23" s="2"/>
      <c r="O23" s="8">
        <f t="shared" si="0"/>
        <v>0</v>
      </c>
      <c r="P23" s="19"/>
      <c r="Q23" s="19"/>
      <c r="R23" s="19"/>
      <c r="S23" s="2"/>
      <c r="T23" s="19"/>
      <c r="U23" s="2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2"/>
      <c r="AG23" s="2"/>
      <c r="AH23" s="2"/>
      <c r="AI23" s="2"/>
      <c r="AJ23" s="2"/>
      <c r="AK23" s="7">
        <f t="shared" ref="AK23:AK63" si="3">+G23*SUM(I23:N23)</f>
        <v>0</v>
      </c>
      <c r="AL23" s="8" t="s">
        <v>97</v>
      </c>
      <c r="AM23" s="8">
        <v>0</v>
      </c>
      <c r="AN23" s="8">
        <v>260</v>
      </c>
      <c r="AO23" s="8" t="s">
        <v>101</v>
      </c>
      <c r="AP23" s="8">
        <f t="shared" si="2"/>
        <v>0</v>
      </c>
      <c r="AQ23"/>
    </row>
    <row r="24" spans="1:46" hidden="1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>
        <v>0</v>
      </c>
      <c r="J24" s="2"/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2"/>
      <c r="AG24" s="2"/>
      <c r="AH24" s="2"/>
      <c r="AI24" s="2"/>
      <c r="AJ24" s="2"/>
      <c r="AK24" s="7">
        <f t="shared" si="3"/>
        <v>0</v>
      </c>
      <c r="AL24" s="8" t="s">
        <v>27</v>
      </c>
      <c r="AM24" s="8">
        <v>0</v>
      </c>
      <c r="AN24" s="8">
        <v>100</v>
      </c>
      <c r="AO24" s="8" t="s">
        <v>101</v>
      </c>
      <c r="AP24" s="8">
        <f t="shared" si="2"/>
        <v>0</v>
      </c>
      <c r="AQ24"/>
    </row>
    <row r="25" spans="1:46" hidden="1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0</v>
      </c>
      <c r="J25" s="2"/>
      <c r="K25" s="2"/>
      <c r="L25" s="2"/>
      <c r="M25" s="2"/>
      <c r="N25" s="2"/>
      <c r="O25" s="8">
        <f t="shared" si="0"/>
        <v>-64</v>
      </c>
      <c r="P25" s="19">
        <v>64</v>
      </c>
      <c r="Q25" s="19"/>
      <c r="R25" s="19"/>
      <c r="S25" s="2"/>
      <c r="T25" s="19"/>
      <c r="U25" s="2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2"/>
      <c r="AG25" s="2"/>
      <c r="AH25" s="2"/>
      <c r="AI25" s="2"/>
      <c r="AJ25" s="2"/>
      <c r="AK25" s="7">
        <f t="shared" si="3"/>
        <v>0</v>
      </c>
      <c r="AL25" s="8" t="s">
        <v>95</v>
      </c>
      <c r="AM25" s="8">
        <v>0</v>
      </c>
      <c r="AN25" s="8">
        <v>64</v>
      </c>
      <c r="AO25" s="8" t="s">
        <v>101</v>
      </c>
      <c r="AP25" s="8">
        <f t="shared" si="2"/>
        <v>0</v>
      </c>
      <c r="AQ25"/>
    </row>
    <row r="26" spans="1:46" hidden="1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>
        <v>0</v>
      </c>
      <c r="J26" s="2"/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2"/>
      <c r="AG26" s="2"/>
      <c r="AH26" s="2"/>
      <c r="AI26" s="2"/>
      <c r="AJ26" s="2"/>
      <c r="AK26" s="7">
        <f t="shared" si="3"/>
        <v>0</v>
      </c>
      <c r="AL26" s="8" t="s">
        <v>26</v>
      </c>
      <c r="AM26" s="8">
        <v>0</v>
      </c>
      <c r="AN26" s="8">
        <v>200</v>
      </c>
      <c r="AO26" s="8" t="s">
        <v>101</v>
      </c>
      <c r="AP26" s="8">
        <f t="shared" si="2"/>
        <v>0</v>
      </c>
      <c r="AQ26"/>
    </row>
    <row r="27" spans="1:46" hidden="1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>
        <v>0</v>
      </c>
      <c r="J27" s="2"/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2"/>
      <c r="AG27" s="2"/>
      <c r="AH27" s="2"/>
      <c r="AI27" s="2"/>
      <c r="AJ27" s="2"/>
      <c r="AK27" s="7">
        <f t="shared" si="3"/>
        <v>0</v>
      </c>
      <c r="AL27" s="8" t="s">
        <v>26</v>
      </c>
      <c r="AM27" s="8">
        <v>0</v>
      </c>
      <c r="AN27" s="8">
        <v>200</v>
      </c>
      <c r="AO27" s="8" t="s">
        <v>101</v>
      </c>
      <c r="AP27" s="8">
        <f t="shared" si="2"/>
        <v>0</v>
      </c>
      <c r="AQ27"/>
    </row>
    <row r="28" spans="1:46" hidden="1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>
        <v>0</v>
      </c>
      <c r="J28" s="2"/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"/>
      <c r="AG28" s="2"/>
      <c r="AH28" s="2"/>
      <c r="AI28" s="2"/>
      <c r="AJ28" s="2"/>
      <c r="AK28" s="7">
        <f t="shared" si="3"/>
        <v>0</v>
      </c>
      <c r="AL28" s="8" t="s">
        <v>26</v>
      </c>
      <c r="AM28" s="8" t="s">
        <v>99</v>
      </c>
      <c r="AN28" s="8">
        <v>500</v>
      </c>
      <c r="AO28" s="8" t="s">
        <v>102</v>
      </c>
      <c r="AP28" s="8">
        <f t="shared" si="2"/>
        <v>0</v>
      </c>
      <c r="AQ28"/>
    </row>
    <row r="29" spans="1:46" hidden="1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>
        <v>0</v>
      </c>
      <c r="J29" s="2"/>
      <c r="K29" s="2"/>
      <c r="L29" s="2"/>
      <c r="M29" s="2"/>
      <c r="N29" s="2"/>
      <c r="O29" s="8">
        <f t="shared" si="0"/>
        <v>-1130</v>
      </c>
      <c r="P29" s="19"/>
      <c r="Q29" s="19"/>
      <c r="R29" s="19"/>
      <c r="S29" s="2"/>
      <c r="T29" s="19"/>
      <c r="U29" s="2"/>
      <c r="V29" s="19">
        <v>1130</v>
      </c>
      <c r="W29" s="19"/>
      <c r="X29" s="19"/>
      <c r="Y29" s="19"/>
      <c r="Z29" s="19"/>
      <c r="AA29" s="19"/>
      <c r="AB29" s="19"/>
      <c r="AC29" s="19"/>
      <c r="AD29" s="19"/>
      <c r="AE29" s="19"/>
      <c r="AF29" s="2"/>
      <c r="AG29" s="2"/>
      <c r="AH29" s="2"/>
      <c r="AI29" s="2"/>
      <c r="AJ29" s="2"/>
      <c r="AK29" s="7">
        <f t="shared" si="3"/>
        <v>0</v>
      </c>
      <c r="AL29" s="8" t="s">
        <v>26</v>
      </c>
      <c r="AM29" s="8" t="s">
        <v>99</v>
      </c>
      <c r="AN29" s="8">
        <v>200</v>
      </c>
      <c r="AO29" s="8" t="s">
        <v>102</v>
      </c>
      <c r="AP29" s="8">
        <f t="shared" si="2"/>
        <v>0</v>
      </c>
      <c r="AQ29"/>
    </row>
    <row r="30" spans="1:46" hidden="1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>
        <v>0</v>
      </c>
      <c r="J30" s="2"/>
      <c r="K30" s="2"/>
      <c r="L30" s="2"/>
      <c r="M30" s="2"/>
      <c r="N30" s="2"/>
      <c r="O30" s="8">
        <f t="shared" si="0"/>
        <v>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2"/>
      <c r="AG30" s="2"/>
      <c r="AH30" s="2"/>
      <c r="AI30" s="2"/>
      <c r="AJ30" s="2"/>
      <c r="AK30" s="7">
        <f t="shared" si="3"/>
        <v>0</v>
      </c>
      <c r="AL30" s="8" t="s">
        <v>26</v>
      </c>
      <c r="AM30" s="8" t="s">
        <v>99</v>
      </c>
      <c r="AN30" s="8">
        <v>200</v>
      </c>
      <c r="AO30" s="8" t="s">
        <v>102</v>
      </c>
      <c r="AP30" s="8">
        <f t="shared" si="2"/>
        <v>0</v>
      </c>
      <c r="AQ30"/>
    </row>
    <row r="31" spans="1:46" hidden="1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>
        <v>0</v>
      </c>
      <c r="J31" s="2"/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2"/>
      <c r="AG31" s="2"/>
      <c r="AH31" s="2"/>
      <c r="AI31" s="2"/>
      <c r="AJ31" s="2"/>
      <c r="AK31" s="7">
        <f t="shared" si="3"/>
        <v>0</v>
      </c>
      <c r="AL31" s="8" t="s">
        <v>26</v>
      </c>
      <c r="AM31" s="8" t="s">
        <v>99</v>
      </c>
      <c r="AN31" s="8">
        <v>100</v>
      </c>
      <c r="AO31" s="8" t="s">
        <v>102</v>
      </c>
      <c r="AP31" s="8">
        <f t="shared" si="2"/>
        <v>0</v>
      </c>
      <c r="AQ31"/>
    </row>
    <row r="32" spans="1:46" hidden="1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>
        <v>0</v>
      </c>
      <c r="J32" s="2"/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2"/>
      <c r="AG32" s="2"/>
      <c r="AH32" s="2"/>
      <c r="AI32" s="2"/>
      <c r="AJ32" s="2"/>
      <c r="AK32" s="7">
        <f t="shared" si="3"/>
        <v>0</v>
      </c>
      <c r="AL32" s="8" t="s">
        <v>97</v>
      </c>
      <c r="AM32" s="8" t="s">
        <v>98</v>
      </c>
      <c r="AN32" s="8">
        <v>400</v>
      </c>
      <c r="AO32" s="8" t="s">
        <v>102</v>
      </c>
      <c r="AP32" s="8">
        <f t="shared" si="2"/>
        <v>0</v>
      </c>
      <c r="AQ32"/>
    </row>
    <row r="33" spans="1:43" hidden="1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>
        <v>0</v>
      </c>
      <c r="J33" s="2"/>
      <c r="K33" s="2"/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2"/>
      <c r="AG33" s="2"/>
      <c r="AH33" s="2"/>
      <c r="AI33" s="2"/>
      <c r="AJ33" s="2"/>
      <c r="AK33" s="7">
        <f t="shared" si="3"/>
        <v>0</v>
      </c>
      <c r="AL33" s="8" t="s">
        <v>26</v>
      </c>
      <c r="AM33" s="8" t="s">
        <v>98</v>
      </c>
      <c r="AN33" s="8">
        <v>250</v>
      </c>
      <c r="AO33" s="8" t="s">
        <v>102</v>
      </c>
      <c r="AP33" s="8">
        <f t="shared" si="2"/>
        <v>0</v>
      </c>
      <c r="AQ33"/>
    </row>
    <row r="34" spans="1:43" hidden="1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>
        <v>0</v>
      </c>
      <c r="J34" s="2"/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2"/>
      <c r="AG34" s="2"/>
      <c r="AH34" s="2"/>
      <c r="AI34" s="2"/>
      <c r="AJ34" s="2"/>
      <c r="AK34" s="7">
        <f t="shared" si="3"/>
        <v>0</v>
      </c>
      <c r="AL34" s="8" t="s">
        <v>26</v>
      </c>
      <c r="AM34" s="8" t="s">
        <v>98</v>
      </c>
      <c r="AN34" s="8">
        <v>300</v>
      </c>
      <c r="AO34" s="8" t="s">
        <v>102</v>
      </c>
      <c r="AP34" s="8">
        <f t="shared" si="2"/>
        <v>0</v>
      </c>
      <c r="AQ34"/>
    </row>
    <row r="35" spans="1:43" hidden="1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>
        <v>0</v>
      </c>
      <c r="J35" s="2"/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2"/>
      <c r="AG35" s="2"/>
      <c r="AH35" s="2"/>
      <c r="AI35" s="2"/>
      <c r="AJ35" s="2"/>
      <c r="AK35" s="7">
        <f t="shared" si="3"/>
        <v>0</v>
      </c>
      <c r="AL35" s="8" t="s">
        <v>26</v>
      </c>
      <c r="AM35" s="8" t="s">
        <v>98</v>
      </c>
      <c r="AN35" s="8">
        <v>300</v>
      </c>
      <c r="AO35" s="8" t="s">
        <v>102</v>
      </c>
      <c r="AP35" s="8">
        <f t="shared" si="2"/>
        <v>0</v>
      </c>
      <c r="AQ35"/>
    </row>
    <row r="36" spans="1:43" hidden="1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>
        <v>0</v>
      </c>
      <c r="J36" s="2"/>
      <c r="K36" s="2"/>
      <c r="L36" s="2"/>
      <c r="M36" s="2"/>
      <c r="N36" s="2"/>
      <c r="O36" s="8">
        <f t="shared" si="0"/>
        <v>-322</v>
      </c>
      <c r="P36" s="19">
        <v>175</v>
      </c>
      <c r="Q36" s="19"/>
      <c r="R36" s="19"/>
      <c r="S36" s="2"/>
      <c r="T36" s="19"/>
      <c r="U36" s="2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2">
        <v>147</v>
      </c>
      <c r="AG36" s="2"/>
      <c r="AH36" s="2"/>
      <c r="AI36" s="2"/>
      <c r="AJ36" s="2"/>
      <c r="AK36" s="7">
        <f t="shared" si="3"/>
        <v>0</v>
      </c>
      <c r="AL36" s="8" t="s">
        <v>97</v>
      </c>
      <c r="AM36" s="8" t="s">
        <v>98</v>
      </c>
      <c r="AN36" s="8">
        <v>250</v>
      </c>
      <c r="AO36" s="8" t="s">
        <v>102</v>
      </c>
      <c r="AP36" s="8">
        <f t="shared" si="2"/>
        <v>0</v>
      </c>
      <c r="AQ36"/>
    </row>
    <row r="37" spans="1:43" hidden="1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>
        <v>0</v>
      </c>
      <c r="J37" s="2"/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2"/>
      <c r="AG37" s="2"/>
      <c r="AH37" s="2"/>
      <c r="AI37" s="2"/>
      <c r="AJ37" s="2"/>
      <c r="AK37" s="7">
        <f t="shared" si="3"/>
        <v>0</v>
      </c>
      <c r="AL37" s="8" t="s">
        <v>26</v>
      </c>
      <c r="AM37" s="8" t="s">
        <v>99</v>
      </c>
      <c r="AN37" s="8">
        <v>100</v>
      </c>
      <c r="AO37" s="8" t="s">
        <v>102</v>
      </c>
      <c r="AP37" s="8">
        <f t="shared" si="2"/>
        <v>0</v>
      </c>
      <c r="AQ37"/>
    </row>
    <row r="38" spans="1:43" hidden="1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/>
      <c r="K38" s="2"/>
      <c r="L38" s="2"/>
      <c r="M38" s="2"/>
      <c r="N38" s="2"/>
      <c r="O38" s="8">
        <f t="shared" si="0"/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2"/>
      <c r="AG38" s="2"/>
      <c r="AH38" s="2"/>
      <c r="AI38" s="2"/>
      <c r="AJ38" s="2"/>
      <c r="AK38" s="7">
        <f t="shared" si="3"/>
        <v>0</v>
      </c>
      <c r="AL38" s="8" t="s">
        <v>26</v>
      </c>
      <c r="AM38" s="8" t="s">
        <v>99</v>
      </c>
      <c r="AN38" s="8">
        <v>100</v>
      </c>
      <c r="AO38" s="8" t="s">
        <v>102</v>
      </c>
      <c r="AP38" s="8">
        <f t="shared" si="2"/>
        <v>0</v>
      </c>
      <c r="AQ38"/>
    </row>
    <row r="39" spans="1:43" hidden="1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>
        <v>0</v>
      </c>
      <c r="J39" s="2"/>
      <c r="K39" s="2"/>
      <c r="L39" s="2"/>
      <c r="M39" s="2"/>
      <c r="N39" s="2"/>
      <c r="O39" s="8">
        <f t="shared" si="0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2"/>
      <c r="AG39" s="2"/>
      <c r="AH39" s="2"/>
      <c r="AI39" s="2"/>
      <c r="AJ39" s="2"/>
      <c r="AK39" s="7">
        <f t="shared" si="3"/>
        <v>0</v>
      </c>
      <c r="AL39" s="8" t="s">
        <v>26</v>
      </c>
      <c r="AM39" s="8" t="s">
        <v>99</v>
      </c>
      <c r="AN39" s="8">
        <v>300</v>
      </c>
      <c r="AO39" s="8" t="s">
        <v>102</v>
      </c>
      <c r="AP39" s="8">
        <f t="shared" si="2"/>
        <v>0</v>
      </c>
      <c r="AQ39"/>
    </row>
    <row r="40" spans="1:43" hidden="1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>
        <v>0</v>
      </c>
      <c r="J40" s="2"/>
      <c r="K40" s="2"/>
      <c r="L40" s="2"/>
      <c r="M40" s="2"/>
      <c r="N40" s="2"/>
      <c r="O40" s="8">
        <f t="shared" si="0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2"/>
      <c r="AG40" s="2"/>
      <c r="AH40" s="2"/>
      <c r="AI40" s="2"/>
      <c r="AJ40" s="2"/>
      <c r="AK40" s="7">
        <f t="shared" si="3"/>
        <v>0</v>
      </c>
      <c r="AL40" s="8" t="s">
        <v>26</v>
      </c>
      <c r="AM40" s="8" t="s">
        <v>99</v>
      </c>
      <c r="AN40" s="8">
        <v>200</v>
      </c>
      <c r="AO40" s="8" t="s">
        <v>102</v>
      </c>
      <c r="AP40" s="8">
        <f t="shared" si="2"/>
        <v>0</v>
      </c>
      <c r="AQ40"/>
    </row>
    <row r="41" spans="1:43" hidden="1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>
        <v>0</v>
      </c>
      <c r="J41" s="2"/>
      <c r="K41" s="2"/>
      <c r="L41" s="2"/>
      <c r="M41" s="2"/>
      <c r="N41" s="2"/>
      <c r="O41" s="8">
        <f t="shared" si="0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2"/>
      <c r="AG41" s="2"/>
      <c r="AH41" s="2"/>
      <c r="AI41" s="2"/>
      <c r="AJ41" s="2"/>
      <c r="AK41" s="7">
        <f t="shared" si="3"/>
        <v>0</v>
      </c>
      <c r="AL41" s="8" t="s">
        <v>26</v>
      </c>
      <c r="AM41" s="8" t="s">
        <v>99</v>
      </c>
      <c r="AN41" s="8">
        <v>100</v>
      </c>
      <c r="AO41" s="8" t="s">
        <v>102</v>
      </c>
      <c r="AP41" s="8">
        <f t="shared" si="2"/>
        <v>0</v>
      </c>
      <c r="AQ41"/>
    </row>
    <row r="42" spans="1:43" hidden="1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>
        <v>0</v>
      </c>
      <c r="J42" s="2"/>
      <c r="K42" s="2"/>
      <c r="L42" s="2"/>
      <c r="M42" s="2"/>
      <c r="N42" s="2"/>
      <c r="O42" s="8">
        <f t="shared" si="0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2"/>
      <c r="AG42" s="2"/>
      <c r="AH42" s="2"/>
      <c r="AI42" s="2"/>
      <c r="AJ42" s="2"/>
      <c r="AK42" s="7">
        <f t="shared" si="3"/>
        <v>0</v>
      </c>
      <c r="AL42" s="8" t="s">
        <v>26</v>
      </c>
      <c r="AM42" s="8" t="s">
        <v>99</v>
      </c>
      <c r="AN42" s="8">
        <v>300</v>
      </c>
      <c r="AO42" s="8" t="s">
        <v>102</v>
      </c>
      <c r="AP42" s="8">
        <f t="shared" si="2"/>
        <v>0</v>
      </c>
      <c r="AQ42"/>
    </row>
    <row r="43" spans="1:43" hidden="1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>
        <v>0</v>
      </c>
      <c r="J43" s="2"/>
      <c r="K43" s="2"/>
      <c r="L43" s="2"/>
      <c r="M43" s="2"/>
      <c r="N43" s="2"/>
      <c r="O43" s="8">
        <f t="shared" si="0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2"/>
      <c r="AG43" s="2"/>
      <c r="AH43" s="2"/>
      <c r="AI43" s="2"/>
      <c r="AJ43" s="2"/>
      <c r="AK43" s="7">
        <f t="shared" si="3"/>
        <v>0</v>
      </c>
      <c r="AL43" s="8" t="s">
        <v>26</v>
      </c>
      <c r="AM43" s="8" t="s">
        <v>99</v>
      </c>
      <c r="AN43" s="8">
        <v>260</v>
      </c>
      <c r="AO43" s="8" t="s">
        <v>102</v>
      </c>
      <c r="AP43" s="8">
        <f t="shared" si="2"/>
        <v>0</v>
      </c>
      <c r="AQ43"/>
    </row>
    <row r="44" spans="1:43" hidden="1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>
        <v>0</v>
      </c>
      <c r="J44" s="2"/>
      <c r="K44" s="2"/>
      <c r="L44" s="2"/>
      <c r="M44" s="2"/>
      <c r="N44" s="2"/>
      <c r="O44" s="8">
        <f t="shared" si="0"/>
        <v>-1397</v>
      </c>
      <c r="P44" s="19"/>
      <c r="Q44" s="19"/>
      <c r="R44" s="19"/>
      <c r="S44" s="2"/>
      <c r="T44" s="19"/>
      <c r="U44" s="2"/>
      <c r="V44" s="19">
        <v>1397</v>
      </c>
      <c r="W44" s="19"/>
      <c r="X44" s="19"/>
      <c r="Y44" s="19"/>
      <c r="Z44" s="19"/>
      <c r="AA44" s="19"/>
      <c r="AB44" s="19"/>
      <c r="AC44" s="19"/>
      <c r="AD44" s="19"/>
      <c r="AE44" s="19"/>
      <c r="AF44" s="2"/>
      <c r="AG44" s="2"/>
      <c r="AH44" s="2"/>
      <c r="AI44" s="2"/>
      <c r="AJ44" s="2"/>
      <c r="AK44" s="7">
        <f t="shared" si="3"/>
        <v>0</v>
      </c>
      <c r="AL44" s="8" t="s">
        <v>26</v>
      </c>
      <c r="AM44" s="8" t="s">
        <v>99</v>
      </c>
      <c r="AN44" s="8">
        <v>500</v>
      </c>
      <c r="AO44" s="8" t="s">
        <v>102</v>
      </c>
      <c r="AP44" s="8">
        <f t="shared" si="2"/>
        <v>0</v>
      </c>
      <c r="AQ44"/>
    </row>
    <row r="45" spans="1:43" hidden="1" x14ac:dyDescent="0.25">
      <c r="A45" s="2">
        <v>40</v>
      </c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>
        <v>0</v>
      </c>
      <c r="J45" s="2"/>
      <c r="K45" s="2"/>
      <c r="L45" s="2"/>
      <c r="M45" s="2"/>
      <c r="N45" s="2"/>
      <c r="O45" s="8">
        <f t="shared" si="0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2"/>
      <c r="AG45" s="2"/>
      <c r="AH45" s="2"/>
      <c r="AI45" s="2"/>
      <c r="AJ45" s="2"/>
      <c r="AK45" s="7">
        <f t="shared" si="3"/>
        <v>0</v>
      </c>
      <c r="AL45" s="8" t="s">
        <v>95</v>
      </c>
      <c r="AM45" s="8" t="s">
        <v>98</v>
      </c>
      <c r="AN45" s="8">
        <v>50</v>
      </c>
      <c r="AO45" s="8" t="s">
        <v>102</v>
      </c>
      <c r="AP45" s="8">
        <f t="shared" si="2"/>
        <v>0</v>
      </c>
      <c r="AQ45"/>
    </row>
    <row r="46" spans="1:43" hidden="1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>
        <v>0</v>
      </c>
      <c r="J46" s="2"/>
      <c r="K46" s="2"/>
      <c r="L46" s="2"/>
      <c r="M46" s="2"/>
      <c r="N46" s="2"/>
      <c r="O46" s="8">
        <f t="shared" si="0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2"/>
      <c r="AG46" s="2"/>
      <c r="AH46" s="2"/>
      <c r="AI46" s="2"/>
      <c r="AJ46" s="2"/>
      <c r="AK46" s="7">
        <f t="shared" si="3"/>
        <v>0</v>
      </c>
      <c r="AL46" s="8" t="s">
        <v>95</v>
      </c>
      <c r="AM46" s="8" t="s">
        <v>98</v>
      </c>
      <c r="AN46" s="8">
        <v>50</v>
      </c>
      <c r="AO46" s="8" t="s">
        <v>102</v>
      </c>
      <c r="AP46" s="8">
        <f t="shared" si="2"/>
        <v>0</v>
      </c>
      <c r="AQ46"/>
    </row>
    <row r="47" spans="1:43" hidden="1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>
        <v>0</v>
      </c>
      <c r="J47" s="2"/>
      <c r="K47" s="2"/>
      <c r="L47" s="2"/>
      <c r="M47" s="2"/>
      <c r="N47" s="2"/>
      <c r="O47" s="8">
        <f t="shared" si="0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"/>
      <c r="AG47" s="2"/>
      <c r="AH47" s="2"/>
      <c r="AI47" s="2"/>
      <c r="AJ47" s="2"/>
      <c r="AK47" s="7">
        <f t="shared" si="3"/>
        <v>0</v>
      </c>
      <c r="AL47" s="8" t="s">
        <v>95</v>
      </c>
      <c r="AM47" s="8" t="s">
        <v>98</v>
      </c>
      <c r="AN47" s="8">
        <v>50</v>
      </c>
      <c r="AO47" s="8" t="s">
        <v>102</v>
      </c>
      <c r="AP47" s="8">
        <f t="shared" si="2"/>
        <v>0</v>
      </c>
      <c r="AQ47"/>
    </row>
    <row r="48" spans="1:43" hidden="1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>
        <v>0</v>
      </c>
      <c r="J48" s="2"/>
      <c r="K48" s="2"/>
      <c r="L48" s="2"/>
      <c r="M48" s="2"/>
      <c r="N48" s="2"/>
      <c r="O48" s="8">
        <f t="shared" si="0"/>
        <v>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2"/>
      <c r="AG48" s="2"/>
      <c r="AH48" s="2"/>
      <c r="AI48" s="2"/>
      <c r="AJ48" s="2"/>
      <c r="AK48" s="7">
        <f t="shared" si="3"/>
        <v>0</v>
      </c>
      <c r="AL48" s="8" t="s">
        <v>95</v>
      </c>
      <c r="AM48" s="8" t="s">
        <v>98</v>
      </c>
      <c r="AN48" s="8">
        <v>50</v>
      </c>
      <c r="AO48" s="8" t="s">
        <v>102</v>
      </c>
      <c r="AP48" s="8">
        <f t="shared" si="2"/>
        <v>0</v>
      </c>
      <c r="AQ48"/>
    </row>
    <row r="49" spans="1:43" hidden="1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>
        <v>0</v>
      </c>
      <c r="J49" s="2"/>
      <c r="K49" s="2"/>
      <c r="L49" s="2"/>
      <c r="M49" s="2"/>
      <c r="N49" s="2"/>
      <c r="O49" s="8">
        <f t="shared" si="0"/>
        <v>-250</v>
      </c>
      <c r="P49" s="19"/>
      <c r="Q49" s="19"/>
      <c r="R49" s="19"/>
      <c r="S49" s="2"/>
      <c r="T49" s="19"/>
      <c r="U49" s="2"/>
      <c r="V49" s="19">
        <v>250</v>
      </c>
      <c r="W49" s="19"/>
      <c r="X49" s="19"/>
      <c r="Y49" s="19"/>
      <c r="Z49" s="19"/>
      <c r="AA49" s="19"/>
      <c r="AB49" s="19"/>
      <c r="AC49" s="19"/>
      <c r="AD49" s="19"/>
      <c r="AE49" s="19"/>
      <c r="AF49" s="2"/>
      <c r="AG49" s="2"/>
      <c r="AH49" s="2"/>
      <c r="AI49" s="2"/>
      <c r="AJ49" s="2"/>
      <c r="AK49" s="7">
        <f t="shared" si="3"/>
        <v>0</v>
      </c>
      <c r="AL49" s="8" t="s">
        <v>26</v>
      </c>
      <c r="AM49" s="8" t="s">
        <v>99</v>
      </c>
      <c r="AN49" s="8">
        <v>100</v>
      </c>
      <c r="AO49" s="8" t="s">
        <v>102</v>
      </c>
      <c r="AP49" s="8">
        <f t="shared" si="2"/>
        <v>0</v>
      </c>
      <c r="AQ49"/>
    </row>
    <row r="50" spans="1:43" hidden="1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>
        <v>0</v>
      </c>
      <c r="J50" s="2"/>
      <c r="K50" s="2"/>
      <c r="L50" s="2"/>
      <c r="M50" s="2"/>
      <c r="N50" s="2"/>
      <c r="O50" s="8">
        <f t="shared" si="0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2"/>
      <c r="AG50" s="2"/>
      <c r="AH50" s="2"/>
      <c r="AI50" s="2"/>
      <c r="AJ50" s="2"/>
      <c r="AK50" s="7">
        <f t="shared" si="3"/>
        <v>0</v>
      </c>
      <c r="AL50" s="8" t="s">
        <v>25</v>
      </c>
      <c r="AM50" s="8" t="s">
        <v>99</v>
      </c>
      <c r="AN50" s="8">
        <v>50</v>
      </c>
      <c r="AO50" s="8" t="s">
        <v>102</v>
      </c>
      <c r="AP50" s="8">
        <f t="shared" si="2"/>
        <v>0</v>
      </c>
      <c r="AQ50"/>
    </row>
    <row r="51" spans="1:43" hidden="1" x14ac:dyDescent="0.25">
      <c r="A51" s="2">
        <v>46</v>
      </c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>
        <v>0</v>
      </c>
      <c r="J51" s="2"/>
      <c r="K51" s="2"/>
      <c r="L51" s="2"/>
      <c r="M51" s="2"/>
      <c r="N51" s="2"/>
      <c r="O51" s="8">
        <f t="shared" si="0"/>
        <v>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2"/>
      <c r="AG51" s="2"/>
      <c r="AH51" s="2"/>
      <c r="AI51" s="2"/>
      <c r="AJ51" s="2"/>
      <c r="AK51" s="7">
        <f t="shared" si="3"/>
        <v>0</v>
      </c>
      <c r="AL51" s="8" t="s">
        <v>97</v>
      </c>
      <c r="AM51" s="8" t="s">
        <v>99</v>
      </c>
      <c r="AN51" s="8">
        <v>400</v>
      </c>
      <c r="AO51" s="8" t="s">
        <v>102</v>
      </c>
      <c r="AP51" s="8">
        <f t="shared" si="2"/>
        <v>0</v>
      </c>
      <c r="AQ51"/>
    </row>
    <row r="52" spans="1:43" hidden="1" x14ac:dyDescent="0.25">
      <c r="A52" s="2">
        <v>47</v>
      </c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>
        <v>0</v>
      </c>
      <c r="J52" s="2"/>
      <c r="K52" s="2"/>
      <c r="L52" s="2"/>
      <c r="M52" s="2"/>
      <c r="N52" s="2"/>
      <c r="O52" s="8">
        <f t="shared" si="0"/>
        <v>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2"/>
      <c r="AG52" s="2"/>
      <c r="AH52" s="2"/>
      <c r="AI52" s="2"/>
      <c r="AJ52" s="2"/>
      <c r="AK52" s="7">
        <f t="shared" si="3"/>
        <v>0</v>
      </c>
      <c r="AL52" s="8" t="s">
        <v>27</v>
      </c>
      <c r="AM52" s="8" t="s">
        <v>99</v>
      </c>
      <c r="AN52" s="8">
        <v>50</v>
      </c>
      <c r="AO52" s="8" t="s">
        <v>102</v>
      </c>
      <c r="AP52" s="8">
        <f t="shared" si="2"/>
        <v>0</v>
      </c>
      <c r="AQ52"/>
    </row>
    <row r="53" spans="1:43" hidden="1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>
        <v>0</v>
      </c>
      <c r="J53" s="2"/>
      <c r="K53" s="2"/>
      <c r="L53" s="2"/>
      <c r="M53" s="2"/>
      <c r="N53" s="2"/>
      <c r="O53" s="8">
        <f t="shared" si="0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2"/>
      <c r="AG53" s="2"/>
      <c r="AH53" s="2"/>
      <c r="AI53" s="2"/>
      <c r="AJ53" s="2"/>
      <c r="AK53" s="7">
        <f t="shared" si="3"/>
        <v>0</v>
      </c>
      <c r="AL53" s="8" t="s">
        <v>97</v>
      </c>
      <c r="AM53" s="8" t="s">
        <v>99</v>
      </c>
      <c r="AN53" s="8">
        <v>400</v>
      </c>
      <c r="AO53" s="8" t="s">
        <v>102</v>
      </c>
      <c r="AP53" s="8">
        <f t="shared" si="2"/>
        <v>0</v>
      </c>
      <c r="AQ53"/>
    </row>
    <row r="54" spans="1:43" hidden="1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>
        <v>0</v>
      </c>
      <c r="J54" s="2"/>
      <c r="K54" s="2"/>
      <c r="L54" s="2"/>
      <c r="M54" s="2"/>
      <c r="N54" s="2"/>
      <c r="O54" s="8">
        <f t="shared" si="0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2"/>
      <c r="AG54" s="2"/>
      <c r="AH54" s="2"/>
      <c r="AI54" s="2"/>
      <c r="AJ54" s="2"/>
      <c r="AK54" s="7">
        <f t="shared" si="3"/>
        <v>0</v>
      </c>
      <c r="AL54" s="8" t="s">
        <v>97</v>
      </c>
      <c r="AM54" s="8" t="s">
        <v>99</v>
      </c>
      <c r="AN54" s="8">
        <v>400</v>
      </c>
      <c r="AO54" s="8" t="s">
        <v>102</v>
      </c>
      <c r="AP54" s="8">
        <f t="shared" si="2"/>
        <v>0</v>
      </c>
      <c r="AQ54"/>
    </row>
    <row r="55" spans="1:43" hidden="1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>
        <v>0</v>
      </c>
      <c r="J55" s="2"/>
      <c r="K55" s="2"/>
      <c r="L55" s="2"/>
      <c r="M55" s="2"/>
      <c r="N55" s="2"/>
      <c r="O55" s="8">
        <f t="shared" si="0"/>
        <v>-290</v>
      </c>
      <c r="P55" s="19"/>
      <c r="Q55" s="19"/>
      <c r="R55" s="19"/>
      <c r="S55" s="2"/>
      <c r="T55" s="19">
        <v>290</v>
      </c>
      <c r="U55" s="2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2"/>
      <c r="AG55" s="2"/>
      <c r="AH55" s="2"/>
      <c r="AI55" s="2"/>
      <c r="AJ55" s="2"/>
      <c r="AK55" s="7">
        <f t="shared" si="3"/>
        <v>0</v>
      </c>
      <c r="AL55" s="8" t="s">
        <v>27</v>
      </c>
      <c r="AM55" s="8" t="s">
        <v>99</v>
      </c>
      <c r="AN55" s="8">
        <v>60</v>
      </c>
      <c r="AO55" s="8" t="s">
        <v>102</v>
      </c>
      <c r="AP55" s="8">
        <f t="shared" si="2"/>
        <v>0</v>
      </c>
      <c r="AQ55"/>
    </row>
    <row r="56" spans="1:43" hidden="1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>
        <v>0</v>
      </c>
      <c r="J56" s="2"/>
      <c r="K56" s="2"/>
      <c r="L56" s="2"/>
      <c r="M56" s="2"/>
      <c r="N56" s="2"/>
      <c r="O56" s="8">
        <f t="shared" si="0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2"/>
      <c r="AG56" s="2"/>
      <c r="AH56" s="2"/>
      <c r="AI56" s="2"/>
      <c r="AJ56" s="2"/>
      <c r="AK56" s="7">
        <f t="shared" si="3"/>
        <v>0</v>
      </c>
      <c r="AL56" s="8" t="s">
        <v>27</v>
      </c>
      <c r="AM56" s="8" t="s">
        <v>99</v>
      </c>
      <c r="AN56" s="8">
        <v>70</v>
      </c>
      <c r="AO56" s="8" t="s">
        <v>102</v>
      </c>
      <c r="AP56" s="8">
        <f t="shared" si="2"/>
        <v>0</v>
      </c>
      <c r="AQ56"/>
    </row>
    <row r="57" spans="1:43" hidden="1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>
        <v>0</v>
      </c>
      <c r="J57" s="2"/>
      <c r="K57" s="2"/>
      <c r="L57" s="2"/>
      <c r="M57" s="2"/>
      <c r="N57" s="2"/>
      <c r="O57" s="8">
        <f t="shared" si="0"/>
        <v>0</v>
      </c>
      <c r="P57" s="19"/>
      <c r="Q57" s="19"/>
      <c r="R57" s="19"/>
      <c r="S57" s="2"/>
      <c r="T57" s="19"/>
      <c r="U57" s="2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2"/>
      <c r="AG57" s="2"/>
      <c r="AH57" s="2"/>
      <c r="AI57" s="2"/>
      <c r="AJ57" s="2"/>
      <c r="AK57" s="7">
        <f t="shared" si="3"/>
        <v>0</v>
      </c>
      <c r="AL57" s="8" t="s">
        <v>97</v>
      </c>
      <c r="AM57" s="8" t="s">
        <v>99</v>
      </c>
      <c r="AN57" s="8">
        <v>400</v>
      </c>
      <c r="AO57" s="8" t="s">
        <v>102</v>
      </c>
      <c r="AP57" s="8">
        <f t="shared" si="2"/>
        <v>0</v>
      </c>
      <c r="AQ57"/>
    </row>
    <row r="58" spans="1:43" hidden="1" x14ac:dyDescent="0.25">
      <c r="A58" s="2">
        <v>53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>
        <v>0</v>
      </c>
      <c r="J58" s="2"/>
      <c r="K58" s="2"/>
      <c r="L58" s="2"/>
      <c r="M58" s="2"/>
      <c r="N58" s="2"/>
      <c r="O58" s="8">
        <f t="shared" si="0"/>
        <v>0</v>
      </c>
      <c r="P58" s="19"/>
      <c r="Q58" s="19"/>
      <c r="R58" s="19"/>
      <c r="S58" s="2"/>
      <c r="T58" s="19"/>
      <c r="U58" s="2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2"/>
      <c r="AG58" s="2"/>
      <c r="AH58" s="2"/>
      <c r="AI58" s="2"/>
      <c r="AJ58" s="2"/>
      <c r="AK58" s="7">
        <f t="shared" si="3"/>
        <v>0</v>
      </c>
      <c r="AL58" s="8" t="s">
        <v>97</v>
      </c>
      <c r="AM58" s="8" t="s">
        <v>99</v>
      </c>
      <c r="AN58" s="8">
        <v>300</v>
      </c>
      <c r="AO58" s="8" t="s">
        <v>102</v>
      </c>
      <c r="AP58" s="8">
        <f t="shared" si="2"/>
        <v>0</v>
      </c>
      <c r="AQ58"/>
    </row>
    <row r="59" spans="1:43" hidden="1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>
        <v>0</v>
      </c>
      <c r="J59" s="2"/>
      <c r="K59" s="2"/>
      <c r="L59" s="2"/>
      <c r="M59" s="2"/>
      <c r="N59" s="2"/>
      <c r="O59" s="8">
        <f t="shared" si="0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2"/>
      <c r="AG59" s="2"/>
      <c r="AH59" s="2"/>
      <c r="AI59" s="2"/>
      <c r="AJ59" s="2"/>
      <c r="AK59" s="7">
        <f t="shared" si="3"/>
        <v>0</v>
      </c>
      <c r="AL59" s="8" t="s">
        <v>97</v>
      </c>
      <c r="AM59" s="8" t="s">
        <v>99</v>
      </c>
      <c r="AN59" s="8">
        <v>500</v>
      </c>
      <c r="AO59" s="8" t="s">
        <v>102</v>
      </c>
      <c r="AP59" s="8">
        <f t="shared" si="2"/>
        <v>0</v>
      </c>
      <c r="AQ59"/>
    </row>
    <row r="60" spans="1:43" hidden="1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>
        <v>0</v>
      </c>
      <c r="J60" s="2"/>
      <c r="K60" s="2"/>
      <c r="L60" s="2"/>
      <c r="M60" s="2"/>
      <c r="N60" s="2"/>
      <c r="O60" s="8">
        <f t="shared" si="0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2"/>
      <c r="AG60" s="2"/>
      <c r="AH60" s="2"/>
      <c r="AI60" s="2"/>
      <c r="AJ60" s="2"/>
      <c r="AK60" s="7">
        <f t="shared" si="3"/>
        <v>0</v>
      </c>
      <c r="AL60" s="8" t="s">
        <v>97</v>
      </c>
      <c r="AM60" s="8" t="s">
        <v>99</v>
      </c>
      <c r="AN60" s="8">
        <v>500</v>
      </c>
      <c r="AO60" s="8" t="s">
        <v>102</v>
      </c>
      <c r="AP60" s="8">
        <f t="shared" si="2"/>
        <v>0</v>
      </c>
      <c r="AQ60"/>
    </row>
    <row r="61" spans="1:43" hidden="1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>
        <v>0</v>
      </c>
      <c r="J61" s="2"/>
      <c r="K61" s="2"/>
      <c r="L61" s="2"/>
      <c r="M61" s="2"/>
      <c r="N61" s="2"/>
      <c r="O61" s="8">
        <f t="shared" si="0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2"/>
      <c r="AG61" s="2"/>
      <c r="AH61" s="2"/>
      <c r="AI61" s="2"/>
      <c r="AJ61" s="2"/>
      <c r="AK61" s="7">
        <f t="shared" si="3"/>
        <v>0</v>
      </c>
      <c r="AL61" s="8" t="s">
        <v>26</v>
      </c>
      <c r="AM61" s="8" t="s">
        <v>98</v>
      </c>
      <c r="AN61" s="8">
        <v>250</v>
      </c>
      <c r="AO61" s="8" t="s">
        <v>102</v>
      </c>
      <c r="AP61" s="8">
        <f t="shared" si="2"/>
        <v>0</v>
      </c>
      <c r="AQ61"/>
    </row>
    <row r="62" spans="1:43" hidden="1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>
        <v>0</v>
      </c>
      <c r="J62" s="2"/>
      <c r="K62" s="2"/>
      <c r="L62" s="2"/>
      <c r="M62" s="2"/>
      <c r="N62" s="2"/>
      <c r="O62" s="8">
        <f t="shared" si="0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2"/>
      <c r="AG62" s="2"/>
      <c r="AH62" s="2"/>
      <c r="AI62" s="2"/>
      <c r="AJ62" s="2"/>
      <c r="AK62" s="7">
        <f t="shared" si="3"/>
        <v>0</v>
      </c>
      <c r="AL62" s="8" t="s">
        <v>26</v>
      </c>
      <c r="AM62" s="8" t="s">
        <v>99</v>
      </c>
      <c r="AN62" s="8">
        <v>300</v>
      </c>
      <c r="AO62" s="8" t="s">
        <v>102</v>
      </c>
      <c r="AP62" s="8">
        <f t="shared" si="2"/>
        <v>0</v>
      </c>
      <c r="AQ62"/>
    </row>
    <row r="63" spans="1:43" hidden="1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>
        <v>0</v>
      </c>
      <c r="J63" s="2"/>
      <c r="K63" s="2"/>
      <c r="L63" s="2"/>
      <c r="M63" s="2"/>
      <c r="N63" s="2"/>
      <c r="O63" s="8">
        <f t="shared" si="0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2"/>
      <c r="AG63" s="2"/>
      <c r="AH63" s="2"/>
      <c r="AI63" s="2"/>
      <c r="AJ63" s="2"/>
      <c r="AK63" s="7">
        <f t="shared" si="3"/>
        <v>0</v>
      </c>
      <c r="AL63" s="8" t="s">
        <v>26</v>
      </c>
      <c r="AM63" s="8" t="s">
        <v>99</v>
      </c>
      <c r="AN63" s="8">
        <v>250</v>
      </c>
      <c r="AO63" s="8" t="s">
        <v>102</v>
      </c>
      <c r="AP63" s="8">
        <f t="shared" si="2"/>
        <v>0</v>
      </c>
      <c r="AQ63"/>
    </row>
    <row r="64" spans="1:43" hidden="1" x14ac:dyDescent="0.25">
      <c r="H64" s="4" t="s">
        <v>19</v>
      </c>
      <c r="I64" s="9">
        <f t="shared" ref="I64:AK64" si="4">SUM(I6:I63)</f>
        <v>9048</v>
      </c>
      <c r="J64" s="9">
        <f t="shared" si="4"/>
        <v>0</v>
      </c>
      <c r="K64" s="9">
        <f t="shared" si="4"/>
        <v>0</v>
      </c>
      <c r="L64" s="9">
        <f t="shared" si="4"/>
        <v>0</v>
      </c>
      <c r="M64" s="9">
        <f t="shared" si="4"/>
        <v>0</v>
      </c>
      <c r="N64" s="9">
        <f t="shared" si="4"/>
        <v>0</v>
      </c>
      <c r="O64" s="11">
        <f t="shared" si="4"/>
        <v>-4063</v>
      </c>
      <c r="P64" s="20">
        <f t="shared" si="4"/>
        <v>295</v>
      </c>
      <c r="Q64" s="20">
        <f t="shared" si="4"/>
        <v>0</v>
      </c>
      <c r="R64" s="20">
        <f t="shared" si="4"/>
        <v>61</v>
      </c>
      <c r="S64" s="9">
        <f t="shared" si="4"/>
        <v>0</v>
      </c>
      <c r="T64" s="20">
        <f t="shared" si="4"/>
        <v>1230</v>
      </c>
      <c r="U64" s="9">
        <f t="shared" si="4"/>
        <v>0</v>
      </c>
      <c r="V64" s="20">
        <f t="shared" si="4"/>
        <v>2777</v>
      </c>
      <c r="W64" s="20">
        <f t="shared" si="4"/>
        <v>0</v>
      </c>
      <c r="X64" s="20">
        <f t="shared" si="4"/>
        <v>249</v>
      </c>
      <c r="Y64" s="20">
        <f t="shared" si="4"/>
        <v>350</v>
      </c>
      <c r="Z64" s="20">
        <f t="shared" si="4"/>
        <v>650</v>
      </c>
      <c r="AA64" s="20">
        <f t="shared" si="4"/>
        <v>70</v>
      </c>
      <c r="AB64" s="20">
        <f t="shared" si="4"/>
        <v>1860</v>
      </c>
      <c r="AC64" s="20">
        <f t="shared" si="4"/>
        <v>680</v>
      </c>
      <c r="AD64" s="20">
        <f t="shared" si="4"/>
        <v>660</v>
      </c>
      <c r="AE64" s="20">
        <f t="shared" si="4"/>
        <v>1375</v>
      </c>
      <c r="AF64" s="9">
        <f t="shared" si="4"/>
        <v>1632</v>
      </c>
      <c r="AG64" s="9">
        <f t="shared" si="4"/>
        <v>0</v>
      </c>
      <c r="AH64" s="9">
        <f t="shared" si="4"/>
        <v>578</v>
      </c>
      <c r="AI64" s="9">
        <f t="shared" si="4"/>
        <v>644</v>
      </c>
      <c r="AJ64" s="9">
        <f t="shared" si="4"/>
        <v>0</v>
      </c>
      <c r="AK64" s="9">
        <f t="shared" si="4"/>
        <v>1217.3799999999999</v>
      </c>
      <c r="AP64" s="12">
        <f>SUM(AP6:AP63)</f>
        <v>83.142857142857139</v>
      </c>
    </row>
    <row r="65" spans="8:36" hidden="1" x14ac:dyDescent="0.25">
      <c r="H65" s="4" t="s">
        <v>21</v>
      </c>
      <c r="I65" s="56">
        <f>+I64+J64+K64+L64+M64+N64</f>
        <v>9048</v>
      </c>
      <c r="J65" s="56"/>
      <c r="K65" s="56"/>
      <c r="L65" s="56"/>
      <c r="M65" s="56"/>
      <c r="N65" s="56"/>
      <c r="P65" s="57">
        <f>+P64+Q64</f>
        <v>295</v>
      </c>
      <c r="Q65" s="54"/>
      <c r="R65" s="57">
        <f>+R64+S64</f>
        <v>61</v>
      </c>
      <c r="S65" s="54"/>
      <c r="T65" s="57">
        <f>+T64+U64</f>
        <v>1230</v>
      </c>
      <c r="U65" s="54"/>
      <c r="V65" s="57">
        <f t="shared" ref="V65" si="5">+V64+W64</f>
        <v>2777</v>
      </c>
      <c r="W65" s="54"/>
      <c r="X65" s="57">
        <f t="shared" ref="X65" si="6">+X64+Y64</f>
        <v>599</v>
      </c>
      <c r="Y65" s="54"/>
      <c r="Z65" s="57">
        <f t="shared" ref="Z65" si="7">+Z64+AA64</f>
        <v>720</v>
      </c>
      <c r="AA65" s="54"/>
      <c r="AB65" s="57">
        <f t="shared" ref="AB65" si="8">+AB64+AC64</f>
        <v>2540</v>
      </c>
      <c r="AC65" s="54"/>
      <c r="AD65" s="57">
        <f t="shared" ref="AD65" si="9">+AD64+AE64</f>
        <v>2035</v>
      </c>
      <c r="AE65" s="54"/>
      <c r="AF65" s="57">
        <f t="shared" ref="AF65" si="10">+AF64+AG64</f>
        <v>1632</v>
      </c>
      <c r="AG65" s="54"/>
      <c r="AH65" s="57">
        <f t="shared" ref="AH65" si="11">+AH64+AI64</f>
        <v>1222</v>
      </c>
      <c r="AI65" s="54"/>
      <c r="AJ65" s="10">
        <f>+AJ64</f>
        <v>0</v>
      </c>
    </row>
  </sheetData>
  <autoFilter ref="B5:AP65" xr:uid="{00000000-0009-0000-0000-000002000000}">
    <filterColumn colId="13">
      <filters>
        <filter val="1288"/>
        <filter val="1634"/>
      </filters>
    </filterColumn>
  </autoFilter>
  <mergeCells count="23">
    <mergeCell ref="C2:D2"/>
    <mergeCell ref="AH4:AI4"/>
    <mergeCell ref="AF4:AG4"/>
    <mergeCell ref="AD4:AE4"/>
    <mergeCell ref="AB4:AC4"/>
    <mergeCell ref="Z4:AA4"/>
    <mergeCell ref="X4:Y4"/>
    <mergeCell ref="V4:W4"/>
    <mergeCell ref="T4:U4"/>
    <mergeCell ref="R4:S4"/>
    <mergeCell ref="P4:Q4"/>
    <mergeCell ref="B3:B4"/>
    <mergeCell ref="I65:N65"/>
    <mergeCell ref="AD65:AE65"/>
    <mergeCell ref="AF65:AG65"/>
    <mergeCell ref="AH65:AI65"/>
    <mergeCell ref="P65:Q65"/>
    <mergeCell ref="R65:S65"/>
    <mergeCell ref="T65:U65"/>
    <mergeCell ref="V65:W65"/>
    <mergeCell ref="X65:Y65"/>
    <mergeCell ref="Z65:AA65"/>
    <mergeCell ref="AB65:AC65"/>
  </mergeCell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AT74"/>
  <sheetViews>
    <sheetView topLeftCell="A19" zoomScale="90" zoomScaleNormal="90" workbookViewId="0">
      <pane xSplit="15" topLeftCell="P1" activePane="topRight" state="frozen"/>
      <selection pane="topRight" activeCell="D21" sqref="D21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customWidth="1"/>
    <col min="8" max="8" width="15.42578125" style="1" customWidth="1"/>
    <col min="9" max="9" width="10.7109375" style="1" customWidth="1"/>
    <col min="10" max="10" width="10.140625" style="1" customWidth="1"/>
    <col min="11" max="11" width="7.5703125" style="1" customWidth="1"/>
    <col min="12" max="14" width="5" style="1" customWidth="1"/>
    <col min="15" max="15" width="10.140625" style="1" customWidth="1"/>
    <col min="16" max="17" width="9.140625" style="17" customWidth="1"/>
    <col min="18" max="18" width="8.7109375" style="17" customWidth="1"/>
    <col min="19" max="19" width="8.7109375" style="1" customWidth="1"/>
    <col min="20" max="20" width="8.7109375" style="17" customWidth="1"/>
    <col min="21" max="21" width="8.7109375" style="1" customWidth="1"/>
    <col min="22" max="31" width="8.7109375" style="17" customWidth="1"/>
    <col min="32" max="36" width="8.7109375" style="1" customWidth="1"/>
    <col min="37" max="37" width="8.7109375" style="1"/>
    <col min="38" max="38" width="16.85546875" style="1" bestFit="1" customWidth="1"/>
    <col min="39" max="39" width="16.5703125" style="1" bestFit="1" customWidth="1"/>
    <col min="40" max="40" width="13" style="1" customWidth="1"/>
    <col min="41" max="41" width="11.5703125" style="1" bestFit="1" customWidth="1"/>
    <col min="42" max="42" width="12.140625" style="1" bestFit="1" customWidth="1"/>
    <col min="43" max="43" width="8.7109375" style="1"/>
    <col min="44" max="44" width="16.28515625" style="1" customWidth="1"/>
    <col min="45" max="45" width="19.7109375" style="1" bestFit="1" customWidth="1"/>
    <col min="46" max="16384" width="8.7109375" style="1"/>
  </cols>
  <sheetData>
    <row r="2" spans="1:46" x14ac:dyDescent="0.25">
      <c r="B2" s="4" t="s">
        <v>17</v>
      </c>
      <c r="C2" s="58" t="s">
        <v>18</v>
      </c>
      <c r="D2" s="58"/>
    </row>
    <row r="3" spans="1:4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</row>
    <row r="4" spans="1:46" x14ac:dyDescent="0.25">
      <c r="B4" s="59"/>
      <c r="C4" s="4" t="s">
        <v>16</v>
      </c>
      <c r="D4" s="2"/>
      <c r="I4" s="4" t="s">
        <v>5</v>
      </c>
      <c r="P4" s="55">
        <v>46223</v>
      </c>
      <c r="Q4" s="55"/>
      <c r="R4" s="55">
        <v>46224</v>
      </c>
      <c r="S4" s="55"/>
      <c r="T4" s="55">
        <v>46225</v>
      </c>
      <c r="U4" s="55"/>
      <c r="V4" s="55">
        <v>46226</v>
      </c>
      <c r="W4" s="55"/>
      <c r="X4" s="55">
        <v>46227</v>
      </c>
      <c r="Y4" s="55"/>
      <c r="Z4" s="55">
        <v>46230</v>
      </c>
      <c r="AA4" s="55"/>
      <c r="AB4" s="55">
        <v>46231</v>
      </c>
      <c r="AC4" s="55"/>
      <c r="AD4" s="55">
        <v>46232</v>
      </c>
      <c r="AE4" s="55"/>
      <c r="AF4" s="55">
        <v>46233</v>
      </c>
      <c r="AG4" s="55"/>
      <c r="AH4" s="55">
        <v>46234</v>
      </c>
      <c r="AI4" s="55"/>
      <c r="AJ4" s="6" t="s">
        <v>10</v>
      </c>
    </row>
    <row r="5" spans="1:4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30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18" t="s">
        <v>15</v>
      </c>
      <c r="AA5" s="18" t="s">
        <v>16</v>
      </c>
      <c r="AB5" s="18" t="s">
        <v>15</v>
      </c>
      <c r="AC5" s="18" t="s">
        <v>16</v>
      </c>
      <c r="AD5" s="18" t="s">
        <v>15</v>
      </c>
      <c r="AE5" s="18" t="s">
        <v>16</v>
      </c>
      <c r="AF5" s="4" t="s">
        <v>15</v>
      </c>
      <c r="AG5" s="4" t="s">
        <v>16</v>
      </c>
      <c r="AH5" s="4" t="s">
        <v>15</v>
      </c>
      <c r="AI5" s="4" t="s">
        <v>16</v>
      </c>
      <c r="AJ5" s="4" t="s">
        <v>20</v>
      </c>
      <c r="AK5" s="4" t="s">
        <v>8</v>
      </c>
      <c r="AL5" s="4" t="s">
        <v>22</v>
      </c>
      <c r="AM5" s="4" t="s">
        <v>100</v>
      </c>
      <c r="AN5" s="4" t="s">
        <v>24</v>
      </c>
      <c r="AO5" s="4" t="s">
        <v>23</v>
      </c>
      <c r="AP5" s="4" t="s">
        <v>28</v>
      </c>
      <c r="AQ5"/>
      <c r="AR5" s="15" t="s">
        <v>29</v>
      </c>
      <c r="AS5" s="15" t="s">
        <v>31</v>
      </c>
      <c r="AT5"/>
    </row>
    <row r="6" spans="1:46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>
        <v>0</v>
      </c>
      <c r="J6" s="2"/>
      <c r="K6" s="2">
        <v>0</v>
      </c>
      <c r="L6" s="2"/>
      <c r="M6" s="2"/>
      <c r="N6" s="2"/>
      <c r="O6" s="8">
        <f>+I6+J6+K6+L6+M6+N6-SUM(P6:AJ6)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"/>
      <c r="AG6" s="2"/>
      <c r="AH6" s="2"/>
      <c r="AI6" s="2"/>
      <c r="AJ6" s="2"/>
      <c r="AK6" s="7">
        <f>+G6*SUM(I6:N6)</f>
        <v>0</v>
      </c>
      <c r="AL6" s="8" t="s">
        <v>26</v>
      </c>
      <c r="AM6" s="8">
        <v>0</v>
      </c>
      <c r="AN6" s="8">
        <v>260</v>
      </c>
      <c r="AO6" s="8" t="s">
        <v>101</v>
      </c>
      <c r="AP6" s="8">
        <f>+SUM(I6:N6)/AN6</f>
        <v>0</v>
      </c>
      <c r="AQ6"/>
      <c r="AR6" s="16" t="s">
        <v>26</v>
      </c>
      <c r="AS6" s="15">
        <v>0</v>
      </c>
      <c r="AT6"/>
    </row>
    <row r="7" spans="1:46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>
        <v>1424</v>
      </c>
      <c r="J7" s="2">
        <v>1000</v>
      </c>
      <c r="K7" s="2">
        <v>2290</v>
      </c>
      <c r="L7" s="2"/>
      <c r="M7" s="2"/>
      <c r="N7" s="2"/>
      <c r="O7" s="8">
        <f t="shared" ref="O7:O63" si="0">+I7+J7+K7+L7+M7+N7-SUM(P7:AJ7)</f>
        <v>1610</v>
      </c>
      <c r="P7" s="19"/>
      <c r="Q7" s="19"/>
      <c r="R7" s="19"/>
      <c r="S7" s="2"/>
      <c r="T7" s="19"/>
      <c r="U7" s="2">
        <v>140</v>
      </c>
      <c r="V7" s="19">
        <v>490</v>
      </c>
      <c r="W7" s="19">
        <v>420</v>
      </c>
      <c r="X7" s="19">
        <v>630</v>
      </c>
      <c r="Y7" s="19"/>
      <c r="Z7" s="19"/>
      <c r="AA7" s="19"/>
      <c r="AB7" s="19"/>
      <c r="AC7" s="19"/>
      <c r="AD7" s="19"/>
      <c r="AE7" s="19"/>
      <c r="AF7" s="2"/>
      <c r="AG7" s="2"/>
      <c r="AH7" s="2"/>
      <c r="AI7" s="2"/>
      <c r="AJ7" s="2">
        <v>1424</v>
      </c>
      <c r="AK7" s="7">
        <f t="shared" ref="AK7:AK22" si="1">+G7*SUM(I7:N7)</f>
        <v>480.82799999999997</v>
      </c>
      <c r="AL7" s="8" t="s">
        <v>95</v>
      </c>
      <c r="AM7" s="8">
        <v>0</v>
      </c>
      <c r="AN7" s="8">
        <v>70</v>
      </c>
      <c r="AO7" s="8" t="s">
        <v>101</v>
      </c>
      <c r="AP7" s="8">
        <f t="shared" ref="AP7:AP63" si="2">+SUM(I7:N7)/AN7</f>
        <v>67.342857142857142</v>
      </c>
      <c r="AQ7"/>
      <c r="AR7" s="16" t="s">
        <v>95</v>
      </c>
      <c r="AS7" s="15">
        <v>0</v>
      </c>
      <c r="AT7"/>
    </row>
    <row r="8" spans="1:46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>
        <v>-61</v>
      </c>
      <c r="J8" s="2"/>
      <c r="K8" s="2">
        <v>560</v>
      </c>
      <c r="L8" s="2"/>
      <c r="M8" s="2"/>
      <c r="N8" s="2"/>
      <c r="O8" s="8">
        <f t="shared" si="0"/>
        <v>499</v>
      </c>
      <c r="P8" s="19"/>
      <c r="Q8" s="19"/>
      <c r="R8" s="19"/>
      <c r="S8" s="2"/>
      <c r="T8" s="19"/>
      <c r="U8" s="2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"/>
      <c r="AG8" s="2"/>
      <c r="AH8" s="2"/>
      <c r="AI8" s="2"/>
      <c r="AJ8" s="2"/>
      <c r="AK8" s="7">
        <f t="shared" si="1"/>
        <v>53.393000000000001</v>
      </c>
      <c r="AL8" s="8" t="s">
        <v>95</v>
      </c>
      <c r="AM8" s="8">
        <v>0</v>
      </c>
      <c r="AN8" s="8">
        <v>70</v>
      </c>
      <c r="AO8" s="8" t="s">
        <v>101</v>
      </c>
      <c r="AP8" s="8">
        <f t="shared" si="2"/>
        <v>7.128571428571429</v>
      </c>
      <c r="AQ8"/>
      <c r="AR8" s="16" t="s">
        <v>27</v>
      </c>
      <c r="AS8" s="15">
        <v>0</v>
      </c>
      <c r="AT8"/>
    </row>
    <row r="9" spans="1:46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>
        <v>0</v>
      </c>
      <c r="J9" s="2"/>
      <c r="K9" s="2">
        <v>0</v>
      </c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19"/>
      <c r="AA9" s="19"/>
      <c r="AB9" s="19"/>
      <c r="AC9" s="19"/>
      <c r="AD9" s="19"/>
      <c r="AE9" s="19"/>
      <c r="AF9" s="2"/>
      <c r="AG9" s="2"/>
      <c r="AH9" s="2"/>
      <c r="AI9" s="2"/>
      <c r="AJ9" s="2"/>
      <c r="AK9" s="7">
        <f t="shared" si="1"/>
        <v>0</v>
      </c>
      <c r="AL9" s="8" t="s">
        <v>26</v>
      </c>
      <c r="AM9" s="8">
        <v>0</v>
      </c>
      <c r="AN9" s="8">
        <v>70</v>
      </c>
      <c r="AO9" s="8" t="s">
        <v>101</v>
      </c>
      <c r="AP9" s="8">
        <f t="shared" si="2"/>
        <v>0</v>
      </c>
      <c r="AQ9"/>
      <c r="AR9" s="16" t="s">
        <v>96</v>
      </c>
      <c r="AS9" s="15">
        <v>0</v>
      </c>
      <c r="AT9"/>
    </row>
    <row r="10" spans="1:46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>
        <v>0</v>
      </c>
      <c r="J10" s="2"/>
      <c r="K10" s="2">
        <v>0</v>
      </c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2"/>
      <c r="AG10" s="2"/>
      <c r="AH10" s="2"/>
      <c r="AI10" s="2"/>
      <c r="AJ10" s="2"/>
      <c r="AK10" s="7">
        <f t="shared" si="1"/>
        <v>0</v>
      </c>
      <c r="AL10" s="8" t="s">
        <v>95</v>
      </c>
      <c r="AM10" s="8">
        <v>0</v>
      </c>
      <c r="AN10" s="8">
        <v>70</v>
      </c>
      <c r="AO10" s="8" t="s">
        <v>101</v>
      </c>
      <c r="AP10" s="8">
        <f t="shared" si="2"/>
        <v>0</v>
      </c>
      <c r="AQ10"/>
      <c r="AR10" s="16" t="s">
        <v>97</v>
      </c>
      <c r="AS10" s="15">
        <v>0</v>
      </c>
      <c r="AT10"/>
    </row>
    <row r="11" spans="1:46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>
        <v>0</v>
      </c>
      <c r="J11" s="2"/>
      <c r="K11" s="2">
        <v>0</v>
      </c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2"/>
      <c r="AG11" s="2"/>
      <c r="AH11" s="2"/>
      <c r="AI11" s="2"/>
      <c r="AJ11" s="2"/>
      <c r="AK11" s="7">
        <f t="shared" si="1"/>
        <v>0</v>
      </c>
      <c r="AL11" s="8" t="s">
        <v>26</v>
      </c>
      <c r="AM11" s="8">
        <v>0</v>
      </c>
      <c r="AN11" s="8">
        <v>160</v>
      </c>
      <c r="AO11" s="8" t="s">
        <v>101</v>
      </c>
      <c r="AP11" s="8">
        <f t="shared" si="2"/>
        <v>0</v>
      </c>
      <c r="AQ11"/>
      <c r="AR11" s="16" t="s">
        <v>30</v>
      </c>
      <c r="AS11" s="15">
        <v>0</v>
      </c>
      <c r="AT11"/>
    </row>
    <row r="12" spans="1:46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>
        <v>0</v>
      </c>
      <c r="J12" s="2"/>
      <c r="K12" s="2">
        <v>0</v>
      </c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2"/>
      <c r="AG12" s="2"/>
      <c r="AH12" s="2"/>
      <c r="AI12" s="2"/>
      <c r="AJ12" s="2"/>
      <c r="AK12" s="7">
        <f t="shared" si="1"/>
        <v>0</v>
      </c>
      <c r="AL12" s="8" t="s">
        <v>95</v>
      </c>
      <c r="AM12" s="8">
        <v>0</v>
      </c>
      <c r="AN12" s="8">
        <v>200</v>
      </c>
      <c r="AO12" s="8" t="s">
        <v>101</v>
      </c>
      <c r="AP12" s="8">
        <f t="shared" si="2"/>
        <v>0</v>
      </c>
      <c r="AQ12"/>
      <c r="AR12"/>
      <c r="AS12"/>
      <c r="AT12"/>
    </row>
    <row r="13" spans="1:46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>
        <v>0</v>
      </c>
      <c r="J13" s="2"/>
      <c r="K13" s="2">
        <v>0</v>
      </c>
      <c r="L13" s="2"/>
      <c r="M13" s="2"/>
      <c r="N13" s="2"/>
      <c r="O13" s="8">
        <f t="shared" si="0"/>
        <v>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2"/>
      <c r="AG13" s="2"/>
      <c r="AH13" s="2"/>
      <c r="AI13" s="2"/>
      <c r="AJ13" s="2"/>
      <c r="AK13" s="7">
        <f t="shared" si="1"/>
        <v>0</v>
      </c>
      <c r="AL13" s="8" t="s">
        <v>95</v>
      </c>
      <c r="AM13" s="8">
        <v>0</v>
      </c>
      <c r="AN13" s="8">
        <v>280</v>
      </c>
      <c r="AO13" s="8" t="s">
        <v>101</v>
      </c>
      <c r="AP13" s="8">
        <f t="shared" si="2"/>
        <v>0</v>
      </c>
      <c r="AQ13"/>
      <c r="AR13"/>
      <c r="AS13"/>
      <c r="AT13"/>
    </row>
    <row r="14" spans="1:46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>
        <v>-940</v>
      </c>
      <c r="J14" s="2"/>
      <c r="K14" s="2">
        <v>0</v>
      </c>
      <c r="L14" s="2"/>
      <c r="M14" s="2"/>
      <c r="N14" s="2"/>
      <c r="O14" s="8">
        <f t="shared" si="0"/>
        <v>-940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2"/>
      <c r="AG14" s="2"/>
      <c r="AH14" s="2"/>
      <c r="AI14" s="2"/>
      <c r="AJ14" s="2"/>
      <c r="AK14" s="7">
        <f t="shared" si="1"/>
        <v>-17.86</v>
      </c>
      <c r="AL14" s="8" t="s">
        <v>26</v>
      </c>
      <c r="AM14" s="8">
        <v>0</v>
      </c>
      <c r="AN14" s="8">
        <v>260</v>
      </c>
      <c r="AO14" s="8" t="s">
        <v>101</v>
      </c>
      <c r="AP14" s="8">
        <f t="shared" si="2"/>
        <v>-3.6153846153846154</v>
      </c>
      <c r="AQ14"/>
      <c r="AR14"/>
      <c r="AS14"/>
      <c r="AT14"/>
    </row>
    <row r="15" spans="1:46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>
        <v>0</v>
      </c>
      <c r="J15" s="2"/>
      <c r="K15" s="2">
        <v>0</v>
      </c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2"/>
      <c r="AG15" s="2"/>
      <c r="AH15" s="2"/>
      <c r="AI15" s="2"/>
      <c r="AJ15" s="2"/>
      <c r="AK15" s="7">
        <f t="shared" si="1"/>
        <v>0</v>
      </c>
      <c r="AL15" s="8" t="s">
        <v>26</v>
      </c>
      <c r="AM15" s="8">
        <v>0</v>
      </c>
      <c r="AN15" s="8">
        <v>520</v>
      </c>
      <c r="AO15" s="8" t="s">
        <v>101</v>
      </c>
      <c r="AP15" s="8">
        <f t="shared" si="2"/>
        <v>0</v>
      </c>
      <c r="AQ15"/>
      <c r="AR15"/>
      <c r="AS15"/>
      <c r="AT15"/>
    </row>
    <row r="16" spans="1:46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>
        <v>0</v>
      </c>
      <c r="J16" s="2"/>
      <c r="K16" s="2">
        <v>0</v>
      </c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2"/>
      <c r="AG16" s="2"/>
      <c r="AH16" s="2"/>
      <c r="AI16" s="2"/>
      <c r="AJ16" s="2"/>
      <c r="AK16" s="7">
        <f t="shared" si="1"/>
        <v>0</v>
      </c>
      <c r="AL16" s="8" t="s">
        <v>27</v>
      </c>
      <c r="AM16" s="8">
        <v>0</v>
      </c>
      <c r="AN16" s="8">
        <v>150</v>
      </c>
      <c r="AO16" s="8" t="s">
        <v>101</v>
      </c>
      <c r="AP16" s="8">
        <f t="shared" si="2"/>
        <v>0</v>
      </c>
      <c r="AQ16"/>
      <c r="AR16"/>
      <c r="AS16"/>
      <c r="AT16"/>
    </row>
    <row r="17" spans="1:46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0</v>
      </c>
      <c r="J17" s="2"/>
      <c r="K17" s="2">
        <v>400</v>
      </c>
      <c r="L17" s="2"/>
      <c r="M17" s="2"/>
      <c r="N17" s="2"/>
      <c r="O17" s="8">
        <f t="shared" si="0"/>
        <v>400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2"/>
      <c r="AG17" s="2"/>
      <c r="AH17" s="2"/>
      <c r="AI17" s="2"/>
      <c r="AJ17" s="2"/>
      <c r="AK17" s="7">
        <f t="shared" si="1"/>
        <v>86.8</v>
      </c>
      <c r="AL17" s="8" t="s">
        <v>96</v>
      </c>
      <c r="AM17" s="8">
        <v>0</v>
      </c>
      <c r="AN17" s="8">
        <v>400</v>
      </c>
      <c r="AO17" s="8" t="s">
        <v>101</v>
      </c>
      <c r="AP17" s="8">
        <f t="shared" si="2"/>
        <v>1</v>
      </c>
      <c r="AQ17"/>
      <c r="AR17"/>
      <c r="AS17"/>
      <c r="AT17"/>
    </row>
    <row r="18" spans="1:46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>
        <v>-1309</v>
      </c>
      <c r="J18" s="2"/>
      <c r="K18" s="2">
        <v>900</v>
      </c>
      <c r="L18" s="2"/>
      <c r="M18" s="2"/>
      <c r="N18" s="2"/>
      <c r="O18" s="8">
        <f t="shared" si="0"/>
        <v>-859</v>
      </c>
      <c r="P18" s="19"/>
      <c r="Q18" s="19"/>
      <c r="R18" s="19"/>
      <c r="S18" s="2"/>
      <c r="T18" s="19"/>
      <c r="U18" s="2"/>
      <c r="V18" s="19"/>
      <c r="W18" s="19"/>
      <c r="X18" s="19"/>
      <c r="Y18" s="19">
        <v>450</v>
      </c>
      <c r="Z18" s="19"/>
      <c r="AA18" s="19"/>
      <c r="AB18" s="19"/>
      <c r="AC18" s="19"/>
      <c r="AD18" s="19"/>
      <c r="AE18" s="19"/>
      <c r="AF18" s="2"/>
      <c r="AG18" s="2"/>
      <c r="AH18" s="2"/>
      <c r="AI18" s="2"/>
      <c r="AJ18" s="2"/>
      <c r="AK18" s="7">
        <f t="shared" si="1"/>
        <v>-43.353999999999999</v>
      </c>
      <c r="AL18" s="8" t="s">
        <v>27</v>
      </c>
      <c r="AM18" s="8">
        <v>0</v>
      </c>
      <c r="AN18" s="8">
        <v>150</v>
      </c>
      <c r="AO18" s="8" t="s">
        <v>101</v>
      </c>
      <c r="AP18" s="8">
        <f t="shared" si="2"/>
        <v>-2.7266666666666666</v>
      </c>
      <c r="AQ18"/>
      <c r="AR18"/>
      <c r="AS18"/>
      <c r="AT18"/>
    </row>
    <row r="19" spans="1:46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>
        <v>0</v>
      </c>
      <c r="J19" s="2"/>
      <c r="K19" s="2">
        <v>0</v>
      </c>
      <c r="L19" s="2"/>
      <c r="M19" s="2"/>
      <c r="N19" s="2"/>
      <c r="O19" s="8">
        <f t="shared" si="0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2"/>
      <c r="AG19" s="2"/>
      <c r="AH19" s="2"/>
      <c r="AI19" s="2"/>
      <c r="AJ19" s="2"/>
      <c r="AK19" s="7">
        <f t="shared" si="1"/>
        <v>0</v>
      </c>
      <c r="AL19" s="8" t="s">
        <v>96</v>
      </c>
      <c r="AM19" s="8">
        <v>0</v>
      </c>
      <c r="AN19" s="8">
        <v>420</v>
      </c>
      <c r="AO19" s="8" t="s">
        <v>101</v>
      </c>
      <c r="AP19" s="8">
        <f t="shared" si="2"/>
        <v>0</v>
      </c>
      <c r="AQ19"/>
      <c r="AR19"/>
      <c r="AS19"/>
      <c r="AT19"/>
    </row>
    <row r="20" spans="1:46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>
        <v>0</v>
      </c>
      <c r="J20" s="2"/>
      <c r="K20" s="2">
        <v>0</v>
      </c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2"/>
      <c r="AG20" s="2"/>
      <c r="AH20" s="2"/>
      <c r="AI20" s="2"/>
      <c r="AJ20" s="2"/>
      <c r="AK20" s="7">
        <f t="shared" si="1"/>
        <v>0</v>
      </c>
      <c r="AL20" s="8" t="s">
        <v>95</v>
      </c>
      <c r="AM20" s="8">
        <v>0</v>
      </c>
      <c r="AN20" s="8">
        <v>64</v>
      </c>
      <c r="AO20" s="8" t="s">
        <v>101</v>
      </c>
      <c r="AP20" s="8">
        <f t="shared" si="2"/>
        <v>0</v>
      </c>
      <c r="AQ20"/>
      <c r="AR20"/>
      <c r="AS20"/>
      <c r="AT20"/>
    </row>
    <row r="21" spans="1:46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>
        <v>276</v>
      </c>
      <c r="J21" s="2">
        <v>117</v>
      </c>
      <c r="K21" s="2">
        <v>1288</v>
      </c>
      <c r="L21" s="2"/>
      <c r="M21" s="2"/>
      <c r="N21" s="2"/>
      <c r="O21" s="8">
        <f t="shared" si="0"/>
        <v>393</v>
      </c>
      <c r="P21" s="19"/>
      <c r="Q21" s="19">
        <v>92</v>
      </c>
      <c r="R21" s="19">
        <v>65</v>
      </c>
      <c r="S21" s="2"/>
      <c r="T21" s="19"/>
      <c r="U21" s="2"/>
      <c r="V21" s="19"/>
      <c r="W21" s="19"/>
      <c r="X21" s="19">
        <v>184</v>
      </c>
      <c r="Y21" s="19">
        <v>828</v>
      </c>
      <c r="Z21" s="19"/>
      <c r="AA21" s="19"/>
      <c r="AB21" s="19"/>
      <c r="AC21" s="19"/>
      <c r="AD21" s="19"/>
      <c r="AE21" s="19"/>
      <c r="AF21" s="2"/>
      <c r="AG21" s="2"/>
      <c r="AH21" s="2"/>
      <c r="AI21" s="2"/>
      <c r="AJ21" s="2">
        <v>119</v>
      </c>
      <c r="AK21" s="7">
        <f t="shared" si="1"/>
        <v>243.74499999999998</v>
      </c>
      <c r="AL21" s="8" t="s">
        <v>27</v>
      </c>
      <c r="AM21" s="8">
        <v>0</v>
      </c>
      <c r="AN21" s="8">
        <v>92</v>
      </c>
      <c r="AO21" s="8" t="s">
        <v>101</v>
      </c>
      <c r="AP21" s="8">
        <f t="shared" si="2"/>
        <v>18.271739130434781</v>
      </c>
      <c r="AQ21"/>
      <c r="AR21"/>
      <c r="AS21"/>
      <c r="AT21"/>
    </row>
    <row r="22" spans="1:46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>
        <v>0</v>
      </c>
      <c r="J22" s="2"/>
      <c r="K22" s="2">
        <v>0</v>
      </c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"/>
      <c r="AG22" s="2"/>
      <c r="AH22" s="2"/>
      <c r="AI22" s="2"/>
      <c r="AJ22" s="2"/>
      <c r="AK22" s="7">
        <f t="shared" si="1"/>
        <v>0</v>
      </c>
      <c r="AL22" s="8" t="s">
        <v>97</v>
      </c>
      <c r="AM22" s="8">
        <v>0</v>
      </c>
      <c r="AN22" s="8">
        <v>200</v>
      </c>
      <c r="AO22" s="8" t="s">
        <v>101</v>
      </c>
      <c r="AP22" s="8">
        <f t="shared" si="2"/>
        <v>0</v>
      </c>
      <c r="AQ22"/>
      <c r="AR22"/>
      <c r="AS22"/>
      <c r="AT22"/>
    </row>
    <row r="23" spans="1:46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>
        <v>0</v>
      </c>
      <c r="J23" s="2"/>
      <c r="K23" s="2">
        <v>0</v>
      </c>
      <c r="L23" s="2"/>
      <c r="M23" s="2"/>
      <c r="N23" s="2"/>
      <c r="O23" s="8">
        <f t="shared" si="0"/>
        <v>0</v>
      </c>
      <c r="P23" s="19"/>
      <c r="Q23" s="19"/>
      <c r="R23" s="19"/>
      <c r="S23" s="2"/>
      <c r="T23" s="19"/>
      <c r="U23" s="2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2"/>
      <c r="AG23" s="2"/>
      <c r="AH23" s="2"/>
      <c r="AI23" s="2"/>
      <c r="AJ23" s="2"/>
      <c r="AK23" s="7">
        <f t="shared" ref="AK23:AK63" si="3">+G23*SUM(I23:N23)</f>
        <v>0</v>
      </c>
      <c r="AL23" s="8" t="s">
        <v>97</v>
      </c>
      <c r="AM23" s="8">
        <v>0</v>
      </c>
      <c r="AN23" s="8">
        <v>260</v>
      </c>
      <c r="AO23" s="8" t="s">
        <v>101</v>
      </c>
      <c r="AP23" s="8">
        <f t="shared" si="2"/>
        <v>0</v>
      </c>
      <c r="AQ23"/>
    </row>
    <row r="24" spans="1:46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>
        <v>0</v>
      </c>
      <c r="J24" s="2"/>
      <c r="K24" s="2">
        <v>0</v>
      </c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2"/>
      <c r="AG24" s="2"/>
      <c r="AH24" s="2"/>
      <c r="AI24" s="2"/>
      <c r="AJ24" s="2"/>
      <c r="AK24" s="7">
        <f t="shared" si="3"/>
        <v>0</v>
      </c>
      <c r="AL24" s="8" t="s">
        <v>27</v>
      </c>
      <c r="AM24" s="8">
        <v>0</v>
      </c>
      <c r="AN24" s="8">
        <v>100</v>
      </c>
      <c r="AO24" s="8" t="s">
        <v>101</v>
      </c>
      <c r="AP24" s="8">
        <f t="shared" si="2"/>
        <v>0</v>
      </c>
      <c r="AQ24"/>
    </row>
    <row r="25" spans="1:46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-64</v>
      </c>
      <c r="J25" s="2"/>
      <c r="K25" s="2">
        <v>1216</v>
      </c>
      <c r="L25" s="2"/>
      <c r="M25" s="2"/>
      <c r="N25" s="2"/>
      <c r="O25" s="8">
        <f t="shared" si="0"/>
        <v>1152</v>
      </c>
      <c r="P25" s="19"/>
      <c r="Q25" s="19"/>
      <c r="R25" s="19"/>
      <c r="S25" s="2"/>
      <c r="T25" s="19"/>
      <c r="U25" s="2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2"/>
      <c r="AG25" s="2"/>
      <c r="AH25" s="2"/>
      <c r="AI25" s="2"/>
      <c r="AJ25" s="2"/>
      <c r="AK25" s="7">
        <f t="shared" si="3"/>
        <v>183.16800000000001</v>
      </c>
      <c r="AL25" s="8" t="s">
        <v>95</v>
      </c>
      <c r="AM25" s="8">
        <v>0</v>
      </c>
      <c r="AN25" s="8">
        <v>64</v>
      </c>
      <c r="AO25" s="8" t="s">
        <v>101</v>
      </c>
      <c r="AP25" s="8">
        <f t="shared" si="2"/>
        <v>18</v>
      </c>
      <c r="AQ25"/>
    </row>
    <row r="26" spans="1:46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>
        <v>0</v>
      </c>
      <c r="J26" s="2"/>
      <c r="K26" s="2">
        <v>0</v>
      </c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2"/>
      <c r="AG26" s="2"/>
      <c r="AH26" s="2"/>
      <c r="AI26" s="2"/>
      <c r="AJ26" s="2"/>
      <c r="AK26" s="7">
        <f t="shared" si="3"/>
        <v>0</v>
      </c>
      <c r="AL26" s="8" t="s">
        <v>26</v>
      </c>
      <c r="AM26" s="8">
        <v>0</v>
      </c>
      <c r="AN26" s="8">
        <v>200</v>
      </c>
      <c r="AO26" s="8" t="s">
        <v>101</v>
      </c>
      <c r="AP26" s="8">
        <f t="shared" si="2"/>
        <v>0</v>
      </c>
      <c r="AQ26"/>
    </row>
    <row r="27" spans="1:46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>
        <v>0</v>
      </c>
      <c r="J27" s="2"/>
      <c r="K27" s="2">
        <v>0</v>
      </c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2"/>
      <c r="AG27" s="2"/>
      <c r="AH27" s="2"/>
      <c r="AI27" s="2"/>
      <c r="AJ27" s="2"/>
      <c r="AK27" s="7">
        <f t="shared" si="3"/>
        <v>0</v>
      </c>
      <c r="AL27" s="8" t="s">
        <v>26</v>
      </c>
      <c r="AM27" s="8">
        <v>0</v>
      </c>
      <c r="AN27" s="8">
        <v>200</v>
      </c>
      <c r="AO27" s="8" t="s">
        <v>101</v>
      </c>
      <c r="AP27" s="8">
        <f t="shared" si="2"/>
        <v>0</v>
      </c>
      <c r="AQ27"/>
    </row>
    <row r="28" spans="1:46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>
        <v>0</v>
      </c>
      <c r="J28" s="2"/>
      <c r="K28" s="2">
        <v>0</v>
      </c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2"/>
      <c r="AG28" s="2"/>
      <c r="AH28" s="2"/>
      <c r="AI28" s="2"/>
      <c r="AJ28" s="2"/>
      <c r="AK28" s="7">
        <f t="shared" si="3"/>
        <v>0</v>
      </c>
      <c r="AL28" s="8" t="s">
        <v>26</v>
      </c>
      <c r="AM28" s="8" t="s">
        <v>99</v>
      </c>
      <c r="AN28" s="8">
        <v>500</v>
      </c>
      <c r="AO28" s="8" t="s">
        <v>102</v>
      </c>
      <c r="AP28" s="8">
        <f t="shared" si="2"/>
        <v>0</v>
      </c>
      <c r="AQ28"/>
    </row>
    <row r="29" spans="1:46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>
        <v>-1130</v>
      </c>
      <c r="J29" s="2"/>
      <c r="K29" s="2">
        <v>0</v>
      </c>
      <c r="L29" s="2"/>
      <c r="M29" s="2"/>
      <c r="N29" s="2"/>
      <c r="O29" s="8">
        <f t="shared" si="0"/>
        <v>-1130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2"/>
      <c r="AG29" s="2"/>
      <c r="AH29" s="2"/>
      <c r="AI29" s="2"/>
      <c r="AJ29" s="2"/>
      <c r="AK29" s="7">
        <f t="shared" si="3"/>
        <v>-19.21</v>
      </c>
      <c r="AL29" s="8" t="s">
        <v>26</v>
      </c>
      <c r="AM29" s="8" t="s">
        <v>99</v>
      </c>
      <c r="AN29" s="8">
        <v>200</v>
      </c>
      <c r="AO29" s="8" t="s">
        <v>102</v>
      </c>
      <c r="AP29" s="8">
        <f t="shared" si="2"/>
        <v>-5.65</v>
      </c>
      <c r="AQ29"/>
    </row>
    <row r="30" spans="1:46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>
        <v>0</v>
      </c>
      <c r="J30" s="2"/>
      <c r="K30" s="2">
        <v>0</v>
      </c>
      <c r="L30" s="2"/>
      <c r="M30" s="2"/>
      <c r="N30" s="2"/>
      <c r="O30" s="8">
        <f t="shared" si="0"/>
        <v>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2"/>
      <c r="AG30" s="2"/>
      <c r="AH30" s="2"/>
      <c r="AI30" s="2"/>
      <c r="AJ30" s="2"/>
      <c r="AK30" s="7">
        <f t="shared" si="3"/>
        <v>0</v>
      </c>
      <c r="AL30" s="8" t="s">
        <v>26</v>
      </c>
      <c r="AM30" s="8" t="s">
        <v>99</v>
      </c>
      <c r="AN30" s="8">
        <v>200</v>
      </c>
      <c r="AO30" s="8" t="s">
        <v>102</v>
      </c>
      <c r="AP30" s="8">
        <f t="shared" si="2"/>
        <v>0</v>
      </c>
      <c r="AQ30"/>
    </row>
    <row r="31" spans="1:46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>
        <v>0</v>
      </c>
      <c r="J31" s="2"/>
      <c r="K31" s="2">
        <v>0</v>
      </c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2"/>
      <c r="AG31" s="2"/>
      <c r="AH31" s="2"/>
      <c r="AI31" s="2"/>
      <c r="AJ31" s="2"/>
      <c r="AK31" s="7">
        <f t="shared" si="3"/>
        <v>0</v>
      </c>
      <c r="AL31" s="8" t="s">
        <v>26</v>
      </c>
      <c r="AM31" s="8" t="s">
        <v>99</v>
      </c>
      <c r="AN31" s="8">
        <v>100</v>
      </c>
      <c r="AO31" s="8" t="s">
        <v>102</v>
      </c>
      <c r="AP31" s="8">
        <f t="shared" si="2"/>
        <v>0</v>
      </c>
      <c r="AQ31"/>
    </row>
    <row r="32" spans="1:46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>
        <v>0</v>
      </c>
      <c r="J32" s="2"/>
      <c r="K32" s="2">
        <v>0</v>
      </c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2"/>
      <c r="AG32" s="2"/>
      <c r="AH32" s="2"/>
      <c r="AI32" s="2"/>
      <c r="AJ32" s="2"/>
      <c r="AK32" s="7">
        <f t="shared" si="3"/>
        <v>0</v>
      </c>
      <c r="AL32" s="8" t="s">
        <v>97</v>
      </c>
      <c r="AM32" s="8" t="s">
        <v>98</v>
      </c>
      <c r="AN32" s="8">
        <v>400</v>
      </c>
      <c r="AO32" s="8" t="s">
        <v>102</v>
      </c>
      <c r="AP32" s="8">
        <f t="shared" si="2"/>
        <v>0</v>
      </c>
      <c r="AQ32"/>
    </row>
    <row r="33" spans="1:43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>
        <v>0</v>
      </c>
      <c r="J33" s="2"/>
      <c r="K33" s="2">
        <v>0</v>
      </c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2"/>
      <c r="AG33" s="2"/>
      <c r="AH33" s="2"/>
      <c r="AI33" s="2"/>
      <c r="AJ33" s="2"/>
      <c r="AK33" s="7">
        <f t="shared" si="3"/>
        <v>0</v>
      </c>
      <c r="AL33" s="8" t="s">
        <v>26</v>
      </c>
      <c r="AM33" s="8" t="s">
        <v>98</v>
      </c>
      <c r="AN33" s="8">
        <v>250</v>
      </c>
      <c r="AO33" s="8" t="s">
        <v>102</v>
      </c>
      <c r="AP33" s="8">
        <f t="shared" si="2"/>
        <v>0</v>
      </c>
      <c r="AQ33"/>
    </row>
    <row r="34" spans="1:43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>
        <v>0</v>
      </c>
      <c r="J34" s="2"/>
      <c r="K34" s="2">
        <v>0</v>
      </c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2"/>
      <c r="AG34" s="2"/>
      <c r="AH34" s="2"/>
      <c r="AI34" s="2"/>
      <c r="AJ34" s="2"/>
      <c r="AK34" s="7">
        <f t="shared" si="3"/>
        <v>0</v>
      </c>
      <c r="AL34" s="8" t="s">
        <v>26</v>
      </c>
      <c r="AM34" s="8" t="s">
        <v>98</v>
      </c>
      <c r="AN34" s="8">
        <v>300</v>
      </c>
      <c r="AO34" s="8" t="s">
        <v>102</v>
      </c>
      <c r="AP34" s="8">
        <f t="shared" si="2"/>
        <v>0</v>
      </c>
      <c r="AQ34"/>
    </row>
    <row r="35" spans="1:43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>
        <v>0</v>
      </c>
      <c r="J35" s="2"/>
      <c r="K35" s="2">
        <v>0</v>
      </c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2"/>
      <c r="AG35" s="2"/>
      <c r="AH35" s="2"/>
      <c r="AI35" s="2"/>
      <c r="AJ35" s="2"/>
      <c r="AK35" s="7">
        <f t="shared" si="3"/>
        <v>0</v>
      </c>
      <c r="AL35" s="8" t="s">
        <v>26</v>
      </c>
      <c r="AM35" s="8" t="s">
        <v>98</v>
      </c>
      <c r="AN35" s="8">
        <v>300</v>
      </c>
      <c r="AO35" s="8" t="s">
        <v>102</v>
      </c>
      <c r="AP35" s="8">
        <f t="shared" si="2"/>
        <v>0</v>
      </c>
      <c r="AQ35"/>
    </row>
    <row r="36" spans="1:43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>
        <v>-322</v>
      </c>
      <c r="J36" s="2"/>
      <c r="K36" s="2">
        <v>0</v>
      </c>
      <c r="L36" s="2"/>
      <c r="M36" s="2"/>
      <c r="N36" s="2"/>
      <c r="O36" s="8">
        <f t="shared" si="0"/>
        <v>-322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2"/>
      <c r="AG36" s="2"/>
      <c r="AH36" s="2"/>
      <c r="AI36" s="2"/>
      <c r="AJ36" s="2"/>
      <c r="AK36" s="7">
        <f t="shared" si="3"/>
        <v>-66.009999999999991</v>
      </c>
      <c r="AL36" s="8" t="s">
        <v>97</v>
      </c>
      <c r="AM36" s="8" t="s">
        <v>98</v>
      </c>
      <c r="AN36" s="8">
        <v>250</v>
      </c>
      <c r="AO36" s="8" t="s">
        <v>102</v>
      </c>
      <c r="AP36" s="8">
        <f t="shared" si="2"/>
        <v>-1.288</v>
      </c>
      <c r="AQ36"/>
    </row>
    <row r="37" spans="1:43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>
        <v>0</v>
      </c>
      <c r="J37" s="2"/>
      <c r="K37" s="2">
        <v>0</v>
      </c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2"/>
      <c r="AG37" s="2"/>
      <c r="AH37" s="2"/>
      <c r="AI37" s="2"/>
      <c r="AJ37" s="2"/>
      <c r="AK37" s="7">
        <f t="shared" si="3"/>
        <v>0</v>
      </c>
      <c r="AL37" s="8" t="s">
        <v>26</v>
      </c>
      <c r="AM37" s="8" t="s">
        <v>99</v>
      </c>
      <c r="AN37" s="8">
        <v>100</v>
      </c>
      <c r="AO37" s="8" t="s">
        <v>102</v>
      </c>
      <c r="AP37" s="8">
        <f t="shared" si="2"/>
        <v>0</v>
      </c>
      <c r="AQ37"/>
    </row>
    <row r="38" spans="1:43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/>
      <c r="K38" s="2">
        <v>0</v>
      </c>
      <c r="L38" s="2"/>
      <c r="M38" s="2"/>
      <c r="N38" s="2"/>
      <c r="O38" s="8">
        <f t="shared" si="0"/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2"/>
      <c r="AG38" s="2"/>
      <c r="AH38" s="2"/>
      <c r="AI38" s="2"/>
      <c r="AJ38" s="2"/>
      <c r="AK38" s="7">
        <f t="shared" si="3"/>
        <v>0</v>
      </c>
      <c r="AL38" s="8" t="s">
        <v>26</v>
      </c>
      <c r="AM38" s="8" t="s">
        <v>99</v>
      </c>
      <c r="AN38" s="8">
        <v>100</v>
      </c>
      <c r="AO38" s="8" t="s">
        <v>102</v>
      </c>
      <c r="AP38" s="8">
        <f t="shared" si="2"/>
        <v>0</v>
      </c>
      <c r="AQ38"/>
    </row>
    <row r="39" spans="1:43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>
        <v>0</v>
      </c>
      <c r="J39" s="2"/>
      <c r="K39" s="2">
        <v>0</v>
      </c>
      <c r="L39" s="2"/>
      <c r="M39" s="2"/>
      <c r="N39" s="2"/>
      <c r="O39" s="8">
        <f t="shared" si="0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2"/>
      <c r="AG39" s="2"/>
      <c r="AH39" s="2"/>
      <c r="AI39" s="2"/>
      <c r="AJ39" s="2"/>
      <c r="AK39" s="7">
        <f t="shared" si="3"/>
        <v>0</v>
      </c>
      <c r="AL39" s="8" t="s">
        <v>26</v>
      </c>
      <c r="AM39" s="8" t="s">
        <v>99</v>
      </c>
      <c r="AN39" s="8">
        <v>300</v>
      </c>
      <c r="AO39" s="8" t="s">
        <v>102</v>
      </c>
      <c r="AP39" s="8">
        <f t="shared" si="2"/>
        <v>0</v>
      </c>
      <c r="AQ39"/>
    </row>
    <row r="40" spans="1:43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>
        <v>0</v>
      </c>
      <c r="J40" s="2"/>
      <c r="K40" s="2">
        <v>0</v>
      </c>
      <c r="L40" s="2"/>
      <c r="M40" s="2"/>
      <c r="N40" s="2"/>
      <c r="O40" s="8">
        <f t="shared" si="0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2"/>
      <c r="AG40" s="2"/>
      <c r="AH40" s="2"/>
      <c r="AI40" s="2"/>
      <c r="AJ40" s="2"/>
      <c r="AK40" s="7">
        <f t="shared" si="3"/>
        <v>0</v>
      </c>
      <c r="AL40" s="8" t="s">
        <v>26</v>
      </c>
      <c r="AM40" s="8" t="s">
        <v>99</v>
      </c>
      <c r="AN40" s="8">
        <v>200</v>
      </c>
      <c r="AO40" s="8" t="s">
        <v>102</v>
      </c>
      <c r="AP40" s="8">
        <f t="shared" si="2"/>
        <v>0</v>
      </c>
      <c r="AQ40"/>
    </row>
    <row r="41" spans="1:43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>
        <v>0</v>
      </c>
      <c r="J41" s="2"/>
      <c r="K41" s="2">
        <v>0</v>
      </c>
      <c r="L41" s="2"/>
      <c r="M41" s="2"/>
      <c r="N41" s="2"/>
      <c r="O41" s="8">
        <f t="shared" si="0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2"/>
      <c r="AG41" s="2"/>
      <c r="AH41" s="2"/>
      <c r="AI41" s="2"/>
      <c r="AJ41" s="2"/>
      <c r="AK41" s="7">
        <f t="shared" si="3"/>
        <v>0</v>
      </c>
      <c r="AL41" s="8" t="s">
        <v>26</v>
      </c>
      <c r="AM41" s="8" t="s">
        <v>99</v>
      </c>
      <c r="AN41" s="8">
        <v>100</v>
      </c>
      <c r="AO41" s="8" t="s">
        <v>102</v>
      </c>
      <c r="AP41" s="8">
        <f t="shared" si="2"/>
        <v>0</v>
      </c>
      <c r="AQ41"/>
    </row>
    <row r="42" spans="1:43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>
        <v>0</v>
      </c>
      <c r="J42" s="2"/>
      <c r="K42" s="2">
        <v>0</v>
      </c>
      <c r="L42" s="2"/>
      <c r="M42" s="2"/>
      <c r="N42" s="2"/>
      <c r="O42" s="8">
        <f t="shared" si="0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2"/>
      <c r="AG42" s="2"/>
      <c r="AH42" s="2"/>
      <c r="AI42" s="2"/>
      <c r="AJ42" s="2"/>
      <c r="AK42" s="7">
        <f t="shared" si="3"/>
        <v>0</v>
      </c>
      <c r="AL42" s="8" t="s">
        <v>26</v>
      </c>
      <c r="AM42" s="8" t="s">
        <v>99</v>
      </c>
      <c r="AN42" s="8">
        <v>300</v>
      </c>
      <c r="AO42" s="8" t="s">
        <v>102</v>
      </c>
      <c r="AP42" s="8">
        <f t="shared" si="2"/>
        <v>0</v>
      </c>
      <c r="AQ42"/>
    </row>
    <row r="43" spans="1:43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>
        <v>0</v>
      </c>
      <c r="J43" s="2"/>
      <c r="K43" s="2">
        <v>0</v>
      </c>
      <c r="L43" s="2"/>
      <c r="M43" s="2"/>
      <c r="N43" s="2"/>
      <c r="O43" s="8">
        <f t="shared" si="0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2"/>
      <c r="AG43" s="2"/>
      <c r="AH43" s="2"/>
      <c r="AI43" s="2"/>
      <c r="AJ43" s="2"/>
      <c r="AK43" s="7">
        <f t="shared" si="3"/>
        <v>0</v>
      </c>
      <c r="AL43" s="8" t="s">
        <v>26</v>
      </c>
      <c r="AM43" s="8" t="s">
        <v>99</v>
      </c>
      <c r="AN43" s="8">
        <v>260</v>
      </c>
      <c r="AO43" s="8" t="s">
        <v>102</v>
      </c>
      <c r="AP43" s="8">
        <f t="shared" si="2"/>
        <v>0</v>
      </c>
      <c r="AQ43"/>
    </row>
    <row r="44" spans="1:43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>
        <v>-1397</v>
      </c>
      <c r="J44" s="2"/>
      <c r="K44" s="2">
        <v>0</v>
      </c>
      <c r="L44" s="2"/>
      <c r="M44" s="2"/>
      <c r="N44" s="2"/>
      <c r="O44" s="8">
        <f t="shared" si="0"/>
        <v>-1397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2"/>
      <c r="AG44" s="2"/>
      <c r="AH44" s="2"/>
      <c r="AI44" s="2"/>
      <c r="AJ44" s="2"/>
      <c r="AK44" s="7">
        <f t="shared" si="3"/>
        <v>-16.763999999999999</v>
      </c>
      <c r="AL44" s="8" t="s">
        <v>26</v>
      </c>
      <c r="AM44" s="8" t="s">
        <v>99</v>
      </c>
      <c r="AN44" s="8">
        <v>500</v>
      </c>
      <c r="AO44" s="8" t="s">
        <v>102</v>
      </c>
      <c r="AP44" s="8">
        <f t="shared" si="2"/>
        <v>-2.794</v>
      </c>
      <c r="AQ44"/>
    </row>
    <row r="45" spans="1:43" x14ac:dyDescent="0.25">
      <c r="A45" s="2">
        <v>40</v>
      </c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>
        <v>0</v>
      </c>
      <c r="J45" s="2"/>
      <c r="K45" s="2">
        <v>0</v>
      </c>
      <c r="L45" s="2"/>
      <c r="M45" s="2"/>
      <c r="N45" s="2"/>
      <c r="O45" s="8">
        <f t="shared" si="0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2"/>
      <c r="AG45" s="2"/>
      <c r="AH45" s="2"/>
      <c r="AI45" s="2"/>
      <c r="AJ45" s="2"/>
      <c r="AK45" s="7">
        <f t="shared" si="3"/>
        <v>0</v>
      </c>
      <c r="AL45" s="8" t="s">
        <v>95</v>
      </c>
      <c r="AM45" s="8" t="s">
        <v>98</v>
      </c>
      <c r="AN45" s="8">
        <v>50</v>
      </c>
      <c r="AO45" s="8" t="s">
        <v>102</v>
      </c>
      <c r="AP45" s="8">
        <f t="shared" si="2"/>
        <v>0</v>
      </c>
      <c r="AQ45"/>
    </row>
    <row r="46" spans="1:43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>
        <v>0</v>
      </c>
      <c r="J46" s="2"/>
      <c r="K46" s="2">
        <v>0</v>
      </c>
      <c r="L46" s="2"/>
      <c r="M46" s="2"/>
      <c r="N46" s="2"/>
      <c r="O46" s="8">
        <f t="shared" si="0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2"/>
      <c r="AG46" s="2"/>
      <c r="AH46" s="2"/>
      <c r="AI46" s="2"/>
      <c r="AJ46" s="2"/>
      <c r="AK46" s="7">
        <f t="shared" si="3"/>
        <v>0</v>
      </c>
      <c r="AL46" s="8" t="s">
        <v>95</v>
      </c>
      <c r="AM46" s="8" t="s">
        <v>98</v>
      </c>
      <c r="AN46" s="8">
        <v>50</v>
      </c>
      <c r="AO46" s="8" t="s">
        <v>102</v>
      </c>
      <c r="AP46" s="8">
        <f t="shared" si="2"/>
        <v>0</v>
      </c>
      <c r="AQ46"/>
    </row>
    <row r="47" spans="1:43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>
        <v>0</v>
      </c>
      <c r="J47" s="2"/>
      <c r="K47" s="2">
        <v>0</v>
      </c>
      <c r="L47" s="2"/>
      <c r="M47" s="2"/>
      <c r="N47" s="2"/>
      <c r="O47" s="8">
        <f t="shared" si="0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"/>
      <c r="AG47" s="2"/>
      <c r="AH47" s="2"/>
      <c r="AI47" s="2"/>
      <c r="AJ47" s="2"/>
      <c r="AK47" s="7">
        <f t="shared" si="3"/>
        <v>0</v>
      </c>
      <c r="AL47" s="8" t="s">
        <v>95</v>
      </c>
      <c r="AM47" s="8" t="s">
        <v>98</v>
      </c>
      <c r="AN47" s="8">
        <v>50</v>
      </c>
      <c r="AO47" s="8" t="s">
        <v>102</v>
      </c>
      <c r="AP47" s="8">
        <f t="shared" si="2"/>
        <v>0</v>
      </c>
      <c r="AQ47"/>
    </row>
    <row r="48" spans="1:43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>
        <v>0</v>
      </c>
      <c r="J48" s="2"/>
      <c r="K48" s="2">
        <v>0</v>
      </c>
      <c r="L48" s="2"/>
      <c r="M48" s="2"/>
      <c r="N48" s="2"/>
      <c r="O48" s="8">
        <f t="shared" si="0"/>
        <v>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2"/>
      <c r="AG48" s="2"/>
      <c r="AH48" s="2"/>
      <c r="AI48" s="2"/>
      <c r="AJ48" s="2"/>
      <c r="AK48" s="7">
        <f t="shared" si="3"/>
        <v>0</v>
      </c>
      <c r="AL48" s="8" t="s">
        <v>95</v>
      </c>
      <c r="AM48" s="8" t="s">
        <v>98</v>
      </c>
      <c r="AN48" s="8">
        <v>50</v>
      </c>
      <c r="AO48" s="8" t="s">
        <v>102</v>
      </c>
      <c r="AP48" s="8">
        <f t="shared" si="2"/>
        <v>0</v>
      </c>
      <c r="AQ48"/>
    </row>
    <row r="49" spans="1:43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>
        <v>-250</v>
      </c>
      <c r="J49" s="2"/>
      <c r="K49" s="2">
        <v>0</v>
      </c>
      <c r="L49" s="2"/>
      <c r="M49" s="2"/>
      <c r="N49" s="2"/>
      <c r="O49" s="8">
        <f t="shared" si="0"/>
        <v>-250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2"/>
      <c r="AG49" s="2"/>
      <c r="AH49" s="2"/>
      <c r="AI49" s="2"/>
      <c r="AJ49" s="2"/>
      <c r="AK49" s="7">
        <f t="shared" si="3"/>
        <v>-12.75</v>
      </c>
      <c r="AL49" s="8" t="s">
        <v>26</v>
      </c>
      <c r="AM49" s="8" t="s">
        <v>99</v>
      </c>
      <c r="AN49" s="8">
        <v>100</v>
      </c>
      <c r="AO49" s="8" t="s">
        <v>102</v>
      </c>
      <c r="AP49" s="8">
        <f t="shared" si="2"/>
        <v>-2.5</v>
      </c>
      <c r="AQ49"/>
    </row>
    <row r="50" spans="1:43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>
        <v>0</v>
      </c>
      <c r="J50" s="2"/>
      <c r="K50" s="2">
        <v>0</v>
      </c>
      <c r="L50" s="2"/>
      <c r="M50" s="2"/>
      <c r="N50" s="2"/>
      <c r="O50" s="8">
        <f t="shared" si="0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2"/>
      <c r="AG50" s="2"/>
      <c r="AH50" s="2"/>
      <c r="AI50" s="2"/>
      <c r="AJ50" s="2"/>
      <c r="AK50" s="7">
        <f t="shared" si="3"/>
        <v>0</v>
      </c>
      <c r="AL50" s="8" t="s">
        <v>25</v>
      </c>
      <c r="AM50" s="8" t="s">
        <v>99</v>
      </c>
      <c r="AN50" s="8">
        <v>50</v>
      </c>
      <c r="AO50" s="8" t="s">
        <v>102</v>
      </c>
      <c r="AP50" s="8">
        <f t="shared" si="2"/>
        <v>0</v>
      </c>
      <c r="AQ50"/>
    </row>
    <row r="51" spans="1:43" x14ac:dyDescent="0.25">
      <c r="A51" s="2">
        <v>46</v>
      </c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>
        <v>0</v>
      </c>
      <c r="J51" s="2"/>
      <c r="K51" s="2">
        <v>0</v>
      </c>
      <c r="L51" s="2"/>
      <c r="M51" s="2"/>
      <c r="N51" s="2"/>
      <c r="O51" s="8">
        <f t="shared" si="0"/>
        <v>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2"/>
      <c r="AG51" s="2"/>
      <c r="AH51" s="2"/>
      <c r="AI51" s="2"/>
      <c r="AJ51" s="2"/>
      <c r="AK51" s="7">
        <f t="shared" si="3"/>
        <v>0</v>
      </c>
      <c r="AL51" s="8" t="s">
        <v>97</v>
      </c>
      <c r="AM51" s="8" t="s">
        <v>99</v>
      </c>
      <c r="AN51" s="8">
        <v>400</v>
      </c>
      <c r="AO51" s="8" t="s">
        <v>102</v>
      </c>
      <c r="AP51" s="8">
        <f t="shared" si="2"/>
        <v>0</v>
      </c>
      <c r="AQ51"/>
    </row>
    <row r="52" spans="1:43" x14ac:dyDescent="0.25">
      <c r="A52" s="2">
        <v>47</v>
      </c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>
        <v>0</v>
      </c>
      <c r="J52" s="2"/>
      <c r="K52" s="2">
        <v>0</v>
      </c>
      <c r="L52" s="2"/>
      <c r="M52" s="2"/>
      <c r="N52" s="2"/>
      <c r="O52" s="8">
        <f t="shared" si="0"/>
        <v>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2"/>
      <c r="AG52" s="2"/>
      <c r="AH52" s="2"/>
      <c r="AI52" s="2"/>
      <c r="AJ52" s="2"/>
      <c r="AK52" s="7">
        <f t="shared" si="3"/>
        <v>0</v>
      </c>
      <c r="AL52" s="8" t="s">
        <v>27</v>
      </c>
      <c r="AM52" s="8" t="s">
        <v>99</v>
      </c>
      <c r="AN52" s="8">
        <v>50</v>
      </c>
      <c r="AO52" s="8" t="s">
        <v>102</v>
      </c>
      <c r="AP52" s="8">
        <f t="shared" si="2"/>
        <v>0</v>
      </c>
      <c r="AQ52"/>
    </row>
    <row r="53" spans="1:43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>
        <v>0</v>
      </c>
      <c r="J53" s="2"/>
      <c r="K53" s="2">
        <v>0</v>
      </c>
      <c r="L53" s="2"/>
      <c r="M53" s="2"/>
      <c r="N53" s="2"/>
      <c r="O53" s="8">
        <f t="shared" si="0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2"/>
      <c r="AG53" s="2"/>
      <c r="AH53" s="2"/>
      <c r="AI53" s="2"/>
      <c r="AJ53" s="2"/>
      <c r="AK53" s="7">
        <f t="shared" si="3"/>
        <v>0</v>
      </c>
      <c r="AL53" s="8" t="s">
        <v>97</v>
      </c>
      <c r="AM53" s="8" t="s">
        <v>99</v>
      </c>
      <c r="AN53" s="8">
        <v>400</v>
      </c>
      <c r="AO53" s="8" t="s">
        <v>102</v>
      </c>
      <c r="AP53" s="8">
        <f t="shared" si="2"/>
        <v>0</v>
      </c>
      <c r="AQ53"/>
    </row>
    <row r="54" spans="1:43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>
        <v>0</v>
      </c>
      <c r="J54" s="2"/>
      <c r="K54" s="2">
        <v>0</v>
      </c>
      <c r="L54" s="2"/>
      <c r="M54" s="2"/>
      <c r="N54" s="2"/>
      <c r="O54" s="8">
        <f t="shared" si="0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2"/>
      <c r="AG54" s="2"/>
      <c r="AH54" s="2"/>
      <c r="AI54" s="2"/>
      <c r="AJ54" s="2"/>
      <c r="AK54" s="7">
        <f t="shared" si="3"/>
        <v>0</v>
      </c>
      <c r="AL54" s="8" t="s">
        <v>97</v>
      </c>
      <c r="AM54" s="8" t="s">
        <v>99</v>
      </c>
      <c r="AN54" s="8">
        <v>400</v>
      </c>
      <c r="AO54" s="8" t="s">
        <v>102</v>
      </c>
      <c r="AP54" s="8">
        <f t="shared" si="2"/>
        <v>0</v>
      </c>
      <c r="AQ54"/>
    </row>
    <row r="55" spans="1:43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>
        <v>-290</v>
      </c>
      <c r="J55" s="2"/>
      <c r="K55" s="2">
        <v>0</v>
      </c>
      <c r="L55" s="2"/>
      <c r="M55" s="2"/>
      <c r="N55" s="2"/>
      <c r="O55" s="8">
        <f t="shared" si="0"/>
        <v>-290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2"/>
      <c r="AG55" s="2"/>
      <c r="AH55" s="2"/>
      <c r="AI55" s="2"/>
      <c r="AJ55" s="2"/>
      <c r="AK55" s="7">
        <f t="shared" si="3"/>
        <v>-57.13</v>
      </c>
      <c r="AL55" s="8" t="s">
        <v>27</v>
      </c>
      <c r="AM55" s="8" t="s">
        <v>99</v>
      </c>
      <c r="AN55" s="8">
        <v>60</v>
      </c>
      <c r="AO55" s="8" t="s">
        <v>102</v>
      </c>
      <c r="AP55" s="8">
        <f t="shared" si="2"/>
        <v>-4.833333333333333</v>
      </c>
      <c r="AQ55"/>
    </row>
    <row r="56" spans="1:43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>
        <v>0</v>
      </c>
      <c r="J56" s="2"/>
      <c r="K56" s="2">
        <v>0</v>
      </c>
      <c r="L56" s="2"/>
      <c r="M56" s="2"/>
      <c r="N56" s="2"/>
      <c r="O56" s="8">
        <f t="shared" si="0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2"/>
      <c r="AG56" s="2"/>
      <c r="AH56" s="2"/>
      <c r="AI56" s="2"/>
      <c r="AJ56" s="2"/>
      <c r="AK56" s="7">
        <f t="shared" si="3"/>
        <v>0</v>
      </c>
      <c r="AL56" s="8" t="s">
        <v>27</v>
      </c>
      <c r="AM56" s="8" t="s">
        <v>99</v>
      </c>
      <c r="AN56" s="8">
        <v>70</v>
      </c>
      <c r="AO56" s="8" t="s">
        <v>102</v>
      </c>
      <c r="AP56" s="8">
        <f t="shared" si="2"/>
        <v>0</v>
      </c>
      <c r="AQ56"/>
    </row>
    <row r="57" spans="1:43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>
        <v>0</v>
      </c>
      <c r="J57" s="2"/>
      <c r="K57" s="2">
        <v>0</v>
      </c>
      <c r="L57" s="2"/>
      <c r="M57" s="2"/>
      <c r="N57" s="2"/>
      <c r="O57" s="8">
        <f t="shared" si="0"/>
        <v>0</v>
      </c>
      <c r="P57" s="19"/>
      <c r="Q57" s="19"/>
      <c r="R57" s="19"/>
      <c r="S57" s="2"/>
      <c r="T57" s="19"/>
      <c r="U57" s="2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2"/>
      <c r="AG57" s="2"/>
      <c r="AH57" s="2"/>
      <c r="AI57" s="2"/>
      <c r="AJ57" s="2"/>
      <c r="AK57" s="7">
        <f t="shared" si="3"/>
        <v>0</v>
      </c>
      <c r="AL57" s="8" t="s">
        <v>97</v>
      </c>
      <c r="AM57" s="8" t="s">
        <v>99</v>
      </c>
      <c r="AN57" s="8">
        <v>400</v>
      </c>
      <c r="AO57" s="8" t="s">
        <v>102</v>
      </c>
      <c r="AP57" s="8">
        <f t="shared" si="2"/>
        <v>0</v>
      </c>
      <c r="AQ57"/>
    </row>
    <row r="58" spans="1:43" x14ac:dyDescent="0.25">
      <c r="A58" s="2">
        <v>53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>
        <v>0</v>
      </c>
      <c r="J58" s="2"/>
      <c r="K58" s="2">
        <v>0</v>
      </c>
      <c r="L58" s="2"/>
      <c r="M58" s="2"/>
      <c r="N58" s="2"/>
      <c r="O58" s="8">
        <f t="shared" si="0"/>
        <v>0</v>
      </c>
      <c r="P58" s="19"/>
      <c r="Q58" s="19"/>
      <c r="R58" s="19"/>
      <c r="S58" s="2"/>
      <c r="T58" s="19"/>
      <c r="U58" s="2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2"/>
      <c r="AG58" s="2"/>
      <c r="AH58" s="2"/>
      <c r="AI58" s="2"/>
      <c r="AJ58" s="2"/>
      <c r="AK58" s="7">
        <f t="shared" si="3"/>
        <v>0</v>
      </c>
      <c r="AL58" s="8" t="s">
        <v>97</v>
      </c>
      <c r="AM58" s="8" t="s">
        <v>99</v>
      </c>
      <c r="AN58" s="8">
        <v>300</v>
      </c>
      <c r="AO58" s="8" t="s">
        <v>102</v>
      </c>
      <c r="AP58" s="8">
        <f t="shared" si="2"/>
        <v>0</v>
      </c>
      <c r="AQ58"/>
    </row>
    <row r="59" spans="1:43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>
        <v>0</v>
      </c>
      <c r="J59" s="2"/>
      <c r="K59" s="2">
        <v>0</v>
      </c>
      <c r="L59" s="2"/>
      <c r="M59" s="2"/>
      <c r="N59" s="2"/>
      <c r="O59" s="8">
        <f t="shared" si="0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2"/>
      <c r="AG59" s="2"/>
      <c r="AH59" s="2"/>
      <c r="AI59" s="2"/>
      <c r="AJ59" s="2"/>
      <c r="AK59" s="7">
        <f t="shared" si="3"/>
        <v>0</v>
      </c>
      <c r="AL59" s="8" t="s">
        <v>97</v>
      </c>
      <c r="AM59" s="8" t="s">
        <v>99</v>
      </c>
      <c r="AN59" s="8">
        <v>500</v>
      </c>
      <c r="AO59" s="8" t="s">
        <v>102</v>
      </c>
      <c r="AP59" s="8">
        <f t="shared" si="2"/>
        <v>0</v>
      </c>
      <c r="AQ59"/>
    </row>
    <row r="60" spans="1:43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>
        <v>0</v>
      </c>
      <c r="J60" s="2"/>
      <c r="K60" s="2">
        <v>0</v>
      </c>
      <c r="L60" s="2"/>
      <c r="M60" s="2"/>
      <c r="N60" s="2"/>
      <c r="O60" s="8">
        <f t="shared" si="0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2"/>
      <c r="AG60" s="2"/>
      <c r="AH60" s="2"/>
      <c r="AI60" s="2"/>
      <c r="AJ60" s="2"/>
      <c r="AK60" s="7">
        <f t="shared" si="3"/>
        <v>0</v>
      </c>
      <c r="AL60" s="8" t="s">
        <v>97</v>
      </c>
      <c r="AM60" s="8" t="s">
        <v>99</v>
      </c>
      <c r="AN60" s="8">
        <v>500</v>
      </c>
      <c r="AO60" s="8" t="s">
        <v>102</v>
      </c>
      <c r="AP60" s="8">
        <f t="shared" si="2"/>
        <v>0</v>
      </c>
      <c r="AQ60"/>
    </row>
    <row r="61" spans="1:43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>
        <v>0</v>
      </c>
      <c r="J61" s="2"/>
      <c r="K61" s="2">
        <v>0</v>
      </c>
      <c r="L61" s="2"/>
      <c r="M61" s="2"/>
      <c r="N61" s="2"/>
      <c r="O61" s="8">
        <f t="shared" si="0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2"/>
      <c r="AG61" s="2"/>
      <c r="AH61" s="2"/>
      <c r="AI61" s="2"/>
      <c r="AJ61" s="2"/>
      <c r="AK61" s="7">
        <f t="shared" si="3"/>
        <v>0</v>
      </c>
      <c r="AL61" s="8" t="s">
        <v>26</v>
      </c>
      <c r="AM61" s="8" t="s">
        <v>98</v>
      </c>
      <c r="AN61" s="8">
        <v>250</v>
      </c>
      <c r="AO61" s="8" t="s">
        <v>102</v>
      </c>
      <c r="AP61" s="8">
        <f t="shared" si="2"/>
        <v>0</v>
      </c>
      <c r="AQ61"/>
    </row>
    <row r="62" spans="1:43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>
        <v>0</v>
      </c>
      <c r="J62" s="2"/>
      <c r="K62" s="2">
        <v>0</v>
      </c>
      <c r="L62" s="2"/>
      <c r="M62" s="2"/>
      <c r="N62" s="2"/>
      <c r="O62" s="8">
        <f t="shared" si="0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2"/>
      <c r="AG62" s="2"/>
      <c r="AH62" s="2"/>
      <c r="AI62" s="2"/>
      <c r="AJ62" s="2"/>
      <c r="AK62" s="7">
        <f t="shared" si="3"/>
        <v>0</v>
      </c>
      <c r="AL62" s="8" t="s">
        <v>26</v>
      </c>
      <c r="AM62" s="8" t="s">
        <v>99</v>
      </c>
      <c r="AN62" s="8">
        <v>300</v>
      </c>
      <c r="AO62" s="8" t="s">
        <v>102</v>
      </c>
      <c r="AP62" s="8">
        <f t="shared" si="2"/>
        <v>0</v>
      </c>
      <c r="AQ62"/>
    </row>
    <row r="63" spans="1:43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>
        <v>0</v>
      </c>
      <c r="J63" s="2"/>
      <c r="K63" s="2">
        <v>0</v>
      </c>
      <c r="L63" s="2"/>
      <c r="M63" s="2"/>
      <c r="N63" s="2"/>
      <c r="O63" s="8">
        <f t="shared" si="0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2"/>
      <c r="AG63" s="2"/>
      <c r="AH63" s="2"/>
      <c r="AI63" s="2"/>
      <c r="AJ63" s="2"/>
      <c r="AK63" s="7">
        <f t="shared" si="3"/>
        <v>0</v>
      </c>
      <c r="AL63" s="8" t="s">
        <v>26</v>
      </c>
      <c r="AM63" s="8" t="s">
        <v>99</v>
      </c>
      <c r="AN63" s="8">
        <v>250</v>
      </c>
      <c r="AO63" s="8" t="s">
        <v>102</v>
      </c>
      <c r="AP63" s="8">
        <f t="shared" si="2"/>
        <v>0</v>
      </c>
      <c r="AQ63"/>
    </row>
    <row r="64" spans="1:43" x14ac:dyDescent="0.25">
      <c r="H64" s="4" t="s">
        <v>19</v>
      </c>
      <c r="I64" s="9">
        <f t="shared" ref="I64:AK64" si="4">SUM(I6:I63)</f>
        <v>-4063</v>
      </c>
      <c r="J64" s="9">
        <f t="shared" si="4"/>
        <v>1117</v>
      </c>
      <c r="K64" s="9">
        <f t="shared" si="4"/>
        <v>6654</v>
      </c>
      <c r="L64" s="9">
        <f t="shared" si="4"/>
        <v>0</v>
      </c>
      <c r="M64" s="9">
        <f t="shared" si="4"/>
        <v>0</v>
      </c>
      <c r="N64" s="9">
        <f t="shared" si="4"/>
        <v>0</v>
      </c>
      <c r="O64" s="11">
        <f t="shared" si="4"/>
        <v>-1134</v>
      </c>
      <c r="P64" s="20">
        <f t="shared" si="4"/>
        <v>0</v>
      </c>
      <c r="Q64" s="20">
        <f t="shared" si="4"/>
        <v>92</v>
      </c>
      <c r="R64" s="20">
        <f t="shared" si="4"/>
        <v>65</v>
      </c>
      <c r="S64" s="9">
        <f t="shared" si="4"/>
        <v>0</v>
      </c>
      <c r="T64" s="20">
        <f t="shared" si="4"/>
        <v>0</v>
      </c>
      <c r="U64" s="9">
        <f t="shared" si="4"/>
        <v>140</v>
      </c>
      <c r="V64" s="20">
        <f t="shared" si="4"/>
        <v>490</v>
      </c>
      <c r="W64" s="20">
        <f t="shared" si="4"/>
        <v>420</v>
      </c>
      <c r="X64" s="20">
        <f t="shared" si="4"/>
        <v>814</v>
      </c>
      <c r="Y64" s="20">
        <f t="shared" si="4"/>
        <v>1278</v>
      </c>
      <c r="Z64" s="20">
        <f t="shared" si="4"/>
        <v>0</v>
      </c>
      <c r="AA64" s="20">
        <f t="shared" si="4"/>
        <v>0</v>
      </c>
      <c r="AB64" s="20">
        <f t="shared" si="4"/>
        <v>0</v>
      </c>
      <c r="AC64" s="20">
        <f t="shared" si="4"/>
        <v>0</v>
      </c>
      <c r="AD64" s="20">
        <f t="shared" si="4"/>
        <v>0</v>
      </c>
      <c r="AE64" s="20">
        <f t="shared" si="4"/>
        <v>0</v>
      </c>
      <c r="AF64" s="9">
        <f t="shared" si="4"/>
        <v>0</v>
      </c>
      <c r="AG64" s="9">
        <f t="shared" si="4"/>
        <v>0</v>
      </c>
      <c r="AH64" s="9">
        <f t="shared" si="4"/>
        <v>0</v>
      </c>
      <c r="AI64" s="9">
        <f t="shared" si="4"/>
        <v>0</v>
      </c>
      <c r="AJ64" s="9">
        <f t="shared" si="4"/>
        <v>1543</v>
      </c>
      <c r="AK64" s="9">
        <f t="shared" si="4"/>
        <v>814.85599999999988</v>
      </c>
      <c r="AP64" s="12">
        <f>SUM(AP6:AP63)</f>
        <v>88.335783086478742</v>
      </c>
    </row>
    <row r="65" spans="2:36" x14ac:dyDescent="0.25">
      <c r="H65" s="4" t="s">
        <v>21</v>
      </c>
      <c r="I65" s="56">
        <f>+I64+J64+K64+L64+M64+N64</f>
        <v>3708</v>
      </c>
      <c r="J65" s="56"/>
      <c r="K65" s="56"/>
      <c r="L65" s="56"/>
      <c r="M65" s="56"/>
      <c r="N65" s="56"/>
      <c r="P65" s="57">
        <f>+P64+Q64</f>
        <v>92</v>
      </c>
      <c r="Q65" s="54"/>
      <c r="R65" s="57">
        <f>+R64+S64</f>
        <v>65</v>
      </c>
      <c r="S65" s="54"/>
      <c r="T65" s="57">
        <f>+T64+U64</f>
        <v>140</v>
      </c>
      <c r="U65" s="54"/>
      <c r="V65" s="57">
        <f t="shared" ref="V65" si="5">+V64+W64</f>
        <v>910</v>
      </c>
      <c r="W65" s="54"/>
      <c r="X65" s="57">
        <f t="shared" ref="X65" si="6">+X64+Y64</f>
        <v>2092</v>
      </c>
      <c r="Y65" s="54"/>
      <c r="Z65" s="57">
        <f t="shared" ref="Z65" si="7">+Z64+AA64</f>
        <v>0</v>
      </c>
      <c r="AA65" s="54"/>
      <c r="AB65" s="57">
        <f t="shared" ref="AB65" si="8">+AB64+AC64</f>
        <v>0</v>
      </c>
      <c r="AC65" s="54"/>
      <c r="AD65" s="57">
        <f t="shared" ref="AD65" si="9">+AD64+AE64</f>
        <v>0</v>
      </c>
      <c r="AE65" s="54"/>
      <c r="AF65" s="57">
        <f t="shared" ref="AF65" si="10">+AF64+AG64</f>
        <v>0</v>
      </c>
      <c r="AG65" s="54"/>
      <c r="AH65" s="57">
        <f t="shared" ref="AH65" si="11">+AH64+AI64</f>
        <v>0</v>
      </c>
      <c r="AI65" s="54"/>
      <c r="AJ65" s="10">
        <f>+AJ64</f>
        <v>1543</v>
      </c>
    </row>
    <row r="66" spans="2:36" x14ac:dyDescent="0.25">
      <c r="I66" s="1">
        <v>9048</v>
      </c>
      <c r="J66" s="25">
        <f>+J64</f>
        <v>1117</v>
      </c>
      <c r="K66" s="25">
        <f>+K64</f>
        <v>6654</v>
      </c>
      <c r="L66" s="25">
        <f t="shared" ref="L66:N66" si="12">+L64</f>
        <v>0</v>
      </c>
      <c r="M66" s="25">
        <f t="shared" si="12"/>
        <v>0</v>
      </c>
      <c r="N66" s="25">
        <f t="shared" si="12"/>
        <v>0</v>
      </c>
    </row>
    <row r="67" spans="2:36" x14ac:dyDescent="0.25">
      <c r="J67" s="25"/>
      <c r="K67" s="25"/>
    </row>
    <row r="69" spans="2:36" x14ac:dyDescent="0.25">
      <c r="C69" s="2" t="s">
        <v>111</v>
      </c>
      <c r="D69" s="2" t="s">
        <v>112</v>
      </c>
      <c r="E69" s="2" t="s">
        <v>113</v>
      </c>
    </row>
    <row r="70" spans="2:36" x14ac:dyDescent="0.25">
      <c r="B70" s="2" t="s">
        <v>114</v>
      </c>
      <c r="C70" s="8">
        <v>16819</v>
      </c>
      <c r="D70" s="2">
        <f>+C70/5</f>
        <v>3363.8</v>
      </c>
      <c r="E70" s="2">
        <f>+D70/2</f>
        <v>1681.9</v>
      </c>
      <c r="H70" s="23"/>
    </row>
    <row r="71" spans="2:36" x14ac:dyDescent="0.25">
      <c r="B71" s="2" t="s">
        <v>115</v>
      </c>
      <c r="C71" s="8">
        <v>4054</v>
      </c>
      <c r="D71" s="2">
        <f>+C71/5</f>
        <v>810.8</v>
      </c>
      <c r="E71" s="2">
        <f>+D71/2</f>
        <v>405.4</v>
      </c>
      <c r="H71" s="23"/>
    </row>
    <row r="72" spans="2:36" x14ac:dyDescent="0.25">
      <c r="B72" s="2" t="s">
        <v>116</v>
      </c>
      <c r="C72" s="2">
        <f>+C70-C71</f>
        <v>12765</v>
      </c>
    </row>
    <row r="73" spans="2:36" x14ac:dyDescent="0.25">
      <c r="B73" s="2" t="s">
        <v>117</v>
      </c>
      <c r="C73" s="24">
        <f>+C72/C70</f>
        <v>0.75896307747190672</v>
      </c>
      <c r="H73" s="23"/>
    </row>
    <row r="74" spans="2:36" x14ac:dyDescent="0.25">
      <c r="B74" s="2" t="s">
        <v>118</v>
      </c>
      <c r="C74" s="24">
        <f>+C71/C70</f>
        <v>0.24103692252809322</v>
      </c>
    </row>
  </sheetData>
  <autoFilter ref="B5:AP65" xr:uid="{00000000-0009-0000-0000-000003000000}"/>
  <mergeCells count="23">
    <mergeCell ref="AF4:AG4"/>
    <mergeCell ref="AH4:AI4"/>
    <mergeCell ref="C2:D2"/>
    <mergeCell ref="B3:B4"/>
    <mergeCell ref="P4:Q4"/>
    <mergeCell ref="R4:S4"/>
    <mergeCell ref="T4:U4"/>
    <mergeCell ref="V4:W4"/>
    <mergeCell ref="X4:Y4"/>
    <mergeCell ref="Z4:AA4"/>
    <mergeCell ref="AB4:AC4"/>
    <mergeCell ref="AD4:AE4"/>
    <mergeCell ref="Z65:AA65"/>
    <mergeCell ref="AB65:AC65"/>
    <mergeCell ref="AD65:AE65"/>
    <mergeCell ref="AF65:AG65"/>
    <mergeCell ref="AH65:AI65"/>
    <mergeCell ref="X65:Y65"/>
    <mergeCell ref="I65:N65"/>
    <mergeCell ref="P65:Q65"/>
    <mergeCell ref="R65:S65"/>
    <mergeCell ref="T65:U65"/>
    <mergeCell ref="V65:W65"/>
  </mergeCells>
  <pageMargins left="0.70866141732283472" right="0.70866141732283472" top="0.74803149606299213" bottom="0.74803149606299213" header="0.31496062992125984" footer="0.31496062992125984"/>
  <pageSetup paperSize="9" scale="79" orientation="landscape" r:id="rId2"/>
  <colBreaks count="1" manualBreakCount="1">
    <brk id="15" max="32" man="1"/>
  </colBreak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50"/>
  </sheetPr>
  <dimension ref="A2:AJ79"/>
  <sheetViews>
    <sheetView zoomScale="115" zoomScaleNormal="115" zoomScaleSheetLayoutView="145" workbookViewId="0">
      <pane xSplit="15" topLeftCell="P1" activePane="topRight" state="frozen"/>
      <selection pane="topRight" activeCell="E76" sqref="E76"/>
    </sheetView>
  </sheetViews>
  <sheetFormatPr baseColWidth="10" defaultColWidth="8.7109375" defaultRowHeight="15" x14ac:dyDescent="0.25"/>
  <cols>
    <col min="1" max="1" width="8.7109375" style="17"/>
    <col min="2" max="2" width="21.140625" style="17" bestFit="1" customWidth="1"/>
    <col min="3" max="3" width="14.42578125" style="17" customWidth="1"/>
    <col min="4" max="4" width="17.140625" style="17" customWidth="1"/>
    <col min="5" max="5" width="14.5703125" style="17" customWidth="1"/>
    <col min="6" max="6" width="8.7109375" style="17" customWidth="1"/>
    <col min="7" max="7" width="10.5703125" style="1" hidden="1" customWidth="1"/>
    <col min="8" max="8" width="15.42578125" style="1" hidden="1" customWidth="1"/>
    <col min="9" max="9" width="10.7109375" style="17" customWidth="1"/>
    <col min="10" max="10" width="10.140625" style="1" hidden="1" customWidth="1"/>
    <col min="11" max="11" width="7.5703125" style="1" hidden="1" customWidth="1"/>
    <col min="12" max="14" width="5" style="1" hidden="1" customWidth="1"/>
    <col min="15" max="15" width="10.140625" style="17" customWidth="1"/>
    <col min="16" max="17" width="9.140625" style="17" customWidth="1"/>
    <col min="18" max="26" width="8.7109375" style="17" customWidth="1"/>
    <col min="27" max="27" width="8.7109375" style="17"/>
    <col min="28" max="28" width="16.85546875" style="17" bestFit="1" customWidth="1"/>
    <col min="29" max="29" width="16.5703125" style="17" bestFit="1" customWidth="1"/>
    <col min="30" max="30" width="13" style="17" customWidth="1"/>
    <col min="31" max="31" width="11.5703125" style="17" bestFit="1" customWidth="1"/>
    <col min="32" max="32" width="12.140625" style="17" bestFit="1" customWidth="1"/>
    <col min="33" max="33" width="8.7109375" style="17"/>
    <col min="34" max="34" width="16.28515625" style="17" customWidth="1"/>
    <col min="35" max="35" width="19.7109375" style="17" bestFit="1" customWidth="1"/>
    <col min="36" max="16384" width="8.7109375" style="17"/>
  </cols>
  <sheetData>
    <row r="2" spans="1:36" x14ac:dyDescent="0.25">
      <c r="B2" s="4" t="s">
        <v>17</v>
      </c>
      <c r="C2" s="58" t="s">
        <v>18</v>
      </c>
      <c r="D2" s="58"/>
      <c r="I2" s="1"/>
    </row>
    <row r="3" spans="1:3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</row>
    <row r="4" spans="1:36" x14ac:dyDescent="0.25">
      <c r="B4" s="59"/>
      <c r="C4" s="4" t="s">
        <v>16</v>
      </c>
      <c r="D4" s="2"/>
      <c r="I4" s="4" t="s">
        <v>5</v>
      </c>
      <c r="J4" s="60" t="s">
        <v>119</v>
      </c>
      <c r="K4" s="60"/>
      <c r="L4" s="60"/>
      <c r="M4" s="60"/>
      <c r="N4" s="60"/>
      <c r="P4" s="55">
        <v>46230</v>
      </c>
      <c r="Q4" s="55"/>
      <c r="R4" s="55">
        <v>46231</v>
      </c>
      <c r="S4" s="55"/>
      <c r="T4" s="55">
        <v>46232</v>
      </c>
      <c r="U4" s="55"/>
      <c r="V4" s="55">
        <v>46233</v>
      </c>
      <c r="W4" s="55"/>
      <c r="X4" s="55">
        <v>46234</v>
      </c>
      <c r="Y4" s="55"/>
      <c r="Z4" s="6" t="s">
        <v>10</v>
      </c>
      <c r="AA4" s="1"/>
      <c r="AB4" s="1"/>
      <c r="AC4" s="1"/>
      <c r="AD4" s="1"/>
      <c r="AE4" s="1"/>
      <c r="AF4" s="1"/>
      <c r="AH4" s="1"/>
      <c r="AI4" s="1"/>
    </row>
    <row r="5" spans="1:3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31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4" t="s">
        <v>20</v>
      </c>
      <c r="AA5" s="4" t="s">
        <v>8</v>
      </c>
      <c r="AB5" s="4" t="s">
        <v>22</v>
      </c>
      <c r="AC5" s="4" t="s">
        <v>100</v>
      </c>
      <c r="AD5" s="4" t="s">
        <v>24</v>
      </c>
      <c r="AE5" s="4" t="s">
        <v>23</v>
      </c>
      <c r="AF5" s="4" t="s">
        <v>28</v>
      </c>
      <c r="AG5" s="30"/>
      <c r="AH5" s="15" t="s">
        <v>29</v>
      </c>
      <c r="AI5" s="15" t="s">
        <v>31</v>
      </c>
      <c r="AJ5" s="30"/>
    </row>
    <row r="6" spans="1:36" s="1" customFormat="1" hidden="1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>
        <v>0</v>
      </c>
      <c r="J6" s="2"/>
      <c r="K6" s="2"/>
      <c r="L6" s="2"/>
      <c r="M6" s="2"/>
      <c r="N6" s="2"/>
      <c r="O6" s="8">
        <f t="shared" ref="O6:O37" si="0">+I6+J6+K6+L6+M6+N6-SUM(P6:Z6)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2"/>
      <c r="AA6" s="7">
        <f t="shared" ref="AA6:AA37" si="1">+G6*SUM(I6:N6)</f>
        <v>0</v>
      </c>
      <c r="AB6" s="8" t="s">
        <v>26</v>
      </c>
      <c r="AC6" s="8">
        <v>0</v>
      </c>
      <c r="AD6" s="8">
        <v>260</v>
      </c>
      <c r="AE6" s="8" t="s">
        <v>101</v>
      </c>
      <c r="AF6" s="8">
        <f t="shared" ref="AF6:AF37" si="2">+SUM(I6:N6)/AD6</f>
        <v>0</v>
      </c>
      <c r="AG6"/>
      <c r="AH6" s="16" t="s">
        <v>26</v>
      </c>
      <c r="AI6" s="15">
        <v>0</v>
      </c>
      <c r="AJ6"/>
    </row>
    <row r="7" spans="1:36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>
        <v>1610</v>
      </c>
      <c r="J7" s="2"/>
      <c r="K7" s="2"/>
      <c r="L7" s="2"/>
      <c r="M7" s="2"/>
      <c r="N7" s="2"/>
      <c r="O7" s="8">
        <f t="shared" si="0"/>
        <v>310</v>
      </c>
      <c r="P7" s="19"/>
      <c r="Q7" s="19"/>
      <c r="R7" s="19"/>
      <c r="S7" s="2"/>
      <c r="T7" s="19">
        <v>490</v>
      </c>
      <c r="U7" s="2"/>
      <c r="V7" s="19">
        <v>560</v>
      </c>
      <c r="W7" s="19">
        <v>250</v>
      </c>
      <c r="X7" s="19"/>
      <c r="Y7" s="19"/>
      <c r="Z7" s="2"/>
      <c r="AA7" s="7">
        <f t="shared" si="1"/>
        <v>164.22</v>
      </c>
      <c r="AB7" s="8" t="s">
        <v>95</v>
      </c>
      <c r="AC7" s="8">
        <v>0</v>
      </c>
      <c r="AD7" s="8">
        <v>70</v>
      </c>
      <c r="AE7" s="8" t="s">
        <v>101</v>
      </c>
      <c r="AF7" s="8">
        <f t="shared" si="2"/>
        <v>23</v>
      </c>
      <c r="AG7" s="30"/>
      <c r="AH7" s="16" t="s">
        <v>95</v>
      </c>
      <c r="AI7" s="15">
        <v>0</v>
      </c>
      <c r="AJ7" s="30"/>
    </row>
    <row r="8" spans="1:36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>
        <v>499</v>
      </c>
      <c r="J8" s="2"/>
      <c r="K8" s="2"/>
      <c r="L8" s="2"/>
      <c r="M8" s="2"/>
      <c r="N8" s="2"/>
      <c r="O8" s="8">
        <f t="shared" si="0"/>
        <v>302</v>
      </c>
      <c r="P8" s="19"/>
      <c r="Q8" s="19"/>
      <c r="R8" s="19"/>
      <c r="S8" s="2"/>
      <c r="T8" s="19"/>
      <c r="U8" s="2"/>
      <c r="V8" s="19"/>
      <c r="W8" s="19"/>
      <c r="X8" s="19">
        <v>197</v>
      </c>
      <c r="Y8" s="19"/>
      <c r="Z8" s="2"/>
      <c r="AA8" s="7">
        <f t="shared" si="1"/>
        <v>53.393000000000001</v>
      </c>
      <c r="AB8" s="8" t="s">
        <v>95</v>
      </c>
      <c r="AC8" s="8">
        <v>0</v>
      </c>
      <c r="AD8" s="8">
        <v>70</v>
      </c>
      <c r="AE8" s="8" t="s">
        <v>101</v>
      </c>
      <c r="AF8" s="8">
        <f t="shared" si="2"/>
        <v>7.128571428571429</v>
      </c>
      <c r="AG8" s="30"/>
      <c r="AH8" s="16" t="s">
        <v>27</v>
      </c>
      <c r="AI8" s="15">
        <v>0</v>
      </c>
      <c r="AJ8" s="30"/>
    </row>
    <row r="9" spans="1:36" s="1" customFormat="1" hidden="1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>
        <v>0</v>
      </c>
      <c r="J9" s="2"/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2"/>
      <c r="AA9" s="7">
        <f t="shared" si="1"/>
        <v>0</v>
      </c>
      <c r="AB9" s="8" t="s">
        <v>26</v>
      </c>
      <c r="AC9" s="8">
        <v>0</v>
      </c>
      <c r="AD9" s="8">
        <v>70</v>
      </c>
      <c r="AE9" s="8" t="s">
        <v>101</v>
      </c>
      <c r="AF9" s="8">
        <f t="shared" si="2"/>
        <v>0</v>
      </c>
      <c r="AG9"/>
      <c r="AH9" s="16" t="s">
        <v>96</v>
      </c>
      <c r="AI9" s="15">
        <v>0</v>
      </c>
      <c r="AJ9"/>
    </row>
    <row r="10" spans="1:36" s="1" customFormat="1" hidden="1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>
        <v>0</v>
      </c>
      <c r="J10" s="2"/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2"/>
      <c r="AA10" s="7">
        <f t="shared" si="1"/>
        <v>0</v>
      </c>
      <c r="AB10" s="8" t="s">
        <v>95</v>
      </c>
      <c r="AC10" s="8">
        <v>0</v>
      </c>
      <c r="AD10" s="8">
        <v>70</v>
      </c>
      <c r="AE10" s="8" t="s">
        <v>101</v>
      </c>
      <c r="AF10" s="8">
        <f t="shared" si="2"/>
        <v>0</v>
      </c>
      <c r="AG10"/>
      <c r="AH10" s="16" t="s">
        <v>97</v>
      </c>
      <c r="AI10" s="15">
        <v>0</v>
      </c>
      <c r="AJ10"/>
    </row>
    <row r="11" spans="1:36" s="1" customFormat="1" hidden="1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>
        <v>0</v>
      </c>
      <c r="J11" s="2"/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si="1"/>
        <v>0</v>
      </c>
      <c r="AB11" s="8" t="s">
        <v>26</v>
      </c>
      <c r="AC11" s="8">
        <v>0</v>
      </c>
      <c r="AD11" s="8">
        <v>160</v>
      </c>
      <c r="AE11" s="8" t="s">
        <v>101</v>
      </c>
      <c r="AF11" s="8">
        <f t="shared" si="2"/>
        <v>0</v>
      </c>
      <c r="AG11"/>
      <c r="AH11" s="16" t="s">
        <v>30</v>
      </c>
      <c r="AI11" s="15">
        <v>0</v>
      </c>
      <c r="AJ11"/>
    </row>
    <row r="12" spans="1:36" s="1" customFormat="1" hidden="1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>
        <v>0</v>
      </c>
      <c r="J12" s="2"/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>
        <v>0</v>
      </c>
      <c r="AD12" s="8">
        <v>200</v>
      </c>
      <c r="AE12" s="8" t="s">
        <v>101</v>
      </c>
      <c r="AF12" s="8">
        <f t="shared" si="2"/>
        <v>0</v>
      </c>
      <c r="AG12"/>
      <c r="AH12"/>
      <c r="AI12"/>
      <c r="AJ12"/>
    </row>
    <row r="13" spans="1:36" s="1" customFormat="1" hidden="1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>
        <v>0</v>
      </c>
      <c r="J13" s="2"/>
      <c r="K13" s="2"/>
      <c r="L13" s="2"/>
      <c r="M13" s="2"/>
      <c r="N13" s="2"/>
      <c r="O13" s="8">
        <f t="shared" si="0"/>
        <v>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2"/>
      <c r="AA13" s="7">
        <f t="shared" si="1"/>
        <v>0</v>
      </c>
      <c r="AB13" s="8" t="s">
        <v>95</v>
      </c>
      <c r="AC13" s="8">
        <v>0</v>
      </c>
      <c r="AD13" s="8">
        <v>280</v>
      </c>
      <c r="AE13" s="8" t="s">
        <v>101</v>
      </c>
      <c r="AF13" s="8">
        <f t="shared" si="2"/>
        <v>0</v>
      </c>
      <c r="AG13"/>
      <c r="AH13"/>
      <c r="AI13"/>
      <c r="AJ13"/>
    </row>
    <row r="14" spans="1:36" s="1" customFormat="1" hidden="1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>
        <v>0</v>
      </c>
      <c r="J14" s="2"/>
      <c r="K14" s="2"/>
      <c r="L14" s="2"/>
      <c r="M14" s="2"/>
      <c r="N14" s="2"/>
      <c r="O14" s="8">
        <f t="shared" si="0"/>
        <v>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2"/>
      <c r="AA14" s="7">
        <f t="shared" si="1"/>
        <v>0</v>
      </c>
      <c r="AB14" s="8" t="s">
        <v>26</v>
      </c>
      <c r="AC14" s="8">
        <v>0</v>
      </c>
      <c r="AD14" s="8">
        <v>260</v>
      </c>
      <c r="AE14" s="8" t="s">
        <v>101</v>
      </c>
      <c r="AF14" s="8">
        <f t="shared" si="2"/>
        <v>0</v>
      </c>
      <c r="AG14"/>
      <c r="AH14"/>
      <c r="AI14"/>
      <c r="AJ14"/>
    </row>
    <row r="15" spans="1:36" s="1" customFormat="1" hidden="1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>
        <v>0</v>
      </c>
      <c r="J15" s="2"/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26</v>
      </c>
      <c r="AC15" s="8">
        <v>0</v>
      </c>
      <c r="AD15" s="8">
        <v>520</v>
      </c>
      <c r="AE15" s="8" t="s">
        <v>101</v>
      </c>
      <c r="AF15" s="8">
        <f t="shared" si="2"/>
        <v>0</v>
      </c>
      <c r="AG15"/>
      <c r="AH15"/>
      <c r="AI15"/>
      <c r="AJ15"/>
    </row>
    <row r="16" spans="1:36" s="1" customFormat="1" hidden="1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>
        <v>0</v>
      </c>
      <c r="J16" s="2"/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27</v>
      </c>
      <c r="AC16" s="8">
        <v>0</v>
      </c>
      <c r="AD16" s="8">
        <v>150</v>
      </c>
      <c r="AE16" s="8" t="s">
        <v>101</v>
      </c>
      <c r="AF16" s="8">
        <f t="shared" si="2"/>
        <v>0</v>
      </c>
      <c r="AG16"/>
      <c r="AH16"/>
      <c r="AI16"/>
      <c r="AJ16"/>
    </row>
    <row r="17" spans="1:36" s="1" customFormat="1" hidden="1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400</v>
      </c>
      <c r="J17" s="2"/>
      <c r="K17" s="2"/>
      <c r="L17" s="2"/>
      <c r="M17" s="2"/>
      <c r="N17" s="2"/>
      <c r="O17" s="8">
        <f t="shared" si="0"/>
        <v>0</v>
      </c>
      <c r="P17" s="19"/>
      <c r="Q17" s="19"/>
      <c r="R17" s="19"/>
      <c r="S17" s="2"/>
      <c r="T17" s="19">
        <v>400</v>
      </c>
      <c r="U17" s="2"/>
      <c r="V17" s="19"/>
      <c r="W17" s="19"/>
      <c r="X17" s="19"/>
      <c r="Y17" s="19"/>
      <c r="Z17" s="2"/>
      <c r="AA17" s="7">
        <f t="shared" si="1"/>
        <v>86.8</v>
      </c>
      <c r="AB17" s="8" t="s">
        <v>96</v>
      </c>
      <c r="AC17" s="8">
        <v>0</v>
      </c>
      <c r="AD17" s="8">
        <v>400</v>
      </c>
      <c r="AE17" s="8" t="s">
        <v>101</v>
      </c>
      <c r="AF17" s="8">
        <f t="shared" si="2"/>
        <v>1</v>
      </c>
      <c r="AG17"/>
      <c r="AH17"/>
      <c r="AI17"/>
      <c r="AJ17"/>
    </row>
    <row r="18" spans="1:36" s="1" customFormat="1" hidden="1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>
        <v>0</v>
      </c>
      <c r="J18" s="2"/>
      <c r="K18" s="2"/>
      <c r="L18" s="2"/>
      <c r="M18" s="2"/>
      <c r="N18" s="2"/>
      <c r="O18" s="8">
        <f t="shared" si="0"/>
        <v>0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2"/>
      <c r="AA18" s="7">
        <f t="shared" si="1"/>
        <v>0</v>
      </c>
      <c r="AB18" s="8" t="s">
        <v>27</v>
      </c>
      <c r="AC18" s="8">
        <v>0</v>
      </c>
      <c r="AD18" s="8">
        <v>150</v>
      </c>
      <c r="AE18" s="8" t="s">
        <v>101</v>
      </c>
      <c r="AF18" s="8">
        <f t="shared" si="2"/>
        <v>0</v>
      </c>
      <c r="AG18"/>
      <c r="AH18"/>
      <c r="AI18"/>
      <c r="AJ18"/>
    </row>
    <row r="19" spans="1:36" s="1" customFormat="1" hidden="1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>
        <v>0</v>
      </c>
      <c r="J19" s="2"/>
      <c r="K19" s="2"/>
      <c r="L19" s="2"/>
      <c r="M19" s="2"/>
      <c r="N19" s="2"/>
      <c r="O19" s="8">
        <f t="shared" si="0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2"/>
      <c r="AA19" s="7">
        <f t="shared" si="1"/>
        <v>0</v>
      </c>
      <c r="AB19" s="8" t="s">
        <v>96</v>
      </c>
      <c r="AC19" s="8">
        <v>0</v>
      </c>
      <c r="AD19" s="8">
        <v>420</v>
      </c>
      <c r="AE19" s="8" t="s">
        <v>101</v>
      </c>
      <c r="AF19" s="8">
        <f t="shared" si="2"/>
        <v>0</v>
      </c>
      <c r="AG19"/>
      <c r="AH19"/>
      <c r="AI19"/>
      <c r="AJ19"/>
    </row>
    <row r="20" spans="1:36" s="1" customFormat="1" hidden="1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>
        <v>0</v>
      </c>
      <c r="J20" s="2"/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95</v>
      </c>
      <c r="AC20" s="8">
        <v>0</v>
      </c>
      <c r="AD20" s="8">
        <v>64</v>
      </c>
      <c r="AE20" s="8" t="s">
        <v>101</v>
      </c>
      <c r="AF20" s="8">
        <f t="shared" si="2"/>
        <v>0</v>
      </c>
      <c r="AG20"/>
      <c r="AH20"/>
      <c r="AI20"/>
      <c r="AJ20"/>
    </row>
    <row r="21" spans="1:36" hidden="1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>
        <v>393</v>
      </c>
      <c r="J21" s="2"/>
      <c r="K21" s="2"/>
      <c r="L21" s="2"/>
      <c r="M21" s="2"/>
      <c r="N21" s="2"/>
      <c r="O21" s="8">
        <f t="shared" si="0"/>
        <v>-1079</v>
      </c>
      <c r="P21" s="19">
        <v>368</v>
      </c>
      <c r="Q21" s="19"/>
      <c r="R21" s="19"/>
      <c r="S21" s="2"/>
      <c r="T21" s="19"/>
      <c r="U21" s="2"/>
      <c r="V21" s="19"/>
      <c r="W21" s="19"/>
      <c r="X21" s="19">
        <v>828</v>
      </c>
      <c r="Y21" s="19">
        <v>276</v>
      </c>
      <c r="Z21" s="2"/>
      <c r="AA21" s="7">
        <f t="shared" si="1"/>
        <v>56.984999999999999</v>
      </c>
      <c r="AB21" s="8" t="s">
        <v>27</v>
      </c>
      <c r="AC21" s="8">
        <v>0</v>
      </c>
      <c r="AD21" s="8">
        <v>92</v>
      </c>
      <c r="AE21" s="8" t="s">
        <v>101</v>
      </c>
      <c r="AF21" s="8">
        <f t="shared" si="2"/>
        <v>4.2717391304347823</v>
      </c>
      <c r="AG21" s="30"/>
      <c r="AH21" s="30"/>
      <c r="AI21" s="30"/>
      <c r="AJ21" s="30"/>
    </row>
    <row r="22" spans="1:36" s="1" customFormat="1" hidden="1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>
        <v>0</v>
      </c>
      <c r="J22" s="2"/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97</v>
      </c>
      <c r="AC22" s="8">
        <v>0</v>
      </c>
      <c r="AD22" s="8">
        <v>200</v>
      </c>
      <c r="AE22" s="8" t="s">
        <v>101</v>
      </c>
      <c r="AF22" s="8">
        <f t="shared" si="2"/>
        <v>0</v>
      </c>
      <c r="AG22"/>
      <c r="AH22"/>
      <c r="AI22"/>
      <c r="AJ22"/>
    </row>
    <row r="23" spans="1:36" s="1" customFormat="1" hidden="1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>
        <v>0</v>
      </c>
      <c r="J23" s="2"/>
      <c r="K23" s="2"/>
      <c r="L23" s="2"/>
      <c r="M23" s="2"/>
      <c r="N23" s="2"/>
      <c r="O23" s="8">
        <f t="shared" si="0"/>
        <v>0</v>
      </c>
      <c r="P23" s="19"/>
      <c r="Q23" s="19"/>
      <c r="R23" s="19"/>
      <c r="S23" s="2"/>
      <c r="T23" s="19"/>
      <c r="U23" s="2"/>
      <c r="V23" s="19"/>
      <c r="W23" s="19"/>
      <c r="X23" s="19"/>
      <c r="Y23" s="19"/>
      <c r="Z23" s="2"/>
      <c r="AA23" s="7">
        <f t="shared" si="1"/>
        <v>0</v>
      </c>
      <c r="AB23" s="8" t="s">
        <v>97</v>
      </c>
      <c r="AC23" s="8">
        <v>0</v>
      </c>
      <c r="AD23" s="8">
        <v>260</v>
      </c>
      <c r="AE23" s="8" t="s">
        <v>101</v>
      </c>
      <c r="AF23" s="8">
        <f t="shared" si="2"/>
        <v>0</v>
      </c>
      <c r="AG23"/>
    </row>
    <row r="24" spans="1:36" s="1" customFormat="1" hidden="1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>
        <v>0</v>
      </c>
      <c r="J24" s="2"/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2"/>
      <c r="AA24" s="7">
        <f t="shared" si="1"/>
        <v>0</v>
      </c>
      <c r="AB24" s="8" t="s">
        <v>27</v>
      </c>
      <c r="AC24" s="8">
        <v>0</v>
      </c>
      <c r="AD24" s="8">
        <v>100</v>
      </c>
      <c r="AE24" s="8" t="s">
        <v>101</v>
      </c>
      <c r="AF24" s="8">
        <f t="shared" si="2"/>
        <v>0</v>
      </c>
      <c r="AG24"/>
    </row>
    <row r="25" spans="1:36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1152</v>
      </c>
      <c r="J25" s="2"/>
      <c r="K25" s="2"/>
      <c r="L25" s="2"/>
      <c r="M25" s="2"/>
      <c r="N25" s="2"/>
      <c r="O25" s="8">
        <f t="shared" si="0"/>
        <v>1152</v>
      </c>
      <c r="P25" s="19"/>
      <c r="Q25" s="19"/>
      <c r="R25" s="19"/>
      <c r="S25" s="2"/>
      <c r="T25" s="19"/>
      <c r="U25" s="2"/>
      <c r="V25" s="19"/>
      <c r="W25" s="19"/>
      <c r="X25" s="19"/>
      <c r="Y25" s="19"/>
      <c r="Z25" s="2"/>
      <c r="AA25" s="7">
        <f t="shared" si="1"/>
        <v>183.16800000000001</v>
      </c>
      <c r="AB25" s="8" t="s">
        <v>95</v>
      </c>
      <c r="AC25" s="8">
        <v>0</v>
      </c>
      <c r="AD25" s="8">
        <v>64</v>
      </c>
      <c r="AE25" s="8" t="s">
        <v>101</v>
      </c>
      <c r="AF25" s="8">
        <f t="shared" si="2"/>
        <v>18</v>
      </c>
      <c r="AG25" s="30"/>
    </row>
    <row r="26" spans="1:36" s="1" customFormat="1" hidden="1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>
        <v>0</v>
      </c>
      <c r="J26" s="2"/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26</v>
      </c>
      <c r="AC26" s="8">
        <v>0</v>
      </c>
      <c r="AD26" s="8">
        <v>200</v>
      </c>
      <c r="AE26" s="8" t="s">
        <v>101</v>
      </c>
      <c r="AF26" s="8">
        <f t="shared" si="2"/>
        <v>0</v>
      </c>
      <c r="AG26"/>
    </row>
    <row r="27" spans="1:36" s="1" customFormat="1" hidden="1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>
        <v>0</v>
      </c>
      <c r="J27" s="2"/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26</v>
      </c>
      <c r="AC27" s="8">
        <v>0</v>
      </c>
      <c r="AD27" s="8">
        <v>200</v>
      </c>
      <c r="AE27" s="8" t="s">
        <v>101</v>
      </c>
      <c r="AF27" s="8">
        <f t="shared" si="2"/>
        <v>0</v>
      </c>
      <c r="AG27"/>
    </row>
    <row r="28" spans="1:36" s="1" customFormat="1" hidden="1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>
        <v>0</v>
      </c>
      <c r="J28" s="2"/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26</v>
      </c>
      <c r="AC28" s="8" t="s">
        <v>99</v>
      </c>
      <c r="AD28" s="8">
        <v>500</v>
      </c>
      <c r="AE28" s="8" t="s">
        <v>102</v>
      </c>
      <c r="AF28" s="8">
        <f t="shared" si="2"/>
        <v>0</v>
      </c>
      <c r="AG28"/>
    </row>
    <row r="29" spans="1:36" s="1" customFormat="1" hidden="1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>
        <v>0</v>
      </c>
      <c r="J29" s="2"/>
      <c r="K29" s="2"/>
      <c r="L29" s="2"/>
      <c r="M29" s="2"/>
      <c r="N29" s="2"/>
      <c r="O29" s="8">
        <f t="shared" si="0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/>
      <c r="AA29" s="7">
        <f t="shared" si="1"/>
        <v>0</v>
      </c>
      <c r="AB29" s="8" t="s">
        <v>26</v>
      </c>
      <c r="AC29" s="8" t="s">
        <v>99</v>
      </c>
      <c r="AD29" s="8">
        <v>200</v>
      </c>
      <c r="AE29" s="8" t="s">
        <v>102</v>
      </c>
      <c r="AF29" s="8">
        <f t="shared" si="2"/>
        <v>0</v>
      </c>
      <c r="AG29"/>
    </row>
    <row r="30" spans="1:36" s="1" customFormat="1" hidden="1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>
        <v>0</v>
      </c>
      <c r="J30" s="2"/>
      <c r="K30" s="2"/>
      <c r="L30" s="2"/>
      <c r="M30" s="2"/>
      <c r="N30" s="2"/>
      <c r="O30" s="8">
        <f t="shared" si="0"/>
        <v>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2"/>
      <c r="AA30" s="7">
        <f t="shared" si="1"/>
        <v>0</v>
      </c>
      <c r="AB30" s="8" t="s">
        <v>26</v>
      </c>
      <c r="AC30" s="8" t="s">
        <v>99</v>
      </c>
      <c r="AD30" s="8">
        <v>200</v>
      </c>
      <c r="AE30" s="8" t="s">
        <v>102</v>
      </c>
      <c r="AF30" s="8">
        <f t="shared" si="2"/>
        <v>0</v>
      </c>
      <c r="AG30"/>
    </row>
    <row r="31" spans="1:36" s="1" customFormat="1" hidden="1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>
        <v>0</v>
      </c>
      <c r="J31" s="2"/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2"/>
      <c r="AA31" s="7">
        <f t="shared" si="1"/>
        <v>0</v>
      </c>
      <c r="AB31" s="8" t="s">
        <v>26</v>
      </c>
      <c r="AC31" s="8" t="s">
        <v>99</v>
      </c>
      <c r="AD31" s="8">
        <v>100</v>
      </c>
      <c r="AE31" s="8" t="s">
        <v>102</v>
      </c>
      <c r="AF31" s="8">
        <f t="shared" si="2"/>
        <v>0</v>
      </c>
      <c r="AG31"/>
    </row>
    <row r="32" spans="1:36" s="1" customFormat="1" hidden="1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>
        <v>0</v>
      </c>
      <c r="J32" s="2"/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97</v>
      </c>
      <c r="AC32" s="8" t="s">
        <v>98</v>
      </c>
      <c r="AD32" s="8">
        <v>400</v>
      </c>
      <c r="AE32" s="8" t="s">
        <v>102</v>
      </c>
      <c r="AF32" s="8">
        <f t="shared" si="2"/>
        <v>0</v>
      </c>
      <c r="AG32"/>
    </row>
    <row r="33" spans="1:33" s="1" customFormat="1" hidden="1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>
        <v>0</v>
      </c>
      <c r="J33" s="2"/>
      <c r="K33" s="2"/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2"/>
      <c r="AA33" s="7">
        <f t="shared" si="1"/>
        <v>0</v>
      </c>
      <c r="AB33" s="8" t="s">
        <v>26</v>
      </c>
      <c r="AC33" s="8" t="s">
        <v>98</v>
      </c>
      <c r="AD33" s="8">
        <v>250</v>
      </c>
      <c r="AE33" s="8" t="s">
        <v>102</v>
      </c>
      <c r="AF33" s="8">
        <f t="shared" si="2"/>
        <v>0</v>
      </c>
      <c r="AG33"/>
    </row>
    <row r="34" spans="1:33" s="1" customFormat="1" hidden="1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>
        <v>0</v>
      </c>
      <c r="J34" s="2"/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2"/>
      <c r="AA34" s="7">
        <f t="shared" si="1"/>
        <v>0</v>
      </c>
      <c r="AB34" s="8" t="s">
        <v>26</v>
      </c>
      <c r="AC34" s="8" t="s">
        <v>98</v>
      </c>
      <c r="AD34" s="8">
        <v>300</v>
      </c>
      <c r="AE34" s="8" t="s">
        <v>102</v>
      </c>
      <c r="AF34" s="8">
        <f t="shared" si="2"/>
        <v>0</v>
      </c>
      <c r="AG34"/>
    </row>
    <row r="35" spans="1:33" s="1" customFormat="1" hidden="1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>
        <v>0</v>
      </c>
      <c r="J35" s="2"/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0</v>
      </c>
      <c r="AB35" s="8" t="s">
        <v>26</v>
      </c>
      <c r="AC35" s="8" t="s">
        <v>98</v>
      </c>
      <c r="AD35" s="8">
        <v>300</v>
      </c>
      <c r="AE35" s="8" t="s">
        <v>102</v>
      </c>
      <c r="AF35" s="8">
        <f t="shared" si="2"/>
        <v>0</v>
      </c>
      <c r="AG35"/>
    </row>
    <row r="36" spans="1:33" s="1" customFormat="1" hidden="1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>
        <v>0</v>
      </c>
      <c r="J36" s="2"/>
      <c r="K36" s="2"/>
      <c r="L36" s="2"/>
      <c r="M36" s="2"/>
      <c r="N36" s="2"/>
      <c r="O36" s="8">
        <f t="shared" si="0"/>
        <v>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0</v>
      </c>
      <c r="AB36" s="8" t="s">
        <v>97</v>
      </c>
      <c r="AC36" s="8" t="s">
        <v>98</v>
      </c>
      <c r="AD36" s="8">
        <v>250</v>
      </c>
      <c r="AE36" s="8" t="s">
        <v>102</v>
      </c>
      <c r="AF36" s="8">
        <f t="shared" si="2"/>
        <v>0</v>
      </c>
      <c r="AG36"/>
    </row>
    <row r="37" spans="1:33" s="1" customFormat="1" hidden="1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>
        <v>0</v>
      </c>
      <c r="J37" s="2"/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26</v>
      </c>
      <c r="AC37" s="8" t="s">
        <v>99</v>
      </c>
      <c r="AD37" s="8">
        <v>100</v>
      </c>
      <c r="AE37" s="8" t="s">
        <v>102</v>
      </c>
      <c r="AF37" s="8">
        <f t="shared" si="2"/>
        <v>0</v>
      </c>
      <c r="AG37"/>
    </row>
    <row r="38" spans="1:33" s="1" customFormat="1" hidden="1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/>
      <c r="K38" s="2"/>
      <c r="L38" s="2"/>
      <c r="M38" s="2"/>
      <c r="N38" s="2"/>
      <c r="O38" s="8">
        <f t="shared" ref="O38:O63" si="3">+I38+J38+K38+L38+M38+N38-SUM(P38:Z38)</f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ref="AA38:AA63" si="4">+G38*SUM(I38:N38)</f>
        <v>0</v>
      </c>
      <c r="AB38" s="8" t="s">
        <v>26</v>
      </c>
      <c r="AC38" s="8" t="s">
        <v>99</v>
      </c>
      <c r="AD38" s="8">
        <v>100</v>
      </c>
      <c r="AE38" s="8" t="s">
        <v>102</v>
      </c>
      <c r="AF38" s="8">
        <f t="shared" ref="AF38:AF63" si="5">+SUM(I38:N38)/AD38</f>
        <v>0</v>
      </c>
      <c r="AG38"/>
    </row>
    <row r="39" spans="1:33" s="1" customFormat="1" hidden="1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>
        <v>0</v>
      </c>
      <c r="J39" s="2"/>
      <c r="K39" s="2"/>
      <c r="L39" s="2"/>
      <c r="M39" s="2"/>
      <c r="N39" s="2"/>
      <c r="O39" s="8">
        <f t="shared" si="3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4"/>
        <v>0</v>
      </c>
      <c r="AB39" s="8" t="s">
        <v>26</v>
      </c>
      <c r="AC39" s="8" t="s">
        <v>99</v>
      </c>
      <c r="AD39" s="8">
        <v>300</v>
      </c>
      <c r="AE39" s="8" t="s">
        <v>102</v>
      </c>
      <c r="AF39" s="8">
        <f t="shared" si="5"/>
        <v>0</v>
      </c>
      <c r="AG39"/>
    </row>
    <row r="40" spans="1:33" s="1" customFormat="1" hidden="1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>
        <v>0</v>
      </c>
      <c r="J40" s="2"/>
      <c r="K40" s="2"/>
      <c r="L40" s="2"/>
      <c r="M40" s="2"/>
      <c r="N40" s="2"/>
      <c r="O40" s="8">
        <f t="shared" si="3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4"/>
        <v>0</v>
      </c>
      <c r="AB40" s="8" t="s">
        <v>26</v>
      </c>
      <c r="AC40" s="8" t="s">
        <v>99</v>
      </c>
      <c r="AD40" s="8">
        <v>200</v>
      </c>
      <c r="AE40" s="8" t="s">
        <v>102</v>
      </c>
      <c r="AF40" s="8">
        <f t="shared" si="5"/>
        <v>0</v>
      </c>
      <c r="AG40"/>
    </row>
    <row r="41" spans="1:33" s="1" customFormat="1" hidden="1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>
        <v>0</v>
      </c>
      <c r="J41" s="2"/>
      <c r="K41" s="2"/>
      <c r="L41" s="2"/>
      <c r="M41" s="2"/>
      <c r="N41" s="2"/>
      <c r="O41" s="8">
        <f t="shared" si="3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4"/>
        <v>0</v>
      </c>
      <c r="AB41" s="8" t="s">
        <v>26</v>
      </c>
      <c r="AC41" s="8" t="s">
        <v>99</v>
      </c>
      <c r="AD41" s="8">
        <v>100</v>
      </c>
      <c r="AE41" s="8" t="s">
        <v>102</v>
      </c>
      <c r="AF41" s="8">
        <f t="shared" si="5"/>
        <v>0</v>
      </c>
      <c r="AG41"/>
    </row>
    <row r="42" spans="1:33" s="1" customFormat="1" hidden="1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>
        <v>0</v>
      </c>
      <c r="J42" s="2"/>
      <c r="K42" s="2"/>
      <c r="L42" s="2"/>
      <c r="M42" s="2"/>
      <c r="N42" s="2"/>
      <c r="O42" s="8">
        <f t="shared" si="3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4"/>
        <v>0</v>
      </c>
      <c r="AB42" s="8" t="s">
        <v>26</v>
      </c>
      <c r="AC42" s="8" t="s">
        <v>99</v>
      </c>
      <c r="AD42" s="8">
        <v>300</v>
      </c>
      <c r="AE42" s="8" t="s">
        <v>102</v>
      </c>
      <c r="AF42" s="8">
        <f t="shared" si="5"/>
        <v>0</v>
      </c>
      <c r="AG42"/>
    </row>
    <row r="43" spans="1:33" s="1" customFormat="1" hidden="1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>
        <v>0</v>
      </c>
      <c r="J43" s="2"/>
      <c r="K43" s="2"/>
      <c r="L43" s="2"/>
      <c r="M43" s="2"/>
      <c r="N43" s="2"/>
      <c r="O43" s="8">
        <f t="shared" si="3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4"/>
        <v>0</v>
      </c>
      <c r="AB43" s="8" t="s">
        <v>26</v>
      </c>
      <c r="AC43" s="8" t="s">
        <v>99</v>
      </c>
      <c r="AD43" s="8">
        <v>260</v>
      </c>
      <c r="AE43" s="8" t="s">
        <v>102</v>
      </c>
      <c r="AF43" s="8">
        <f t="shared" si="5"/>
        <v>0</v>
      </c>
      <c r="AG43"/>
    </row>
    <row r="44" spans="1:33" s="1" customFormat="1" hidden="1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>
        <v>0</v>
      </c>
      <c r="J44" s="2"/>
      <c r="K44" s="2"/>
      <c r="L44" s="2"/>
      <c r="M44" s="2"/>
      <c r="N44" s="2"/>
      <c r="O44" s="8">
        <f t="shared" si="3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4"/>
        <v>0</v>
      </c>
      <c r="AB44" s="8" t="s">
        <v>26</v>
      </c>
      <c r="AC44" s="8" t="s">
        <v>99</v>
      </c>
      <c r="AD44" s="8">
        <v>500</v>
      </c>
      <c r="AE44" s="8" t="s">
        <v>102</v>
      </c>
      <c r="AF44" s="8">
        <f t="shared" si="5"/>
        <v>0</v>
      </c>
      <c r="AG44"/>
    </row>
    <row r="45" spans="1:33" s="1" customFormat="1" hidden="1" x14ac:dyDescent="0.25">
      <c r="A45" s="2">
        <v>40</v>
      </c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>
        <v>0</v>
      </c>
      <c r="J45" s="2"/>
      <c r="K45" s="2"/>
      <c r="L45" s="2"/>
      <c r="M45" s="2"/>
      <c r="N45" s="2"/>
      <c r="O45" s="8">
        <f t="shared" si="3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2"/>
      <c r="AA45" s="7">
        <f t="shared" si="4"/>
        <v>0</v>
      </c>
      <c r="AB45" s="8" t="s">
        <v>95</v>
      </c>
      <c r="AC45" s="8" t="s">
        <v>98</v>
      </c>
      <c r="AD45" s="8">
        <v>50</v>
      </c>
      <c r="AE45" s="8" t="s">
        <v>102</v>
      </c>
      <c r="AF45" s="8">
        <f t="shared" si="5"/>
        <v>0</v>
      </c>
      <c r="AG45"/>
    </row>
    <row r="46" spans="1:33" s="1" customFormat="1" hidden="1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>
        <v>0</v>
      </c>
      <c r="J46" s="2"/>
      <c r="K46" s="2"/>
      <c r="L46" s="2"/>
      <c r="M46" s="2"/>
      <c r="N46" s="2"/>
      <c r="O46" s="8">
        <f t="shared" si="3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4"/>
        <v>0</v>
      </c>
      <c r="AB46" s="8" t="s">
        <v>95</v>
      </c>
      <c r="AC46" s="8" t="s">
        <v>98</v>
      </c>
      <c r="AD46" s="8">
        <v>50</v>
      </c>
      <c r="AE46" s="8" t="s">
        <v>102</v>
      </c>
      <c r="AF46" s="8">
        <f t="shared" si="5"/>
        <v>0</v>
      </c>
      <c r="AG46"/>
    </row>
    <row r="47" spans="1:33" s="1" customFormat="1" hidden="1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>
        <v>0</v>
      </c>
      <c r="J47" s="2"/>
      <c r="K47" s="2"/>
      <c r="L47" s="2"/>
      <c r="M47" s="2"/>
      <c r="N47" s="2"/>
      <c r="O47" s="8">
        <f t="shared" si="3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2"/>
      <c r="AA47" s="7">
        <f t="shared" si="4"/>
        <v>0</v>
      </c>
      <c r="AB47" s="8" t="s">
        <v>95</v>
      </c>
      <c r="AC47" s="8" t="s">
        <v>98</v>
      </c>
      <c r="AD47" s="8">
        <v>50</v>
      </c>
      <c r="AE47" s="8" t="s">
        <v>102</v>
      </c>
      <c r="AF47" s="8">
        <f t="shared" si="5"/>
        <v>0</v>
      </c>
      <c r="AG47"/>
    </row>
    <row r="48" spans="1:33" s="1" customFormat="1" hidden="1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>
        <v>0</v>
      </c>
      <c r="J48" s="2"/>
      <c r="K48" s="2"/>
      <c r="L48" s="2"/>
      <c r="M48" s="2"/>
      <c r="N48" s="2"/>
      <c r="O48" s="8">
        <f t="shared" si="3"/>
        <v>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2"/>
      <c r="AA48" s="7">
        <f t="shared" si="4"/>
        <v>0</v>
      </c>
      <c r="AB48" s="8" t="s">
        <v>95</v>
      </c>
      <c r="AC48" s="8" t="s">
        <v>98</v>
      </c>
      <c r="AD48" s="8">
        <v>50</v>
      </c>
      <c r="AE48" s="8" t="s">
        <v>102</v>
      </c>
      <c r="AF48" s="8">
        <f t="shared" si="5"/>
        <v>0</v>
      </c>
      <c r="AG48"/>
    </row>
    <row r="49" spans="1:33" s="1" customFormat="1" hidden="1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>
        <v>0</v>
      </c>
      <c r="J49" s="2"/>
      <c r="K49" s="2"/>
      <c r="L49" s="2"/>
      <c r="M49" s="2"/>
      <c r="N49" s="2"/>
      <c r="O49" s="8">
        <f t="shared" si="3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4"/>
        <v>0</v>
      </c>
      <c r="AB49" s="8" t="s">
        <v>26</v>
      </c>
      <c r="AC49" s="8" t="s">
        <v>99</v>
      </c>
      <c r="AD49" s="8">
        <v>100</v>
      </c>
      <c r="AE49" s="8" t="s">
        <v>102</v>
      </c>
      <c r="AF49" s="8">
        <f t="shared" si="5"/>
        <v>0</v>
      </c>
      <c r="AG49"/>
    </row>
    <row r="50" spans="1:33" s="1" customFormat="1" hidden="1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>
        <v>0</v>
      </c>
      <c r="J50" s="2"/>
      <c r="K50" s="2"/>
      <c r="L50" s="2"/>
      <c r="M50" s="2"/>
      <c r="N50" s="2"/>
      <c r="O50" s="8">
        <f t="shared" si="3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2"/>
      <c r="AA50" s="7">
        <f t="shared" si="4"/>
        <v>0</v>
      </c>
      <c r="AB50" s="8" t="s">
        <v>25</v>
      </c>
      <c r="AC50" s="8" t="s">
        <v>99</v>
      </c>
      <c r="AD50" s="8">
        <v>50</v>
      </c>
      <c r="AE50" s="8" t="s">
        <v>102</v>
      </c>
      <c r="AF50" s="8">
        <f t="shared" si="5"/>
        <v>0</v>
      </c>
      <c r="AG50"/>
    </row>
    <row r="51" spans="1:33" s="1" customFormat="1" hidden="1" x14ac:dyDescent="0.25">
      <c r="A51" s="2">
        <v>46</v>
      </c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>
        <v>0</v>
      </c>
      <c r="J51" s="2"/>
      <c r="K51" s="2"/>
      <c r="L51" s="2"/>
      <c r="M51" s="2"/>
      <c r="N51" s="2"/>
      <c r="O51" s="8">
        <f t="shared" si="3"/>
        <v>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2"/>
      <c r="AA51" s="7">
        <f t="shared" si="4"/>
        <v>0</v>
      </c>
      <c r="AB51" s="8" t="s">
        <v>97</v>
      </c>
      <c r="AC51" s="8" t="s">
        <v>99</v>
      </c>
      <c r="AD51" s="8">
        <v>400</v>
      </c>
      <c r="AE51" s="8" t="s">
        <v>102</v>
      </c>
      <c r="AF51" s="8">
        <f t="shared" si="5"/>
        <v>0</v>
      </c>
      <c r="AG51"/>
    </row>
    <row r="52" spans="1:33" s="1" customFormat="1" hidden="1" x14ac:dyDescent="0.25">
      <c r="A52" s="2">
        <v>47</v>
      </c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>
        <v>0</v>
      </c>
      <c r="J52" s="2"/>
      <c r="K52" s="2"/>
      <c r="L52" s="2"/>
      <c r="M52" s="2"/>
      <c r="N52" s="2"/>
      <c r="O52" s="8">
        <f t="shared" si="3"/>
        <v>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2"/>
      <c r="AA52" s="7">
        <f t="shared" si="4"/>
        <v>0</v>
      </c>
      <c r="AB52" s="8" t="s">
        <v>27</v>
      </c>
      <c r="AC52" s="8" t="s">
        <v>99</v>
      </c>
      <c r="AD52" s="8">
        <v>50</v>
      </c>
      <c r="AE52" s="8" t="s">
        <v>102</v>
      </c>
      <c r="AF52" s="8">
        <f t="shared" si="5"/>
        <v>0</v>
      </c>
      <c r="AG52"/>
    </row>
    <row r="53" spans="1:33" s="1" customFormat="1" hidden="1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>
        <v>0</v>
      </c>
      <c r="J53" s="2"/>
      <c r="K53" s="2"/>
      <c r="L53" s="2"/>
      <c r="M53" s="2"/>
      <c r="N53" s="2"/>
      <c r="O53" s="8">
        <f t="shared" si="3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4"/>
        <v>0</v>
      </c>
      <c r="AB53" s="8" t="s">
        <v>97</v>
      </c>
      <c r="AC53" s="8" t="s">
        <v>99</v>
      </c>
      <c r="AD53" s="8">
        <v>400</v>
      </c>
      <c r="AE53" s="8" t="s">
        <v>102</v>
      </c>
      <c r="AF53" s="8">
        <f t="shared" si="5"/>
        <v>0</v>
      </c>
      <c r="AG53"/>
    </row>
    <row r="54" spans="1:33" s="1" customFormat="1" hidden="1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>
        <v>0</v>
      </c>
      <c r="J54" s="2"/>
      <c r="K54" s="2"/>
      <c r="L54" s="2"/>
      <c r="M54" s="2"/>
      <c r="N54" s="2"/>
      <c r="O54" s="8">
        <f t="shared" si="3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4"/>
        <v>0</v>
      </c>
      <c r="AB54" s="8" t="s">
        <v>97</v>
      </c>
      <c r="AC54" s="8" t="s">
        <v>99</v>
      </c>
      <c r="AD54" s="8">
        <v>400</v>
      </c>
      <c r="AE54" s="8" t="s">
        <v>102</v>
      </c>
      <c r="AF54" s="8">
        <f t="shared" si="5"/>
        <v>0</v>
      </c>
      <c r="AG54"/>
    </row>
    <row r="55" spans="1:33" s="1" customFormat="1" hidden="1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>
        <v>0</v>
      </c>
      <c r="J55" s="2"/>
      <c r="K55" s="2"/>
      <c r="L55" s="2"/>
      <c r="M55" s="2"/>
      <c r="N55" s="2"/>
      <c r="O55" s="8">
        <f t="shared" si="3"/>
        <v>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2"/>
      <c r="AA55" s="7">
        <f t="shared" si="4"/>
        <v>0</v>
      </c>
      <c r="AB55" s="8" t="s">
        <v>27</v>
      </c>
      <c r="AC55" s="8" t="s">
        <v>99</v>
      </c>
      <c r="AD55" s="8">
        <v>60</v>
      </c>
      <c r="AE55" s="8" t="s">
        <v>102</v>
      </c>
      <c r="AF55" s="8">
        <f t="shared" si="5"/>
        <v>0</v>
      </c>
      <c r="AG55"/>
    </row>
    <row r="56" spans="1:33" s="1" customFormat="1" hidden="1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>
        <v>0</v>
      </c>
      <c r="J56" s="2"/>
      <c r="K56" s="2"/>
      <c r="L56" s="2"/>
      <c r="M56" s="2"/>
      <c r="N56" s="2"/>
      <c r="O56" s="8">
        <f t="shared" si="3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2"/>
      <c r="AA56" s="7">
        <f t="shared" si="4"/>
        <v>0</v>
      </c>
      <c r="AB56" s="8" t="s">
        <v>27</v>
      </c>
      <c r="AC56" s="8" t="s">
        <v>99</v>
      </c>
      <c r="AD56" s="8">
        <v>70</v>
      </c>
      <c r="AE56" s="8" t="s">
        <v>102</v>
      </c>
      <c r="AF56" s="8">
        <f t="shared" si="5"/>
        <v>0</v>
      </c>
      <c r="AG56"/>
    </row>
    <row r="57" spans="1:33" s="1" customFormat="1" hidden="1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>
        <v>0</v>
      </c>
      <c r="J57" s="2"/>
      <c r="K57" s="2"/>
      <c r="L57" s="2"/>
      <c r="M57" s="2"/>
      <c r="N57" s="2"/>
      <c r="O57" s="8">
        <f t="shared" si="3"/>
        <v>0</v>
      </c>
      <c r="P57" s="19"/>
      <c r="Q57" s="19"/>
      <c r="R57" s="19"/>
      <c r="S57" s="2"/>
      <c r="T57" s="19"/>
      <c r="U57" s="2"/>
      <c r="V57" s="19"/>
      <c r="W57" s="19"/>
      <c r="X57" s="19"/>
      <c r="Y57" s="19"/>
      <c r="Z57" s="2"/>
      <c r="AA57" s="7">
        <f t="shared" si="4"/>
        <v>0</v>
      </c>
      <c r="AB57" s="8" t="s">
        <v>97</v>
      </c>
      <c r="AC57" s="8" t="s">
        <v>99</v>
      </c>
      <c r="AD57" s="8">
        <v>400</v>
      </c>
      <c r="AE57" s="8" t="s">
        <v>102</v>
      </c>
      <c r="AF57" s="8">
        <f t="shared" si="5"/>
        <v>0</v>
      </c>
      <c r="AG57"/>
    </row>
    <row r="58" spans="1:33" s="1" customFormat="1" hidden="1" x14ac:dyDescent="0.25">
      <c r="A58" s="2">
        <v>53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>
        <v>0</v>
      </c>
      <c r="J58" s="2"/>
      <c r="K58" s="2"/>
      <c r="L58" s="2"/>
      <c r="M58" s="2"/>
      <c r="N58" s="2"/>
      <c r="O58" s="8">
        <f t="shared" si="3"/>
        <v>0</v>
      </c>
      <c r="P58" s="19"/>
      <c r="Q58" s="19"/>
      <c r="R58" s="19"/>
      <c r="S58" s="2"/>
      <c r="T58" s="19"/>
      <c r="U58" s="2"/>
      <c r="V58" s="19"/>
      <c r="W58" s="19"/>
      <c r="X58" s="19"/>
      <c r="Y58" s="19"/>
      <c r="Z58" s="2"/>
      <c r="AA58" s="7">
        <f t="shared" si="4"/>
        <v>0</v>
      </c>
      <c r="AB58" s="8" t="s">
        <v>97</v>
      </c>
      <c r="AC58" s="8" t="s">
        <v>99</v>
      </c>
      <c r="AD58" s="8">
        <v>300</v>
      </c>
      <c r="AE58" s="8" t="s">
        <v>102</v>
      </c>
      <c r="AF58" s="8">
        <f t="shared" si="5"/>
        <v>0</v>
      </c>
      <c r="AG58"/>
    </row>
    <row r="59" spans="1:33" s="1" customFormat="1" hidden="1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>
        <v>0</v>
      </c>
      <c r="J59" s="2"/>
      <c r="K59" s="2"/>
      <c r="L59" s="2"/>
      <c r="M59" s="2"/>
      <c r="N59" s="2"/>
      <c r="O59" s="8">
        <f t="shared" si="3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2"/>
      <c r="AA59" s="7">
        <f t="shared" si="4"/>
        <v>0</v>
      </c>
      <c r="AB59" s="8" t="s">
        <v>97</v>
      </c>
      <c r="AC59" s="8" t="s">
        <v>99</v>
      </c>
      <c r="AD59" s="8">
        <v>500</v>
      </c>
      <c r="AE59" s="8" t="s">
        <v>102</v>
      </c>
      <c r="AF59" s="8">
        <f t="shared" si="5"/>
        <v>0</v>
      </c>
      <c r="AG59"/>
    </row>
    <row r="60" spans="1:33" s="1" customFormat="1" hidden="1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>
        <v>0</v>
      </c>
      <c r="J60" s="2"/>
      <c r="K60" s="2"/>
      <c r="L60" s="2"/>
      <c r="M60" s="2"/>
      <c r="N60" s="2"/>
      <c r="O60" s="8">
        <f t="shared" si="3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2"/>
      <c r="AA60" s="7">
        <f t="shared" si="4"/>
        <v>0</v>
      </c>
      <c r="AB60" s="8" t="s">
        <v>97</v>
      </c>
      <c r="AC60" s="8" t="s">
        <v>99</v>
      </c>
      <c r="AD60" s="8">
        <v>500</v>
      </c>
      <c r="AE60" s="8" t="s">
        <v>102</v>
      </c>
      <c r="AF60" s="8">
        <f t="shared" si="5"/>
        <v>0</v>
      </c>
      <c r="AG60"/>
    </row>
    <row r="61" spans="1:33" s="1" customFormat="1" hidden="1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>
        <v>0</v>
      </c>
      <c r="J61" s="2"/>
      <c r="K61" s="2"/>
      <c r="L61" s="2"/>
      <c r="M61" s="2"/>
      <c r="N61" s="2"/>
      <c r="O61" s="8">
        <f t="shared" si="3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2"/>
      <c r="AA61" s="7">
        <f t="shared" si="4"/>
        <v>0</v>
      </c>
      <c r="AB61" s="8" t="s">
        <v>26</v>
      </c>
      <c r="AC61" s="8" t="s">
        <v>98</v>
      </c>
      <c r="AD61" s="8">
        <v>250</v>
      </c>
      <c r="AE61" s="8" t="s">
        <v>102</v>
      </c>
      <c r="AF61" s="8">
        <f t="shared" si="5"/>
        <v>0</v>
      </c>
      <c r="AG61"/>
    </row>
    <row r="62" spans="1:33" s="1" customFormat="1" hidden="1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>
        <v>0</v>
      </c>
      <c r="J62" s="2"/>
      <c r="K62" s="2"/>
      <c r="L62" s="2"/>
      <c r="M62" s="2"/>
      <c r="N62" s="2"/>
      <c r="O62" s="8">
        <f t="shared" si="3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/>
      <c r="AA62" s="7">
        <f t="shared" si="4"/>
        <v>0</v>
      </c>
      <c r="AB62" s="8" t="s">
        <v>26</v>
      </c>
      <c r="AC62" s="8" t="s">
        <v>99</v>
      </c>
      <c r="AD62" s="8">
        <v>300</v>
      </c>
      <c r="AE62" s="8" t="s">
        <v>102</v>
      </c>
      <c r="AF62" s="8">
        <f t="shared" si="5"/>
        <v>0</v>
      </c>
      <c r="AG62"/>
    </row>
    <row r="63" spans="1:33" s="1" customFormat="1" hidden="1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>
        <v>0</v>
      </c>
      <c r="J63" s="2"/>
      <c r="K63" s="2"/>
      <c r="L63" s="2"/>
      <c r="M63" s="2"/>
      <c r="N63" s="2"/>
      <c r="O63" s="8">
        <f t="shared" si="3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4"/>
        <v>0</v>
      </c>
      <c r="AB63" s="8" t="s">
        <v>26</v>
      </c>
      <c r="AC63" s="8" t="s">
        <v>99</v>
      </c>
      <c r="AD63" s="8">
        <v>250</v>
      </c>
      <c r="AE63" s="8" t="s">
        <v>102</v>
      </c>
      <c r="AF63" s="8">
        <f t="shared" si="5"/>
        <v>0</v>
      </c>
      <c r="AG63"/>
    </row>
    <row r="64" spans="1:33" x14ac:dyDescent="0.25">
      <c r="H64" s="4" t="s">
        <v>19</v>
      </c>
      <c r="I64" s="9">
        <f t="shared" ref="I64:AA64" si="6">SUM(I6:I63)</f>
        <v>4054</v>
      </c>
      <c r="J64" s="9">
        <f t="shared" si="6"/>
        <v>0</v>
      </c>
      <c r="K64" s="9">
        <f t="shared" si="6"/>
        <v>0</v>
      </c>
      <c r="L64" s="9">
        <f t="shared" si="6"/>
        <v>0</v>
      </c>
      <c r="M64" s="9">
        <f t="shared" si="6"/>
        <v>0</v>
      </c>
      <c r="N64" s="9">
        <f t="shared" si="6"/>
        <v>0</v>
      </c>
      <c r="O64" s="11">
        <f t="shared" si="6"/>
        <v>685</v>
      </c>
      <c r="P64" s="20">
        <f t="shared" si="6"/>
        <v>368</v>
      </c>
      <c r="Q64" s="20">
        <f t="shared" si="6"/>
        <v>0</v>
      </c>
      <c r="R64" s="20">
        <f t="shared" si="6"/>
        <v>0</v>
      </c>
      <c r="S64" s="9">
        <f t="shared" si="6"/>
        <v>0</v>
      </c>
      <c r="T64" s="20">
        <f t="shared" si="6"/>
        <v>890</v>
      </c>
      <c r="U64" s="9">
        <f t="shared" si="6"/>
        <v>0</v>
      </c>
      <c r="V64" s="20">
        <f t="shared" si="6"/>
        <v>560</v>
      </c>
      <c r="W64" s="20">
        <f t="shared" si="6"/>
        <v>250</v>
      </c>
      <c r="X64" s="20">
        <f t="shared" si="6"/>
        <v>1025</v>
      </c>
      <c r="Y64" s="20">
        <f t="shared" si="6"/>
        <v>276</v>
      </c>
      <c r="Z64" s="9">
        <f t="shared" si="6"/>
        <v>0</v>
      </c>
      <c r="AA64" s="9">
        <f t="shared" si="6"/>
        <v>544.56600000000003</v>
      </c>
      <c r="AB64" s="1"/>
      <c r="AC64" s="1"/>
      <c r="AD64" s="1"/>
      <c r="AE64" s="1"/>
      <c r="AF64" s="12">
        <f>SUM(AF6:AF63)</f>
        <v>53.400310559006215</v>
      </c>
    </row>
    <row r="65" spans="2:26" s="1" customFormat="1" hidden="1" x14ac:dyDescent="0.25">
      <c r="H65" s="4" t="s">
        <v>21</v>
      </c>
      <c r="I65" s="56">
        <f>+I64+J64+K64+L64+M64+N64</f>
        <v>4054</v>
      </c>
      <c r="J65" s="56"/>
      <c r="K65" s="56"/>
      <c r="L65" s="56"/>
      <c r="M65" s="56"/>
      <c r="N65" s="56"/>
      <c r="P65" s="57">
        <f>+P64+Q64</f>
        <v>368</v>
      </c>
      <c r="Q65" s="54"/>
      <c r="R65" s="57">
        <f>+R64+S64</f>
        <v>0</v>
      </c>
      <c r="S65" s="54"/>
      <c r="T65" s="57">
        <f>+T64+U64</f>
        <v>890</v>
      </c>
      <c r="U65" s="54"/>
      <c r="V65" s="57">
        <f t="shared" ref="V65" si="7">+V64+W64</f>
        <v>810</v>
      </c>
      <c r="W65" s="54"/>
      <c r="X65" s="57">
        <f t="shared" ref="X65" si="8">+X64+Y64</f>
        <v>1301</v>
      </c>
      <c r="Y65" s="54"/>
      <c r="Z65" s="10">
        <f>+Z64</f>
        <v>0</v>
      </c>
    </row>
    <row r="66" spans="2:26" x14ac:dyDescent="0.25">
      <c r="I66" s="1">
        <v>4054</v>
      </c>
      <c r="J66" s="25">
        <f>+J64</f>
        <v>0</v>
      </c>
      <c r="K66" s="25">
        <f t="shared" ref="K66:N66" si="9">+K64</f>
        <v>0</v>
      </c>
      <c r="L66" s="25">
        <f t="shared" si="9"/>
        <v>0</v>
      </c>
      <c r="M66" s="25">
        <f t="shared" si="9"/>
        <v>0</v>
      </c>
      <c r="N66" s="25">
        <f t="shared" si="9"/>
        <v>0</v>
      </c>
      <c r="P66" s="69">
        <f>P64+Q64</f>
        <v>368</v>
      </c>
      <c r="Q66" s="70"/>
      <c r="R66" s="69">
        <f>R64+S64</f>
        <v>0</v>
      </c>
      <c r="S66" s="70"/>
      <c r="T66" s="69">
        <f>T64+U64</f>
        <v>890</v>
      </c>
      <c r="U66" s="70"/>
      <c r="V66" s="69">
        <f>V64+W64</f>
        <v>810</v>
      </c>
      <c r="W66" s="70"/>
      <c r="X66" s="69">
        <f>X64+Y64</f>
        <v>1301</v>
      </c>
      <c r="Y66" s="70"/>
    </row>
    <row r="68" spans="2:26" x14ac:dyDescent="0.25">
      <c r="B68" s="1"/>
      <c r="C68" s="2" t="s">
        <v>111</v>
      </c>
      <c r="D68" s="2" t="s">
        <v>112</v>
      </c>
      <c r="E68" s="2" t="s">
        <v>113</v>
      </c>
    </row>
    <row r="69" spans="2:26" x14ac:dyDescent="0.25">
      <c r="B69" s="2" t="s">
        <v>114</v>
      </c>
      <c r="C69" s="8">
        <v>4054</v>
      </c>
      <c r="D69" s="2">
        <f>+C69/5</f>
        <v>810.8</v>
      </c>
      <c r="E69" s="2">
        <f>+D69/2</f>
        <v>405.4</v>
      </c>
      <c r="H69" s="23"/>
      <c r="P69" s="19" t="s">
        <v>15</v>
      </c>
      <c r="Q69" s="19" t="s">
        <v>16</v>
      </c>
      <c r="R69" s="19" t="s">
        <v>15</v>
      </c>
      <c r="S69" s="19" t="s">
        <v>16</v>
      </c>
      <c r="T69" s="19" t="s">
        <v>15</v>
      </c>
      <c r="U69" s="19" t="s">
        <v>16</v>
      </c>
      <c r="V69" s="19" t="s">
        <v>15</v>
      </c>
      <c r="W69" s="19" t="s">
        <v>16</v>
      </c>
      <c r="X69" s="19" t="s">
        <v>15</v>
      </c>
      <c r="Y69" s="19" t="s">
        <v>16</v>
      </c>
    </row>
    <row r="70" spans="2:26" x14ac:dyDescent="0.25">
      <c r="B70" s="2" t="s">
        <v>115</v>
      </c>
      <c r="C70" s="8">
        <v>1764</v>
      </c>
      <c r="D70" s="2">
        <f>+C70/5</f>
        <v>352.8</v>
      </c>
      <c r="E70" s="2">
        <f>+D70/2</f>
        <v>176.4</v>
      </c>
      <c r="H70" s="23"/>
      <c r="P70" s="32">
        <f>P64/E69</f>
        <v>0.90774543660582141</v>
      </c>
      <c r="Q70" s="32">
        <f>Q64/E69</f>
        <v>0</v>
      </c>
      <c r="R70" s="32">
        <f>R64/E69</f>
        <v>0</v>
      </c>
      <c r="S70" s="32">
        <f>S64/E69</f>
        <v>0</v>
      </c>
      <c r="T70" s="32">
        <f>T64/E69</f>
        <v>2.1953626048347314</v>
      </c>
      <c r="U70" s="32">
        <f>U64/E69</f>
        <v>0</v>
      </c>
      <c r="V70" s="32">
        <f>V64/E69</f>
        <v>1.3813517513566849</v>
      </c>
      <c r="W70" s="32">
        <f>W64/E69</f>
        <v>0.61667488899851997</v>
      </c>
      <c r="X70" s="32">
        <f>X64/E69</f>
        <v>2.5283670448939319</v>
      </c>
      <c r="Y70" s="32">
        <f>Y64/E69</f>
        <v>0.68080907745436614</v>
      </c>
    </row>
    <row r="71" spans="2:26" x14ac:dyDescent="0.25">
      <c r="B71" s="2" t="s">
        <v>116</v>
      </c>
      <c r="C71" s="2">
        <f>C69-C70</f>
        <v>2290</v>
      </c>
    </row>
    <row r="72" spans="2:26" x14ac:dyDescent="0.25">
      <c r="B72" s="2" t="s">
        <v>117</v>
      </c>
      <c r="C72" s="24">
        <f>+C71/C69</f>
        <v>0.56487419832264429</v>
      </c>
      <c r="H72" s="23"/>
    </row>
    <row r="73" spans="2:26" x14ac:dyDescent="0.25">
      <c r="B73" s="2" t="s">
        <v>118</v>
      </c>
      <c r="C73" s="24">
        <f>+C70/C69</f>
        <v>0.43512580167735571</v>
      </c>
    </row>
    <row r="74" spans="2:26" x14ac:dyDescent="0.25">
      <c r="B74" s="31"/>
      <c r="C74" s="1"/>
    </row>
    <row r="75" spans="2:26" x14ac:dyDescent="0.25">
      <c r="B75" s="31"/>
      <c r="C75" s="29">
        <v>46230</v>
      </c>
      <c r="D75" s="29">
        <v>46231</v>
      </c>
      <c r="E75" s="29">
        <v>46232</v>
      </c>
      <c r="F75" s="28">
        <v>46233</v>
      </c>
      <c r="G75" s="27">
        <v>46234</v>
      </c>
      <c r="H75" s="27">
        <v>46235</v>
      </c>
      <c r="I75" s="29">
        <v>46234</v>
      </c>
      <c r="J75" s="27">
        <v>46237</v>
      </c>
      <c r="K75" s="27">
        <v>46238</v>
      </c>
      <c r="L75" s="27">
        <v>46239</v>
      </c>
      <c r="M75" s="27">
        <v>46240</v>
      </c>
      <c r="N75" s="27">
        <v>46241</v>
      </c>
    </row>
    <row r="76" spans="2:26" x14ac:dyDescent="0.25">
      <c r="B76" s="31"/>
      <c r="C76" s="2" t="s">
        <v>122</v>
      </c>
      <c r="D76" s="2" t="s">
        <v>123</v>
      </c>
      <c r="E76" s="2" t="s">
        <v>124</v>
      </c>
      <c r="F76" s="2" t="s">
        <v>125</v>
      </c>
      <c r="G76" s="2" t="s">
        <v>126</v>
      </c>
      <c r="H76" s="2" t="s">
        <v>127</v>
      </c>
      <c r="I76" s="2" t="s">
        <v>128</v>
      </c>
    </row>
    <row r="77" spans="2:26" x14ac:dyDescent="0.25">
      <c r="B77" s="2" t="s">
        <v>120</v>
      </c>
      <c r="C77" s="26">
        <v>0.09</v>
      </c>
      <c r="D77" s="26">
        <v>0.09</v>
      </c>
      <c r="E77" s="26">
        <v>0.31</v>
      </c>
      <c r="F77" s="26">
        <v>0.37</v>
      </c>
      <c r="I77" s="26">
        <v>0.56000000000000005</v>
      </c>
    </row>
    <row r="78" spans="2:26" x14ac:dyDescent="0.25">
      <c r="B78" s="2" t="s">
        <v>121</v>
      </c>
      <c r="C78" s="26">
        <v>0.91</v>
      </c>
      <c r="D78" s="26">
        <v>0.91</v>
      </c>
      <c r="E78" s="26">
        <v>0.69</v>
      </c>
      <c r="F78" s="26">
        <v>0.63</v>
      </c>
      <c r="I78" s="26">
        <v>0.44</v>
      </c>
    </row>
    <row r="79" spans="2:26" x14ac:dyDescent="0.25">
      <c r="B79" s="1"/>
      <c r="C79" s="71" t="s">
        <v>129</v>
      </c>
      <c r="D79" s="71"/>
      <c r="E79" s="71"/>
      <c r="F79" s="71"/>
      <c r="G79" s="72"/>
      <c r="H79" s="72"/>
      <c r="I79" s="71"/>
    </row>
  </sheetData>
  <autoFilter ref="B5:AF65" xr:uid="{00000000-0009-0000-0000-000004000000}">
    <filterColumn colId="13">
      <customFilters>
        <customFilter operator="greaterThan" val="1"/>
      </customFilters>
    </filterColumn>
  </autoFilter>
  <mergeCells count="20">
    <mergeCell ref="R66:S66"/>
    <mergeCell ref="T66:U66"/>
    <mergeCell ref="V66:W66"/>
    <mergeCell ref="X66:Y66"/>
    <mergeCell ref="C79:I79"/>
    <mergeCell ref="P66:Q66"/>
    <mergeCell ref="X65:Y65"/>
    <mergeCell ref="X4:Y4"/>
    <mergeCell ref="C2:D2"/>
    <mergeCell ref="B3:B4"/>
    <mergeCell ref="P4:Q4"/>
    <mergeCell ref="R4:S4"/>
    <mergeCell ref="T4:U4"/>
    <mergeCell ref="V4:W4"/>
    <mergeCell ref="J4:N4"/>
    <mergeCell ref="I65:N65"/>
    <mergeCell ref="P65:Q65"/>
    <mergeCell ref="R65:S65"/>
    <mergeCell ref="T65:U65"/>
    <mergeCell ref="V65:W65"/>
  </mergeCells>
  <phoneticPr fontId="9" type="noConversion"/>
  <conditionalFormatting sqref="P70:Y70">
    <cfRule type="cellIs" dxfId="23" priority="1" operator="between">
      <formula>1</formula>
      <formula>5</formula>
    </cfRule>
    <cfRule type="cellIs" dxfId="22" priority="2" operator="between">
      <formula>0.85</formula>
      <formula>0.99</formula>
    </cfRule>
    <cfRule type="cellIs" dxfId="21" priority="4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79" orientation="landscape" r:id="rId2"/>
  <colBreaks count="1" manualBreakCount="1">
    <brk id="15" max="32" man="1"/>
  </colBreaks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50"/>
  </sheetPr>
  <dimension ref="A2:AJ78"/>
  <sheetViews>
    <sheetView zoomScaleNormal="100" zoomScaleSheetLayoutView="100" workbookViewId="0">
      <pane xSplit="15" topLeftCell="V1" activePane="topRight" state="frozen"/>
      <selection pane="topRight" activeCell="K69" sqref="K69"/>
    </sheetView>
  </sheetViews>
  <sheetFormatPr baseColWidth="10" defaultColWidth="8.7109375" defaultRowHeight="15" x14ac:dyDescent="0.25"/>
  <cols>
    <col min="1" max="1" width="8.7109375" style="17"/>
    <col min="2" max="2" width="21.140625" style="17" bestFit="1" customWidth="1"/>
    <col min="3" max="3" width="14.42578125" style="17" customWidth="1"/>
    <col min="4" max="4" width="17.140625" style="17" customWidth="1"/>
    <col min="5" max="5" width="14.5703125" style="17" customWidth="1"/>
    <col min="6" max="6" width="8.7109375" style="17" customWidth="1"/>
    <col min="7" max="7" width="10.5703125" style="17" customWidth="1"/>
    <col min="8" max="8" width="15.42578125" style="17" hidden="1" customWidth="1"/>
    <col min="9" max="9" width="10.7109375" style="17" customWidth="1"/>
    <col min="10" max="10" width="10.140625" style="17" customWidth="1"/>
    <col min="11" max="11" width="7.5703125" style="17" customWidth="1"/>
    <col min="12" max="14" width="5" style="17" customWidth="1"/>
    <col min="15" max="15" width="10.140625" style="17" customWidth="1"/>
    <col min="16" max="17" width="9.140625" style="17" customWidth="1"/>
    <col min="18" max="26" width="8.7109375" style="17" customWidth="1"/>
    <col min="27" max="27" width="8.7109375" style="17"/>
    <col min="28" max="28" width="16.85546875" style="17" bestFit="1" customWidth="1"/>
    <col min="29" max="29" width="16.5703125" style="17" bestFit="1" customWidth="1"/>
    <col min="30" max="30" width="13" style="17" customWidth="1"/>
    <col min="31" max="31" width="11.5703125" style="17" bestFit="1" customWidth="1"/>
    <col min="32" max="32" width="12.140625" style="17" bestFit="1" customWidth="1"/>
    <col min="33" max="33" width="8.7109375" style="17"/>
    <col min="34" max="34" width="16.28515625" style="17" customWidth="1"/>
    <col min="35" max="35" width="19.7109375" style="17" bestFit="1" customWidth="1"/>
    <col min="36" max="16384" width="8.7109375" style="17"/>
  </cols>
  <sheetData>
    <row r="2" spans="1:36" x14ac:dyDescent="0.25">
      <c r="B2" s="4" t="s">
        <v>17</v>
      </c>
      <c r="C2" s="58" t="s">
        <v>18</v>
      </c>
      <c r="D2" s="58"/>
      <c r="H2" s="1"/>
      <c r="I2" s="1"/>
    </row>
    <row r="3" spans="1:36" x14ac:dyDescent="0.25">
      <c r="B3" s="59">
        <f ca="1">TODAY()</f>
        <v>46309</v>
      </c>
      <c r="C3" s="4" t="s">
        <v>15</v>
      </c>
      <c r="D3" s="2" t="s">
        <v>103</v>
      </c>
      <c r="H3" s="1"/>
      <c r="I3" s="4" t="s">
        <v>4</v>
      </c>
      <c r="AA3" s="73"/>
      <c r="AB3" s="73"/>
      <c r="AC3" s="73"/>
      <c r="AD3" s="73"/>
      <c r="AE3" s="73"/>
      <c r="AF3" s="73"/>
      <c r="AG3" s="73"/>
      <c r="AH3" s="73"/>
      <c r="AI3" s="73"/>
    </row>
    <row r="4" spans="1:36" x14ac:dyDescent="0.25">
      <c r="B4" s="59"/>
      <c r="C4" s="4" t="s">
        <v>16</v>
      </c>
      <c r="D4" s="2"/>
      <c r="H4" s="1"/>
      <c r="I4" s="4" t="s">
        <v>5</v>
      </c>
      <c r="J4" s="60" t="s">
        <v>119</v>
      </c>
      <c r="K4" s="60"/>
      <c r="L4" s="60"/>
      <c r="M4" s="60"/>
      <c r="N4" s="60"/>
      <c r="O4" s="1"/>
      <c r="P4" s="55">
        <v>46237</v>
      </c>
      <c r="Q4" s="55"/>
      <c r="R4" s="55">
        <v>46238</v>
      </c>
      <c r="S4" s="55"/>
      <c r="T4" s="74">
        <v>46239</v>
      </c>
      <c r="U4" s="55"/>
      <c r="V4" s="55">
        <v>46240</v>
      </c>
      <c r="W4" s="55"/>
      <c r="X4" s="55">
        <v>46241</v>
      </c>
      <c r="Y4" s="55"/>
      <c r="Z4" s="6" t="s">
        <v>10</v>
      </c>
      <c r="AA4" s="73"/>
      <c r="AB4" s="73"/>
      <c r="AC4" s="73"/>
      <c r="AD4" s="73"/>
      <c r="AE4" s="73"/>
      <c r="AF4" s="73"/>
      <c r="AG4" s="73"/>
      <c r="AH4" s="73"/>
      <c r="AI4" s="73"/>
    </row>
    <row r="5" spans="1:3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32</v>
      </c>
      <c r="J5" s="4" t="s">
        <v>130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4" t="s">
        <v>20</v>
      </c>
      <c r="AA5" s="4" t="s">
        <v>8</v>
      </c>
      <c r="AB5" s="4" t="s">
        <v>22</v>
      </c>
      <c r="AC5" s="4" t="s">
        <v>100</v>
      </c>
      <c r="AD5" s="4" t="s">
        <v>24</v>
      </c>
      <c r="AE5" s="4" t="s">
        <v>23</v>
      </c>
      <c r="AF5" s="4" t="s">
        <v>28</v>
      </c>
      <c r="AG5" s="30"/>
      <c r="AH5" s="15" t="s">
        <v>29</v>
      </c>
      <c r="AI5" s="15" t="s">
        <v>31</v>
      </c>
      <c r="AJ5" s="30"/>
    </row>
    <row r="6" spans="1:36" hidden="1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/>
      <c r="J6" s="2"/>
      <c r="K6" s="2"/>
      <c r="L6" s="2"/>
      <c r="M6" s="2"/>
      <c r="N6" s="2"/>
      <c r="O6" s="8">
        <f t="shared" ref="O6:O37" si="0">+I6+J6+K6+L6+M6+N6-SUM(P6:Z6)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2"/>
      <c r="AA6" s="7">
        <f t="shared" ref="AA6:AA37" si="1">+G6*SUM(I6:N6)</f>
        <v>0</v>
      </c>
      <c r="AB6" s="8" t="s">
        <v>26</v>
      </c>
      <c r="AC6" s="8">
        <v>0</v>
      </c>
      <c r="AD6" s="8">
        <v>260</v>
      </c>
      <c r="AE6" s="8" t="s">
        <v>101</v>
      </c>
      <c r="AF6" s="8">
        <f t="shared" ref="AF6:AF37" si="2">+SUM(I6:N6)/AD6</f>
        <v>0</v>
      </c>
      <c r="AG6" s="30"/>
      <c r="AH6" s="16" t="s">
        <v>26</v>
      </c>
      <c r="AI6" s="15">
        <v>0</v>
      </c>
      <c r="AJ6" s="30"/>
    </row>
    <row r="7" spans="1:36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>
        <v>1120</v>
      </c>
      <c r="J7" s="2">
        <v>310</v>
      </c>
      <c r="K7" s="2"/>
      <c r="L7" s="2"/>
      <c r="M7" s="2"/>
      <c r="N7" s="2"/>
      <c r="O7" s="8">
        <f t="shared" si="0"/>
        <v>1312</v>
      </c>
      <c r="P7" s="19">
        <v>118</v>
      </c>
      <c r="Q7" s="19"/>
      <c r="R7" s="19"/>
      <c r="S7" s="2"/>
      <c r="T7" s="19"/>
      <c r="U7" s="2"/>
      <c r="V7" s="19"/>
      <c r="W7" s="19"/>
      <c r="X7" s="19"/>
      <c r="Y7" s="19"/>
      <c r="Z7" s="2"/>
      <c r="AA7" s="7">
        <f t="shared" si="1"/>
        <v>145.85999999999999</v>
      </c>
      <c r="AB7" s="8" t="s">
        <v>95</v>
      </c>
      <c r="AC7" s="8">
        <v>0</v>
      </c>
      <c r="AD7" s="8">
        <v>70</v>
      </c>
      <c r="AE7" s="8" t="s">
        <v>101</v>
      </c>
      <c r="AF7" s="8">
        <f t="shared" si="2"/>
        <v>20.428571428571427</v>
      </c>
      <c r="AG7" s="30"/>
      <c r="AH7" s="16" t="s">
        <v>95</v>
      </c>
      <c r="AI7" s="15">
        <v>0</v>
      </c>
      <c r="AJ7" s="30"/>
    </row>
    <row r="8" spans="1:36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>
        <v>1120</v>
      </c>
      <c r="J8" s="2">
        <v>302</v>
      </c>
      <c r="K8" s="2"/>
      <c r="L8" s="2"/>
      <c r="M8" s="2"/>
      <c r="N8" s="2"/>
      <c r="O8" s="8">
        <f t="shared" si="0"/>
        <v>932</v>
      </c>
      <c r="P8" s="19">
        <v>140</v>
      </c>
      <c r="Q8" s="19">
        <v>350</v>
      </c>
      <c r="R8" s="19"/>
      <c r="S8" s="2"/>
      <c r="T8" s="19"/>
      <c r="U8" s="2"/>
      <c r="V8" s="19"/>
      <c r="W8" s="19"/>
      <c r="X8" s="19"/>
      <c r="Y8" s="19"/>
      <c r="Z8" s="2"/>
      <c r="AA8" s="7">
        <f t="shared" si="1"/>
        <v>152.154</v>
      </c>
      <c r="AB8" s="8" t="s">
        <v>95</v>
      </c>
      <c r="AC8" s="8">
        <v>0</v>
      </c>
      <c r="AD8" s="8">
        <v>70</v>
      </c>
      <c r="AE8" s="8" t="s">
        <v>101</v>
      </c>
      <c r="AF8" s="8">
        <f t="shared" si="2"/>
        <v>20.314285714285713</v>
      </c>
      <c r="AG8" s="30"/>
      <c r="AH8" s="16" t="s">
        <v>27</v>
      </c>
      <c r="AI8" s="15">
        <v>0</v>
      </c>
      <c r="AJ8" s="30"/>
    </row>
    <row r="9" spans="1:36" hidden="1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/>
      <c r="J9" s="2"/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2"/>
      <c r="AA9" s="7">
        <f t="shared" si="1"/>
        <v>0</v>
      </c>
      <c r="AB9" s="8" t="s">
        <v>26</v>
      </c>
      <c r="AC9" s="8">
        <v>0</v>
      </c>
      <c r="AD9" s="8">
        <v>70</v>
      </c>
      <c r="AE9" s="8" t="s">
        <v>101</v>
      </c>
      <c r="AF9" s="8">
        <f t="shared" si="2"/>
        <v>0</v>
      </c>
      <c r="AG9" s="30"/>
      <c r="AH9" s="16" t="s">
        <v>96</v>
      </c>
      <c r="AI9" s="15">
        <v>0</v>
      </c>
      <c r="AJ9" s="30"/>
    </row>
    <row r="10" spans="1:36" hidden="1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2"/>
      <c r="AA10" s="7">
        <f t="shared" si="1"/>
        <v>0</v>
      </c>
      <c r="AB10" s="8" t="s">
        <v>95</v>
      </c>
      <c r="AC10" s="8">
        <v>0</v>
      </c>
      <c r="AD10" s="8">
        <v>70</v>
      </c>
      <c r="AE10" s="8" t="s">
        <v>101</v>
      </c>
      <c r="AF10" s="8">
        <f t="shared" si="2"/>
        <v>0</v>
      </c>
      <c r="AG10" s="30"/>
      <c r="AH10" s="16" t="s">
        <v>97</v>
      </c>
      <c r="AI10" s="15">
        <v>0</v>
      </c>
      <c r="AJ10" s="30"/>
    </row>
    <row r="11" spans="1:36" hidden="1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si="1"/>
        <v>0</v>
      </c>
      <c r="AB11" s="8" t="s">
        <v>26</v>
      </c>
      <c r="AC11" s="8">
        <v>0</v>
      </c>
      <c r="AD11" s="8">
        <v>160</v>
      </c>
      <c r="AE11" s="8" t="s">
        <v>101</v>
      </c>
      <c r="AF11" s="8">
        <f t="shared" si="2"/>
        <v>0</v>
      </c>
      <c r="AG11" s="30"/>
      <c r="AH11" s="16" t="s">
        <v>30</v>
      </c>
      <c r="AI11" s="15">
        <v>0</v>
      </c>
      <c r="AJ11" s="30"/>
    </row>
    <row r="12" spans="1:36" hidden="1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/>
      <c r="J12" s="2"/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>
        <v>0</v>
      </c>
      <c r="AD12" s="8">
        <v>200</v>
      </c>
      <c r="AE12" s="8" t="s">
        <v>101</v>
      </c>
      <c r="AF12" s="8">
        <f t="shared" si="2"/>
        <v>0</v>
      </c>
      <c r="AG12" s="30"/>
      <c r="AH12" s="30"/>
      <c r="AI12" s="30"/>
      <c r="AJ12" s="30"/>
    </row>
    <row r="13" spans="1:36" hidden="1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/>
      <c r="J13" s="2"/>
      <c r="K13" s="2"/>
      <c r="L13" s="2"/>
      <c r="M13" s="2"/>
      <c r="N13" s="2"/>
      <c r="O13" s="8">
        <f t="shared" si="0"/>
        <v>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2"/>
      <c r="AA13" s="7">
        <f t="shared" si="1"/>
        <v>0</v>
      </c>
      <c r="AB13" s="8" t="s">
        <v>95</v>
      </c>
      <c r="AC13" s="8">
        <v>0</v>
      </c>
      <c r="AD13" s="8">
        <v>280</v>
      </c>
      <c r="AE13" s="8" t="s">
        <v>101</v>
      </c>
      <c r="AF13" s="8">
        <f t="shared" si="2"/>
        <v>0</v>
      </c>
      <c r="AG13" s="30"/>
      <c r="AH13" s="30"/>
      <c r="AI13" s="30"/>
      <c r="AJ13" s="30"/>
    </row>
    <row r="14" spans="1:36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>
        <v>1000</v>
      </c>
      <c r="J14" s="2"/>
      <c r="K14" s="2"/>
      <c r="L14" s="2"/>
      <c r="M14" s="2"/>
      <c r="N14" s="2"/>
      <c r="O14" s="8">
        <f t="shared" si="0"/>
        <v>71</v>
      </c>
      <c r="P14" s="19"/>
      <c r="Q14" s="19"/>
      <c r="R14" s="19"/>
      <c r="S14" s="2"/>
      <c r="T14" s="19">
        <v>520</v>
      </c>
      <c r="U14" s="2"/>
      <c r="V14" s="19">
        <v>409</v>
      </c>
      <c r="W14" s="19"/>
      <c r="X14" s="19"/>
      <c r="Y14" s="19"/>
      <c r="Z14" s="2"/>
      <c r="AA14" s="7">
        <f t="shared" si="1"/>
        <v>19</v>
      </c>
      <c r="AB14" s="8" t="s">
        <v>26</v>
      </c>
      <c r="AC14" s="8">
        <v>0</v>
      </c>
      <c r="AD14" s="8">
        <v>260</v>
      </c>
      <c r="AE14" s="8" t="s">
        <v>101</v>
      </c>
      <c r="AF14" s="8">
        <f t="shared" si="2"/>
        <v>3.8461538461538463</v>
      </c>
      <c r="AG14" s="30"/>
      <c r="AH14" s="30"/>
      <c r="AI14" s="30"/>
      <c r="AJ14" s="30"/>
    </row>
    <row r="15" spans="1:36" hidden="1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26</v>
      </c>
      <c r="AC15" s="8">
        <v>0</v>
      </c>
      <c r="AD15" s="8">
        <v>520</v>
      </c>
      <c r="AE15" s="8" t="s">
        <v>101</v>
      </c>
      <c r="AF15" s="8">
        <f t="shared" si="2"/>
        <v>0</v>
      </c>
      <c r="AG15" s="30"/>
      <c r="AH15" s="30"/>
      <c r="AI15" s="30"/>
      <c r="AJ15" s="30"/>
    </row>
    <row r="16" spans="1:36" hidden="1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27</v>
      </c>
      <c r="AC16" s="8">
        <v>0</v>
      </c>
      <c r="AD16" s="8">
        <v>150</v>
      </c>
      <c r="AE16" s="8" t="s">
        <v>101</v>
      </c>
      <c r="AF16" s="8">
        <f t="shared" si="2"/>
        <v>0</v>
      </c>
      <c r="AG16" s="30"/>
      <c r="AH16" s="30"/>
      <c r="AI16" s="30"/>
      <c r="AJ16" s="30"/>
    </row>
    <row r="17" spans="1:36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400</v>
      </c>
      <c r="J17" s="2"/>
      <c r="K17" s="2"/>
      <c r="L17" s="2"/>
      <c r="M17" s="2"/>
      <c r="N17" s="2"/>
      <c r="O17" s="8">
        <f t="shared" si="0"/>
        <v>400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2"/>
      <c r="AA17" s="7">
        <f t="shared" si="1"/>
        <v>86.8</v>
      </c>
      <c r="AB17" s="8" t="s">
        <v>96</v>
      </c>
      <c r="AC17" s="8">
        <v>0</v>
      </c>
      <c r="AD17" s="8">
        <v>400</v>
      </c>
      <c r="AE17" s="8" t="s">
        <v>101</v>
      </c>
      <c r="AF17" s="8">
        <f t="shared" si="2"/>
        <v>1</v>
      </c>
      <c r="AG17" s="30"/>
      <c r="AH17" s="30"/>
      <c r="AI17" s="30"/>
      <c r="AJ17" s="30"/>
    </row>
    <row r="18" spans="1:36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>
        <v>800</v>
      </c>
      <c r="J18" s="2"/>
      <c r="K18" s="2"/>
      <c r="L18" s="2"/>
      <c r="M18" s="2"/>
      <c r="N18" s="2"/>
      <c r="O18" s="8">
        <f t="shared" si="0"/>
        <v>293</v>
      </c>
      <c r="P18" s="19"/>
      <c r="Q18" s="19"/>
      <c r="R18" s="19"/>
      <c r="S18" s="2"/>
      <c r="T18" s="19"/>
      <c r="U18" s="2">
        <v>300</v>
      </c>
      <c r="V18" s="19">
        <v>207</v>
      </c>
      <c r="W18" s="19"/>
      <c r="X18" s="19"/>
      <c r="Y18" s="19"/>
      <c r="Z18" s="2"/>
      <c r="AA18" s="7">
        <f t="shared" si="1"/>
        <v>84.8</v>
      </c>
      <c r="AB18" s="8" t="s">
        <v>27</v>
      </c>
      <c r="AC18" s="8">
        <v>0</v>
      </c>
      <c r="AD18" s="8">
        <v>150</v>
      </c>
      <c r="AE18" s="8" t="s">
        <v>101</v>
      </c>
      <c r="AF18" s="8">
        <f t="shared" si="2"/>
        <v>5.333333333333333</v>
      </c>
      <c r="AG18" s="30"/>
      <c r="AH18" s="30"/>
      <c r="AI18" s="30"/>
      <c r="AJ18" s="30"/>
    </row>
    <row r="19" spans="1:36" hidden="1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/>
      <c r="J19" s="2"/>
      <c r="K19" s="2"/>
      <c r="L19" s="2"/>
      <c r="M19" s="2"/>
      <c r="N19" s="2"/>
      <c r="O19" s="8">
        <f t="shared" si="0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2"/>
      <c r="AA19" s="7">
        <f t="shared" si="1"/>
        <v>0</v>
      </c>
      <c r="AB19" s="8" t="s">
        <v>96</v>
      </c>
      <c r="AC19" s="8">
        <v>0</v>
      </c>
      <c r="AD19" s="8">
        <v>420</v>
      </c>
      <c r="AE19" s="8" t="s">
        <v>101</v>
      </c>
      <c r="AF19" s="8">
        <f t="shared" si="2"/>
        <v>0</v>
      </c>
      <c r="AG19" s="30"/>
      <c r="AH19" s="30"/>
      <c r="AI19" s="30"/>
      <c r="AJ19" s="30"/>
    </row>
    <row r="20" spans="1:36" hidden="1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95</v>
      </c>
      <c r="AC20" s="8">
        <v>0</v>
      </c>
      <c r="AD20" s="8">
        <v>64</v>
      </c>
      <c r="AE20" s="8" t="s">
        <v>101</v>
      </c>
      <c r="AF20" s="8">
        <f t="shared" si="2"/>
        <v>0</v>
      </c>
      <c r="AG20" s="30"/>
      <c r="AH20" s="30"/>
      <c r="AI20" s="30"/>
      <c r="AJ20" s="30"/>
    </row>
    <row r="21" spans="1:36" hidden="1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>
        <v>1000</v>
      </c>
      <c r="J21" s="2"/>
      <c r="K21" s="2"/>
      <c r="L21" s="2"/>
      <c r="M21" s="2"/>
      <c r="N21" s="2"/>
      <c r="O21" s="8">
        <f t="shared" si="0"/>
        <v>-79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2">
        <v>1079</v>
      </c>
      <c r="AA21" s="7">
        <f t="shared" si="1"/>
        <v>145</v>
      </c>
      <c r="AB21" s="8" t="s">
        <v>27</v>
      </c>
      <c r="AC21" s="8">
        <v>0</v>
      </c>
      <c r="AD21" s="8">
        <v>92</v>
      </c>
      <c r="AE21" s="8" t="s">
        <v>101</v>
      </c>
      <c r="AF21" s="8">
        <f t="shared" si="2"/>
        <v>10.869565217391305</v>
      </c>
      <c r="AG21" s="30"/>
      <c r="AH21" s="30"/>
      <c r="AI21" s="30"/>
      <c r="AJ21" s="30"/>
    </row>
    <row r="22" spans="1:36" hidden="1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97</v>
      </c>
      <c r="AC22" s="8">
        <v>0</v>
      </c>
      <c r="AD22" s="8">
        <v>200</v>
      </c>
      <c r="AE22" s="8" t="s">
        <v>101</v>
      </c>
      <c r="AF22" s="8">
        <f t="shared" si="2"/>
        <v>0</v>
      </c>
      <c r="AG22" s="30"/>
      <c r="AH22" s="30"/>
      <c r="AI22" s="30"/>
      <c r="AJ22" s="30"/>
    </row>
    <row r="23" spans="1:36" hidden="1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/>
      <c r="J23" s="2"/>
      <c r="K23" s="2"/>
      <c r="L23" s="2"/>
      <c r="M23" s="2"/>
      <c r="N23" s="2"/>
      <c r="O23" s="8">
        <f t="shared" si="0"/>
        <v>-520</v>
      </c>
      <c r="P23" s="19"/>
      <c r="Q23" s="19"/>
      <c r="R23" s="19"/>
      <c r="S23" s="2"/>
      <c r="T23" s="19">
        <v>520</v>
      </c>
      <c r="U23" s="2"/>
      <c r="V23" s="19"/>
      <c r="W23" s="19"/>
      <c r="X23" s="19"/>
      <c r="Y23" s="19"/>
      <c r="Z23" s="2"/>
      <c r="AA23" s="7">
        <f t="shared" si="1"/>
        <v>0</v>
      </c>
      <c r="AB23" s="8" t="s">
        <v>97</v>
      </c>
      <c r="AC23" s="8">
        <v>0</v>
      </c>
      <c r="AD23" s="8">
        <v>260</v>
      </c>
      <c r="AE23" s="8" t="s">
        <v>101</v>
      </c>
      <c r="AF23" s="8">
        <f t="shared" si="2"/>
        <v>0</v>
      </c>
      <c r="AG23" s="30"/>
    </row>
    <row r="24" spans="1:36" hidden="1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2"/>
      <c r="AA24" s="7">
        <f t="shared" si="1"/>
        <v>0</v>
      </c>
      <c r="AB24" s="8" t="s">
        <v>27</v>
      </c>
      <c r="AC24" s="8">
        <v>0</v>
      </c>
      <c r="AD24" s="8">
        <v>100</v>
      </c>
      <c r="AE24" s="8" t="s">
        <v>101</v>
      </c>
      <c r="AF24" s="8">
        <f t="shared" si="2"/>
        <v>0</v>
      </c>
      <c r="AG24" s="30"/>
    </row>
    <row r="25" spans="1:36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1000</v>
      </c>
      <c r="J25" s="2">
        <v>1152</v>
      </c>
      <c r="K25" s="2"/>
      <c r="L25" s="2"/>
      <c r="M25" s="2"/>
      <c r="N25" s="2"/>
      <c r="O25" s="8">
        <f t="shared" si="0"/>
        <v>872</v>
      </c>
      <c r="P25" s="19"/>
      <c r="Q25" s="19"/>
      <c r="R25" s="19">
        <v>64</v>
      </c>
      <c r="S25" s="2">
        <v>448</v>
      </c>
      <c r="T25" s="19"/>
      <c r="U25" s="2"/>
      <c r="V25" s="19">
        <v>128</v>
      </c>
      <c r="W25" s="19">
        <v>320</v>
      </c>
      <c r="X25" s="19">
        <v>320</v>
      </c>
      <c r="Y25" s="19"/>
      <c r="Z25" s="2"/>
      <c r="AA25" s="7">
        <f t="shared" si="1"/>
        <v>342.16800000000001</v>
      </c>
      <c r="AB25" s="8" t="s">
        <v>95</v>
      </c>
      <c r="AC25" s="8">
        <v>0</v>
      </c>
      <c r="AD25" s="8">
        <v>64</v>
      </c>
      <c r="AE25" s="8" t="s">
        <v>101</v>
      </c>
      <c r="AF25" s="8">
        <f t="shared" si="2"/>
        <v>33.625</v>
      </c>
      <c r="AG25" s="30"/>
    </row>
    <row r="26" spans="1:36" hidden="1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26</v>
      </c>
      <c r="AC26" s="8">
        <v>0</v>
      </c>
      <c r="AD26" s="8">
        <v>200</v>
      </c>
      <c r="AE26" s="8" t="s">
        <v>101</v>
      </c>
      <c r="AF26" s="8">
        <f t="shared" si="2"/>
        <v>0</v>
      </c>
      <c r="AG26" s="30"/>
    </row>
    <row r="27" spans="1:36" hidden="1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26</v>
      </c>
      <c r="AC27" s="8">
        <v>0</v>
      </c>
      <c r="AD27" s="8">
        <v>200</v>
      </c>
      <c r="AE27" s="8" t="s">
        <v>101</v>
      </c>
      <c r="AF27" s="8">
        <f t="shared" si="2"/>
        <v>0</v>
      </c>
      <c r="AG27" s="30"/>
    </row>
    <row r="28" spans="1:36" hidden="1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26</v>
      </c>
      <c r="AC28" s="8" t="s">
        <v>99</v>
      </c>
      <c r="AD28" s="8">
        <v>500</v>
      </c>
      <c r="AE28" s="8" t="s">
        <v>102</v>
      </c>
      <c r="AF28" s="8">
        <f t="shared" si="2"/>
        <v>0</v>
      </c>
      <c r="AG28" s="30"/>
    </row>
    <row r="29" spans="1:36" hidden="1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/>
      <c r="AA29" s="7">
        <f t="shared" si="1"/>
        <v>0</v>
      </c>
      <c r="AB29" s="8" t="s">
        <v>26</v>
      </c>
      <c r="AC29" s="8" t="s">
        <v>99</v>
      </c>
      <c r="AD29" s="8">
        <v>200</v>
      </c>
      <c r="AE29" s="8" t="s">
        <v>102</v>
      </c>
      <c r="AF29" s="8">
        <f t="shared" si="2"/>
        <v>0</v>
      </c>
      <c r="AG29" s="30"/>
    </row>
    <row r="30" spans="1:36" hidden="1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/>
      <c r="J30" s="2"/>
      <c r="K30" s="2"/>
      <c r="L30" s="2"/>
      <c r="M30" s="2"/>
      <c r="N30" s="2"/>
      <c r="O30" s="8">
        <f t="shared" si="0"/>
        <v>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2"/>
      <c r="AA30" s="7">
        <f t="shared" si="1"/>
        <v>0</v>
      </c>
      <c r="AB30" s="8" t="s">
        <v>26</v>
      </c>
      <c r="AC30" s="8" t="s">
        <v>99</v>
      </c>
      <c r="AD30" s="8">
        <v>200</v>
      </c>
      <c r="AE30" s="8" t="s">
        <v>102</v>
      </c>
      <c r="AF30" s="8">
        <f t="shared" si="2"/>
        <v>0</v>
      </c>
      <c r="AG30" s="30"/>
    </row>
    <row r="31" spans="1:36" hidden="1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2"/>
      <c r="AA31" s="7">
        <f t="shared" si="1"/>
        <v>0</v>
      </c>
      <c r="AB31" s="8" t="s">
        <v>26</v>
      </c>
      <c r="AC31" s="8" t="s">
        <v>99</v>
      </c>
      <c r="AD31" s="8">
        <v>100</v>
      </c>
      <c r="AE31" s="8" t="s">
        <v>102</v>
      </c>
      <c r="AF31" s="8">
        <f t="shared" si="2"/>
        <v>0</v>
      </c>
      <c r="AG31" s="30"/>
    </row>
    <row r="32" spans="1:36" hidden="1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97</v>
      </c>
      <c r="AC32" s="8" t="s">
        <v>98</v>
      </c>
      <c r="AD32" s="8">
        <v>400</v>
      </c>
      <c r="AE32" s="8" t="s">
        <v>102</v>
      </c>
      <c r="AF32" s="8">
        <f t="shared" si="2"/>
        <v>0</v>
      </c>
      <c r="AG32" s="30"/>
    </row>
    <row r="33" spans="1:33" hidden="1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2"/>
      <c r="AA33" s="7">
        <f t="shared" si="1"/>
        <v>0</v>
      </c>
      <c r="AB33" s="8" t="s">
        <v>26</v>
      </c>
      <c r="AC33" s="8" t="s">
        <v>98</v>
      </c>
      <c r="AD33" s="8">
        <v>250</v>
      </c>
      <c r="AE33" s="8" t="s">
        <v>102</v>
      </c>
      <c r="AF33" s="8">
        <f t="shared" si="2"/>
        <v>0</v>
      </c>
      <c r="AG33" s="30"/>
    </row>
    <row r="34" spans="1:33" hidden="1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2"/>
      <c r="AA34" s="7">
        <f t="shared" si="1"/>
        <v>0</v>
      </c>
      <c r="AB34" s="8" t="s">
        <v>26</v>
      </c>
      <c r="AC34" s="8" t="s">
        <v>98</v>
      </c>
      <c r="AD34" s="8">
        <v>300</v>
      </c>
      <c r="AE34" s="8" t="s">
        <v>102</v>
      </c>
      <c r="AF34" s="8">
        <f t="shared" si="2"/>
        <v>0</v>
      </c>
      <c r="AG34" s="30"/>
    </row>
    <row r="35" spans="1:33" hidden="1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0</v>
      </c>
      <c r="AB35" s="8" t="s">
        <v>26</v>
      </c>
      <c r="AC35" s="8" t="s">
        <v>98</v>
      </c>
      <c r="AD35" s="8">
        <v>300</v>
      </c>
      <c r="AE35" s="8" t="s">
        <v>102</v>
      </c>
      <c r="AF35" s="8">
        <f t="shared" si="2"/>
        <v>0</v>
      </c>
      <c r="AG35" s="30"/>
    </row>
    <row r="36" spans="1:33" hidden="1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0</v>
      </c>
      <c r="AB36" s="8" t="s">
        <v>97</v>
      </c>
      <c r="AC36" s="8" t="s">
        <v>98</v>
      </c>
      <c r="AD36" s="8">
        <v>250</v>
      </c>
      <c r="AE36" s="8" t="s">
        <v>102</v>
      </c>
      <c r="AF36" s="8">
        <f t="shared" si="2"/>
        <v>0</v>
      </c>
      <c r="AG36" s="30"/>
    </row>
    <row r="37" spans="1:33" hidden="1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/>
      <c r="J37" s="2"/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26</v>
      </c>
      <c r="AC37" s="8" t="s">
        <v>99</v>
      </c>
      <c r="AD37" s="8">
        <v>100</v>
      </c>
      <c r="AE37" s="8" t="s">
        <v>102</v>
      </c>
      <c r="AF37" s="8">
        <f t="shared" si="2"/>
        <v>0</v>
      </c>
      <c r="AG37" s="30"/>
    </row>
    <row r="38" spans="1:33" hidden="1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/>
      <c r="J38" s="2"/>
      <c r="K38" s="2"/>
      <c r="L38" s="2"/>
      <c r="M38" s="2"/>
      <c r="N38" s="2"/>
      <c r="O38" s="8">
        <f t="shared" ref="O38:O63" si="3">+I38+J38+K38+L38+M38+N38-SUM(P38:Z38)</f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ref="AA38:AA63" si="4">+G38*SUM(I38:N38)</f>
        <v>0</v>
      </c>
      <c r="AB38" s="8" t="s">
        <v>26</v>
      </c>
      <c r="AC38" s="8" t="s">
        <v>99</v>
      </c>
      <c r="AD38" s="8">
        <v>100</v>
      </c>
      <c r="AE38" s="8" t="s">
        <v>102</v>
      </c>
      <c r="AF38" s="8">
        <f t="shared" ref="AF38:AF63" si="5">+SUM(I38:N38)/AD38</f>
        <v>0</v>
      </c>
      <c r="AG38" s="30"/>
    </row>
    <row r="39" spans="1:33" hidden="1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/>
      <c r="J39" s="2"/>
      <c r="K39" s="2"/>
      <c r="L39" s="2"/>
      <c r="M39" s="2"/>
      <c r="N39" s="2"/>
      <c r="O39" s="8">
        <f t="shared" si="3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4"/>
        <v>0</v>
      </c>
      <c r="AB39" s="8" t="s">
        <v>26</v>
      </c>
      <c r="AC39" s="8" t="s">
        <v>99</v>
      </c>
      <c r="AD39" s="8">
        <v>300</v>
      </c>
      <c r="AE39" s="8" t="s">
        <v>102</v>
      </c>
      <c r="AF39" s="8">
        <f t="shared" si="5"/>
        <v>0</v>
      </c>
      <c r="AG39" s="30"/>
    </row>
    <row r="40" spans="1:33" hidden="1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/>
      <c r="J40" s="2"/>
      <c r="K40" s="2"/>
      <c r="L40" s="2"/>
      <c r="M40" s="2"/>
      <c r="N40" s="2"/>
      <c r="O40" s="8">
        <f t="shared" si="3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4"/>
        <v>0</v>
      </c>
      <c r="AB40" s="8" t="s">
        <v>26</v>
      </c>
      <c r="AC40" s="8" t="s">
        <v>99</v>
      </c>
      <c r="AD40" s="8">
        <v>200</v>
      </c>
      <c r="AE40" s="8" t="s">
        <v>102</v>
      </c>
      <c r="AF40" s="8">
        <f t="shared" si="5"/>
        <v>0</v>
      </c>
      <c r="AG40" s="30"/>
    </row>
    <row r="41" spans="1:33" hidden="1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/>
      <c r="J41" s="2"/>
      <c r="K41" s="2"/>
      <c r="L41" s="2"/>
      <c r="M41" s="2"/>
      <c r="N41" s="2"/>
      <c r="O41" s="8">
        <f t="shared" si="3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4"/>
        <v>0</v>
      </c>
      <c r="AB41" s="8" t="s">
        <v>26</v>
      </c>
      <c r="AC41" s="8" t="s">
        <v>99</v>
      </c>
      <c r="AD41" s="8">
        <v>100</v>
      </c>
      <c r="AE41" s="8" t="s">
        <v>102</v>
      </c>
      <c r="AF41" s="8">
        <f t="shared" si="5"/>
        <v>0</v>
      </c>
      <c r="AG41" s="30"/>
    </row>
    <row r="42" spans="1:33" hidden="1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/>
      <c r="J42" s="2"/>
      <c r="K42" s="2"/>
      <c r="L42" s="2"/>
      <c r="M42" s="2"/>
      <c r="N42" s="2"/>
      <c r="O42" s="8">
        <f t="shared" si="3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4"/>
        <v>0</v>
      </c>
      <c r="AB42" s="8" t="s">
        <v>26</v>
      </c>
      <c r="AC42" s="8" t="s">
        <v>99</v>
      </c>
      <c r="AD42" s="8">
        <v>300</v>
      </c>
      <c r="AE42" s="8" t="s">
        <v>102</v>
      </c>
      <c r="AF42" s="8">
        <f t="shared" si="5"/>
        <v>0</v>
      </c>
      <c r="AG42" s="30"/>
    </row>
    <row r="43" spans="1:33" hidden="1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/>
      <c r="J43" s="2"/>
      <c r="K43" s="2"/>
      <c r="L43" s="2"/>
      <c r="M43" s="2"/>
      <c r="N43" s="2"/>
      <c r="O43" s="8">
        <f t="shared" si="3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4"/>
        <v>0</v>
      </c>
      <c r="AB43" s="8" t="s">
        <v>26</v>
      </c>
      <c r="AC43" s="8" t="s">
        <v>99</v>
      </c>
      <c r="AD43" s="8">
        <v>260</v>
      </c>
      <c r="AE43" s="8" t="s">
        <v>102</v>
      </c>
      <c r="AF43" s="8">
        <f t="shared" si="5"/>
        <v>0</v>
      </c>
      <c r="AG43" s="30"/>
    </row>
    <row r="44" spans="1:33" hidden="1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/>
      <c r="J44" s="2"/>
      <c r="K44" s="2"/>
      <c r="L44" s="2"/>
      <c r="M44" s="2"/>
      <c r="N44" s="2"/>
      <c r="O44" s="8">
        <f t="shared" si="3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4"/>
        <v>0</v>
      </c>
      <c r="AB44" s="8" t="s">
        <v>26</v>
      </c>
      <c r="AC44" s="8" t="s">
        <v>99</v>
      </c>
      <c r="AD44" s="8">
        <v>500</v>
      </c>
      <c r="AE44" s="8" t="s">
        <v>102</v>
      </c>
      <c r="AF44" s="8">
        <f t="shared" si="5"/>
        <v>0</v>
      </c>
      <c r="AG44" s="30"/>
    </row>
    <row r="45" spans="1:33" hidden="1" x14ac:dyDescent="0.25">
      <c r="A45" s="2">
        <v>40</v>
      </c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/>
      <c r="J45" s="2"/>
      <c r="K45" s="2"/>
      <c r="L45" s="2"/>
      <c r="M45" s="2"/>
      <c r="N45" s="2"/>
      <c r="O45" s="8">
        <f t="shared" si="3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2"/>
      <c r="AA45" s="7">
        <f t="shared" si="4"/>
        <v>0</v>
      </c>
      <c r="AB45" s="8" t="s">
        <v>95</v>
      </c>
      <c r="AC45" s="8" t="s">
        <v>98</v>
      </c>
      <c r="AD45" s="8">
        <v>50</v>
      </c>
      <c r="AE45" s="8" t="s">
        <v>102</v>
      </c>
      <c r="AF45" s="8">
        <f t="shared" si="5"/>
        <v>0</v>
      </c>
      <c r="AG45" s="30"/>
    </row>
    <row r="46" spans="1:33" hidden="1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/>
      <c r="J46" s="2"/>
      <c r="K46" s="2"/>
      <c r="L46" s="2"/>
      <c r="M46" s="2"/>
      <c r="N46" s="2"/>
      <c r="O46" s="8">
        <f t="shared" si="3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4"/>
        <v>0</v>
      </c>
      <c r="AB46" s="8" t="s">
        <v>95</v>
      </c>
      <c r="AC46" s="8" t="s">
        <v>98</v>
      </c>
      <c r="AD46" s="8">
        <v>50</v>
      </c>
      <c r="AE46" s="8" t="s">
        <v>102</v>
      </c>
      <c r="AF46" s="8">
        <f t="shared" si="5"/>
        <v>0</v>
      </c>
      <c r="AG46" s="30"/>
    </row>
    <row r="47" spans="1:33" hidden="1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/>
      <c r="J47" s="2"/>
      <c r="K47" s="2"/>
      <c r="L47" s="2"/>
      <c r="M47" s="2"/>
      <c r="N47" s="2"/>
      <c r="O47" s="8">
        <f t="shared" si="3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2"/>
      <c r="AA47" s="7">
        <f t="shared" si="4"/>
        <v>0</v>
      </c>
      <c r="AB47" s="8" t="s">
        <v>95</v>
      </c>
      <c r="AC47" s="8" t="s">
        <v>98</v>
      </c>
      <c r="AD47" s="8">
        <v>50</v>
      </c>
      <c r="AE47" s="8" t="s">
        <v>102</v>
      </c>
      <c r="AF47" s="8">
        <f t="shared" si="5"/>
        <v>0</v>
      </c>
      <c r="AG47" s="30"/>
    </row>
    <row r="48" spans="1:33" hidden="1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/>
      <c r="J48" s="2"/>
      <c r="K48" s="2"/>
      <c r="L48" s="2"/>
      <c r="M48" s="2"/>
      <c r="N48" s="2"/>
      <c r="O48" s="8">
        <f t="shared" si="3"/>
        <v>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2"/>
      <c r="AA48" s="7">
        <f t="shared" si="4"/>
        <v>0</v>
      </c>
      <c r="AB48" s="8" t="s">
        <v>95</v>
      </c>
      <c r="AC48" s="8" t="s">
        <v>98</v>
      </c>
      <c r="AD48" s="8">
        <v>50</v>
      </c>
      <c r="AE48" s="8" t="s">
        <v>102</v>
      </c>
      <c r="AF48" s="8">
        <f t="shared" si="5"/>
        <v>0</v>
      </c>
      <c r="AG48" s="30"/>
    </row>
    <row r="49" spans="1:33" hidden="1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/>
      <c r="J49" s="2"/>
      <c r="K49" s="2"/>
      <c r="L49" s="2"/>
      <c r="M49" s="2"/>
      <c r="N49" s="2"/>
      <c r="O49" s="8">
        <f t="shared" si="3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4"/>
        <v>0</v>
      </c>
      <c r="AB49" s="8" t="s">
        <v>26</v>
      </c>
      <c r="AC49" s="8" t="s">
        <v>99</v>
      </c>
      <c r="AD49" s="8">
        <v>100</v>
      </c>
      <c r="AE49" s="8" t="s">
        <v>102</v>
      </c>
      <c r="AF49" s="8">
        <f t="shared" si="5"/>
        <v>0</v>
      </c>
      <c r="AG49" s="30"/>
    </row>
    <row r="50" spans="1:33" hidden="1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>
        <v>800</v>
      </c>
      <c r="J50" s="2"/>
      <c r="K50" s="2"/>
      <c r="L50" s="2"/>
      <c r="M50" s="2"/>
      <c r="N50" s="2"/>
      <c r="O50" s="8">
        <f t="shared" si="3"/>
        <v>0</v>
      </c>
      <c r="P50" s="19">
        <v>800</v>
      </c>
      <c r="Q50" s="19"/>
      <c r="R50" s="19"/>
      <c r="S50" s="2"/>
      <c r="T50" s="19"/>
      <c r="U50" s="2"/>
      <c r="V50" s="19"/>
      <c r="W50" s="19"/>
      <c r="X50" s="19"/>
      <c r="Y50" s="19"/>
      <c r="Z50" s="2"/>
      <c r="AA50" s="7">
        <f t="shared" si="4"/>
        <v>84</v>
      </c>
      <c r="AB50" s="8" t="s">
        <v>25</v>
      </c>
      <c r="AC50" s="8" t="s">
        <v>99</v>
      </c>
      <c r="AD50" s="8">
        <v>50</v>
      </c>
      <c r="AE50" s="8" t="s">
        <v>102</v>
      </c>
      <c r="AF50" s="8">
        <f t="shared" si="5"/>
        <v>16</v>
      </c>
      <c r="AG50" s="30"/>
    </row>
    <row r="51" spans="1:33" hidden="1" x14ac:dyDescent="0.25">
      <c r="A51" s="2">
        <v>46</v>
      </c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/>
      <c r="J51" s="2"/>
      <c r="K51" s="2"/>
      <c r="L51" s="2"/>
      <c r="M51" s="2"/>
      <c r="N51" s="2"/>
      <c r="O51" s="8">
        <f t="shared" si="3"/>
        <v>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2"/>
      <c r="AA51" s="7">
        <f t="shared" si="4"/>
        <v>0</v>
      </c>
      <c r="AB51" s="8" t="s">
        <v>97</v>
      </c>
      <c r="AC51" s="8" t="s">
        <v>99</v>
      </c>
      <c r="AD51" s="8">
        <v>400</v>
      </c>
      <c r="AE51" s="8" t="s">
        <v>102</v>
      </c>
      <c r="AF51" s="8">
        <f t="shared" si="5"/>
        <v>0</v>
      </c>
      <c r="AG51" s="30"/>
    </row>
    <row r="52" spans="1:33" hidden="1" x14ac:dyDescent="0.25">
      <c r="A52" s="2">
        <v>47</v>
      </c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/>
      <c r="J52" s="2"/>
      <c r="K52" s="2"/>
      <c r="L52" s="2"/>
      <c r="M52" s="2"/>
      <c r="N52" s="2"/>
      <c r="O52" s="8">
        <f t="shared" si="3"/>
        <v>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2"/>
      <c r="AA52" s="7">
        <f t="shared" si="4"/>
        <v>0</v>
      </c>
      <c r="AB52" s="8" t="s">
        <v>27</v>
      </c>
      <c r="AC52" s="8" t="s">
        <v>99</v>
      </c>
      <c r="AD52" s="8">
        <v>50</v>
      </c>
      <c r="AE52" s="8" t="s">
        <v>102</v>
      </c>
      <c r="AF52" s="8">
        <f t="shared" si="5"/>
        <v>0</v>
      </c>
      <c r="AG52" s="30"/>
    </row>
    <row r="53" spans="1:33" hidden="1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/>
      <c r="J53" s="2"/>
      <c r="K53" s="2"/>
      <c r="L53" s="2"/>
      <c r="M53" s="2"/>
      <c r="N53" s="2"/>
      <c r="O53" s="8">
        <f t="shared" si="3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4"/>
        <v>0</v>
      </c>
      <c r="AB53" s="8" t="s">
        <v>97</v>
      </c>
      <c r="AC53" s="8" t="s">
        <v>99</v>
      </c>
      <c r="AD53" s="8">
        <v>400</v>
      </c>
      <c r="AE53" s="8" t="s">
        <v>102</v>
      </c>
      <c r="AF53" s="8">
        <f t="shared" si="5"/>
        <v>0</v>
      </c>
      <c r="AG53" s="30"/>
    </row>
    <row r="54" spans="1:33" hidden="1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/>
      <c r="J54" s="2"/>
      <c r="K54" s="2"/>
      <c r="L54" s="2"/>
      <c r="M54" s="2"/>
      <c r="N54" s="2"/>
      <c r="O54" s="8">
        <f t="shared" si="3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4"/>
        <v>0</v>
      </c>
      <c r="AB54" s="8" t="s">
        <v>97</v>
      </c>
      <c r="AC54" s="8" t="s">
        <v>99</v>
      </c>
      <c r="AD54" s="8">
        <v>400</v>
      </c>
      <c r="AE54" s="8" t="s">
        <v>102</v>
      </c>
      <c r="AF54" s="8">
        <f t="shared" si="5"/>
        <v>0</v>
      </c>
      <c r="AG54" s="30"/>
    </row>
    <row r="55" spans="1:33" hidden="1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/>
      <c r="J55" s="2"/>
      <c r="K55" s="2"/>
      <c r="L55" s="2"/>
      <c r="M55" s="2"/>
      <c r="N55" s="2"/>
      <c r="O55" s="8">
        <f t="shared" si="3"/>
        <v>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2"/>
      <c r="AA55" s="7">
        <f t="shared" si="4"/>
        <v>0</v>
      </c>
      <c r="AB55" s="8" t="s">
        <v>27</v>
      </c>
      <c r="AC55" s="8" t="s">
        <v>99</v>
      </c>
      <c r="AD55" s="8">
        <v>60</v>
      </c>
      <c r="AE55" s="8" t="s">
        <v>102</v>
      </c>
      <c r="AF55" s="8">
        <f t="shared" si="5"/>
        <v>0</v>
      </c>
      <c r="AG55" s="30"/>
    </row>
    <row r="56" spans="1:33" hidden="1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/>
      <c r="J56" s="2"/>
      <c r="K56" s="2"/>
      <c r="L56" s="2"/>
      <c r="M56" s="2"/>
      <c r="N56" s="2"/>
      <c r="O56" s="8">
        <f t="shared" si="3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2"/>
      <c r="AA56" s="7">
        <f t="shared" si="4"/>
        <v>0</v>
      </c>
      <c r="AB56" s="8" t="s">
        <v>27</v>
      </c>
      <c r="AC56" s="8" t="s">
        <v>99</v>
      </c>
      <c r="AD56" s="8">
        <v>70</v>
      </c>
      <c r="AE56" s="8" t="s">
        <v>102</v>
      </c>
      <c r="AF56" s="8">
        <f t="shared" si="5"/>
        <v>0</v>
      </c>
      <c r="AG56" s="30"/>
    </row>
    <row r="57" spans="1:33" hidden="1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/>
      <c r="J57" s="2"/>
      <c r="K57" s="2"/>
      <c r="L57" s="2"/>
      <c r="M57" s="2"/>
      <c r="N57" s="2"/>
      <c r="O57" s="8">
        <f t="shared" si="3"/>
        <v>0</v>
      </c>
      <c r="P57" s="19"/>
      <c r="Q57" s="19"/>
      <c r="R57" s="19"/>
      <c r="S57" s="2"/>
      <c r="T57" s="19"/>
      <c r="U57" s="2"/>
      <c r="V57" s="19"/>
      <c r="W57" s="19"/>
      <c r="X57" s="19"/>
      <c r="Y57" s="19"/>
      <c r="Z57" s="2"/>
      <c r="AA57" s="7">
        <f t="shared" si="4"/>
        <v>0</v>
      </c>
      <c r="AB57" s="8" t="s">
        <v>97</v>
      </c>
      <c r="AC57" s="8" t="s">
        <v>99</v>
      </c>
      <c r="AD57" s="8">
        <v>400</v>
      </c>
      <c r="AE57" s="8" t="s">
        <v>102</v>
      </c>
      <c r="AF57" s="8">
        <f t="shared" si="5"/>
        <v>0</v>
      </c>
      <c r="AG57" s="30"/>
    </row>
    <row r="58" spans="1:33" hidden="1" x14ac:dyDescent="0.25">
      <c r="A58" s="2">
        <v>53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/>
      <c r="J58" s="2"/>
      <c r="K58" s="2"/>
      <c r="L58" s="2"/>
      <c r="M58" s="2"/>
      <c r="N58" s="2"/>
      <c r="O58" s="8">
        <f t="shared" si="3"/>
        <v>0</v>
      </c>
      <c r="P58" s="19"/>
      <c r="Q58" s="19"/>
      <c r="R58" s="19"/>
      <c r="S58" s="2"/>
      <c r="T58" s="19"/>
      <c r="U58" s="2"/>
      <c r="V58" s="19"/>
      <c r="W58" s="19"/>
      <c r="X58" s="19"/>
      <c r="Y58" s="19"/>
      <c r="Z58" s="2"/>
      <c r="AA58" s="7">
        <f t="shared" si="4"/>
        <v>0</v>
      </c>
      <c r="AB58" s="8" t="s">
        <v>97</v>
      </c>
      <c r="AC58" s="8" t="s">
        <v>99</v>
      </c>
      <c r="AD58" s="8">
        <v>300</v>
      </c>
      <c r="AE58" s="8" t="s">
        <v>102</v>
      </c>
      <c r="AF58" s="8">
        <f t="shared" si="5"/>
        <v>0</v>
      </c>
      <c r="AG58" s="30"/>
    </row>
    <row r="59" spans="1:33" hidden="1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/>
      <c r="J59" s="2"/>
      <c r="K59" s="2"/>
      <c r="L59" s="2"/>
      <c r="M59" s="2"/>
      <c r="N59" s="2"/>
      <c r="O59" s="8">
        <f t="shared" si="3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2"/>
      <c r="AA59" s="7">
        <f t="shared" si="4"/>
        <v>0</v>
      </c>
      <c r="AB59" s="8" t="s">
        <v>97</v>
      </c>
      <c r="AC59" s="8" t="s">
        <v>99</v>
      </c>
      <c r="AD59" s="8">
        <v>500</v>
      </c>
      <c r="AE59" s="8" t="s">
        <v>102</v>
      </c>
      <c r="AF59" s="8">
        <f t="shared" si="5"/>
        <v>0</v>
      </c>
      <c r="AG59" s="30"/>
    </row>
    <row r="60" spans="1:33" hidden="1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/>
      <c r="J60" s="2"/>
      <c r="K60" s="2"/>
      <c r="L60" s="2"/>
      <c r="M60" s="2"/>
      <c r="N60" s="2"/>
      <c r="O60" s="8">
        <f t="shared" si="3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2"/>
      <c r="AA60" s="7">
        <f t="shared" si="4"/>
        <v>0</v>
      </c>
      <c r="AB60" s="8" t="s">
        <v>97</v>
      </c>
      <c r="AC60" s="8" t="s">
        <v>99</v>
      </c>
      <c r="AD60" s="8">
        <v>500</v>
      </c>
      <c r="AE60" s="8" t="s">
        <v>102</v>
      </c>
      <c r="AF60" s="8">
        <f t="shared" si="5"/>
        <v>0</v>
      </c>
      <c r="AG60" s="30"/>
    </row>
    <row r="61" spans="1:33" hidden="1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/>
      <c r="J61" s="2"/>
      <c r="K61" s="2"/>
      <c r="L61" s="2"/>
      <c r="M61" s="2"/>
      <c r="N61" s="2"/>
      <c r="O61" s="8">
        <f t="shared" si="3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2"/>
      <c r="AA61" s="7">
        <f t="shared" si="4"/>
        <v>0</v>
      </c>
      <c r="AB61" s="8" t="s">
        <v>26</v>
      </c>
      <c r="AC61" s="8" t="s">
        <v>98</v>
      </c>
      <c r="AD61" s="8">
        <v>250</v>
      </c>
      <c r="AE61" s="8" t="s">
        <v>102</v>
      </c>
      <c r="AF61" s="8">
        <f t="shared" si="5"/>
        <v>0</v>
      </c>
      <c r="AG61" s="30"/>
    </row>
    <row r="62" spans="1:33" hidden="1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/>
      <c r="J62" s="2"/>
      <c r="K62" s="2"/>
      <c r="L62" s="2"/>
      <c r="M62" s="2"/>
      <c r="N62" s="2"/>
      <c r="O62" s="8">
        <f t="shared" si="3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/>
      <c r="AA62" s="7">
        <f t="shared" si="4"/>
        <v>0</v>
      </c>
      <c r="AB62" s="8" t="s">
        <v>26</v>
      </c>
      <c r="AC62" s="8" t="s">
        <v>99</v>
      </c>
      <c r="AD62" s="8">
        <v>300</v>
      </c>
      <c r="AE62" s="8" t="s">
        <v>102</v>
      </c>
      <c r="AF62" s="8">
        <f t="shared" si="5"/>
        <v>0</v>
      </c>
      <c r="AG62" s="30"/>
    </row>
    <row r="63" spans="1:33" hidden="1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/>
      <c r="J63" s="2"/>
      <c r="K63" s="2"/>
      <c r="L63" s="2"/>
      <c r="M63" s="2"/>
      <c r="N63" s="2"/>
      <c r="O63" s="8">
        <f t="shared" si="3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4"/>
        <v>0</v>
      </c>
      <c r="AB63" s="8" t="s">
        <v>26</v>
      </c>
      <c r="AC63" s="8" t="s">
        <v>99</v>
      </c>
      <c r="AD63" s="8">
        <v>250</v>
      </c>
      <c r="AE63" s="8" t="s">
        <v>102</v>
      </c>
      <c r="AF63" s="8">
        <f t="shared" si="5"/>
        <v>0</v>
      </c>
      <c r="AG63" s="30"/>
    </row>
    <row r="64" spans="1:33" x14ac:dyDescent="0.25">
      <c r="H64" s="4" t="s">
        <v>19</v>
      </c>
      <c r="I64" s="9">
        <f>SUM(I6:I63)</f>
        <v>7240</v>
      </c>
      <c r="J64" s="9">
        <f>SUM(J6:J63)</f>
        <v>1764</v>
      </c>
      <c r="K64" s="9">
        <f t="shared" ref="K64:AA64" si="6">SUM(K6:K63)</f>
        <v>0</v>
      </c>
      <c r="L64" s="9">
        <f t="shared" si="6"/>
        <v>0</v>
      </c>
      <c r="M64" s="9">
        <f t="shared" si="6"/>
        <v>0</v>
      </c>
      <c r="N64" s="9">
        <f t="shared" si="6"/>
        <v>0</v>
      </c>
      <c r="O64" s="11">
        <f t="shared" si="6"/>
        <v>3281</v>
      </c>
      <c r="P64" s="9">
        <f t="shared" si="6"/>
        <v>1058</v>
      </c>
      <c r="Q64" s="9">
        <f t="shared" si="6"/>
        <v>350</v>
      </c>
      <c r="R64" s="9">
        <f t="shared" si="6"/>
        <v>64</v>
      </c>
      <c r="S64" s="9">
        <f t="shared" si="6"/>
        <v>448</v>
      </c>
      <c r="T64" s="9">
        <f t="shared" si="6"/>
        <v>1040</v>
      </c>
      <c r="U64" s="9">
        <f t="shared" si="6"/>
        <v>300</v>
      </c>
      <c r="V64" s="20">
        <f t="shared" si="6"/>
        <v>744</v>
      </c>
      <c r="W64" s="20">
        <f t="shared" si="6"/>
        <v>320</v>
      </c>
      <c r="X64" s="20">
        <f t="shared" si="6"/>
        <v>320</v>
      </c>
      <c r="Y64" s="20">
        <f t="shared" si="6"/>
        <v>0</v>
      </c>
      <c r="Z64" s="9">
        <f t="shared" si="6"/>
        <v>1079</v>
      </c>
      <c r="AA64" s="9">
        <f t="shared" si="6"/>
        <v>1059.7820000000002</v>
      </c>
      <c r="AB64" s="1"/>
      <c r="AC64" s="1"/>
      <c r="AD64" s="1"/>
      <c r="AE64" s="1"/>
      <c r="AF64" s="12">
        <f>SUM(AF6:AF63)</f>
        <v>111.41690953973563</v>
      </c>
    </row>
    <row r="65" spans="2:26" hidden="1" x14ac:dyDescent="0.25">
      <c r="H65" s="4" t="s">
        <v>21</v>
      </c>
      <c r="I65" s="56">
        <f>+I64+J64+K64+L64+M64+N64</f>
        <v>9004</v>
      </c>
      <c r="J65" s="56"/>
      <c r="K65" s="56"/>
      <c r="L65" s="56"/>
      <c r="M65" s="56"/>
      <c r="N65" s="56"/>
      <c r="P65" s="57">
        <f>+P64+Q64</f>
        <v>1408</v>
      </c>
      <c r="Q65" s="54"/>
      <c r="R65" s="57">
        <f>+R64+S64</f>
        <v>512</v>
      </c>
      <c r="S65" s="54"/>
      <c r="T65" s="57">
        <f>+T64+U64</f>
        <v>1340</v>
      </c>
      <c r="U65" s="54"/>
      <c r="V65" s="57">
        <f t="shared" ref="V65" si="7">+V64+W64</f>
        <v>1064</v>
      </c>
      <c r="W65" s="54"/>
      <c r="X65" s="57">
        <f t="shared" ref="X65" si="8">+X64+Y64</f>
        <v>320</v>
      </c>
      <c r="Y65" s="54"/>
      <c r="Z65" s="10">
        <f>+Z64</f>
        <v>1079</v>
      </c>
    </row>
    <row r="66" spans="2:26" x14ac:dyDescent="0.25">
      <c r="H66" s="1"/>
      <c r="I66" s="1">
        <v>0</v>
      </c>
      <c r="J66" s="25">
        <f>+J64</f>
        <v>1764</v>
      </c>
      <c r="K66" s="25">
        <f t="shared" ref="K66:N66" si="9">+K64</f>
        <v>0</v>
      </c>
      <c r="L66" s="25">
        <f t="shared" si="9"/>
        <v>0</v>
      </c>
      <c r="M66" s="25">
        <f t="shared" si="9"/>
        <v>0</v>
      </c>
      <c r="N66" s="25">
        <f t="shared" si="9"/>
        <v>0</v>
      </c>
      <c r="S66" s="1"/>
      <c r="U66" s="1"/>
      <c r="Z66" s="1"/>
    </row>
    <row r="68" spans="2:26" x14ac:dyDescent="0.25">
      <c r="B68" s="1"/>
      <c r="C68" s="2" t="s">
        <v>111</v>
      </c>
      <c r="D68" s="2" t="s">
        <v>112</v>
      </c>
      <c r="E68" s="2" t="s">
        <v>113</v>
      </c>
      <c r="P68" s="19" t="s">
        <v>131</v>
      </c>
      <c r="Q68" s="19" t="s">
        <v>16</v>
      </c>
      <c r="R68" s="19" t="s">
        <v>131</v>
      </c>
      <c r="S68" s="19" t="s">
        <v>16</v>
      </c>
      <c r="T68" s="19" t="s">
        <v>131</v>
      </c>
      <c r="U68" s="19" t="s">
        <v>16</v>
      </c>
      <c r="V68" s="19" t="s">
        <v>131</v>
      </c>
      <c r="W68" s="19" t="s">
        <v>16</v>
      </c>
      <c r="X68" s="19" t="s">
        <v>131</v>
      </c>
      <c r="Y68" s="19" t="s">
        <v>16</v>
      </c>
    </row>
    <row r="69" spans="2:26" x14ac:dyDescent="0.25">
      <c r="B69" s="2" t="s">
        <v>114</v>
      </c>
      <c r="C69" s="8">
        <v>9004</v>
      </c>
      <c r="D69" s="2">
        <f>+C69/5</f>
        <v>1800.8</v>
      </c>
      <c r="E69" s="2">
        <f>+D69/2</f>
        <v>900.4</v>
      </c>
      <c r="H69" s="33"/>
      <c r="P69" s="32">
        <f>P64/$E$69</f>
        <v>1.1750333185251001</v>
      </c>
      <c r="Q69" s="32">
        <f t="shared" ref="Q69:Y69" si="10">Q64/$E$69</f>
        <v>0.38871612616614837</v>
      </c>
      <c r="R69" s="32">
        <f t="shared" si="10"/>
        <v>7.1079520213238559E-2</v>
      </c>
      <c r="S69" s="32">
        <f t="shared" si="10"/>
        <v>0.49755664149266993</v>
      </c>
      <c r="T69" s="32">
        <f t="shared" si="10"/>
        <v>1.1550422034651266</v>
      </c>
      <c r="U69" s="32">
        <f t="shared" si="10"/>
        <v>0.33318525099955576</v>
      </c>
      <c r="V69" s="32">
        <f t="shared" si="10"/>
        <v>0.82629942247889832</v>
      </c>
      <c r="W69" s="32">
        <f t="shared" si="10"/>
        <v>0.35539760106619284</v>
      </c>
      <c r="X69" s="32">
        <f t="shared" si="10"/>
        <v>0.35539760106619284</v>
      </c>
      <c r="Y69" s="32">
        <f t="shared" si="10"/>
        <v>0</v>
      </c>
    </row>
    <row r="70" spans="2:26" x14ac:dyDescent="0.25">
      <c r="B70" s="2" t="s">
        <v>115</v>
      </c>
      <c r="C70" s="8">
        <v>3880</v>
      </c>
      <c r="D70" s="2">
        <f>+C70/5</f>
        <v>776</v>
      </c>
      <c r="E70" s="2">
        <f>+D70/2</f>
        <v>388</v>
      </c>
      <c r="H70" s="33"/>
    </row>
    <row r="71" spans="2:26" x14ac:dyDescent="0.25">
      <c r="B71" s="2" t="s">
        <v>116</v>
      </c>
      <c r="C71" s="2">
        <f>+C69-C70</f>
        <v>5124</v>
      </c>
    </row>
    <row r="72" spans="2:26" x14ac:dyDescent="0.25">
      <c r="B72" s="2" t="s">
        <v>117</v>
      </c>
      <c r="C72" s="24">
        <f>+C71/C69</f>
        <v>0.56908040870724119</v>
      </c>
      <c r="H72" s="33"/>
    </row>
    <row r="73" spans="2:26" x14ac:dyDescent="0.25">
      <c r="B73" s="2" t="s">
        <v>118</v>
      </c>
      <c r="C73" s="24">
        <f>+C70/C69</f>
        <v>0.43091959129275875</v>
      </c>
    </row>
    <row r="75" spans="2:26" x14ac:dyDescent="0.25">
      <c r="C75" s="34">
        <v>46239</v>
      </c>
      <c r="D75" s="19"/>
      <c r="E75" s="19"/>
    </row>
    <row r="76" spans="2:26" x14ac:dyDescent="0.25">
      <c r="B76" s="31"/>
      <c r="C76" s="2" t="s">
        <v>124</v>
      </c>
      <c r="D76" s="19" t="s">
        <v>132</v>
      </c>
      <c r="E76" s="19" t="s">
        <v>128</v>
      </c>
    </row>
    <row r="77" spans="2:26" x14ac:dyDescent="0.25">
      <c r="B77" s="2" t="s">
        <v>120</v>
      </c>
      <c r="C77" s="26">
        <v>0.42</v>
      </c>
      <c r="D77" s="35">
        <v>0.53</v>
      </c>
      <c r="E77" s="35">
        <v>0.56999999999999995</v>
      </c>
    </row>
    <row r="78" spans="2:26" x14ac:dyDescent="0.25">
      <c r="B78" s="2" t="s">
        <v>121</v>
      </c>
      <c r="C78" s="26">
        <v>0.57999999999999996</v>
      </c>
      <c r="D78" s="35">
        <v>0.47</v>
      </c>
      <c r="E78" s="35">
        <v>0.43</v>
      </c>
    </row>
  </sheetData>
  <autoFilter ref="B5:AF65" xr:uid="{00000000-0009-0000-0000-000005000000}">
    <filterColumn colId="13">
      <customFilters>
        <customFilter operator="greaterThan" val="1"/>
      </customFilters>
    </filterColumn>
  </autoFilter>
  <mergeCells count="15">
    <mergeCell ref="AA3:AI4"/>
    <mergeCell ref="C2:D2"/>
    <mergeCell ref="B3:B4"/>
    <mergeCell ref="P4:Q4"/>
    <mergeCell ref="R4:S4"/>
    <mergeCell ref="T4:U4"/>
    <mergeCell ref="J4:N4"/>
    <mergeCell ref="X4:Y4"/>
    <mergeCell ref="X65:Y65"/>
    <mergeCell ref="V4:W4"/>
    <mergeCell ref="I65:N65"/>
    <mergeCell ref="P65:Q65"/>
    <mergeCell ref="R65:S65"/>
    <mergeCell ref="T65:U65"/>
    <mergeCell ref="V65:W65"/>
  </mergeCells>
  <conditionalFormatting sqref="P69:Y69">
    <cfRule type="cellIs" dxfId="20" priority="1" operator="between">
      <formula>1</formula>
      <formula>5</formula>
    </cfRule>
    <cfRule type="cellIs" dxfId="19" priority="2" operator="between">
      <formula>0.85</formula>
      <formula>0.99</formula>
    </cfRule>
    <cfRule type="cellIs" dxfId="18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79" orientation="landscape" r:id="rId2"/>
  <colBreaks count="1" manualBreakCount="1">
    <brk id="15" max="32" man="1"/>
  </colBreaks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00B050"/>
    <pageSetUpPr fitToPage="1"/>
  </sheetPr>
  <dimension ref="A2:AJ80"/>
  <sheetViews>
    <sheetView zoomScale="90" zoomScaleNormal="90" workbookViewId="0">
      <pane xSplit="15" topLeftCell="U1" activePane="topRight" state="frozen"/>
      <selection activeCell="K20" sqref="K20"/>
      <selection pane="topRight" activeCell="A75" sqref="A75:F75"/>
    </sheetView>
  </sheetViews>
  <sheetFormatPr baseColWidth="10" defaultColWidth="8.7109375" defaultRowHeight="15" x14ac:dyDescent="0.25"/>
  <cols>
    <col min="1" max="1" width="10.140625" style="1" bestFit="1" customWidth="1"/>
    <col min="2" max="2" width="21.140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1.7109375" style="1" bestFit="1" customWidth="1"/>
    <col min="7" max="7" width="10.5703125" style="1" hidden="1" customWidth="1"/>
    <col min="8" max="8" width="15.42578125" style="1" hidden="1" customWidth="1"/>
    <col min="9" max="9" width="10.7109375" style="1" customWidth="1"/>
    <col min="10" max="10" width="10.140625" style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7" customWidth="1"/>
    <col min="18" max="18" width="8.7109375" style="17" customWidth="1"/>
    <col min="19" max="19" width="8.7109375" style="1" customWidth="1"/>
    <col min="20" max="20" width="8.7109375" style="17" customWidth="1"/>
    <col min="21" max="21" width="8.7109375" style="1" customWidth="1"/>
    <col min="22" max="25" width="8.7109375" style="17" customWidth="1"/>
    <col min="26" max="26" width="8.7109375" style="1" customWidth="1"/>
    <col min="27" max="27" width="8.7109375" style="1"/>
    <col min="28" max="28" width="16.85546875" style="1" bestFit="1" customWidth="1"/>
    <col min="29" max="29" width="16.5703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6.28515625" style="1" customWidth="1"/>
    <col min="35" max="35" width="19.7109375" style="1" bestFit="1" customWidth="1"/>
    <col min="36" max="16384" width="8.7109375" style="1"/>
  </cols>
  <sheetData>
    <row r="2" spans="1:36" x14ac:dyDescent="0.25">
      <c r="B2" s="4" t="s">
        <v>17</v>
      </c>
      <c r="C2" s="58" t="s">
        <v>18</v>
      </c>
      <c r="D2" s="58"/>
    </row>
    <row r="3" spans="1:3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</row>
    <row r="4" spans="1:36" x14ac:dyDescent="0.25">
      <c r="B4" s="59"/>
      <c r="C4" s="4" t="s">
        <v>16</v>
      </c>
      <c r="D4" s="2"/>
      <c r="I4" s="4" t="s">
        <v>5</v>
      </c>
      <c r="J4" s="60" t="s">
        <v>119</v>
      </c>
      <c r="K4" s="60"/>
      <c r="L4" s="60"/>
      <c r="M4" s="60"/>
      <c r="N4" s="60"/>
      <c r="P4" s="55">
        <v>46244</v>
      </c>
      <c r="Q4" s="55"/>
      <c r="R4" s="55">
        <v>46245</v>
      </c>
      <c r="S4" s="55"/>
      <c r="T4" s="55">
        <v>46246</v>
      </c>
      <c r="U4" s="55"/>
      <c r="V4" s="55">
        <v>46247</v>
      </c>
      <c r="W4" s="55"/>
      <c r="X4" s="55">
        <v>46248</v>
      </c>
      <c r="Y4" s="55"/>
      <c r="Z4" s="6" t="s">
        <v>10</v>
      </c>
    </row>
    <row r="5" spans="1:3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33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4" t="s">
        <v>20</v>
      </c>
      <c r="AA5" s="4" t="s">
        <v>8</v>
      </c>
      <c r="AB5" s="4" t="s">
        <v>22</v>
      </c>
      <c r="AC5" s="4" t="s">
        <v>100</v>
      </c>
      <c r="AD5" s="4" t="s">
        <v>24</v>
      </c>
      <c r="AE5" s="4" t="s">
        <v>23</v>
      </c>
      <c r="AF5" s="4" t="s">
        <v>28</v>
      </c>
      <c r="AG5"/>
      <c r="AH5" s="15" t="s">
        <v>29</v>
      </c>
      <c r="AI5" s="15" t="s">
        <v>31</v>
      </c>
      <c r="AJ5"/>
    </row>
    <row r="6" spans="1:36" hidden="1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/>
      <c r="J6" s="2"/>
      <c r="K6" s="2"/>
      <c r="L6" s="2"/>
      <c r="M6" s="2"/>
      <c r="N6" s="2"/>
      <c r="O6" s="8">
        <f t="shared" ref="O6:O37" si="0">+I6+J6+K6+L6+M6+N6-SUM(P6:Z6)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2"/>
      <c r="AA6" s="7">
        <f t="shared" ref="AA6:AA37" si="1">+G6*SUM(I6:N6)</f>
        <v>0</v>
      </c>
      <c r="AB6" s="8" t="s">
        <v>26</v>
      </c>
      <c r="AC6" s="8">
        <v>0</v>
      </c>
      <c r="AD6" s="8">
        <v>260</v>
      </c>
      <c r="AE6" s="8" t="s">
        <v>101</v>
      </c>
      <c r="AF6" s="8">
        <f t="shared" ref="AF6:AF37" si="2">+SUM(I6:N6)/AD6</f>
        <v>0</v>
      </c>
      <c r="AG6"/>
      <c r="AH6" s="16" t="s">
        <v>26</v>
      </c>
      <c r="AI6" s="15">
        <v>0</v>
      </c>
      <c r="AJ6"/>
    </row>
    <row r="7" spans="1:36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>
        <v>1312</v>
      </c>
      <c r="J7" s="2"/>
      <c r="K7" s="2"/>
      <c r="L7" s="2"/>
      <c r="M7" s="2"/>
      <c r="N7" s="2"/>
      <c r="O7" s="8">
        <f t="shared" si="0"/>
        <v>1242</v>
      </c>
      <c r="P7" s="19">
        <v>70</v>
      </c>
      <c r="Q7" s="19"/>
      <c r="R7" s="19"/>
      <c r="S7" s="2"/>
      <c r="T7" s="19"/>
      <c r="U7" s="2"/>
      <c r="V7" s="19"/>
      <c r="W7" s="19"/>
      <c r="X7" s="19"/>
      <c r="Y7" s="19"/>
      <c r="Z7" s="2"/>
      <c r="AA7" s="7">
        <f t="shared" si="1"/>
        <v>133.82399999999998</v>
      </c>
      <c r="AB7" s="8" t="s">
        <v>95</v>
      </c>
      <c r="AC7" s="8">
        <v>0</v>
      </c>
      <c r="AD7" s="8">
        <v>70</v>
      </c>
      <c r="AE7" s="8" t="s">
        <v>101</v>
      </c>
      <c r="AF7" s="8">
        <f t="shared" si="2"/>
        <v>18.742857142857144</v>
      </c>
      <c r="AG7"/>
      <c r="AH7" s="16" t="s">
        <v>95</v>
      </c>
      <c r="AI7" s="15">
        <v>0</v>
      </c>
      <c r="AJ7"/>
    </row>
    <row r="8" spans="1:36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>
        <v>932</v>
      </c>
      <c r="J8" s="2"/>
      <c r="K8" s="2"/>
      <c r="L8" s="2"/>
      <c r="M8" s="2"/>
      <c r="N8" s="2"/>
      <c r="O8" s="8">
        <f t="shared" si="0"/>
        <v>302</v>
      </c>
      <c r="P8" s="19"/>
      <c r="Q8" s="19"/>
      <c r="R8" s="19"/>
      <c r="S8" s="2"/>
      <c r="T8" s="19"/>
      <c r="U8" s="2"/>
      <c r="V8" s="19"/>
      <c r="W8" s="19"/>
      <c r="X8" s="19">
        <v>630</v>
      </c>
      <c r="Y8" s="19"/>
      <c r="Z8" s="2"/>
      <c r="AA8" s="7">
        <f t="shared" si="1"/>
        <v>99.724000000000004</v>
      </c>
      <c r="AB8" s="8" t="s">
        <v>95</v>
      </c>
      <c r="AC8" s="8">
        <v>0</v>
      </c>
      <c r="AD8" s="8">
        <v>70</v>
      </c>
      <c r="AE8" s="8" t="s">
        <v>101</v>
      </c>
      <c r="AF8" s="8">
        <f t="shared" si="2"/>
        <v>13.314285714285715</v>
      </c>
      <c r="AG8"/>
      <c r="AH8" s="16" t="s">
        <v>27</v>
      </c>
      <c r="AI8" s="15">
        <v>0</v>
      </c>
      <c r="AJ8"/>
    </row>
    <row r="9" spans="1:36" hidden="1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/>
      <c r="J9" s="2"/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2"/>
      <c r="AA9" s="7">
        <f t="shared" si="1"/>
        <v>0</v>
      </c>
      <c r="AB9" s="8" t="s">
        <v>26</v>
      </c>
      <c r="AC9" s="8">
        <v>0</v>
      </c>
      <c r="AD9" s="8">
        <v>70</v>
      </c>
      <c r="AE9" s="8" t="s">
        <v>101</v>
      </c>
      <c r="AF9" s="8">
        <f t="shared" si="2"/>
        <v>0</v>
      </c>
      <c r="AG9"/>
      <c r="AH9" s="16" t="s">
        <v>96</v>
      </c>
      <c r="AI9" s="15">
        <v>0</v>
      </c>
      <c r="AJ9"/>
    </row>
    <row r="10" spans="1:36" hidden="1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2"/>
      <c r="AA10" s="7">
        <f t="shared" si="1"/>
        <v>0</v>
      </c>
      <c r="AB10" s="8" t="s">
        <v>95</v>
      </c>
      <c r="AC10" s="8">
        <v>0</v>
      </c>
      <c r="AD10" s="8">
        <v>70</v>
      </c>
      <c r="AE10" s="8" t="s">
        <v>101</v>
      </c>
      <c r="AF10" s="8">
        <f t="shared" si="2"/>
        <v>0</v>
      </c>
      <c r="AG10"/>
      <c r="AH10" s="16" t="s">
        <v>97</v>
      </c>
      <c r="AI10" s="15">
        <v>0</v>
      </c>
      <c r="AJ10"/>
    </row>
    <row r="11" spans="1:36" hidden="1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si="1"/>
        <v>0</v>
      </c>
      <c r="AB11" s="8" t="s">
        <v>26</v>
      </c>
      <c r="AC11" s="8">
        <v>0</v>
      </c>
      <c r="AD11" s="8">
        <v>160</v>
      </c>
      <c r="AE11" s="8" t="s">
        <v>101</v>
      </c>
      <c r="AF11" s="8">
        <f t="shared" si="2"/>
        <v>0</v>
      </c>
      <c r="AG11"/>
      <c r="AH11" s="16" t="s">
        <v>30</v>
      </c>
      <c r="AI11" s="15">
        <v>0</v>
      </c>
      <c r="AJ11"/>
    </row>
    <row r="12" spans="1:36" hidden="1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/>
      <c r="J12" s="2"/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>
        <v>0</v>
      </c>
      <c r="AD12" s="8">
        <v>200</v>
      </c>
      <c r="AE12" s="8" t="s">
        <v>101</v>
      </c>
      <c r="AF12" s="8">
        <f t="shared" si="2"/>
        <v>0</v>
      </c>
      <c r="AG12"/>
      <c r="AH12"/>
      <c r="AI12"/>
      <c r="AJ12"/>
    </row>
    <row r="13" spans="1:36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/>
      <c r="J13" s="2">
        <v>1000</v>
      </c>
      <c r="K13" s="2"/>
      <c r="L13" s="2"/>
      <c r="M13" s="2"/>
      <c r="N13" s="2"/>
      <c r="O13" s="8">
        <f t="shared" si="0"/>
        <v>1000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2"/>
      <c r="AA13" s="7">
        <f t="shared" si="1"/>
        <v>47</v>
      </c>
      <c r="AB13" s="8" t="s">
        <v>95</v>
      </c>
      <c r="AC13" s="8">
        <v>0</v>
      </c>
      <c r="AD13" s="8">
        <v>280</v>
      </c>
      <c r="AE13" s="8" t="s">
        <v>101</v>
      </c>
      <c r="AF13" s="8">
        <f t="shared" si="2"/>
        <v>3.5714285714285716</v>
      </c>
      <c r="AG13"/>
      <c r="AH13"/>
      <c r="AI13"/>
      <c r="AJ13"/>
    </row>
    <row r="14" spans="1:36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>
        <v>71</v>
      </c>
      <c r="J14" s="2"/>
      <c r="K14" s="2"/>
      <c r="L14" s="2"/>
      <c r="M14" s="2"/>
      <c r="N14" s="2"/>
      <c r="O14" s="8">
        <f t="shared" si="0"/>
        <v>71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2"/>
      <c r="AA14" s="7">
        <f t="shared" si="1"/>
        <v>1.349</v>
      </c>
      <c r="AB14" s="8" t="s">
        <v>26</v>
      </c>
      <c r="AC14" s="8">
        <v>0</v>
      </c>
      <c r="AD14" s="8">
        <v>260</v>
      </c>
      <c r="AE14" s="8" t="s">
        <v>101</v>
      </c>
      <c r="AF14" s="8">
        <f t="shared" si="2"/>
        <v>0.27307692307692305</v>
      </c>
      <c r="AG14"/>
      <c r="AH14"/>
      <c r="AI14"/>
      <c r="AJ14"/>
    </row>
    <row r="15" spans="1:36" hidden="1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26</v>
      </c>
      <c r="AC15" s="8">
        <v>0</v>
      </c>
      <c r="AD15" s="8">
        <v>520</v>
      </c>
      <c r="AE15" s="8" t="s">
        <v>101</v>
      </c>
      <c r="AF15" s="8">
        <f t="shared" si="2"/>
        <v>0</v>
      </c>
      <c r="AG15"/>
      <c r="AH15"/>
      <c r="AI15"/>
      <c r="AJ15"/>
    </row>
    <row r="16" spans="1:36" hidden="1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27</v>
      </c>
      <c r="AC16" s="8">
        <v>0</v>
      </c>
      <c r="AD16" s="8">
        <v>150</v>
      </c>
      <c r="AE16" s="8" t="s">
        <v>101</v>
      </c>
      <c r="AF16" s="8">
        <f t="shared" si="2"/>
        <v>0</v>
      </c>
      <c r="AG16"/>
      <c r="AH16"/>
      <c r="AI16"/>
      <c r="AJ16"/>
    </row>
    <row r="17" spans="1:36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400</v>
      </c>
      <c r="J17" s="2"/>
      <c r="K17" s="2"/>
      <c r="L17" s="2"/>
      <c r="M17" s="2"/>
      <c r="N17" s="2"/>
      <c r="O17" s="8">
        <f t="shared" si="0"/>
        <v>400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2"/>
      <c r="AA17" s="7">
        <f t="shared" si="1"/>
        <v>86.8</v>
      </c>
      <c r="AB17" s="8" t="s">
        <v>96</v>
      </c>
      <c r="AC17" s="8">
        <v>0</v>
      </c>
      <c r="AD17" s="8">
        <v>400</v>
      </c>
      <c r="AE17" s="8" t="s">
        <v>101</v>
      </c>
      <c r="AF17" s="8">
        <f t="shared" si="2"/>
        <v>1</v>
      </c>
      <c r="AG17"/>
      <c r="AH17"/>
      <c r="AI17"/>
      <c r="AJ17"/>
    </row>
    <row r="18" spans="1:36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>
        <v>293</v>
      </c>
      <c r="J18" s="2"/>
      <c r="K18" s="2"/>
      <c r="L18" s="2"/>
      <c r="M18" s="2"/>
      <c r="N18" s="2"/>
      <c r="O18" s="8">
        <f t="shared" si="0"/>
        <v>293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2"/>
      <c r="AA18" s="7">
        <f t="shared" si="1"/>
        <v>31.058</v>
      </c>
      <c r="AB18" s="8" t="s">
        <v>27</v>
      </c>
      <c r="AC18" s="8">
        <v>0</v>
      </c>
      <c r="AD18" s="8">
        <v>150</v>
      </c>
      <c r="AE18" s="8" t="s">
        <v>101</v>
      </c>
      <c r="AF18" s="8">
        <f t="shared" si="2"/>
        <v>1.9533333333333334</v>
      </c>
      <c r="AG18"/>
      <c r="AH18"/>
      <c r="AI18"/>
      <c r="AJ18"/>
    </row>
    <row r="19" spans="1:36" hidden="1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/>
      <c r="J19" s="2"/>
      <c r="K19" s="2"/>
      <c r="L19" s="2"/>
      <c r="M19" s="2"/>
      <c r="N19" s="2"/>
      <c r="O19" s="8">
        <f t="shared" si="0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2"/>
      <c r="AA19" s="7">
        <f t="shared" si="1"/>
        <v>0</v>
      </c>
      <c r="AB19" s="8" t="s">
        <v>96</v>
      </c>
      <c r="AC19" s="8">
        <v>0</v>
      </c>
      <c r="AD19" s="8">
        <v>420</v>
      </c>
      <c r="AE19" s="8" t="s">
        <v>101</v>
      </c>
      <c r="AF19" s="8">
        <f t="shared" si="2"/>
        <v>0</v>
      </c>
      <c r="AG19"/>
      <c r="AH19"/>
      <c r="AI19"/>
      <c r="AJ19"/>
    </row>
    <row r="20" spans="1:36" hidden="1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95</v>
      </c>
      <c r="AC20" s="8">
        <v>0</v>
      </c>
      <c r="AD20" s="8">
        <v>64</v>
      </c>
      <c r="AE20" s="8" t="s">
        <v>101</v>
      </c>
      <c r="AF20" s="8">
        <f t="shared" si="2"/>
        <v>0</v>
      </c>
      <c r="AG20"/>
      <c r="AH20"/>
      <c r="AI20"/>
      <c r="AJ20"/>
    </row>
    <row r="21" spans="1:36" hidden="1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/>
      <c r="J21" s="2"/>
      <c r="K21" s="2"/>
      <c r="L21" s="2"/>
      <c r="M21" s="2"/>
      <c r="N21" s="2"/>
      <c r="O21" s="8">
        <f t="shared" si="0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2"/>
      <c r="AA21" s="7">
        <f t="shared" si="1"/>
        <v>0</v>
      </c>
      <c r="AB21" s="8" t="s">
        <v>27</v>
      </c>
      <c r="AC21" s="8">
        <v>0</v>
      </c>
      <c r="AD21" s="8">
        <v>92</v>
      </c>
      <c r="AE21" s="8" t="s">
        <v>101</v>
      </c>
      <c r="AF21" s="8">
        <f t="shared" si="2"/>
        <v>0</v>
      </c>
      <c r="AG21"/>
      <c r="AH21"/>
      <c r="AI21"/>
      <c r="AJ21"/>
    </row>
    <row r="22" spans="1:36" hidden="1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97</v>
      </c>
      <c r="AC22" s="8">
        <v>0</v>
      </c>
      <c r="AD22" s="8">
        <v>200</v>
      </c>
      <c r="AE22" s="8" t="s">
        <v>101</v>
      </c>
      <c r="AF22" s="8">
        <f t="shared" si="2"/>
        <v>0</v>
      </c>
      <c r="AG22"/>
      <c r="AH22"/>
      <c r="AI22"/>
      <c r="AJ22"/>
    </row>
    <row r="23" spans="1:36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/>
      <c r="J23" s="2">
        <f>1410</f>
        <v>1410</v>
      </c>
      <c r="K23" s="2"/>
      <c r="L23" s="2"/>
      <c r="M23" s="2"/>
      <c r="N23" s="2"/>
      <c r="O23" s="8">
        <f t="shared" si="0"/>
        <v>890</v>
      </c>
      <c r="P23" s="19"/>
      <c r="Q23" s="19"/>
      <c r="R23" s="19"/>
      <c r="S23" s="2"/>
      <c r="T23" s="19">
        <v>520</v>
      </c>
      <c r="U23" s="2"/>
      <c r="V23" s="19"/>
      <c r="W23" s="19"/>
      <c r="X23" s="19"/>
      <c r="Y23" s="19"/>
      <c r="Z23" s="2"/>
      <c r="AA23" s="7">
        <f t="shared" si="1"/>
        <v>449.79</v>
      </c>
      <c r="AB23" s="8" t="s">
        <v>97</v>
      </c>
      <c r="AC23" s="8">
        <v>0</v>
      </c>
      <c r="AD23" s="8">
        <v>260</v>
      </c>
      <c r="AE23" s="8" t="s">
        <v>101</v>
      </c>
      <c r="AF23" s="8">
        <f t="shared" si="2"/>
        <v>5.4230769230769234</v>
      </c>
      <c r="AG23"/>
    </row>
    <row r="24" spans="1:36" hidden="1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2"/>
      <c r="AA24" s="7">
        <f t="shared" si="1"/>
        <v>0</v>
      </c>
      <c r="AB24" s="8" t="s">
        <v>27</v>
      </c>
      <c r="AC24" s="8">
        <v>0</v>
      </c>
      <c r="AD24" s="8">
        <v>100</v>
      </c>
      <c r="AE24" s="8" t="s">
        <v>101</v>
      </c>
      <c r="AF24" s="8">
        <f t="shared" si="2"/>
        <v>0</v>
      </c>
      <c r="AG24"/>
    </row>
    <row r="25" spans="1:36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872</v>
      </c>
      <c r="J25" s="2">
        <v>300</v>
      </c>
      <c r="K25" s="2"/>
      <c r="L25" s="2"/>
      <c r="M25" s="2"/>
      <c r="N25" s="2"/>
      <c r="O25" s="8">
        <f t="shared" si="0"/>
        <v>276</v>
      </c>
      <c r="P25" s="19">
        <v>576</v>
      </c>
      <c r="Q25" s="19"/>
      <c r="R25" s="19"/>
      <c r="S25" s="2"/>
      <c r="T25" s="19">
        <v>64</v>
      </c>
      <c r="U25" s="2"/>
      <c r="V25" s="19"/>
      <c r="W25" s="19"/>
      <c r="X25" s="19"/>
      <c r="Y25" s="19">
        <v>256</v>
      </c>
      <c r="Z25" s="2"/>
      <c r="AA25" s="7">
        <f t="shared" si="1"/>
        <v>186.34800000000001</v>
      </c>
      <c r="AB25" s="8" t="s">
        <v>95</v>
      </c>
      <c r="AC25" s="8">
        <v>0</v>
      </c>
      <c r="AD25" s="8">
        <v>64</v>
      </c>
      <c r="AE25" s="8" t="s">
        <v>101</v>
      </c>
      <c r="AF25" s="8">
        <f t="shared" si="2"/>
        <v>18.3125</v>
      </c>
      <c r="AG25"/>
    </row>
    <row r="26" spans="1:36" hidden="1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26</v>
      </c>
      <c r="AC26" s="8">
        <v>0</v>
      </c>
      <c r="AD26" s="8">
        <v>200</v>
      </c>
      <c r="AE26" s="8" t="s">
        <v>101</v>
      </c>
      <c r="AF26" s="8">
        <f t="shared" si="2"/>
        <v>0</v>
      </c>
      <c r="AG26"/>
    </row>
    <row r="27" spans="1:36" hidden="1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26</v>
      </c>
      <c r="AC27" s="8">
        <v>0</v>
      </c>
      <c r="AD27" s="8">
        <v>200</v>
      </c>
      <c r="AE27" s="8" t="s">
        <v>101</v>
      </c>
      <c r="AF27" s="8">
        <f t="shared" si="2"/>
        <v>0</v>
      </c>
      <c r="AG27"/>
    </row>
    <row r="28" spans="1:36" hidden="1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26</v>
      </c>
      <c r="AC28" s="8" t="s">
        <v>99</v>
      </c>
      <c r="AD28" s="8">
        <v>500</v>
      </c>
      <c r="AE28" s="8" t="s">
        <v>102</v>
      </c>
      <c r="AF28" s="8">
        <f t="shared" si="2"/>
        <v>0</v>
      </c>
      <c r="AG28"/>
    </row>
    <row r="29" spans="1:36" hidden="1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/>
      <c r="AA29" s="7">
        <f t="shared" si="1"/>
        <v>0</v>
      </c>
      <c r="AB29" s="8" t="s">
        <v>26</v>
      </c>
      <c r="AC29" s="8" t="s">
        <v>99</v>
      </c>
      <c r="AD29" s="8">
        <v>200</v>
      </c>
      <c r="AE29" s="8" t="s">
        <v>102</v>
      </c>
      <c r="AF29" s="8">
        <f t="shared" si="2"/>
        <v>0</v>
      </c>
      <c r="AG29"/>
    </row>
    <row r="30" spans="1:36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>
        <v>800</v>
      </c>
      <c r="J30" s="2"/>
      <c r="K30" s="2"/>
      <c r="L30" s="2"/>
      <c r="M30" s="2"/>
      <c r="N30" s="2"/>
      <c r="O30" s="8">
        <f t="shared" si="0"/>
        <v>800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2"/>
      <c r="AA30" s="7">
        <f t="shared" si="1"/>
        <v>33.6</v>
      </c>
      <c r="AB30" s="8" t="s">
        <v>26</v>
      </c>
      <c r="AC30" s="8" t="s">
        <v>99</v>
      </c>
      <c r="AD30" s="8">
        <v>200</v>
      </c>
      <c r="AE30" s="8" t="s">
        <v>102</v>
      </c>
      <c r="AF30" s="8">
        <f t="shared" si="2"/>
        <v>4</v>
      </c>
      <c r="AG30"/>
    </row>
    <row r="31" spans="1:36" hidden="1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2"/>
      <c r="AA31" s="7">
        <f t="shared" si="1"/>
        <v>0</v>
      </c>
      <c r="AB31" s="8" t="s">
        <v>26</v>
      </c>
      <c r="AC31" s="8" t="s">
        <v>99</v>
      </c>
      <c r="AD31" s="8">
        <v>100</v>
      </c>
      <c r="AE31" s="8" t="s">
        <v>102</v>
      </c>
      <c r="AF31" s="8">
        <f t="shared" si="2"/>
        <v>0</v>
      </c>
      <c r="AG31"/>
    </row>
    <row r="32" spans="1:36" hidden="1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97</v>
      </c>
      <c r="AC32" s="8" t="s">
        <v>98</v>
      </c>
      <c r="AD32" s="8">
        <v>400</v>
      </c>
      <c r="AE32" s="8" t="s">
        <v>102</v>
      </c>
      <c r="AF32" s="8">
        <f t="shared" si="2"/>
        <v>0</v>
      </c>
      <c r="AG32"/>
    </row>
    <row r="33" spans="1:33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>
        <v>250</v>
      </c>
      <c r="J33" s="2"/>
      <c r="K33" s="2"/>
      <c r="L33" s="2"/>
      <c r="M33" s="2"/>
      <c r="N33" s="2"/>
      <c r="O33" s="8">
        <f t="shared" si="0"/>
        <v>250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2"/>
      <c r="AA33" s="7">
        <f t="shared" si="1"/>
        <v>11.25</v>
      </c>
      <c r="AB33" s="8" t="s">
        <v>26</v>
      </c>
      <c r="AC33" s="8" t="s">
        <v>98</v>
      </c>
      <c r="AD33" s="8">
        <v>250</v>
      </c>
      <c r="AE33" s="8" t="s">
        <v>102</v>
      </c>
      <c r="AF33" s="8">
        <f t="shared" si="2"/>
        <v>1</v>
      </c>
      <c r="AG33"/>
    </row>
    <row r="34" spans="1:33" hidden="1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2"/>
      <c r="AA34" s="7">
        <f t="shared" si="1"/>
        <v>0</v>
      </c>
      <c r="AB34" s="8" t="s">
        <v>26</v>
      </c>
      <c r="AC34" s="8" t="s">
        <v>98</v>
      </c>
      <c r="AD34" s="8">
        <v>300</v>
      </c>
      <c r="AE34" s="8" t="s">
        <v>102</v>
      </c>
      <c r="AF34" s="8">
        <f t="shared" si="2"/>
        <v>0</v>
      </c>
      <c r="AG34"/>
    </row>
    <row r="35" spans="1:33" hidden="1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0</v>
      </c>
      <c r="AB35" s="8" t="s">
        <v>26</v>
      </c>
      <c r="AC35" s="8" t="s">
        <v>98</v>
      </c>
      <c r="AD35" s="8">
        <v>300</v>
      </c>
      <c r="AE35" s="8" t="s">
        <v>102</v>
      </c>
      <c r="AF35" s="8">
        <f t="shared" si="2"/>
        <v>0</v>
      </c>
      <c r="AG35"/>
    </row>
    <row r="36" spans="1:33" hidden="1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0</v>
      </c>
      <c r="AB36" s="8" t="s">
        <v>97</v>
      </c>
      <c r="AC36" s="8" t="s">
        <v>98</v>
      </c>
      <c r="AD36" s="8">
        <v>250</v>
      </c>
      <c r="AE36" s="8" t="s">
        <v>102</v>
      </c>
      <c r="AF36" s="8">
        <f t="shared" si="2"/>
        <v>0</v>
      </c>
      <c r="AG36"/>
    </row>
    <row r="37" spans="1:33" hidden="1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/>
      <c r="J37" s="2"/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26</v>
      </c>
      <c r="AC37" s="8" t="s">
        <v>99</v>
      </c>
      <c r="AD37" s="8">
        <v>100</v>
      </c>
      <c r="AE37" s="8" t="s">
        <v>102</v>
      </c>
      <c r="AF37" s="8">
        <f t="shared" si="2"/>
        <v>0</v>
      </c>
      <c r="AG37"/>
    </row>
    <row r="38" spans="1:33" hidden="1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/>
      <c r="J38" s="2"/>
      <c r="K38" s="2"/>
      <c r="L38" s="2"/>
      <c r="M38" s="2"/>
      <c r="N38" s="2"/>
      <c r="O38" s="8">
        <f t="shared" ref="O38:O63" si="3">+I38+J38+K38+L38+M38+N38-SUM(P38:Z38)</f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ref="AA38:AA63" si="4">+G38*SUM(I38:N38)</f>
        <v>0</v>
      </c>
      <c r="AB38" s="8" t="s">
        <v>26</v>
      </c>
      <c r="AC38" s="8" t="s">
        <v>99</v>
      </c>
      <c r="AD38" s="8">
        <v>100</v>
      </c>
      <c r="AE38" s="8" t="s">
        <v>102</v>
      </c>
      <c r="AF38" s="8">
        <f t="shared" ref="AF38:AF63" si="5">+SUM(I38:N38)/AD38</f>
        <v>0</v>
      </c>
      <c r="AG38"/>
    </row>
    <row r="39" spans="1:33" hidden="1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/>
      <c r="J39" s="2"/>
      <c r="K39" s="2"/>
      <c r="L39" s="2"/>
      <c r="M39" s="2"/>
      <c r="N39" s="2"/>
      <c r="O39" s="8">
        <f t="shared" si="3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4"/>
        <v>0</v>
      </c>
      <c r="AB39" s="8" t="s">
        <v>26</v>
      </c>
      <c r="AC39" s="8" t="s">
        <v>99</v>
      </c>
      <c r="AD39" s="8">
        <v>300</v>
      </c>
      <c r="AE39" s="8" t="s">
        <v>102</v>
      </c>
      <c r="AF39" s="8">
        <f t="shared" si="5"/>
        <v>0</v>
      </c>
      <c r="AG39"/>
    </row>
    <row r="40" spans="1:33" hidden="1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/>
      <c r="J40" s="2"/>
      <c r="K40" s="2"/>
      <c r="L40" s="2"/>
      <c r="M40" s="2"/>
      <c r="N40" s="2"/>
      <c r="O40" s="8">
        <f t="shared" si="3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4"/>
        <v>0</v>
      </c>
      <c r="AB40" s="8" t="s">
        <v>26</v>
      </c>
      <c r="AC40" s="8" t="s">
        <v>99</v>
      </c>
      <c r="AD40" s="8">
        <v>200</v>
      </c>
      <c r="AE40" s="8" t="s">
        <v>102</v>
      </c>
      <c r="AF40" s="8">
        <f t="shared" si="5"/>
        <v>0</v>
      </c>
      <c r="AG40"/>
    </row>
    <row r="41" spans="1:33" hidden="1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/>
      <c r="J41" s="2"/>
      <c r="K41" s="2"/>
      <c r="L41" s="2"/>
      <c r="M41" s="2"/>
      <c r="N41" s="2"/>
      <c r="O41" s="8">
        <f t="shared" si="3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4"/>
        <v>0</v>
      </c>
      <c r="AB41" s="8" t="s">
        <v>26</v>
      </c>
      <c r="AC41" s="8" t="s">
        <v>99</v>
      </c>
      <c r="AD41" s="8">
        <v>100</v>
      </c>
      <c r="AE41" s="8" t="s">
        <v>102</v>
      </c>
      <c r="AF41" s="8">
        <f t="shared" si="5"/>
        <v>0</v>
      </c>
      <c r="AG41"/>
    </row>
    <row r="42" spans="1:33" hidden="1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/>
      <c r="J42" s="2"/>
      <c r="K42" s="2"/>
      <c r="L42" s="2"/>
      <c r="M42" s="2"/>
      <c r="N42" s="2"/>
      <c r="O42" s="8">
        <f t="shared" si="3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4"/>
        <v>0</v>
      </c>
      <c r="AB42" s="8" t="s">
        <v>26</v>
      </c>
      <c r="AC42" s="8" t="s">
        <v>99</v>
      </c>
      <c r="AD42" s="8">
        <v>300</v>
      </c>
      <c r="AE42" s="8" t="s">
        <v>102</v>
      </c>
      <c r="AF42" s="8">
        <f t="shared" si="5"/>
        <v>0</v>
      </c>
      <c r="AG42"/>
    </row>
    <row r="43" spans="1:33" hidden="1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/>
      <c r="J43" s="2"/>
      <c r="K43" s="2"/>
      <c r="L43" s="2"/>
      <c r="M43" s="2"/>
      <c r="N43" s="2"/>
      <c r="O43" s="8">
        <f t="shared" si="3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4"/>
        <v>0</v>
      </c>
      <c r="AB43" s="8" t="s">
        <v>26</v>
      </c>
      <c r="AC43" s="8" t="s">
        <v>99</v>
      </c>
      <c r="AD43" s="8">
        <v>260</v>
      </c>
      <c r="AE43" s="8" t="s">
        <v>102</v>
      </c>
      <c r="AF43" s="8">
        <f t="shared" si="5"/>
        <v>0</v>
      </c>
      <c r="AG43"/>
    </row>
    <row r="44" spans="1:33" hidden="1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/>
      <c r="J44" s="2"/>
      <c r="K44" s="2"/>
      <c r="L44" s="2"/>
      <c r="M44" s="2"/>
      <c r="N44" s="2"/>
      <c r="O44" s="8">
        <f t="shared" si="3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4"/>
        <v>0</v>
      </c>
      <c r="AB44" s="8" t="s">
        <v>26</v>
      </c>
      <c r="AC44" s="8" t="s">
        <v>99</v>
      </c>
      <c r="AD44" s="8">
        <v>500</v>
      </c>
      <c r="AE44" s="8" t="s">
        <v>102</v>
      </c>
      <c r="AF44" s="8">
        <f t="shared" si="5"/>
        <v>0</v>
      </c>
      <c r="AG44"/>
    </row>
    <row r="45" spans="1:33" x14ac:dyDescent="0.25">
      <c r="A45" s="2">
        <v>40</v>
      </c>
      <c r="B45" s="2" t="s">
        <v>33</v>
      </c>
      <c r="C45" s="2" t="s">
        <v>94</v>
      </c>
      <c r="D45" s="36" t="s">
        <v>75</v>
      </c>
      <c r="E45" s="13">
        <v>0.5</v>
      </c>
      <c r="F45" s="2">
        <v>3.5000000000000003E-2</v>
      </c>
      <c r="G45" s="3">
        <v>0.183</v>
      </c>
      <c r="H45" s="3"/>
      <c r="I45" s="2">
        <v>450</v>
      </c>
      <c r="J45" s="2"/>
      <c r="K45" s="2"/>
      <c r="L45" s="2"/>
      <c r="M45" s="2"/>
      <c r="N45" s="2"/>
      <c r="O45" s="8">
        <f t="shared" si="3"/>
        <v>450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2"/>
      <c r="AA45" s="7">
        <f t="shared" si="4"/>
        <v>82.35</v>
      </c>
      <c r="AB45" s="8" t="s">
        <v>95</v>
      </c>
      <c r="AC45" s="8" t="s">
        <v>98</v>
      </c>
      <c r="AD45" s="8">
        <v>50</v>
      </c>
      <c r="AE45" s="8" t="s">
        <v>102</v>
      </c>
      <c r="AF45" s="8">
        <f t="shared" si="5"/>
        <v>9</v>
      </c>
      <c r="AG45"/>
    </row>
    <row r="46" spans="1:33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>
        <v>500</v>
      </c>
      <c r="J46" s="2"/>
      <c r="K46" s="2"/>
      <c r="L46" s="2"/>
      <c r="M46" s="2"/>
      <c r="N46" s="2"/>
      <c r="O46" s="8">
        <f t="shared" si="3"/>
        <v>500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4"/>
        <v>98.5</v>
      </c>
      <c r="AB46" s="8" t="s">
        <v>95</v>
      </c>
      <c r="AC46" s="8" t="s">
        <v>98</v>
      </c>
      <c r="AD46" s="8">
        <v>50</v>
      </c>
      <c r="AE46" s="8" t="s">
        <v>102</v>
      </c>
      <c r="AF46" s="8">
        <f t="shared" si="5"/>
        <v>10</v>
      </c>
      <c r="AG46"/>
    </row>
    <row r="47" spans="1:33" hidden="1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/>
      <c r="J47" s="2"/>
      <c r="K47" s="2"/>
      <c r="L47" s="2"/>
      <c r="M47" s="2"/>
      <c r="N47" s="2"/>
      <c r="O47" s="8">
        <f t="shared" si="3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2"/>
      <c r="AA47" s="7">
        <f t="shared" si="4"/>
        <v>0</v>
      </c>
      <c r="AB47" s="8" t="s">
        <v>95</v>
      </c>
      <c r="AC47" s="8" t="s">
        <v>98</v>
      </c>
      <c r="AD47" s="8">
        <v>50</v>
      </c>
      <c r="AE47" s="8" t="s">
        <v>102</v>
      </c>
      <c r="AF47" s="8">
        <f t="shared" si="5"/>
        <v>0</v>
      </c>
      <c r="AG47"/>
    </row>
    <row r="48" spans="1:33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>
        <v>950</v>
      </c>
      <c r="J48" s="2"/>
      <c r="K48" s="2"/>
      <c r="L48" s="2"/>
      <c r="M48" s="2"/>
      <c r="N48" s="2"/>
      <c r="O48" s="8">
        <f t="shared" si="3"/>
        <v>950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2"/>
      <c r="AA48" s="7">
        <f t="shared" si="4"/>
        <v>115.89999999999999</v>
      </c>
      <c r="AB48" s="8" t="s">
        <v>95</v>
      </c>
      <c r="AC48" s="8" t="s">
        <v>98</v>
      </c>
      <c r="AD48" s="8">
        <v>50</v>
      </c>
      <c r="AE48" s="8" t="s">
        <v>102</v>
      </c>
      <c r="AF48" s="8">
        <f t="shared" si="5"/>
        <v>19</v>
      </c>
      <c r="AG48"/>
    </row>
    <row r="49" spans="1:33" hidden="1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/>
      <c r="J49" s="2"/>
      <c r="K49" s="2"/>
      <c r="L49" s="2"/>
      <c r="M49" s="2"/>
      <c r="N49" s="2"/>
      <c r="O49" s="8">
        <f t="shared" si="3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4"/>
        <v>0</v>
      </c>
      <c r="AB49" s="8" t="s">
        <v>26</v>
      </c>
      <c r="AC49" s="8" t="s">
        <v>99</v>
      </c>
      <c r="AD49" s="8">
        <v>100</v>
      </c>
      <c r="AE49" s="8" t="s">
        <v>102</v>
      </c>
      <c r="AF49" s="8">
        <f t="shared" si="5"/>
        <v>0</v>
      </c>
      <c r="AG49"/>
    </row>
    <row r="50" spans="1:33" hidden="1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/>
      <c r="J50" s="2"/>
      <c r="K50" s="2"/>
      <c r="L50" s="2"/>
      <c r="M50" s="2"/>
      <c r="N50" s="2"/>
      <c r="O50" s="8">
        <f t="shared" si="3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2"/>
      <c r="AA50" s="7">
        <f t="shared" si="4"/>
        <v>0</v>
      </c>
      <c r="AB50" s="8" t="s">
        <v>25</v>
      </c>
      <c r="AC50" s="8" t="s">
        <v>99</v>
      </c>
      <c r="AD50" s="8">
        <v>50</v>
      </c>
      <c r="AE50" s="8" t="s">
        <v>102</v>
      </c>
      <c r="AF50" s="8">
        <f t="shared" si="5"/>
        <v>0</v>
      </c>
      <c r="AG50"/>
    </row>
    <row r="51" spans="1:33" x14ac:dyDescent="0.25">
      <c r="A51" s="2">
        <v>46</v>
      </c>
      <c r="B51" s="2" t="s">
        <v>33</v>
      </c>
      <c r="C51" s="36" t="s">
        <v>94</v>
      </c>
      <c r="D51" s="36" t="s">
        <v>81</v>
      </c>
      <c r="E51" s="13">
        <v>0.75</v>
      </c>
      <c r="F51" s="2">
        <v>3.1E-2</v>
      </c>
      <c r="G51" s="3">
        <v>0.26500000000000001</v>
      </c>
      <c r="H51" s="3"/>
      <c r="I51" s="2">
        <v>400</v>
      </c>
      <c r="J51" s="2"/>
      <c r="K51" s="2"/>
      <c r="L51" s="2"/>
      <c r="M51" s="2"/>
      <c r="N51" s="2"/>
      <c r="O51" s="8">
        <f t="shared" si="3"/>
        <v>400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2"/>
      <c r="AA51" s="7">
        <f t="shared" si="4"/>
        <v>106</v>
      </c>
      <c r="AB51" s="8" t="s">
        <v>97</v>
      </c>
      <c r="AC51" s="8" t="s">
        <v>99</v>
      </c>
      <c r="AD51" s="8">
        <v>400</v>
      </c>
      <c r="AE51" s="8" t="s">
        <v>102</v>
      </c>
      <c r="AF51" s="8">
        <f t="shared" si="5"/>
        <v>1</v>
      </c>
      <c r="AG51"/>
    </row>
    <row r="52" spans="1:33" x14ac:dyDescent="0.25">
      <c r="A52" s="2">
        <v>47</v>
      </c>
      <c r="B52" s="2" t="s">
        <v>33</v>
      </c>
      <c r="C52" s="36" t="s">
        <v>94</v>
      </c>
      <c r="D52" s="36" t="s">
        <v>82</v>
      </c>
      <c r="E52" s="13">
        <v>0.75</v>
      </c>
      <c r="F52" s="2">
        <v>3.1E-2</v>
      </c>
      <c r="G52" s="3">
        <v>0.13600000000000001</v>
      </c>
      <c r="H52" s="3"/>
      <c r="I52" s="2">
        <v>450</v>
      </c>
      <c r="J52" s="2"/>
      <c r="K52" s="2"/>
      <c r="L52" s="2"/>
      <c r="M52" s="2"/>
      <c r="N52" s="2"/>
      <c r="O52" s="8">
        <f t="shared" si="3"/>
        <v>450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2"/>
      <c r="AA52" s="7">
        <f t="shared" si="4"/>
        <v>61.2</v>
      </c>
      <c r="AB52" s="8" t="s">
        <v>27</v>
      </c>
      <c r="AC52" s="8" t="s">
        <v>99</v>
      </c>
      <c r="AD52" s="8">
        <v>50</v>
      </c>
      <c r="AE52" s="8" t="s">
        <v>102</v>
      </c>
      <c r="AF52" s="8">
        <f t="shared" si="5"/>
        <v>9</v>
      </c>
      <c r="AG52"/>
    </row>
    <row r="53" spans="1:33" hidden="1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/>
      <c r="J53" s="2"/>
      <c r="K53" s="2"/>
      <c r="L53" s="2"/>
      <c r="M53" s="2"/>
      <c r="N53" s="2"/>
      <c r="O53" s="8">
        <f t="shared" si="3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4"/>
        <v>0</v>
      </c>
      <c r="AB53" s="8" t="s">
        <v>97</v>
      </c>
      <c r="AC53" s="8" t="s">
        <v>99</v>
      </c>
      <c r="AD53" s="8">
        <v>400</v>
      </c>
      <c r="AE53" s="8" t="s">
        <v>102</v>
      </c>
      <c r="AF53" s="8">
        <f t="shared" si="5"/>
        <v>0</v>
      </c>
      <c r="AG53"/>
    </row>
    <row r="54" spans="1:33" hidden="1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/>
      <c r="J54" s="2"/>
      <c r="K54" s="2"/>
      <c r="L54" s="2"/>
      <c r="M54" s="2"/>
      <c r="N54" s="2"/>
      <c r="O54" s="8">
        <f t="shared" si="3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4"/>
        <v>0</v>
      </c>
      <c r="AB54" s="8" t="s">
        <v>97</v>
      </c>
      <c r="AC54" s="8" t="s">
        <v>99</v>
      </c>
      <c r="AD54" s="8">
        <v>400</v>
      </c>
      <c r="AE54" s="8" t="s">
        <v>102</v>
      </c>
      <c r="AF54" s="8">
        <f t="shared" si="5"/>
        <v>0</v>
      </c>
      <c r="AG54"/>
    </row>
    <row r="55" spans="1:33" hidden="1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/>
      <c r="J55" s="2"/>
      <c r="K55" s="2"/>
      <c r="L55" s="2"/>
      <c r="M55" s="2"/>
      <c r="N55" s="2"/>
      <c r="O55" s="8">
        <f t="shared" si="3"/>
        <v>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2"/>
      <c r="AA55" s="7">
        <f t="shared" si="4"/>
        <v>0</v>
      </c>
      <c r="AB55" s="8" t="s">
        <v>27</v>
      </c>
      <c r="AC55" s="8" t="s">
        <v>99</v>
      </c>
      <c r="AD55" s="8">
        <v>60</v>
      </c>
      <c r="AE55" s="8" t="s">
        <v>102</v>
      </c>
      <c r="AF55" s="8">
        <f t="shared" si="5"/>
        <v>0</v>
      </c>
      <c r="AG55"/>
    </row>
    <row r="56" spans="1:33" hidden="1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/>
      <c r="J56" s="2"/>
      <c r="K56" s="2"/>
      <c r="L56" s="2"/>
      <c r="M56" s="2"/>
      <c r="N56" s="2"/>
      <c r="O56" s="8">
        <f t="shared" si="3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2"/>
      <c r="AA56" s="7">
        <f t="shared" si="4"/>
        <v>0</v>
      </c>
      <c r="AB56" s="8" t="s">
        <v>27</v>
      </c>
      <c r="AC56" s="8" t="s">
        <v>99</v>
      </c>
      <c r="AD56" s="8">
        <v>70</v>
      </c>
      <c r="AE56" s="8" t="s">
        <v>102</v>
      </c>
      <c r="AF56" s="8">
        <f t="shared" si="5"/>
        <v>0</v>
      </c>
      <c r="AG56"/>
    </row>
    <row r="57" spans="1:33" hidden="1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/>
      <c r="J57" s="2"/>
      <c r="K57" s="2"/>
      <c r="L57" s="2"/>
      <c r="M57" s="2"/>
      <c r="N57" s="2"/>
      <c r="O57" s="8">
        <f t="shared" si="3"/>
        <v>0</v>
      </c>
      <c r="P57" s="19"/>
      <c r="Q57" s="19"/>
      <c r="R57" s="19"/>
      <c r="S57" s="2"/>
      <c r="T57" s="19"/>
      <c r="U57" s="2"/>
      <c r="V57" s="19"/>
      <c r="W57" s="19"/>
      <c r="X57" s="19"/>
      <c r="Y57" s="19"/>
      <c r="Z57" s="2"/>
      <c r="AA57" s="7">
        <f t="shared" si="4"/>
        <v>0</v>
      </c>
      <c r="AB57" s="8" t="s">
        <v>97</v>
      </c>
      <c r="AC57" s="8" t="s">
        <v>99</v>
      </c>
      <c r="AD57" s="8">
        <v>400</v>
      </c>
      <c r="AE57" s="8" t="s">
        <v>102</v>
      </c>
      <c r="AF57" s="8">
        <f t="shared" si="5"/>
        <v>0</v>
      </c>
      <c r="AG57"/>
    </row>
    <row r="58" spans="1:33" x14ac:dyDescent="0.25">
      <c r="A58" s="2">
        <v>53</v>
      </c>
      <c r="B58" s="2" t="s">
        <v>33</v>
      </c>
      <c r="C58" s="36" t="s">
        <v>94</v>
      </c>
      <c r="D58" s="36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>
        <v>900</v>
      </c>
      <c r="J58" s="2"/>
      <c r="K58" s="2"/>
      <c r="L58" s="2"/>
      <c r="M58" s="2"/>
      <c r="N58" s="2"/>
      <c r="O58" s="8">
        <f t="shared" si="3"/>
        <v>900</v>
      </c>
      <c r="P58" s="19"/>
      <c r="Q58" s="19"/>
      <c r="R58" s="19"/>
      <c r="S58" s="2"/>
      <c r="T58" s="19"/>
      <c r="U58" s="2"/>
      <c r="V58" s="19"/>
      <c r="W58" s="19"/>
      <c r="X58" s="19"/>
      <c r="Y58" s="19"/>
      <c r="Z58" s="2"/>
      <c r="AA58" s="7">
        <f t="shared" si="4"/>
        <v>432.9</v>
      </c>
      <c r="AB58" s="8" t="s">
        <v>97</v>
      </c>
      <c r="AC58" s="8" t="s">
        <v>99</v>
      </c>
      <c r="AD58" s="8">
        <v>300</v>
      </c>
      <c r="AE58" s="8" t="s">
        <v>102</v>
      </c>
      <c r="AF58" s="8">
        <f t="shared" si="5"/>
        <v>3</v>
      </c>
      <c r="AG58"/>
    </row>
    <row r="59" spans="1:33" hidden="1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/>
      <c r="J59" s="2"/>
      <c r="K59" s="2"/>
      <c r="L59" s="2"/>
      <c r="M59" s="2"/>
      <c r="N59" s="2"/>
      <c r="O59" s="8">
        <f t="shared" si="3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2"/>
      <c r="AA59" s="7">
        <f t="shared" si="4"/>
        <v>0</v>
      </c>
      <c r="AB59" s="8" t="s">
        <v>97</v>
      </c>
      <c r="AC59" s="8" t="s">
        <v>99</v>
      </c>
      <c r="AD59" s="8">
        <v>500</v>
      </c>
      <c r="AE59" s="8" t="s">
        <v>102</v>
      </c>
      <c r="AF59" s="8">
        <f t="shared" si="5"/>
        <v>0</v>
      </c>
      <c r="AG59"/>
    </row>
    <row r="60" spans="1:33" hidden="1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/>
      <c r="J60" s="2"/>
      <c r="K60" s="2"/>
      <c r="L60" s="2"/>
      <c r="M60" s="2"/>
      <c r="N60" s="2"/>
      <c r="O60" s="8">
        <f t="shared" si="3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2"/>
      <c r="AA60" s="7">
        <f t="shared" si="4"/>
        <v>0</v>
      </c>
      <c r="AB60" s="8" t="s">
        <v>97</v>
      </c>
      <c r="AC60" s="8" t="s">
        <v>99</v>
      </c>
      <c r="AD60" s="8">
        <v>500</v>
      </c>
      <c r="AE60" s="8" t="s">
        <v>102</v>
      </c>
      <c r="AF60" s="8">
        <f t="shared" si="5"/>
        <v>0</v>
      </c>
      <c r="AG60"/>
    </row>
    <row r="61" spans="1:33" hidden="1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/>
      <c r="J61" s="2"/>
      <c r="K61" s="2"/>
      <c r="L61" s="2"/>
      <c r="M61" s="2"/>
      <c r="N61" s="2"/>
      <c r="O61" s="8">
        <f t="shared" si="3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2"/>
      <c r="AA61" s="7">
        <f t="shared" si="4"/>
        <v>0</v>
      </c>
      <c r="AB61" s="8" t="s">
        <v>26</v>
      </c>
      <c r="AC61" s="8" t="s">
        <v>98</v>
      </c>
      <c r="AD61" s="8">
        <v>250</v>
      </c>
      <c r="AE61" s="8" t="s">
        <v>102</v>
      </c>
      <c r="AF61" s="8">
        <f t="shared" si="5"/>
        <v>0</v>
      </c>
      <c r="AG61"/>
    </row>
    <row r="62" spans="1:33" hidden="1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/>
      <c r="J62" s="2"/>
      <c r="K62" s="2"/>
      <c r="L62" s="2"/>
      <c r="M62" s="2"/>
      <c r="N62" s="2"/>
      <c r="O62" s="8">
        <f t="shared" si="3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/>
      <c r="AA62" s="7">
        <f t="shared" si="4"/>
        <v>0</v>
      </c>
      <c r="AB62" s="8" t="s">
        <v>26</v>
      </c>
      <c r="AC62" s="8" t="s">
        <v>99</v>
      </c>
      <c r="AD62" s="8">
        <v>300</v>
      </c>
      <c r="AE62" s="8" t="s">
        <v>102</v>
      </c>
      <c r="AF62" s="8">
        <f t="shared" si="5"/>
        <v>0</v>
      </c>
      <c r="AG62"/>
    </row>
    <row r="63" spans="1:33" hidden="1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/>
      <c r="J63" s="2"/>
      <c r="K63" s="2"/>
      <c r="L63" s="2"/>
      <c r="M63" s="2"/>
      <c r="N63" s="2"/>
      <c r="O63" s="8">
        <f t="shared" si="3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4"/>
        <v>0</v>
      </c>
      <c r="AB63" s="8" t="s">
        <v>26</v>
      </c>
      <c r="AC63" s="8" t="s">
        <v>99</v>
      </c>
      <c r="AD63" s="8">
        <v>250</v>
      </c>
      <c r="AE63" s="8" t="s">
        <v>102</v>
      </c>
      <c r="AF63" s="8">
        <f t="shared" si="5"/>
        <v>0</v>
      </c>
      <c r="AG63"/>
    </row>
    <row r="64" spans="1:33" x14ac:dyDescent="0.25">
      <c r="H64" s="4" t="s">
        <v>19</v>
      </c>
      <c r="I64" s="9">
        <f t="shared" ref="I64:AA64" si="6">SUM(I6:I63)</f>
        <v>8580</v>
      </c>
      <c r="J64" s="9">
        <f t="shared" si="6"/>
        <v>2710</v>
      </c>
      <c r="K64" s="9">
        <f t="shared" si="6"/>
        <v>0</v>
      </c>
      <c r="L64" s="9">
        <f t="shared" si="6"/>
        <v>0</v>
      </c>
      <c r="M64" s="9">
        <f t="shared" si="6"/>
        <v>0</v>
      </c>
      <c r="N64" s="9">
        <f t="shared" si="6"/>
        <v>0</v>
      </c>
      <c r="O64" s="11">
        <f t="shared" si="6"/>
        <v>9174</v>
      </c>
      <c r="P64" s="20">
        <f t="shared" si="6"/>
        <v>646</v>
      </c>
      <c r="Q64" s="20">
        <f t="shared" si="6"/>
        <v>0</v>
      </c>
      <c r="R64" s="20">
        <f t="shared" si="6"/>
        <v>0</v>
      </c>
      <c r="S64" s="9">
        <f t="shared" si="6"/>
        <v>0</v>
      </c>
      <c r="T64" s="20">
        <f t="shared" si="6"/>
        <v>584</v>
      </c>
      <c r="U64" s="9">
        <f t="shared" si="6"/>
        <v>0</v>
      </c>
      <c r="V64" s="20">
        <f t="shared" si="6"/>
        <v>0</v>
      </c>
      <c r="W64" s="20">
        <f t="shared" si="6"/>
        <v>0</v>
      </c>
      <c r="X64" s="20">
        <f t="shared" si="6"/>
        <v>630</v>
      </c>
      <c r="Y64" s="20">
        <f t="shared" si="6"/>
        <v>256</v>
      </c>
      <c r="Z64" s="9">
        <f t="shared" si="6"/>
        <v>0</v>
      </c>
      <c r="AA64" s="9">
        <f t="shared" si="6"/>
        <v>1977.5929999999998</v>
      </c>
      <c r="AF64" s="12">
        <f>SUM(AF6:AF63)</f>
        <v>118.5905586080586</v>
      </c>
    </row>
    <row r="65" spans="1:26" x14ac:dyDescent="0.25">
      <c r="H65" s="4" t="s">
        <v>21</v>
      </c>
      <c r="I65" s="56">
        <f>+I64+J64+K64+L64+M64+N64</f>
        <v>11290</v>
      </c>
      <c r="J65" s="56"/>
      <c r="K65" s="56"/>
      <c r="L65" s="56"/>
      <c r="M65" s="56"/>
      <c r="N65" s="56"/>
      <c r="P65" s="57">
        <f>+P64+Q64</f>
        <v>646</v>
      </c>
      <c r="Q65" s="54"/>
      <c r="R65" s="57">
        <f>+R64+S64</f>
        <v>0</v>
      </c>
      <c r="S65" s="54"/>
      <c r="T65" s="57">
        <f>+T64+U64</f>
        <v>584</v>
      </c>
      <c r="U65" s="54"/>
      <c r="V65" s="57">
        <f t="shared" ref="V65" si="7">+V64+W64</f>
        <v>0</v>
      </c>
      <c r="W65" s="54"/>
      <c r="X65" s="57">
        <f t="shared" ref="X65" si="8">+X64+Y64</f>
        <v>886</v>
      </c>
      <c r="Y65" s="54"/>
      <c r="Z65" s="10">
        <f>+Z64</f>
        <v>0</v>
      </c>
    </row>
    <row r="66" spans="1:26" x14ac:dyDescent="0.25">
      <c r="I66" s="25">
        <f>+I64</f>
        <v>8580</v>
      </c>
      <c r="J66" s="25">
        <f>+J64</f>
        <v>2710</v>
      </c>
      <c r="K66" s="25">
        <f t="shared" ref="K66:N66" si="9">+K64</f>
        <v>0</v>
      </c>
      <c r="L66" s="25">
        <f t="shared" si="9"/>
        <v>0</v>
      </c>
      <c r="M66" s="25">
        <f t="shared" si="9"/>
        <v>0</v>
      </c>
      <c r="N66" s="25">
        <f t="shared" si="9"/>
        <v>0</v>
      </c>
    </row>
    <row r="68" spans="1:26" x14ac:dyDescent="0.25">
      <c r="C68" s="2" t="s">
        <v>111</v>
      </c>
      <c r="D68" s="2" t="s">
        <v>112</v>
      </c>
      <c r="E68" s="2" t="s">
        <v>113</v>
      </c>
    </row>
    <row r="69" spans="1:26" x14ac:dyDescent="0.25">
      <c r="B69" s="2" t="s">
        <v>114</v>
      </c>
      <c r="C69" s="8">
        <v>11290</v>
      </c>
      <c r="D69" s="2">
        <f>+C69/5</f>
        <v>2258</v>
      </c>
      <c r="E69" s="2">
        <f>+D69/2</f>
        <v>1129</v>
      </c>
      <c r="H69" s="23"/>
    </row>
    <row r="70" spans="1:26" x14ac:dyDescent="0.25">
      <c r="B70" s="2" t="s">
        <v>115</v>
      </c>
      <c r="C70" s="8">
        <v>9174</v>
      </c>
      <c r="D70" s="2">
        <f>+C70/5</f>
        <v>1834.8</v>
      </c>
      <c r="E70" s="2">
        <f>+D70/2</f>
        <v>917.4</v>
      </c>
      <c r="H70" s="23"/>
    </row>
    <row r="71" spans="1:26" x14ac:dyDescent="0.25">
      <c r="B71" s="2" t="s">
        <v>116</v>
      </c>
      <c r="C71" s="2">
        <f>+C69-C70</f>
        <v>2116</v>
      </c>
    </row>
    <row r="72" spans="1:26" x14ac:dyDescent="0.25">
      <c r="B72" s="2" t="s">
        <v>117</v>
      </c>
      <c r="C72" s="24">
        <f>+C71/C69</f>
        <v>0.18742249778565101</v>
      </c>
      <c r="H72" s="23"/>
    </row>
    <row r="73" spans="1:26" x14ac:dyDescent="0.25">
      <c r="B73" s="2" t="s">
        <v>118</v>
      </c>
      <c r="C73" s="24">
        <f>+C70/C69</f>
        <v>0.81257750221434899</v>
      </c>
    </row>
    <row r="75" spans="1:26" x14ac:dyDescent="0.25">
      <c r="A75" s="51" t="s">
        <v>136</v>
      </c>
      <c r="B75" s="52"/>
      <c r="C75" s="52"/>
      <c r="D75" s="52"/>
      <c r="E75" s="52"/>
      <c r="F75" s="53"/>
    </row>
    <row r="76" spans="1:26" x14ac:dyDescent="0.25">
      <c r="A76" s="54" t="s">
        <v>133</v>
      </c>
      <c r="B76" s="37">
        <v>46244</v>
      </c>
      <c r="C76" s="37">
        <v>46245</v>
      </c>
      <c r="D76" s="37">
        <v>46246</v>
      </c>
      <c r="E76" s="37">
        <v>46247</v>
      </c>
      <c r="F76" s="37">
        <v>46249</v>
      </c>
    </row>
    <row r="77" spans="1:26" x14ac:dyDescent="0.25">
      <c r="A77" s="54"/>
      <c r="B77" s="38" t="s">
        <v>122</v>
      </c>
      <c r="C77" s="4" t="s">
        <v>123</v>
      </c>
      <c r="D77" s="4" t="s">
        <v>124</v>
      </c>
      <c r="E77" s="4" t="s">
        <v>125</v>
      </c>
      <c r="F77" s="4" t="s">
        <v>128</v>
      </c>
    </row>
    <row r="78" spans="1:26" x14ac:dyDescent="0.25">
      <c r="A78" s="12" t="s">
        <v>134</v>
      </c>
      <c r="B78" s="26">
        <v>0</v>
      </c>
      <c r="C78" s="26">
        <v>0.06</v>
      </c>
      <c r="D78" s="26">
        <v>0.11</v>
      </c>
      <c r="E78" s="26">
        <v>0.11</v>
      </c>
      <c r="F78" s="26">
        <v>0.16</v>
      </c>
    </row>
    <row r="79" spans="1:26" x14ac:dyDescent="0.25">
      <c r="A79" s="12" t="s">
        <v>135</v>
      </c>
      <c r="B79" s="26">
        <v>1</v>
      </c>
      <c r="C79" s="26">
        <v>0.94</v>
      </c>
      <c r="D79" s="26">
        <v>0.89</v>
      </c>
      <c r="E79" s="26">
        <v>0.89</v>
      </c>
      <c r="F79" s="26">
        <v>0.84</v>
      </c>
    </row>
    <row r="80" spans="1:26" x14ac:dyDescent="0.25">
      <c r="A80" s="39"/>
      <c r="B80" s="75" t="s">
        <v>137</v>
      </c>
      <c r="C80" s="76"/>
      <c r="D80" s="76"/>
      <c r="E80" s="76"/>
      <c r="F80" s="77"/>
    </row>
  </sheetData>
  <autoFilter ref="B5:AF65" xr:uid="{00000000-0009-0000-0000-000006000000}">
    <filterColumn colId="13">
      <filters blank="1">
        <filter val="10,644"/>
        <filter val="1000"/>
        <filter val="1242"/>
        <filter val="1410"/>
        <filter val="250"/>
        <filter val="293"/>
        <filter val="400"/>
        <filter val="450"/>
        <filter val="500"/>
        <filter val="596"/>
        <filter val="71"/>
        <filter val="800"/>
        <filter val="900"/>
        <filter val="932"/>
        <filter val="950"/>
      </filters>
    </filterColumn>
  </autoFilter>
  <mergeCells count="17">
    <mergeCell ref="C2:D2"/>
    <mergeCell ref="B3:B4"/>
    <mergeCell ref="P4:Q4"/>
    <mergeCell ref="R4:S4"/>
    <mergeCell ref="T4:U4"/>
    <mergeCell ref="J4:N4"/>
    <mergeCell ref="A76:A77"/>
    <mergeCell ref="A75:F75"/>
    <mergeCell ref="B80:F80"/>
    <mergeCell ref="X4:Y4"/>
    <mergeCell ref="I65:N65"/>
    <mergeCell ref="P65:Q65"/>
    <mergeCell ref="R65:S65"/>
    <mergeCell ref="T65:U65"/>
    <mergeCell ref="V65:W65"/>
    <mergeCell ref="X65:Y65"/>
    <mergeCell ref="V4:W4"/>
  </mergeCells>
  <pageMargins left="0.70866141732283472" right="0.70866141732283472" top="0.74803149606299213" bottom="0.74803149606299213" header="0.31496062992125984" footer="0.31496062992125984"/>
  <pageSetup paperSize="9" scale="72" orientation="portrait" r:id="rId2"/>
  <colBreaks count="1" manualBreakCount="1">
    <brk id="15" max="32" man="1"/>
  </colBreaks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B050"/>
    <pageSetUpPr fitToPage="1"/>
  </sheetPr>
  <dimension ref="A2:AJ79"/>
  <sheetViews>
    <sheetView topLeftCell="A17" zoomScale="87" zoomScaleNormal="85" workbookViewId="0">
      <pane xSplit="15" topLeftCell="P1" activePane="topRight" state="frozen"/>
      <selection pane="topRight" activeCell="O52" sqref="O52"/>
    </sheetView>
  </sheetViews>
  <sheetFormatPr baseColWidth="10" defaultColWidth="8.7109375" defaultRowHeight="15" x14ac:dyDescent="0.25"/>
  <cols>
    <col min="1" max="1" width="10.140625" style="1" bestFit="1" customWidth="1"/>
    <col min="2" max="2" width="21.140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2.140625" style="1" bestFit="1" customWidth="1"/>
    <col min="7" max="7" width="10.5703125" style="1" customWidth="1"/>
    <col min="8" max="8" width="15.42578125" style="1" hidden="1" customWidth="1"/>
    <col min="9" max="9" width="10.7109375" style="1" customWidth="1"/>
    <col min="10" max="10" width="10.140625" style="1" hidden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7" customWidth="1"/>
    <col min="18" max="18" width="8.7109375" style="17" customWidth="1"/>
    <col min="19" max="19" width="8.7109375" style="1" customWidth="1"/>
    <col min="20" max="20" width="8.7109375" style="17" customWidth="1"/>
    <col min="21" max="21" width="8.7109375" style="1" customWidth="1"/>
    <col min="22" max="25" width="8.7109375" style="17" customWidth="1"/>
    <col min="26" max="26" width="8.7109375" style="1" customWidth="1"/>
    <col min="27" max="27" width="8.7109375" style="1"/>
    <col min="28" max="28" width="16.85546875" style="1" bestFit="1" customWidth="1"/>
    <col min="29" max="29" width="16.5703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6.28515625" style="1" customWidth="1"/>
    <col min="35" max="35" width="19.7109375" style="1" bestFit="1" customWidth="1"/>
    <col min="36" max="16384" width="8.7109375" style="1"/>
  </cols>
  <sheetData>
    <row r="2" spans="1:36" x14ac:dyDescent="0.25">
      <c r="B2" s="4" t="s">
        <v>17</v>
      </c>
      <c r="C2" s="58" t="s">
        <v>18</v>
      </c>
      <c r="D2" s="58"/>
    </row>
    <row r="3" spans="1:3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</row>
    <row r="4" spans="1:36" x14ac:dyDescent="0.25">
      <c r="B4" s="59"/>
      <c r="C4" s="4" t="s">
        <v>16</v>
      </c>
      <c r="D4" s="2"/>
      <c r="I4" s="4" t="s">
        <v>5</v>
      </c>
      <c r="J4" s="60" t="s">
        <v>119</v>
      </c>
      <c r="K4" s="60"/>
      <c r="L4" s="60"/>
      <c r="M4" s="60"/>
      <c r="N4" s="60"/>
      <c r="P4" s="55">
        <v>46251</v>
      </c>
      <c r="Q4" s="55"/>
      <c r="R4" s="55">
        <v>46252</v>
      </c>
      <c r="S4" s="55"/>
      <c r="T4" s="55">
        <v>46253</v>
      </c>
      <c r="U4" s="55"/>
      <c r="V4" s="55">
        <v>46254</v>
      </c>
      <c r="W4" s="55"/>
      <c r="X4" s="55">
        <v>46255</v>
      </c>
      <c r="Y4" s="55"/>
      <c r="Z4" s="6" t="s">
        <v>10</v>
      </c>
    </row>
    <row r="5" spans="1:3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34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4" t="s">
        <v>20</v>
      </c>
      <c r="AA5" s="4" t="s">
        <v>8</v>
      </c>
      <c r="AB5" s="4" t="s">
        <v>22</v>
      </c>
      <c r="AC5" s="4" t="s">
        <v>100</v>
      </c>
      <c r="AD5" s="4" t="s">
        <v>24</v>
      </c>
      <c r="AE5" s="4" t="s">
        <v>23</v>
      </c>
      <c r="AF5" s="4" t="s">
        <v>28</v>
      </c>
      <c r="AG5"/>
      <c r="AH5" s="15" t="s">
        <v>29</v>
      </c>
      <c r="AI5" s="15" t="s">
        <v>31</v>
      </c>
      <c r="AJ5"/>
    </row>
    <row r="6" spans="1:36" hidden="1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>
        <v>0</v>
      </c>
      <c r="J6" s="2"/>
      <c r="K6" s="2"/>
      <c r="L6" s="2"/>
      <c r="M6" s="2"/>
      <c r="N6" s="2"/>
      <c r="O6" s="8">
        <f t="shared" ref="O6:O37" si="0">+I6+J6+K6+L6+M6+N6-SUM(P6:Z6)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2"/>
      <c r="AA6" s="7">
        <f t="shared" ref="AA6:AA37" si="1">+G6*SUM(I6:N6)</f>
        <v>0</v>
      </c>
      <c r="AB6" s="8" t="s">
        <v>26</v>
      </c>
      <c r="AC6" s="8">
        <v>0</v>
      </c>
      <c r="AD6" s="8">
        <v>260</v>
      </c>
      <c r="AE6" s="8" t="s">
        <v>101</v>
      </c>
      <c r="AF6" s="8">
        <f t="shared" ref="AF6:AF37" si="2">+SUM(I6:N6)/AD6</f>
        <v>0</v>
      </c>
      <c r="AG6"/>
      <c r="AH6" s="16" t="s">
        <v>26</v>
      </c>
      <c r="AI6" s="15">
        <v>0</v>
      </c>
      <c r="AJ6"/>
    </row>
    <row r="7" spans="1:36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>
        <v>1242</v>
      </c>
      <c r="J7" s="2"/>
      <c r="K7" s="2"/>
      <c r="L7" s="2"/>
      <c r="M7" s="2"/>
      <c r="N7" s="2"/>
      <c r="O7" s="8">
        <f t="shared" si="0"/>
        <v>752</v>
      </c>
      <c r="P7" s="19">
        <v>140</v>
      </c>
      <c r="Q7" s="19"/>
      <c r="R7" s="19"/>
      <c r="S7" s="2"/>
      <c r="T7" s="19">
        <v>210</v>
      </c>
      <c r="U7" s="2"/>
      <c r="V7" s="19"/>
      <c r="W7" s="19"/>
      <c r="X7" s="19">
        <v>140</v>
      </c>
      <c r="Y7" s="19"/>
      <c r="Z7" s="2"/>
      <c r="AA7" s="7">
        <f t="shared" si="1"/>
        <v>126.684</v>
      </c>
      <c r="AB7" s="8" t="s">
        <v>95</v>
      </c>
      <c r="AC7" s="8">
        <v>0</v>
      </c>
      <c r="AD7" s="8">
        <v>70</v>
      </c>
      <c r="AE7" s="8" t="s">
        <v>101</v>
      </c>
      <c r="AF7" s="8">
        <f t="shared" si="2"/>
        <v>17.742857142857144</v>
      </c>
      <c r="AG7"/>
      <c r="AH7" s="16" t="s">
        <v>95</v>
      </c>
      <c r="AI7" s="15">
        <v>0</v>
      </c>
      <c r="AJ7"/>
    </row>
    <row r="8" spans="1:36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>
        <v>302</v>
      </c>
      <c r="J8" s="2"/>
      <c r="K8" s="2"/>
      <c r="L8" s="2"/>
      <c r="M8" s="2"/>
      <c r="N8" s="2"/>
      <c r="O8" s="8">
        <f t="shared" si="0"/>
        <v>162</v>
      </c>
      <c r="P8" s="19">
        <v>140</v>
      </c>
      <c r="Q8" s="19"/>
      <c r="R8" s="19"/>
      <c r="S8" s="2"/>
      <c r="T8" s="19"/>
      <c r="U8" s="2"/>
      <c r="V8" s="19"/>
      <c r="W8" s="19"/>
      <c r="X8" s="19"/>
      <c r="Y8" s="19"/>
      <c r="Z8" s="2"/>
      <c r="AA8" s="7">
        <f t="shared" si="1"/>
        <v>32.314</v>
      </c>
      <c r="AB8" s="8" t="s">
        <v>95</v>
      </c>
      <c r="AC8" s="8">
        <v>0</v>
      </c>
      <c r="AD8" s="8">
        <v>70</v>
      </c>
      <c r="AE8" s="8" t="s">
        <v>101</v>
      </c>
      <c r="AF8" s="8">
        <f t="shared" si="2"/>
        <v>4.3142857142857141</v>
      </c>
      <c r="AG8"/>
      <c r="AH8" s="16" t="s">
        <v>27</v>
      </c>
      <c r="AI8" s="15">
        <v>0</v>
      </c>
      <c r="AJ8"/>
    </row>
    <row r="9" spans="1:36" hidden="1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>
        <v>0</v>
      </c>
      <c r="J9" s="2"/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2"/>
      <c r="AA9" s="7">
        <f t="shared" si="1"/>
        <v>0</v>
      </c>
      <c r="AB9" s="8" t="s">
        <v>26</v>
      </c>
      <c r="AC9" s="8">
        <v>0</v>
      </c>
      <c r="AD9" s="8">
        <v>70</v>
      </c>
      <c r="AE9" s="8" t="s">
        <v>101</v>
      </c>
      <c r="AF9" s="8">
        <f t="shared" si="2"/>
        <v>0</v>
      </c>
      <c r="AG9"/>
      <c r="AH9" s="16" t="s">
        <v>96</v>
      </c>
      <c r="AI9" s="15">
        <v>0</v>
      </c>
      <c r="AJ9"/>
    </row>
    <row r="10" spans="1:36" hidden="1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>
        <v>0</v>
      </c>
      <c r="J10" s="2"/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2"/>
      <c r="AA10" s="7">
        <f t="shared" si="1"/>
        <v>0</v>
      </c>
      <c r="AB10" s="8" t="s">
        <v>95</v>
      </c>
      <c r="AC10" s="8">
        <v>0</v>
      </c>
      <c r="AD10" s="8">
        <v>70</v>
      </c>
      <c r="AE10" s="8" t="s">
        <v>101</v>
      </c>
      <c r="AF10" s="8">
        <f t="shared" si="2"/>
        <v>0</v>
      </c>
      <c r="AG10"/>
      <c r="AH10" s="16" t="s">
        <v>97</v>
      </c>
      <c r="AI10" s="15">
        <v>0</v>
      </c>
      <c r="AJ10"/>
    </row>
    <row r="11" spans="1:36" hidden="1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>
        <v>0</v>
      </c>
      <c r="J11" s="2"/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si="1"/>
        <v>0</v>
      </c>
      <c r="AB11" s="8" t="s">
        <v>26</v>
      </c>
      <c r="AC11" s="8">
        <v>0</v>
      </c>
      <c r="AD11" s="8">
        <v>160</v>
      </c>
      <c r="AE11" s="8" t="s">
        <v>101</v>
      </c>
      <c r="AF11" s="8">
        <f t="shared" si="2"/>
        <v>0</v>
      </c>
      <c r="AG11"/>
      <c r="AH11" s="16" t="s">
        <v>30</v>
      </c>
      <c r="AI11" s="15">
        <v>0</v>
      </c>
      <c r="AJ11"/>
    </row>
    <row r="12" spans="1:36" hidden="1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>
        <v>0</v>
      </c>
      <c r="J12" s="2"/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>
        <v>0</v>
      </c>
      <c r="AD12" s="8">
        <v>200</v>
      </c>
      <c r="AE12" s="8" t="s">
        <v>101</v>
      </c>
      <c r="AF12" s="8">
        <f t="shared" si="2"/>
        <v>0</v>
      </c>
      <c r="AG12"/>
      <c r="AH12"/>
      <c r="AI12"/>
      <c r="AJ12"/>
    </row>
    <row r="13" spans="1:36" hidden="1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>
        <v>1000</v>
      </c>
      <c r="J13" s="2"/>
      <c r="K13" s="2"/>
      <c r="L13" s="2"/>
      <c r="M13" s="2"/>
      <c r="N13" s="2"/>
      <c r="O13" s="8">
        <f t="shared" si="0"/>
        <v>0</v>
      </c>
      <c r="P13" s="19"/>
      <c r="Q13" s="19"/>
      <c r="R13" s="19">
        <v>1000</v>
      </c>
      <c r="S13" s="2"/>
      <c r="T13" s="19"/>
      <c r="U13" s="2"/>
      <c r="V13" s="19"/>
      <c r="W13" s="19"/>
      <c r="X13" s="19"/>
      <c r="Y13" s="19"/>
      <c r="Z13" s="2"/>
      <c r="AA13" s="7">
        <f t="shared" si="1"/>
        <v>47</v>
      </c>
      <c r="AB13" s="8" t="s">
        <v>95</v>
      </c>
      <c r="AC13" s="8">
        <v>0</v>
      </c>
      <c r="AD13" s="8">
        <v>280</v>
      </c>
      <c r="AE13" s="8" t="s">
        <v>101</v>
      </c>
      <c r="AF13" s="8">
        <f t="shared" si="2"/>
        <v>3.5714285714285716</v>
      </c>
      <c r="AG13"/>
      <c r="AH13"/>
      <c r="AI13"/>
      <c r="AJ13"/>
    </row>
    <row r="14" spans="1:36" hidden="1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>
        <v>71</v>
      </c>
      <c r="J14" s="2"/>
      <c r="K14" s="2"/>
      <c r="L14" s="2"/>
      <c r="M14" s="2"/>
      <c r="N14" s="2"/>
      <c r="O14" s="8">
        <f t="shared" si="0"/>
        <v>0</v>
      </c>
      <c r="P14" s="19"/>
      <c r="Q14" s="19"/>
      <c r="R14" s="19">
        <v>71</v>
      </c>
      <c r="S14" s="2"/>
      <c r="T14" s="19"/>
      <c r="U14" s="2"/>
      <c r="V14" s="19"/>
      <c r="W14" s="19"/>
      <c r="X14" s="19"/>
      <c r="Y14" s="19"/>
      <c r="Z14" s="2"/>
      <c r="AA14" s="7">
        <f t="shared" si="1"/>
        <v>1.349</v>
      </c>
      <c r="AB14" s="8" t="s">
        <v>26</v>
      </c>
      <c r="AC14" s="8">
        <v>0</v>
      </c>
      <c r="AD14" s="8">
        <v>260</v>
      </c>
      <c r="AE14" s="8" t="s">
        <v>101</v>
      </c>
      <c r="AF14" s="8">
        <f t="shared" si="2"/>
        <v>0.27307692307692305</v>
      </c>
      <c r="AG14"/>
      <c r="AH14"/>
      <c r="AI14"/>
      <c r="AJ14"/>
    </row>
    <row r="15" spans="1:36" hidden="1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>
        <v>0</v>
      </c>
      <c r="J15" s="2"/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26</v>
      </c>
      <c r="AC15" s="8">
        <v>0</v>
      </c>
      <c r="AD15" s="8">
        <v>520</v>
      </c>
      <c r="AE15" s="8" t="s">
        <v>101</v>
      </c>
      <c r="AF15" s="8">
        <f t="shared" si="2"/>
        <v>0</v>
      </c>
      <c r="AG15"/>
      <c r="AH15"/>
      <c r="AI15"/>
      <c r="AJ15"/>
    </row>
    <row r="16" spans="1:36" hidden="1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>
        <v>0</v>
      </c>
      <c r="J16" s="2"/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27</v>
      </c>
      <c r="AC16" s="8">
        <v>0</v>
      </c>
      <c r="AD16" s="8">
        <v>150</v>
      </c>
      <c r="AE16" s="8" t="s">
        <v>101</v>
      </c>
      <c r="AF16" s="8">
        <f t="shared" si="2"/>
        <v>0</v>
      </c>
      <c r="AG16"/>
      <c r="AH16"/>
      <c r="AI16"/>
      <c r="AJ16"/>
    </row>
    <row r="17" spans="1:36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400</v>
      </c>
      <c r="J17" s="2"/>
      <c r="K17" s="2"/>
      <c r="L17" s="2"/>
      <c r="M17" s="2"/>
      <c r="N17" s="2"/>
      <c r="O17" s="8">
        <f t="shared" si="0"/>
        <v>400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2"/>
      <c r="AA17" s="7">
        <f t="shared" si="1"/>
        <v>86.8</v>
      </c>
      <c r="AB17" s="8" t="s">
        <v>96</v>
      </c>
      <c r="AC17" s="8">
        <v>0</v>
      </c>
      <c r="AD17" s="8">
        <v>400</v>
      </c>
      <c r="AE17" s="8" t="s">
        <v>101</v>
      </c>
      <c r="AF17" s="8">
        <f t="shared" si="2"/>
        <v>1</v>
      </c>
      <c r="AG17"/>
      <c r="AH17"/>
      <c r="AI17"/>
      <c r="AJ17"/>
    </row>
    <row r="18" spans="1:36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>
        <v>293</v>
      </c>
      <c r="J18" s="2"/>
      <c r="K18" s="2"/>
      <c r="L18" s="2"/>
      <c r="M18" s="2"/>
      <c r="N18" s="2"/>
      <c r="O18" s="8">
        <f t="shared" si="0"/>
        <v>143</v>
      </c>
      <c r="P18" s="19"/>
      <c r="Q18" s="19"/>
      <c r="R18" s="19"/>
      <c r="S18" s="2"/>
      <c r="T18" s="19"/>
      <c r="U18" s="2"/>
      <c r="V18" s="19">
        <v>150</v>
      </c>
      <c r="W18" s="19"/>
      <c r="X18" s="19"/>
      <c r="Y18" s="19"/>
      <c r="Z18" s="2"/>
      <c r="AA18" s="7">
        <f t="shared" si="1"/>
        <v>31.058</v>
      </c>
      <c r="AB18" s="8" t="s">
        <v>27</v>
      </c>
      <c r="AC18" s="8">
        <v>0</v>
      </c>
      <c r="AD18" s="8">
        <v>150</v>
      </c>
      <c r="AE18" s="8" t="s">
        <v>101</v>
      </c>
      <c r="AF18" s="8">
        <f t="shared" si="2"/>
        <v>1.9533333333333334</v>
      </c>
      <c r="AG18"/>
      <c r="AH18"/>
      <c r="AI18"/>
      <c r="AJ18"/>
    </row>
    <row r="19" spans="1:36" hidden="1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>
        <v>0</v>
      </c>
      <c r="J19" s="2"/>
      <c r="K19" s="2"/>
      <c r="L19" s="2"/>
      <c r="M19" s="2"/>
      <c r="N19" s="2"/>
      <c r="O19" s="8">
        <f t="shared" si="0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2"/>
      <c r="AA19" s="7">
        <f t="shared" si="1"/>
        <v>0</v>
      </c>
      <c r="AB19" s="8" t="s">
        <v>96</v>
      </c>
      <c r="AC19" s="8">
        <v>0</v>
      </c>
      <c r="AD19" s="8">
        <v>420</v>
      </c>
      <c r="AE19" s="8" t="s">
        <v>101</v>
      </c>
      <c r="AF19" s="8">
        <f t="shared" si="2"/>
        <v>0</v>
      </c>
      <c r="AG19"/>
      <c r="AH19"/>
      <c r="AI19"/>
      <c r="AJ19"/>
    </row>
    <row r="20" spans="1:36" hidden="1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>
        <v>0</v>
      </c>
      <c r="J20" s="2"/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95</v>
      </c>
      <c r="AC20" s="8">
        <v>0</v>
      </c>
      <c r="AD20" s="8">
        <v>64</v>
      </c>
      <c r="AE20" s="8" t="s">
        <v>101</v>
      </c>
      <c r="AF20" s="8">
        <f t="shared" si="2"/>
        <v>0</v>
      </c>
      <c r="AG20"/>
      <c r="AH20"/>
      <c r="AI20"/>
      <c r="AJ20"/>
    </row>
    <row r="21" spans="1:36" hidden="1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>
        <v>0</v>
      </c>
      <c r="J21" s="2"/>
      <c r="K21" s="2"/>
      <c r="L21" s="2"/>
      <c r="M21" s="2"/>
      <c r="N21" s="2"/>
      <c r="O21" s="8">
        <f t="shared" si="0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2"/>
      <c r="AA21" s="7">
        <f t="shared" si="1"/>
        <v>0</v>
      </c>
      <c r="AB21" s="8" t="s">
        <v>27</v>
      </c>
      <c r="AC21" s="8">
        <v>0</v>
      </c>
      <c r="AD21" s="8">
        <v>92</v>
      </c>
      <c r="AE21" s="8" t="s">
        <v>101</v>
      </c>
      <c r="AF21" s="8">
        <f t="shared" si="2"/>
        <v>0</v>
      </c>
      <c r="AG21"/>
      <c r="AH21"/>
      <c r="AI21"/>
      <c r="AJ21"/>
    </row>
    <row r="22" spans="1:36" hidden="1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>
        <v>0</v>
      </c>
      <c r="J22" s="2"/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97</v>
      </c>
      <c r="AC22" s="8">
        <v>0</v>
      </c>
      <c r="AD22" s="8">
        <v>200</v>
      </c>
      <c r="AE22" s="8" t="s">
        <v>101</v>
      </c>
      <c r="AF22" s="8">
        <f t="shared" si="2"/>
        <v>0</v>
      </c>
      <c r="AG22"/>
      <c r="AH22"/>
      <c r="AI22"/>
      <c r="AJ22"/>
    </row>
    <row r="23" spans="1:36" hidden="1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>
        <v>890</v>
      </c>
      <c r="J23" s="2"/>
      <c r="K23" s="2"/>
      <c r="L23" s="2"/>
      <c r="M23" s="2"/>
      <c r="N23" s="2"/>
      <c r="O23" s="8">
        <f t="shared" si="0"/>
        <v>-150</v>
      </c>
      <c r="P23" s="19"/>
      <c r="Q23" s="19">
        <v>260</v>
      </c>
      <c r="R23" s="19">
        <v>780</v>
      </c>
      <c r="S23" s="2"/>
      <c r="T23" s="19"/>
      <c r="U23" s="2"/>
      <c r="V23" s="19"/>
      <c r="W23" s="19"/>
      <c r="X23" s="19"/>
      <c r="Y23" s="19"/>
      <c r="Z23" s="2"/>
      <c r="AA23" s="7">
        <f t="shared" si="1"/>
        <v>283.91000000000003</v>
      </c>
      <c r="AB23" s="8" t="s">
        <v>97</v>
      </c>
      <c r="AC23" s="8">
        <v>0</v>
      </c>
      <c r="AD23" s="8">
        <v>260</v>
      </c>
      <c r="AE23" s="8" t="s">
        <v>101</v>
      </c>
      <c r="AF23" s="8">
        <f t="shared" si="2"/>
        <v>3.4230769230769229</v>
      </c>
      <c r="AG23"/>
    </row>
    <row r="24" spans="1:36" hidden="1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>
        <v>0</v>
      </c>
      <c r="J24" s="2"/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2"/>
      <c r="AA24" s="7">
        <f t="shared" si="1"/>
        <v>0</v>
      </c>
      <c r="AB24" s="8" t="s">
        <v>27</v>
      </c>
      <c r="AC24" s="8">
        <v>0</v>
      </c>
      <c r="AD24" s="8">
        <v>100</v>
      </c>
      <c r="AE24" s="8" t="s">
        <v>101</v>
      </c>
      <c r="AF24" s="8">
        <f t="shared" si="2"/>
        <v>0</v>
      </c>
      <c r="AG24"/>
    </row>
    <row r="25" spans="1:36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276</v>
      </c>
      <c r="J25" s="2"/>
      <c r="K25" s="2"/>
      <c r="L25" s="2"/>
      <c r="M25" s="2"/>
      <c r="N25" s="2"/>
      <c r="O25" s="8">
        <f t="shared" si="0"/>
        <v>276</v>
      </c>
      <c r="P25" s="19"/>
      <c r="Q25" s="19"/>
      <c r="R25" s="19"/>
      <c r="S25" s="2"/>
      <c r="T25" s="19"/>
      <c r="U25" s="2"/>
      <c r="V25" s="19"/>
      <c r="W25" s="19"/>
      <c r="X25" s="19"/>
      <c r="Y25" s="19"/>
      <c r="Z25" s="2"/>
      <c r="AA25" s="7">
        <f t="shared" si="1"/>
        <v>43.884</v>
      </c>
      <c r="AB25" s="8" t="s">
        <v>95</v>
      </c>
      <c r="AC25" s="8">
        <v>0</v>
      </c>
      <c r="AD25" s="8">
        <v>64</v>
      </c>
      <c r="AE25" s="8" t="s">
        <v>101</v>
      </c>
      <c r="AF25" s="8">
        <f t="shared" si="2"/>
        <v>4.3125</v>
      </c>
      <c r="AG25"/>
    </row>
    <row r="26" spans="1:36" hidden="1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>
        <v>0</v>
      </c>
      <c r="J26" s="2"/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26</v>
      </c>
      <c r="AC26" s="8">
        <v>0</v>
      </c>
      <c r="AD26" s="8">
        <v>200</v>
      </c>
      <c r="AE26" s="8" t="s">
        <v>101</v>
      </c>
      <c r="AF26" s="8">
        <f t="shared" si="2"/>
        <v>0</v>
      </c>
      <c r="AG26"/>
    </row>
    <row r="27" spans="1:36" hidden="1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>
        <v>0</v>
      </c>
      <c r="J27" s="2"/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26</v>
      </c>
      <c r="AC27" s="8">
        <v>0</v>
      </c>
      <c r="AD27" s="8">
        <v>200</v>
      </c>
      <c r="AE27" s="8" t="s">
        <v>101</v>
      </c>
      <c r="AF27" s="8">
        <f t="shared" si="2"/>
        <v>0</v>
      </c>
      <c r="AG27"/>
    </row>
    <row r="28" spans="1:36" hidden="1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>
        <v>0</v>
      </c>
      <c r="J28" s="2"/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26</v>
      </c>
      <c r="AC28" s="8" t="s">
        <v>99</v>
      </c>
      <c r="AD28" s="8">
        <v>500</v>
      </c>
      <c r="AE28" s="8" t="s">
        <v>102</v>
      </c>
      <c r="AF28" s="8">
        <f t="shared" si="2"/>
        <v>0</v>
      </c>
      <c r="AG28"/>
    </row>
    <row r="29" spans="1:36" hidden="1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>
        <v>0</v>
      </c>
      <c r="J29" s="2"/>
      <c r="K29" s="2"/>
      <c r="L29" s="2"/>
      <c r="M29" s="2"/>
      <c r="N29" s="2"/>
      <c r="O29" s="8">
        <f t="shared" si="0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/>
      <c r="AA29" s="7">
        <f t="shared" si="1"/>
        <v>0</v>
      </c>
      <c r="AB29" s="8" t="s">
        <v>26</v>
      </c>
      <c r="AC29" s="8" t="s">
        <v>99</v>
      </c>
      <c r="AD29" s="8">
        <v>200</v>
      </c>
      <c r="AE29" s="8" t="s">
        <v>102</v>
      </c>
      <c r="AF29" s="8">
        <f t="shared" si="2"/>
        <v>0</v>
      </c>
      <c r="AG29"/>
    </row>
    <row r="30" spans="1:36" hidden="1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>
        <v>800</v>
      </c>
      <c r="J30" s="2"/>
      <c r="K30" s="2"/>
      <c r="L30" s="2"/>
      <c r="M30" s="2"/>
      <c r="N30" s="2"/>
      <c r="O30" s="8">
        <f t="shared" si="0"/>
        <v>0</v>
      </c>
      <c r="P30" s="19">
        <v>800</v>
      </c>
      <c r="Q30" s="19"/>
      <c r="R30" s="19"/>
      <c r="S30" s="2"/>
      <c r="T30" s="19"/>
      <c r="U30" s="2"/>
      <c r="V30" s="19"/>
      <c r="W30" s="19"/>
      <c r="X30" s="19"/>
      <c r="Y30" s="19"/>
      <c r="Z30" s="2"/>
      <c r="AA30" s="7">
        <f t="shared" si="1"/>
        <v>33.6</v>
      </c>
      <c r="AB30" s="8" t="s">
        <v>26</v>
      </c>
      <c r="AC30" s="8" t="s">
        <v>99</v>
      </c>
      <c r="AD30" s="8">
        <v>200</v>
      </c>
      <c r="AE30" s="8" t="s">
        <v>102</v>
      </c>
      <c r="AF30" s="8">
        <f t="shared" si="2"/>
        <v>4</v>
      </c>
      <c r="AG30"/>
    </row>
    <row r="31" spans="1:36" hidden="1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>
        <v>0</v>
      </c>
      <c r="J31" s="2"/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2"/>
      <c r="AA31" s="7">
        <f t="shared" si="1"/>
        <v>0</v>
      </c>
      <c r="AB31" s="8" t="s">
        <v>26</v>
      </c>
      <c r="AC31" s="8" t="s">
        <v>99</v>
      </c>
      <c r="AD31" s="8">
        <v>100</v>
      </c>
      <c r="AE31" s="8" t="s">
        <v>102</v>
      </c>
      <c r="AF31" s="8">
        <f t="shared" si="2"/>
        <v>0</v>
      </c>
      <c r="AG31"/>
    </row>
    <row r="32" spans="1:36" hidden="1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>
        <v>0</v>
      </c>
      <c r="J32" s="2"/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97</v>
      </c>
      <c r="AC32" s="8" t="s">
        <v>98</v>
      </c>
      <c r="AD32" s="8">
        <v>400</v>
      </c>
      <c r="AE32" s="8" t="s">
        <v>102</v>
      </c>
      <c r="AF32" s="8">
        <f t="shared" si="2"/>
        <v>0</v>
      </c>
      <c r="AG32"/>
    </row>
    <row r="33" spans="1:33" hidden="1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>
        <v>250</v>
      </c>
      <c r="J33" s="2"/>
      <c r="K33" s="2"/>
      <c r="L33" s="2"/>
      <c r="M33" s="2"/>
      <c r="N33" s="2"/>
      <c r="O33" s="8">
        <f t="shared" si="0"/>
        <v>0</v>
      </c>
      <c r="P33" s="19"/>
      <c r="Q33" s="19"/>
      <c r="R33" s="19">
        <v>250</v>
      </c>
      <c r="S33" s="2"/>
      <c r="T33" s="19"/>
      <c r="U33" s="2"/>
      <c r="V33" s="19"/>
      <c r="W33" s="19"/>
      <c r="X33" s="19"/>
      <c r="Y33" s="19"/>
      <c r="Z33" s="2"/>
      <c r="AA33" s="7">
        <f t="shared" si="1"/>
        <v>11.25</v>
      </c>
      <c r="AB33" s="8" t="s">
        <v>26</v>
      </c>
      <c r="AC33" s="8" t="s">
        <v>98</v>
      </c>
      <c r="AD33" s="8">
        <v>250</v>
      </c>
      <c r="AE33" s="8" t="s">
        <v>102</v>
      </c>
      <c r="AF33" s="8">
        <f t="shared" si="2"/>
        <v>1</v>
      </c>
      <c r="AG33"/>
    </row>
    <row r="34" spans="1:33" hidden="1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>
        <v>0</v>
      </c>
      <c r="J34" s="2"/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2"/>
      <c r="AA34" s="7">
        <f t="shared" si="1"/>
        <v>0</v>
      </c>
      <c r="AB34" s="8" t="s">
        <v>26</v>
      </c>
      <c r="AC34" s="8" t="s">
        <v>98</v>
      </c>
      <c r="AD34" s="8">
        <v>300</v>
      </c>
      <c r="AE34" s="8" t="s">
        <v>102</v>
      </c>
      <c r="AF34" s="8">
        <f t="shared" si="2"/>
        <v>0</v>
      </c>
      <c r="AG34"/>
    </row>
    <row r="35" spans="1:33" hidden="1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>
        <v>0</v>
      </c>
      <c r="J35" s="2"/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0</v>
      </c>
      <c r="AB35" s="8" t="s">
        <v>26</v>
      </c>
      <c r="AC35" s="8" t="s">
        <v>98</v>
      </c>
      <c r="AD35" s="8">
        <v>300</v>
      </c>
      <c r="AE35" s="8" t="s">
        <v>102</v>
      </c>
      <c r="AF35" s="8">
        <f t="shared" si="2"/>
        <v>0</v>
      </c>
      <c r="AG35"/>
    </row>
    <row r="36" spans="1:33" hidden="1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>
        <v>0</v>
      </c>
      <c r="J36" s="2"/>
      <c r="K36" s="2"/>
      <c r="L36" s="2"/>
      <c r="M36" s="2"/>
      <c r="N36" s="2"/>
      <c r="O36" s="8">
        <f t="shared" si="0"/>
        <v>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0</v>
      </c>
      <c r="AB36" s="8" t="s">
        <v>97</v>
      </c>
      <c r="AC36" s="8" t="s">
        <v>98</v>
      </c>
      <c r="AD36" s="8">
        <v>250</v>
      </c>
      <c r="AE36" s="8" t="s">
        <v>102</v>
      </c>
      <c r="AF36" s="8">
        <f t="shared" si="2"/>
        <v>0</v>
      </c>
      <c r="AG36"/>
    </row>
    <row r="37" spans="1:33" hidden="1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>
        <v>0</v>
      </c>
      <c r="J37" s="2"/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26</v>
      </c>
      <c r="AC37" s="8" t="s">
        <v>99</v>
      </c>
      <c r="AD37" s="8">
        <v>100</v>
      </c>
      <c r="AE37" s="8" t="s">
        <v>102</v>
      </c>
      <c r="AF37" s="8">
        <f t="shared" si="2"/>
        <v>0</v>
      </c>
      <c r="AG37"/>
    </row>
    <row r="38" spans="1:33" hidden="1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/>
      <c r="K38" s="2"/>
      <c r="L38" s="2"/>
      <c r="M38" s="2"/>
      <c r="N38" s="2"/>
      <c r="O38" s="8">
        <f t="shared" ref="O38:O63" si="3">+I38+J38+K38+L38+M38+N38-SUM(P38:Z38)</f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ref="AA38:AA63" si="4">+G38*SUM(I38:N38)</f>
        <v>0</v>
      </c>
      <c r="AB38" s="8" t="s">
        <v>26</v>
      </c>
      <c r="AC38" s="8" t="s">
        <v>99</v>
      </c>
      <c r="AD38" s="8">
        <v>100</v>
      </c>
      <c r="AE38" s="8" t="s">
        <v>102</v>
      </c>
      <c r="AF38" s="8">
        <f t="shared" ref="AF38:AF63" si="5">+SUM(I38:N38)/AD38</f>
        <v>0</v>
      </c>
      <c r="AG38"/>
    </row>
    <row r="39" spans="1:33" hidden="1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>
        <v>0</v>
      </c>
      <c r="J39" s="2"/>
      <c r="K39" s="2"/>
      <c r="L39" s="2"/>
      <c r="M39" s="2"/>
      <c r="N39" s="2"/>
      <c r="O39" s="8">
        <f t="shared" si="3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4"/>
        <v>0</v>
      </c>
      <c r="AB39" s="8" t="s">
        <v>26</v>
      </c>
      <c r="AC39" s="8" t="s">
        <v>99</v>
      </c>
      <c r="AD39" s="8">
        <v>300</v>
      </c>
      <c r="AE39" s="8" t="s">
        <v>102</v>
      </c>
      <c r="AF39" s="8">
        <f t="shared" si="5"/>
        <v>0</v>
      </c>
      <c r="AG39"/>
    </row>
    <row r="40" spans="1:33" hidden="1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>
        <v>0</v>
      </c>
      <c r="J40" s="2"/>
      <c r="K40" s="2"/>
      <c r="L40" s="2"/>
      <c r="M40" s="2"/>
      <c r="N40" s="2"/>
      <c r="O40" s="8">
        <f t="shared" si="3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4"/>
        <v>0</v>
      </c>
      <c r="AB40" s="8" t="s">
        <v>26</v>
      </c>
      <c r="AC40" s="8" t="s">
        <v>99</v>
      </c>
      <c r="AD40" s="8">
        <v>200</v>
      </c>
      <c r="AE40" s="8" t="s">
        <v>102</v>
      </c>
      <c r="AF40" s="8">
        <f t="shared" si="5"/>
        <v>0</v>
      </c>
      <c r="AG40"/>
    </row>
    <row r="41" spans="1:33" hidden="1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>
        <v>0</v>
      </c>
      <c r="J41" s="2"/>
      <c r="K41" s="2"/>
      <c r="L41" s="2"/>
      <c r="M41" s="2"/>
      <c r="N41" s="2"/>
      <c r="O41" s="8">
        <f t="shared" si="3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4"/>
        <v>0</v>
      </c>
      <c r="AB41" s="8" t="s">
        <v>26</v>
      </c>
      <c r="AC41" s="8" t="s">
        <v>99</v>
      </c>
      <c r="AD41" s="8">
        <v>100</v>
      </c>
      <c r="AE41" s="8" t="s">
        <v>102</v>
      </c>
      <c r="AF41" s="8">
        <f t="shared" si="5"/>
        <v>0</v>
      </c>
      <c r="AG41"/>
    </row>
    <row r="42" spans="1:33" hidden="1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>
        <v>0</v>
      </c>
      <c r="J42" s="2"/>
      <c r="K42" s="2"/>
      <c r="L42" s="2"/>
      <c r="M42" s="2"/>
      <c r="N42" s="2"/>
      <c r="O42" s="8">
        <f t="shared" si="3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4"/>
        <v>0</v>
      </c>
      <c r="AB42" s="8" t="s">
        <v>26</v>
      </c>
      <c r="AC42" s="8" t="s">
        <v>99</v>
      </c>
      <c r="AD42" s="8">
        <v>300</v>
      </c>
      <c r="AE42" s="8" t="s">
        <v>102</v>
      </c>
      <c r="AF42" s="8">
        <f t="shared" si="5"/>
        <v>0</v>
      </c>
      <c r="AG42"/>
    </row>
    <row r="43" spans="1:33" hidden="1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>
        <v>0</v>
      </c>
      <c r="J43" s="2"/>
      <c r="K43" s="2"/>
      <c r="L43" s="2"/>
      <c r="M43" s="2"/>
      <c r="N43" s="2"/>
      <c r="O43" s="8">
        <f t="shared" si="3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4"/>
        <v>0</v>
      </c>
      <c r="AB43" s="8" t="s">
        <v>26</v>
      </c>
      <c r="AC43" s="8" t="s">
        <v>99</v>
      </c>
      <c r="AD43" s="8">
        <v>260</v>
      </c>
      <c r="AE43" s="8" t="s">
        <v>102</v>
      </c>
      <c r="AF43" s="8">
        <f t="shared" si="5"/>
        <v>0</v>
      </c>
      <c r="AG43"/>
    </row>
    <row r="44" spans="1:33" hidden="1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>
        <v>0</v>
      </c>
      <c r="J44" s="2"/>
      <c r="K44" s="2"/>
      <c r="L44" s="2"/>
      <c r="M44" s="2"/>
      <c r="N44" s="2"/>
      <c r="O44" s="8">
        <f t="shared" si="3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4"/>
        <v>0</v>
      </c>
      <c r="AB44" s="8" t="s">
        <v>26</v>
      </c>
      <c r="AC44" s="8" t="s">
        <v>99</v>
      </c>
      <c r="AD44" s="8">
        <v>500</v>
      </c>
      <c r="AE44" s="8" t="s">
        <v>102</v>
      </c>
      <c r="AF44" s="8">
        <f t="shared" si="5"/>
        <v>0</v>
      </c>
      <c r="AG44"/>
    </row>
    <row r="45" spans="1:33" hidden="1" x14ac:dyDescent="0.25">
      <c r="A45" s="2">
        <v>40</v>
      </c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>
        <v>450</v>
      </c>
      <c r="J45" s="2"/>
      <c r="K45" s="2"/>
      <c r="L45" s="2"/>
      <c r="M45" s="2"/>
      <c r="N45" s="2"/>
      <c r="O45" s="8">
        <f t="shared" si="3"/>
        <v>0</v>
      </c>
      <c r="P45" s="19"/>
      <c r="Q45" s="19"/>
      <c r="R45" s="19"/>
      <c r="S45" s="2"/>
      <c r="T45" s="19">
        <v>450</v>
      </c>
      <c r="U45" s="2"/>
      <c r="V45" s="19"/>
      <c r="W45" s="19"/>
      <c r="X45" s="19"/>
      <c r="Y45" s="19"/>
      <c r="Z45" s="2"/>
      <c r="AA45" s="7">
        <f t="shared" si="4"/>
        <v>82.35</v>
      </c>
      <c r="AB45" s="8" t="s">
        <v>95</v>
      </c>
      <c r="AC45" s="8" t="s">
        <v>98</v>
      </c>
      <c r="AD45" s="8">
        <v>50</v>
      </c>
      <c r="AE45" s="8" t="s">
        <v>102</v>
      </c>
      <c r="AF45" s="8">
        <f t="shared" si="5"/>
        <v>9</v>
      </c>
      <c r="AG45"/>
    </row>
    <row r="46" spans="1:33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>
        <v>500</v>
      </c>
      <c r="J46" s="2"/>
      <c r="K46" s="2"/>
      <c r="L46" s="2"/>
      <c r="M46" s="2"/>
      <c r="N46" s="2"/>
      <c r="O46" s="8">
        <f t="shared" si="3"/>
        <v>500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4"/>
        <v>98.5</v>
      </c>
      <c r="AB46" s="8" t="s">
        <v>95</v>
      </c>
      <c r="AC46" s="8" t="s">
        <v>98</v>
      </c>
      <c r="AD46" s="8">
        <v>50</v>
      </c>
      <c r="AE46" s="8" t="s">
        <v>102</v>
      </c>
      <c r="AF46" s="8">
        <f t="shared" si="5"/>
        <v>10</v>
      </c>
      <c r="AG46"/>
    </row>
    <row r="47" spans="1:33" hidden="1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>
        <v>0</v>
      </c>
      <c r="J47" s="2"/>
      <c r="K47" s="2"/>
      <c r="L47" s="2"/>
      <c r="M47" s="2"/>
      <c r="N47" s="2"/>
      <c r="O47" s="8">
        <f t="shared" si="3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2"/>
      <c r="AA47" s="7">
        <f t="shared" si="4"/>
        <v>0</v>
      </c>
      <c r="AB47" s="8" t="s">
        <v>95</v>
      </c>
      <c r="AC47" s="8" t="s">
        <v>98</v>
      </c>
      <c r="AD47" s="8">
        <v>50</v>
      </c>
      <c r="AE47" s="8" t="s">
        <v>102</v>
      </c>
      <c r="AF47" s="8">
        <f t="shared" si="5"/>
        <v>0</v>
      </c>
      <c r="AG47"/>
    </row>
    <row r="48" spans="1:33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>
        <v>950</v>
      </c>
      <c r="J48" s="2"/>
      <c r="K48" s="2"/>
      <c r="L48" s="2"/>
      <c r="M48" s="2"/>
      <c r="N48" s="2"/>
      <c r="O48" s="8">
        <f t="shared" si="3"/>
        <v>950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2"/>
      <c r="AA48" s="7">
        <f t="shared" si="4"/>
        <v>115.89999999999999</v>
      </c>
      <c r="AB48" s="8" t="s">
        <v>95</v>
      </c>
      <c r="AC48" s="8" t="s">
        <v>98</v>
      </c>
      <c r="AD48" s="8">
        <v>50</v>
      </c>
      <c r="AE48" s="8" t="s">
        <v>102</v>
      </c>
      <c r="AF48" s="8">
        <f t="shared" si="5"/>
        <v>19</v>
      </c>
      <c r="AG48"/>
    </row>
    <row r="49" spans="1:33" hidden="1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>
        <v>0</v>
      </c>
      <c r="J49" s="2"/>
      <c r="K49" s="2"/>
      <c r="L49" s="2"/>
      <c r="M49" s="2"/>
      <c r="N49" s="2"/>
      <c r="O49" s="8">
        <f t="shared" si="3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4"/>
        <v>0</v>
      </c>
      <c r="AB49" s="8" t="s">
        <v>26</v>
      </c>
      <c r="AC49" s="8" t="s">
        <v>99</v>
      </c>
      <c r="AD49" s="8">
        <v>100</v>
      </c>
      <c r="AE49" s="8" t="s">
        <v>102</v>
      </c>
      <c r="AF49" s="8">
        <f t="shared" si="5"/>
        <v>0</v>
      </c>
      <c r="AG49"/>
    </row>
    <row r="50" spans="1:33" hidden="1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>
        <v>0</v>
      </c>
      <c r="J50" s="2"/>
      <c r="K50" s="2"/>
      <c r="L50" s="2"/>
      <c r="M50" s="2"/>
      <c r="N50" s="2"/>
      <c r="O50" s="8">
        <f t="shared" si="3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2"/>
      <c r="AA50" s="7">
        <f t="shared" si="4"/>
        <v>0</v>
      </c>
      <c r="AB50" s="8" t="s">
        <v>25</v>
      </c>
      <c r="AC50" s="8" t="s">
        <v>99</v>
      </c>
      <c r="AD50" s="8">
        <v>50</v>
      </c>
      <c r="AE50" s="8" t="s">
        <v>102</v>
      </c>
      <c r="AF50" s="8">
        <f t="shared" si="5"/>
        <v>0</v>
      </c>
      <c r="AG50"/>
    </row>
    <row r="51" spans="1:33" x14ac:dyDescent="0.25">
      <c r="A51" s="2">
        <v>46</v>
      </c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>
        <v>400</v>
      </c>
      <c r="J51" s="2"/>
      <c r="K51" s="2"/>
      <c r="L51" s="2"/>
      <c r="M51" s="2"/>
      <c r="N51" s="2"/>
      <c r="O51" s="8">
        <f t="shared" si="3"/>
        <v>400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2"/>
      <c r="AA51" s="7">
        <f t="shared" si="4"/>
        <v>106</v>
      </c>
      <c r="AB51" s="8" t="s">
        <v>97</v>
      </c>
      <c r="AC51" s="8" t="s">
        <v>99</v>
      </c>
      <c r="AD51" s="8">
        <v>400</v>
      </c>
      <c r="AE51" s="8" t="s">
        <v>102</v>
      </c>
      <c r="AF51" s="8">
        <f t="shared" si="5"/>
        <v>1</v>
      </c>
      <c r="AG51"/>
    </row>
    <row r="52" spans="1:33" x14ac:dyDescent="0.25">
      <c r="A52" s="2">
        <v>47</v>
      </c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>
        <v>450</v>
      </c>
      <c r="J52" s="2"/>
      <c r="K52" s="2"/>
      <c r="L52" s="2"/>
      <c r="M52" s="2"/>
      <c r="N52" s="2"/>
      <c r="O52" s="8">
        <f t="shared" si="3"/>
        <v>450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2"/>
      <c r="AA52" s="7">
        <f t="shared" si="4"/>
        <v>61.2</v>
      </c>
      <c r="AB52" s="8" t="s">
        <v>27</v>
      </c>
      <c r="AC52" s="8" t="s">
        <v>99</v>
      </c>
      <c r="AD52" s="8">
        <v>50</v>
      </c>
      <c r="AE52" s="8" t="s">
        <v>102</v>
      </c>
      <c r="AF52" s="8">
        <f t="shared" si="5"/>
        <v>9</v>
      </c>
      <c r="AG52"/>
    </row>
    <row r="53" spans="1:33" hidden="1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>
        <v>0</v>
      </c>
      <c r="J53" s="2"/>
      <c r="K53" s="2"/>
      <c r="L53" s="2"/>
      <c r="M53" s="2"/>
      <c r="N53" s="2"/>
      <c r="O53" s="8">
        <f t="shared" si="3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4"/>
        <v>0</v>
      </c>
      <c r="AB53" s="8" t="s">
        <v>97</v>
      </c>
      <c r="AC53" s="8" t="s">
        <v>99</v>
      </c>
      <c r="AD53" s="8">
        <v>400</v>
      </c>
      <c r="AE53" s="8" t="s">
        <v>102</v>
      </c>
      <c r="AF53" s="8">
        <f t="shared" si="5"/>
        <v>0</v>
      </c>
      <c r="AG53"/>
    </row>
    <row r="54" spans="1:33" hidden="1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>
        <v>0</v>
      </c>
      <c r="J54" s="2"/>
      <c r="K54" s="2"/>
      <c r="L54" s="2"/>
      <c r="M54" s="2"/>
      <c r="N54" s="2"/>
      <c r="O54" s="8">
        <f t="shared" si="3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4"/>
        <v>0</v>
      </c>
      <c r="AB54" s="8" t="s">
        <v>97</v>
      </c>
      <c r="AC54" s="8" t="s">
        <v>99</v>
      </c>
      <c r="AD54" s="8">
        <v>400</v>
      </c>
      <c r="AE54" s="8" t="s">
        <v>102</v>
      </c>
      <c r="AF54" s="8">
        <f t="shared" si="5"/>
        <v>0</v>
      </c>
      <c r="AG54"/>
    </row>
    <row r="55" spans="1:33" hidden="1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>
        <v>0</v>
      </c>
      <c r="J55" s="2"/>
      <c r="K55" s="2"/>
      <c r="L55" s="2"/>
      <c r="M55" s="2"/>
      <c r="N55" s="2"/>
      <c r="O55" s="8">
        <f t="shared" si="3"/>
        <v>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2"/>
      <c r="AA55" s="7">
        <f t="shared" si="4"/>
        <v>0</v>
      </c>
      <c r="AB55" s="8" t="s">
        <v>27</v>
      </c>
      <c r="AC55" s="8" t="s">
        <v>99</v>
      </c>
      <c r="AD55" s="8">
        <v>60</v>
      </c>
      <c r="AE55" s="8" t="s">
        <v>102</v>
      </c>
      <c r="AF55" s="8">
        <f t="shared" si="5"/>
        <v>0</v>
      </c>
      <c r="AG55"/>
    </row>
    <row r="56" spans="1:33" hidden="1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>
        <v>0</v>
      </c>
      <c r="J56" s="2"/>
      <c r="K56" s="2"/>
      <c r="L56" s="2"/>
      <c r="M56" s="2"/>
      <c r="N56" s="2"/>
      <c r="O56" s="8">
        <f t="shared" si="3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2"/>
      <c r="AA56" s="7">
        <f t="shared" si="4"/>
        <v>0</v>
      </c>
      <c r="AB56" s="8" t="s">
        <v>27</v>
      </c>
      <c r="AC56" s="8" t="s">
        <v>99</v>
      </c>
      <c r="AD56" s="8">
        <v>70</v>
      </c>
      <c r="AE56" s="8" t="s">
        <v>102</v>
      </c>
      <c r="AF56" s="8">
        <f t="shared" si="5"/>
        <v>0</v>
      </c>
      <c r="AG56"/>
    </row>
    <row r="57" spans="1:33" hidden="1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>
        <v>0</v>
      </c>
      <c r="J57" s="2"/>
      <c r="K57" s="2"/>
      <c r="L57" s="2"/>
      <c r="M57" s="2"/>
      <c r="N57" s="2"/>
      <c r="O57" s="8">
        <f t="shared" si="3"/>
        <v>0</v>
      </c>
      <c r="P57" s="19"/>
      <c r="Q57" s="19"/>
      <c r="R57" s="19"/>
      <c r="S57" s="2"/>
      <c r="T57" s="19"/>
      <c r="U57" s="2"/>
      <c r="V57" s="19"/>
      <c r="W57" s="19"/>
      <c r="X57" s="19"/>
      <c r="Y57" s="19"/>
      <c r="Z57" s="2"/>
      <c r="AA57" s="7">
        <f t="shared" si="4"/>
        <v>0</v>
      </c>
      <c r="AB57" s="8" t="s">
        <v>97</v>
      </c>
      <c r="AC57" s="8" t="s">
        <v>99</v>
      </c>
      <c r="AD57" s="8">
        <v>400</v>
      </c>
      <c r="AE57" s="8" t="s">
        <v>102</v>
      </c>
      <c r="AF57" s="8">
        <f t="shared" si="5"/>
        <v>0</v>
      </c>
      <c r="AG57"/>
    </row>
    <row r="58" spans="1:33" x14ac:dyDescent="0.25">
      <c r="A58" s="2">
        <v>53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>
        <v>900</v>
      </c>
      <c r="J58" s="2"/>
      <c r="K58" s="2"/>
      <c r="L58" s="2"/>
      <c r="M58" s="2"/>
      <c r="N58" s="2"/>
      <c r="O58" s="8">
        <f t="shared" si="3"/>
        <v>600</v>
      </c>
      <c r="P58" s="19"/>
      <c r="Q58" s="19"/>
      <c r="R58" s="19"/>
      <c r="S58" s="2"/>
      <c r="T58" s="19"/>
      <c r="U58" s="2"/>
      <c r="V58" s="19"/>
      <c r="W58" s="19"/>
      <c r="X58" s="19"/>
      <c r="Y58" s="19">
        <v>300</v>
      </c>
      <c r="Z58" s="2"/>
      <c r="AA58" s="7">
        <f t="shared" si="4"/>
        <v>432.9</v>
      </c>
      <c r="AB58" s="8" t="s">
        <v>97</v>
      </c>
      <c r="AC58" s="8" t="s">
        <v>99</v>
      </c>
      <c r="AD58" s="8">
        <v>300</v>
      </c>
      <c r="AE58" s="8" t="s">
        <v>102</v>
      </c>
      <c r="AF58" s="8">
        <f t="shared" si="5"/>
        <v>3</v>
      </c>
      <c r="AG58"/>
    </row>
    <row r="59" spans="1:33" hidden="1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>
        <v>0</v>
      </c>
      <c r="J59" s="2"/>
      <c r="K59" s="2"/>
      <c r="L59" s="2"/>
      <c r="M59" s="2"/>
      <c r="N59" s="2"/>
      <c r="O59" s="8">
        <f t="shared" si="3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2"/>
      <c r="AA59" s="7">
        <f t="shared" si="4"/>
        <v>0</v>
      </c>
      <c r="AB59" s="8" t="s">
        <v>97</v>
      </c>
      <c r="AC59" s="8" t="s">
        <v>99</v>
      </c>
      <c r="AD59" s="8">
        <v>500</v>
      </c>
      <c r="AE59" s="8" t="s">
        <v>102</v>
      </c>
      <c r="AF59" s="8">
        <f t="shared" si="5"/>
        <v>0</v>
      </c>
      <c r="AG59"/>
    </row>
    <row r="60" spans="1:33" hidden="1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>
        <v>0</v>
      </c>
      <c r="J60" s="2"/>
      <c r="K60" s="2"/>
      <c r="L60" s="2"/>
      <c r="M60" s="2"/>
      <c r="N60" s="2"/>
      <c r="O60" s="8">
        <f t="shared" si="3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2"/>
      <c r="AA60" s="7">
        <f t="shared" si="4"/>
        <v>0</v>
      </c>
      <c r="AB60" s="8" t="s">
        <v>97</v>
      </c>
      <c r="AC60" s="8" t="s">
        <v>99</v>
      </c>
      <c r="AD60" s="8">
        <v>500</v>
      </c>
      <c r="AE60" s="8" t="s">
        <v>102</v>
      </c>
      <c r="AF60" s="8">
        <f t="shared" si="5"/>
        <v>0</v>
      </c>
      <c r="AG60"/>
    </row>
    <row r="61" spans="1:33" hidden="1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>
        <v>0</v>
      </c>
      <c r="J61" s="2"/>
      <c r="K61" s="2"/>
      <c r="L61" s="2"/>
      <c r="M61" s="2"/>
      <c r="N61" s="2"/>
      <c r="O61" s="8">
        <f t="shared" si="3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2"/>
      <c r="AA61" s="7">
        <f t="shared" si="4"/>
        <v>0</v>
      </c>
      <c r="AB61" s="8" t="s">
        <v>26</v>
      </c>
      <c r="AC61" s="8" t="s">
        <v>98</v>
      </c>
      <c r="AD61" s="8">
        <v>250</v>
      </c>
      <c r="AE61" s="8" t="s">
        <v>102</v>
      </c>
      <c r="AF61" s="8">
        <f t="shared" si="5"/>
        <v>0</v>
      </c>
      <c r="AG61"/>
    </row>
    <row r="62" spans="1:33" hidden="1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>
        <v>0</v>
      </c>
      <c r="J62" s="2"/>
      <c r="K62" s="2"/>
      <c r="L62" s="2"/>
      <c r="M62" s="2"/>
      <c r="N62" s="2"/>
      <c r="O62" s="8">
        <f t="shared" si="3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/>
      <c r="AA62" s="7">
        <f t="shared" si="4"/>
        <v>0</v>
      </c>
      <c r="AB62" s="8" t="s">
        <v>26</v>
      </c>
      <c r="AC62" s="8" t="s">
        <v>99</v>
      </c>
      <c r="AD62" s="8">
        <v>300</v>
      </c>
      <c r="AE62" s="8" t="s">
        <v>102</v>
      </c>
      <c r="AF62" s="8">
        <f t="shared" si="5"/>
        <v>0</v>
      </c>
      <c r="AG62"/>
    </row>
    <row r="63" spans="1:33" hidden="1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>
        <v>0</v>
      </c>
      <c r="J63" s="2"/>
      <c r="K63" s="2"/>
      <c r="L63" s="2"/>
      <c r="M63" s="2"/>
      <c r="N63" s="2"/>
      <c r="O63" s="8">
        <f t="shared" si="3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4"/>
        <v>0</v>
      </c>
      <c r="AB63" s="8" t="s">
        <v>26</v>
      </c>
      <c r="AC63" s="8" t="s">
        <v>99</v>
      </c>
      <c r="AD63" s="8">
        <v>250</v>
      </c>
      <c r="AE63" s="8" t="s">
        <v>102</v>
      </c>
      <c r="AF63" s="8">
        <f t="shared" si="5"/>
        <v>0</v>
      </c>
      <c r="AG63"/>
    </row>
    <row r="64" spans="1:33" x14ac:dyDescent="0.25">
      <c r="H64" s="4" t="s">
        <v>19</v>
      </c>
      <c r="I64" s="9">
        <f t="shared" ref="I64:AA64" si="6">SUM(I6:I63)</f>
        <v>9174</v>
      </c>
      <c r="J64" s="9">
        <f t="shared" si="6"/>
        <v>0</v>
      </c>
      <c r="K64" s="9">
        <f t="shared" si="6"/>
        <v>0</v>
      </c>
      <c r="L64" s="9">
        <f t="shared" si="6"/>
        <v>0</v>
      </c>
      <c r="M64" s="9">
        <f t="shared" si="6"/>
        <v>0</v>
      </c>
      <c r="N64" s="9">
        <f t="shared" si="6"/>
        <v>0</v>
      </c>
      <c r="O64" s="11">
        <f t="shared" si="6"/>
        <v>4483</v>
      </c>
      <c r="P64" s="20">
        <f t="shared" si="6"/>
        <v>1080</v>
      </c>
      <c r="Q64" s="20">
        <f t="shared" si="6"/>
        <v>260</v>
      </c>
      <c r="R64" s="20">
        <f t="shared" si="6"/>
        <v>2101</v>
      </c>
      <c r="S64" s="9">
        <f t="shared" si="6"/>
        <v>0</v>
      </c>
      <c r="T64" s="20">
        <f t="shared" si="6"/>
        <v>660</v>
      </c>
      <c r="U64" s="9">
        <f t="shared" si="6"/>
        <v>0</v>
      </c>
      <c r="V64" s="20">
        <f t="shared" si="6"/>
        <v>150</v>
      </c>
      <c r="W64" s="20">
        <f t="shared" si="6"/>
        <v>0</v>
      </c>
      <c r="X64" s="20">
        <f t="shared" si="6"/>
        <v>140</v>
      </c>
      <c r="Y64" s="20">
        <f t="shared" si="6"/>
        <v>300</v>
      </c>
      <c r="Z64" s="9">
        <f t="shared" si="6"/>
        <v>0</v>
      </c>
      <c r="AA64" s="9">
        <f t="shared" si="6"/>
        <v>1594.6990000000001</v>
      </c>
      <c r="AF64" s="12">
        <f>SUM(AF6:AF63)</f>
        <v>92.590558608058615</v>
      </c>
    </row>
    <row r="65" spans="1:26" x14ac:dyDescent="0.25">
      <c r="H65" s="4" t="s">
        <v>21</v>
      </c>
      <c r="I65" s="56">
        <f>+I64+J64+K64+L64+M64+N64</f>
        <v>9174</v>
      </c>
      <c r="J65" s="56"/>
      <c r="K65" s="56"/>
      <c r="L65" s="56"/>
      <c r="M65" s="56"/>
      <c r="N65" s="56"/>
      <c r="P65" s="57">
        <f>+P64+Q64</f>
        <v>1340</v>
      </c>
      <c r="Q65" s="54"/>
      <c r="R65" s="57">
        <f>+R64+S64</f>
        <v>2101</v>
      </c>
      <c r="S65" s="54"/>
      <c r="T65" s="57">
        <f>+T64+U64</f>
        <v>660</v>
      </c>
      <c r="U65" s="54"/>
      <c r="V65" s="57">
        <f t="shared" ref="V65" si="7">+V64+W64</f>
        <v>150</v>
      </c>
      <c r="W65" s="54"/>
      <c r="X65" s="57">
        <f t="shared" ref="X65" si="8">+X64+Y64</f>
        <v>440</v>
      </c>
      <c r="Y65" s="54"/>
      <c r="Z65" s="10">
        <f>+Z64</f>
        <v>0</v>
      </c>
    </row>
    <row r="66" spans="1:26" x14ac:dyDescent="0.25">
      <c r="I66" s="1">
        <v>0</v>
      </c>
      <c r="J66" s="25">
        <f>+J64</f>
        <v>0</v>
      </c>
      <c r="K66" s="25">
        <f t="shared" ref="K66:N66" si="9">+K64</f>
        <v>0</v>
      </c>
      <c r="L66" s="25">
        <f t="shared" si="9"/>
        <v>0</v>
      </c>
      <c r="M66" s="25">
        <f t="shared" si="9"/>
        <v>0</v>
      </c>
      <c r="N66" s="25">
        <f t="shared" si="9"/>
        <v>0</v>
      </c>
    </row>
    <row r="68" spans="1:26" x14ac:dyDescent="0.25">
      <c r="C68" s="2" t="s">
        <v>111</v>
      </c>
      <c r="D68" s="2" t="s">
        <v>112</v>
      </c>
      <c r="E68" s="2" t="s">
        <v>113</v>
      </c>
    </row>
    <row r="69" spans="1:26" x14ac:dyDescent="0.25">
      <c r="B69" s="2" t="s">
        <v>114</v>
      </c>
      <c r="C69" s="8">
        <v>9174</v>
      </c>
      <c r="D69" s="2">
        <f>+C69/5</f>
        <v>1834.8</v>
      </c>
      <c r="E69" s="2">
        <f>+D69/2</f>
        <v>917.4</v>
      </c>
      <c r="H69" s="23"/>
    </row>
    <row r="70" spans="1:26" x14ac:dyDescent="0.25">
      <c r="B70" s="2" t="s">
        <v>115</v>
      </c>
      <c r="C70" s="8">
        <v>4633</v>
      </c>
      <c r="D70" s="2">
        <f>+C70/5</f>
        <v>926.6</v>
      </c>
      <c r="E70" s="2">
        <f>+D70/2</f>
        <v>463.3</v>
      </c>
      <c r="H70" s="23"/>
    </row>
    <row r="71" spans="1:26" x14ac:dyDescent="0.25">
      <c r="B71" s="2" t="s">
        <v>116</v>
      </c>
      <c r="C71" s="2">
        <f>+C69-C70</f>
        <v>4541</v>
      </c>
    </row>
    <row r="72" spans="1:26" x14ac:dyDescent="0.25">
      <c r="B72" s="2" t="s">
        <v>117</v>
      </c>
      <c r="C72" s="24">
        <f>+C71/C69</f>
        <v>0.49498582951820363</v>
      </c>
      <c r="H72" s="23"/>
    </row>
    <row r="73" spans="1:26" x14ac:dyDescent="0.25">
      <c r="B73" s="2" t="s">
        <v>118</v>
      </c>
      <c r="C73" s="24">
        <f>+C70/C69</f>
        <v>0.50501417048179642</v>
      </c>
    </row>
    <row r="75" spans="1:26" x14ac:dyDescent="0.25">
      <c r="A75" s="51" t="s">
        <v>136</v>
      </c>
      <c r="B75" s="52"/>
      <c r="C75" s="52"/>
      <c r="D75" s="52"/>
      <c r="E75" s="52"/>
      <c r="F75" s="53"/>
    </row>
    <row r="76" spans="1:26" x14ac:dyDescent="0.25">
      <c r="A76" s="54" t="s">
        <v>138</v>
      </c>
      <c r="B76" s="37">
        <v>46251</v>
      </c>
      <c r="C76" s="37">
        <v>46252</v>
      </c>
      <c r="D76" s="37">
        <v>46253</v>
      </c>
      <c r="E76" s="37">
        <v>46254</v>
      </c>
      <c r="F76" s="37">
        <v>46255</v>
      </c>
    </row>
    <row r="77" spans="1:26" x14ac:dyDescent="0.25">
      <c r="A77" s="54"/>
      <c r="B77" s="38" t="s">
        <v>122</v>
      </c>
      <c r="C77" s="4" t="s">
        <v>123</v>
      </c>
      <c r="D77" s="4" t="s">
        <v>124</v>
      </c>
      <c r="E77" s="4" t="s">
        <v>125</v>
      </c>
      <c r="F77" s="4" t="s">
        <v>128</v>
      </c>
    </row>
    <row r="78" spans="1:26" x14ac:dyDescent="0.25">
      <c r="A78" s="12" t="s">
        <v>134</v>
      </c>
      <c r="B78" s="26">
        <v>0.15</v>
      </c>
      <c r="C78" s="26">
        <v>0.38</v>
      </c>
      <c r="D78" s="26">
        <v>0.43</v>
      </c>
      <c r="E78" s="26">
        <v>0.46</v>
      </c>
      <c r="F78" s="26">
        <v>0.49</v>
      </c>
    </row>
    <row r="79" spans="1:26" x14ac:dyDescent="0.25">
      <c r="A79" s="12" t="s">
        <v>135</v>
      </c>
      <c r="B79" s="26">
        <v>0.85</v>
      </c>
      <c r="C79" s="26">
        <v>0.62</v>
      </c>
      <c r="D79" s="26">
        <v>0.56999999999999995</v>
      </c>
      <c r="E79" s="26">
        <v>0.54</v>
      </c>
      <c r="F79" s="26">
        <v>0.51</v>
      </c>
    </row>
  </sheetData>
  <autoFilter ref="B5:AF66" xr:uid="{00000000-0009-0000-0000-000007000000}">
    <filterColumn colId="13">
      <filters blank="1">
        <filter val="143"/>
        <filter val="162"/>
        <filter val="276"/>
        <filter val="4,483"/>
        <filter val="400"/>
        <filter val="450"/>
        <filter val="500"/>
        <filter val="600"/>
        <filter val="752"/>
        <filter val="950"/>
      </filters>
    </filterColumn>
  </autoFilter>
  <mergeCells count="16">
    <mergeCell ref="A76:A77"/>
    <mergeCell ref="A75:F75"/>
    <mergeCell ref="C2:D2"/>
    <mergeCell ref="B3:B4"/>
    <mergeCell ref="P4:Q4"/>
    <mergeCell ref="R4:S4"/>
    <mergeCell ref="T4:U4"/>
    <mergeCell ref="J4:N4"/>
    <mergeCell ref="X4:Y4"/>
    <mergeCell ref="I65:N65"/>
    <mergeCell ref="P65:Q65"/>
    <mergeCell ref="R65:S65"/>
    <mergeCell ref="T65:U65"/>
    <mergeCell ref="V65:W65"/>
    <mergeCell ref="X65:Y65"/>
    <mergeCell ref="V4:W4"/>
  </mergeCells>
  <pageMargins left="0.70866141732283472" right="0.70866141732283472" top="0.74803149606299213" bottom="0.74803149606299213" header="0.31496062992125984" footer="0.31496062992125984"/>
  <pageSetup paperSize="9" scale="72" orientation="portrait" r:id="rId2"/>
  <colBreaks count="1" manualBreakCount="1">
    <brk id="15" max="32" man="1"/>
  </colBreaks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00B050"/>
    <pageSetUpPr fitToPage="1"/>
  </sheetPr>
  <dimension ref="A2:AJ85"/>
  <sheetViews>
    <sheetView zoomScale="80" zoomScaleNormal="80" workbookViewId="0">
      <pane xSplit="15" topLeftCell="T1" activePane="topRight" state="frozen"/>
      <selection activeCell="K20" sqref="K20"/>
      <selection pane="topRight" activeCell="B3" sqref="B3:B4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4.42578125" style="1" customWidth="1"/>
    <col min="4" max="4" width="23.7109375" style="1" bestFit="1" customWidth="1"/>
    <col min="5" max="5" width="14.5703125" style="1" customWidth="1"/>
    <col min="6" max="6" width="12.42578125" style="1" bestFit="1" customWidth="1"/>
    <col min="7" max="7" width="10.5703125" style="1" customWidth="1"/>
    <col min="8" max="8" width="15.42578125" style="1" hidden="1" customWidth="1"/>
    <col min="9" max="9" width="10.7109375" style="1" customWidth="1"/>
    <col min="10" max="10" width="7.28515625" style="1" customWidth="1"/>
    <col min="11" max="11" width="7.5703125" style="1" customWidth="1"/>
    <col min="12" max="14" width="5" style="1" hidden="1" customWidth="1"/>
    <col min="15" max="15" width="10.140625" style="1" customWidth="1"/>
    <col min="16" max="17" width="9.140625" style="17" customWidth="1"/>
    <col min="18" max="18" width="8.7109375" style="17" customWidth="1"/>
    <col min="19" max="19" width="8.7109375" style="1" customWidth="1"/>
    <col min="20" max="20" width="8.7109375" style="17" customWidth="1"/>
    <col min="21" max="21" width="8.7109375" style="1" customWidth="1"/>
    <col min="22" max="25" width="8.7109375" style="17" customWidth="1"/>
    <col min="26" max="26" width="8.7109375" style="1" customWidth="1"/>
    <col min="27" max="27" width="8.7109375" style="1"/>
    <col min="28" max="28" width="16.85546875" style="1" bestFit="1" customWidth="1"/>
    <col min="29" max="29" width="16.5703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6.28515625" style="1" customWidth="1"/>
    <col min="35" max="35" width="19.7109375" style="1" bestFit="1" customWidth="1"/>
    <col min="36" max="16384" width="8.7109375" style="1"/>
  </cols>
  <sheetData>
    <row r="2" spans="1:36" x14ac:dyDescent="0.25">
      <c r="B2" s="4" t="s">
        <v>17</v>
      </c>
      <c r="C2" s="58" t="s">
        <v>18</v>
      </c>
      <c r="D2" s="58"/>
    </row>
    <row r="3" spans="1:3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</row>
    <row r="4" spans="1:36" x14ac:dyDescent="0.25">
      <c r="B4" s="59"/>
      <c r="C4" s="4" t="s">
        <v>16</v>
      </c>
      <c r="D4" s="2"/>
      <c r="I4" s="4" t="s">
        <v>5</v>
      </c>
      <c r="J4" s="60" t="s">
        <v>119</v>
      </c>
      <c r="K4" s="60"/>
      <c r="L4" s="60"/>
      <c r="M4" s="60"/>
      <c r="N4" s="60"/>
      <c r="P4" s="55">
        <v>46258</v>
      </c>
      <c r="Q4" s="55"/>
      <c r="R4" s="55">
        <v>46259</v>
      </c>
      <c r="S4" s="55"/>
      <c r="T4" s="55">
        <v>46260</v>
      </c>
      <c r="U4" s="55"/>
      <c r="V4" s="55">
        <v>46261</v>
      </c>
      <c r="W4" s="55"/>
      <c r="X4" s="55">
        <v>46262</v>
      </c>
      <c r="Y4" s="55"/>
      <c r="Z4" s="6" t="s">
        <v>10</v>
      </c>
    </row>
    <row r="5" spans="1:3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35</v>
      </c>
      <c r="J5" s="4" t="s">
        <v>10</v>
      </c>
      <c r="K5" s="4" t="s">
        <v>139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4" t="s">
        <v>20</v>
      </c>
      <c r="AA5" s="4" t="s">
        <v>8</v>
      </c>
      <c r="AB5" s="4" t="s">
        <v>22</v>
      </c>
      <c r="AC5" s="4" t="s">
        <v>100</v>
      </c>
      <c r="AD5" s="4" t="s">
        <v>24</v>
      </c>
      <c r="AE5" s="4" t="s">
        <v>23</v>
      </c>
      <c r="AF5" s="4" t="s">
        <v>28</v>
      </c>
      <c r="AG5"/>
      <c r="AH5" s="15" t="s">
        <v>29</v>
      </c>
      <c r="AI5" s="15" t="s">
        <v>31</v>
      </c>
      <c r="AJ5"/>
    </row>
    <row r="6" spans="1:36" hidden="1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/>
      <c r="J6" s="2"/>
      <c r="K6" s="2"/>
      <c r="L6" s="2"/>
      <c r="M6" s="2"/>
      <c r="N6" s="2"/>
      <c r="O6" s="8">
        <f t="shared" ref="O6:O37" si="0">+I6+J6+K6+L6+M6+N6-SUM(P6:Z6)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2"/>
      <c r="AA6" s="7">
        <f t="shared" ref="AA6:AA37" si="1">+G6*SUM(I6:N6)</f>
        <v>0</v>
      </c>
      <c r="AB6" s="8" t="s">
        <v>26</v>
      </c>
      <c r="AC6" s="8">
        <v>0</v>
      </c>
      <c r="AD6" s="8">
        <v>260</v>
      </c>
      <c r="AE6" s="8" t="s">
        <v>101</v>
      </c>
      <c r="AF6" s="8">
        <f t="shared" ref="AF6:AF37" si="2">+SUM(I6:N6)/AD6</f>
        <v>0</v>
      </c>
      <c r="AG6"/>
      <c r="AH6" s="16" t="s">
        <v>26</v>
      </c>
      <c r="AI6" s="15">
        <v>0</v>
      </c>
      <c r="AJ6"/>
    </row>
    <row r="7" spans="1:36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/>
      <c r="J7" s="2"/>
      <c r="K7" s="2">
        <v>752</v>
      </c>
      <c r="L7" s="2"/>
      <c r="M7" s="2"/>
      <c r="N7" s="2"/>
      <c r="O7" s="8">
        <f t="shared" si="0"/>
        <v>612</v>
      </c>
      <c r="P7" s="19">
        <v>140</v>
      </c>
      <c r="Q7" s="19"/>
      <c r="R7" s="19"/>
      <c r="S7" s="2"/>
      <c r="T7" s="19"/>
      <c r="U7" s="2"/>
      <c r="V7" s="19"/>
      <c r="W7" s="19"/>
      <c r="X7" s="19"/>
      <c r="Y7" s="19"/>
      <c r="Z7" s="2"/>
      <c r="AA7" s="7">
        <f t="shared" si="1"/>
        <v>76.703999999999994</v>
      </c>
      <c r="AB7" s="8" t="s">
        <v>95</v>
      </c>
      <c r="AC7" s="8">
        <v>0</v>
      </c>
      <c r="AD7" s="8">
        <v>70</v>
      </c>
      <c r="AE7" s="8" t="s">
        <v>101</v>
      </c>
      <c r="AF7" s="8">
        <f t="shared" si="2"/>
        <v>10.742857142857142</v>
      </c>
      <c r="AG7"/>
      <c r="AH7" s="16" t="s">
        <v>95</v>
      </c>
      <c r="AI7" s="15">
        <v>0</v>
      </c>
      <c r="AJ7"/>
    </row>
    <row r="8" spans="1:36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/>
      <c r="J8" s="2"/>
      <c r="K8" s="2">
        <v>162</v>
      </c>
      <c r="L8" s="2"/>
      <c r="M8" s="2"/>
      <c r="N8" s="2"/>
      <c r="O8" s="8">
        <f t="shared" si="0"/>
        <v>162</v>
      </c>
      <c r="P8" s="19"/>
      <c r="Q8" s="19"/>
      <c r="R8" s="19"/>
      <c r="S8" s="2"/>
      <c r="T8" s="19"/>
      <c r="U8" s="2"/>
      <c r="V8" s="19"/>
      <c r="W8" s="19"/>
      <c r="X8" s="19"/>
      <c r="Y8" s="19"/>
      <c r="Z8" s="2"/>
      <c r="AA8" s="7">
        <f t="shared" si="1"/>
        <v>17.334</v>
      </c>
      <c r="AB8" s="8" t="s">
        <v>95</v>
      </c>
      <c r="AC8" s="8">
        <v>0</v>
      </c>
      <c r="AD8" s="8">
        <v>70</v>
      </c>
      <c r="AE8" s="8" t="s">
        <v>101</v>
      </c>
      <c r="AF8" s="8">
        <f t="shared" si="2"/>
        <v>2.3142857142857145</v>
      </c>
      <c r="AG8"/>
      <c r="AH8" s="16" t="s">
        <v>27</v>
      </c>
      <c r="AI8" s="15">
        <v>0</v>
      </c>
      <c r="AJ8"/>
    </row>
    <row r="9" spans="1:36" hidden="1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/>
      <c r="J9" s="2"/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2"/>
      <c r="AA9" s="7">
        <f t="shared" si="1"/>
        <v>0</v>
      </c>
      <c r="AB9" s="8" t="s">
        <v>26</v>
      </c>
      <c r="AC9" s="8">
        <v>0</v>
      </c>
      <c r="AD9" s="8">
        <v>70</v>
      </c>
      <c r="AE9" s="8" t="s">
        <v>101</v>
      </c>
      <c r="AF9" s="8">
        <f t="shared" si="2"/>
        <v>0</v>
      </c>
      <c r="AG9"/>
      <c r="AH9" s="16" t="s">
        <v>96</v>
      </c>
      <c r="AI9" s="15">
        <v>0</v>
      </c>
      <c r="AJ9"/>
    </row>
    <row r="10" spans="1:36" hidden="1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/>
      <c r="J10" s="2"/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2"/>
      <c r="AA10" s="7">
        <f t="shared" si="1"/>
        <v>0</v>
      </c>
      <c r="AB10" s="8" t="s">
        <v>95</v>
      </c>
      <c r="AC10" s="8">
        <v>0</v>
      </c>
      <c r="AD10" s="8">
        <v>70</v>
      </c>
      <c r="AE10" s="8" t="s">
        <v>101</v>
      </c>
      <c r="AF10" s="8">
        <f t="shared" si="2"/>
        <v>0</v>
      </c>
      <c r="AG10"/>
      <c r="AH10" s="16" t="s">
        <v>97</v>
      </c>
      <c r="AI10" s="15">
        <v>0</v>
      </c>
      <c r="AJ10"/>
    </row>
    <row r="11" spans="1:36" hidden="1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/>
      <c r="J11" s="2"/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si="1"/>
        <v>0</v>
      </c>
      <c r="AB11" s="8" t="s">
        <v>26</v>
      </c>
      <c r="AC11" s="8">
        <v>0</v>
      </c>
      <c r="AD11" s="8">
        <v>160</v>
      </c>
      <c r="AE11" s="8" t="s">
        <v>101</v>
      </c>
      <c r="AF11" s="8">
        <f t="shared" si="2"/>
        <v>0</v>
      </c>
      <c r="AG11"/>
      <c r="AH11" s="16" t="s">
        <v>30</v>
      </c>
      <c r="AI11" s="15">
        <v>0</v>
      </c>
      <c r="AJ11"/>
    </row>
    <row r="12" spans="1:36" hidden="1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/>
      <c r="J12" s="2"/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>
        <v>0</v>
      </c>
      <c r="AD12" s="8">
        <v>200</v>
      </c>
      <c r="AE12" s="8" t="s">
        <v>101</v>
      </c>
      <c r="AF12" s="8">
        <f t="shared" si="2"/>
        <v>0</v>
      </c>
      <c r="AG12"/>
      <c r="AH12"/>
      <c r="AI12"/>
      <c r="AJ12"/>
    </row>
    <row r="13" spans="1:36" hidden="1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/>
      <c r="J13" s="2"/>
      <c r="K13" s="2"/>
      <c r="L13" s="2"/>
      <c r="M13" s="2"/>
      <c r="N13" s="2"/>
      <c r="O13" s="8">
        <f t="shared" si="0"/>
        <v>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2"/>
      <c r="AA13" s="7">
        <f t="shared" si="1"/>
        <v>0</v>
      </c>
      <c r="AB13" s="8" t="s">
        <v>95</v>
      </c>
      <c r="AC13" s="8">
        <v>0</v>
      </c>
      <c r="AD13" s="8">
        <v>280</v>
      </c>
      <c r="AE13" s="8" t="s">
        <v>101</v>
      </c>
      <c r="AF13" s="8">
        <f t="shared" si="2"/>
        <v>0</v>
      </c>
      <c r="AG13"/>
      <c r="AH13"/>
      <c r="AI13"/>
      <c r="AJ13"/>
    </row>
    <row r="14" spans="1:36" hidden="1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/>
      <c r="J14" s="2"/>
      <c r="K14" s="2"/>
      <c r="L14" s="2"/>
      <c r="M14" s="2"/>
      <c r="N14" s="2"/>
      <c r="O14" s="8">
        <f t="shared" si="0"/>
        <v>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2"/>
      <c r="AA14" s="7">
        <f t="shared" si="1"/>
        <v>0</v>
      </c>
      <c r="AB14" s="8" t="s">
        <v>26</v>
      </c>
      <c r="AC14" s="8">
        <v>0</v>
      </c>
      <c r="AD14" s="8">
        <v>260</v>
      </c>
      <c r="AE14" s="8" t="s">
        <v>101</v>
      </c>
      <c r="AF14" s="8">
        <f t="shared" si="2"/>
        <v>0</v>
      </c>
      <c r="AG14"/>
      <c r="AH14"/>
      <c r="AI14"/>
      <c r="AJ14"/>
    </row>
    <row r="15" spans="1:36" hidden="1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/>
      <c r="J15" s="2"/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26</v>
      </c>
      <c r="AC15" s="8">
        <v>0</v>
      </c>
      <c r="AD15" s="8">
        <v>520</v>
      </c>
      <c r="AE15" s="8" t="s">
        <v>101</v>
      </c>
      <c r="AF15" s="8">
        <f t="shared" si="2"/>
        <v>0</v>
      </c>
      <c r="AG15"/>
      <c r="AH15"/>
      <c r="AI15"/>
      <c r="AJ15"/>
    </row>
    <row r="16" spans="1:36" hidden="1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/>
      <c r="J16" s="2"/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27</v>
      </c>
      <c r="AC16" s="8">
        <v>0</v>
      </c>
      <c r="AD16" s="8">
        <v>150</v>
      </c>
      <c r="AE16" s="8" t="s">
        <v>101</v>
      </c>
      <c r="AF16" s="8">
        <f t="shared" si="2"/>
        <v>0</v>
      </c>
      <c r="AG16"/>
      <c r="AH16"/>
      <c r="AI16"/>
      <c r="AJ16"/>
    </row>
    <row r="17" spans="1:36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400</v>
      </c>
      <c r="J17" s="2">
        <v>400</v>
      </c>
      <c r="K17" s="2">
        <v>400</v>
      </c>
      <c r="L17" s="2"/>
      <c r="M17" s="2"/>
      <c r="N17" s="2"/>
      <c r="O17" s="8">
        <f t="shared" si="0"/>
        <v>650</v>
      </c>
      <c r="P17" s="19"/>
      <c r="Q17" s="19"/>
      <c r="R17" s="19"/>
      <c r="S17" s="2"/>
      <c r="T17" s="19"/>
      <c r="U17" s="2"/>
      <c r="V17" s="19"/>
      <c r="W17" s="19">
        <v>400</v>
      </c>
      <c r="X17" s="19">
        <v>150</v>
      </c>
      <c r="Y17" s="19"/>
      <c r="Z17" s="2"/>
      <c r="AA17" s="7">
        <f t="shared" si="1"/>
        <v>260.39999999999998</v>
      </c>
      <c r="AB17" s="8" t="s">
        <v>96</v>
      </c>
      <c r="AC17" s="8">
        <v>0</v>
      </c>
      <c r="AD17" s="8">
        <v>400</v>
      </c>
      <c r="AE17" s="8" t="s">
        <v>101</v>
      </c>
      <c r="AF17" s="8">
        <f t="shared" si="2"/>
        <v>3</v>
      </c>
      <c r="AG17"/>
      <c r="AH17"/>
      <c r="AI17"/>
      <c r="AJ17"/>
    </row>
    <row r="18" spans="1:36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/>
      <c r="J18" s="2"/>
      <c r="K18" s="2">
        <v>143</v>
      </c>
      <c r="L18" s="2"/>
      <c r="M18" s="2"/>
      <c r="N18" s="2"/>
      <c r="O18" s="8">
        <f t="shared" si="0"/>
        <v>143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2"/>
      <c r="AA18" s="7">
        <f t="shared" si="1"/>
        <v>15.157999999999999</v>
      </c>
      <c r="AB18" s="8" t="s">
        <v>27</v>
      </c>
      <c r="AC18" s="8">
        <v>0</v>
      </c>
      <c r="AD18" s="8">
        <v>150</v>
      </c>
      <c r="AE18" s="8" t="s">
        <v>101</v>
      </c>
      <c r="AF18" s="8">
        <f t="shared" si="2"/>
        <v>0.95333333333333337</v>
      </c>
      <c r="AG18"/>
      <c r="AH18"/>
      <c r="AI18"/>
      <c r="AJ18"/>
    </row>
    <row r="19" spans="1:36" hidden="1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>
        <v>400</v>
      </c>
      <c r="J19" s="2">
        <v>20</v>
      </c>
      <c r="K19" s="2"/>
      <c r="L19" s="2"/>
      <c r="M19" s="2"/>
      <c r="N19" s="2"/>
      <c r="O19" s="8">
        <f t="shared" si="0"/>
        <v>-20</v>
      </c>
      <c r="P19" s="19"/>
      <c r="Q19" s="19"/>
      <c r="R19" s="19"/>
      <c r="S19" s="2"/>
      <c r="T19" s="19"/>
      <c r="U19" s="2"/>
      <c r="V19" s="19">
        <v>440</v>
      </c>
      <c r="W19" s="19"/>
      <c r="X19" s="19"/>
      <c r="Y19" s="19"/>
      <c r="Z19" s="2"/>
      <c r="AA19" s="7">
        <f t="shared" si="1"/>
        <v>74.339999999999989</v>
      </c>
      <c r="AB19" s="8" t="s">
        <v>96</v>
      </c>
      <c r="AC19" s="8">
        <v>0</v>
      </c>
      <c r="AD19" s="8">
        <v>420</v>
      </c>
      <c r="AE19" s="8" t="s">
        <v>101</v>
      </c>
      <c r="AF19" s="8">
        <f t="shared" si="2"/>
        <v>1</v>
      </c>
      <c r="AG19"/>
      <c r="AH19"/>
      <c r="AI19"/>
      <c r="AJ19"/>
    </row>
    <row r="20" spans="1:36" hidden="1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/>
      <c r="J20" s="2"/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95</v>
      </c>
      <c r="AC20" s="8">
        <v>0</v>
      </c>
      <c r="AD20" s="8">
        <v>64</v>
      </c>
      <c r="AE20" s="8" t="s">
        <v>101</v>
      </c>
      <c r="AF20" s="8">
        <f t="shared" si="2"/>
        <v>0</v>
      </c>
      <c r="AG20"/>
      <c r="AH20"/>
      <c r="AI20"/>
      <c r="AJ20"/>
    </row>
    <row r="21" spans="1:36" hidden="1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/>
      <c r="J21" s="2"/>
      <c r="K21" s="2"/>
      <c r="L21" s="2"/>
      <c r="M21" s="2"/>
      <c r="N21" s="2"/>
      <c r="O21" s="8">
        <f t="shared" si="0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2"/>
      <c r="AA21" s="7">
        <f t="shared" si="1"/>
        <v>0</v>
      </c>
      <c r="AB21" s="8" t="s">
        <v>27</v>
      </c>
      <c r="AC21" s="8">
        <v>0</v>
      </c>
      <c r="AD21" s="8">
        <v>92</v>
      </c>
      <c r="AE21" s="8" t="s">
        <v>101</v>
      </c>
      <c r="AF21" s="8">
        <f t="shared" si="2"/>
        <v>0</v>
      </c>
      <c r="AG21"/>
      <c r="AH21"/>
      <c r="AI21"/>
      <c r="AJ21"/>
    </row>
    <row r="22" spans="1:36" hidden="1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/>
      <c r="J22" s="2"/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97</v>
      </c>
      <c r="AC22" s="8">
        <v>0</v>
      </c>
      <c r="AD22" s="8">
        <v>200</v>
      </c>
      <c r="AE22" s="8" t="s">
        <v>101</v>
      </c>
      <c r="AF22" s="8">
        <f t="shared" si="2"/>
        <v>0</v>
      </c>
      <c r="AG22"/>
      <c r="AH22"/>
      <c r="AI22"/>
      <c r="AJ22"/>
    </row>
    <row r="23" spans="1:36" hidden="1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/>
      <c r="J23" s="2"/>
      <c r="K23" s="2"/>
      <c r="L23" s="2"/>
      <c r="M23" s="2"/>
      <c r="N23" s="2"/>
      <c r="O23" s="8">
        <f t="shared" si="0"/>
        <v>-94</v>
      </c>
      <c r="P23" s="19">
        <v>94</v>
      </c>
      <c r="Q23" s="19"/>
      <c r="R23" s="19"/>
      <c r="S23" s="2"/>
      <c r="T23" s="19"/>
      <c r="U23" s="2"/>
      <c r="V23" s="19"/>
      <c r="W23" s="19"/>
      <c r="X23" s="19"/>
      <c r="Y23" s="19"/>
      <c r="Z23" s="2"/>
      <c r="AA23" s="7">
        <f t="shared" si="1"/>
        <v>0</v>
      </c>
      <c r="AB23" s="8" t="s">
        <v>97</v>
      </c>
      <c r="AC23" s="8">
        <v>0</v>
      </c>
      <c r="AD23" s="8">
        <v>260</v>
      </c>
      <c r="AE23" s="8" t="s">
        <v>101</v>
      </c>
      <c r="AF23" s="8">
        <f t="shared" si="2"/>
        <v>0</v>
      </c>
      <c r="AG23"/>
    </row>
    <row r="24" spans="1:36" hidden="1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2"/>
      <c r="AA24" s="7">
        <f t="shared" si="1"/>
        <v>0</v>
      </c>
      <c r="AB24" s="8" t="s">
        <v>27</v>
      </c>
      <c r="AC24" s="8">
        <v>0</v>
      </c>
      <c r="AD24" s="8">
        <v>100</v>
      </c>
      <c r="AE24" s="8" t="s">
        <v>101</v>
      </c>
      <c r="AF24" s="8">
        <f t="shared" si="2"/>
        <v>0</v>
      </c>
      <c r="AG24"/>
    </row>
    <row r="25" spans="1:36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640</v>
      </c>
      <c r="J25" s="2"/>
      <c r="K25" s="2">
        <v>276</v>
      </c>
      <c r="L25" s="2"/>
      <c r="M25" s="2"/>
      <c r="N25" s="2"/>
      <c r="O25" s="8">
        <f>+I25+J25+K25+L25+M25+N25-SUM(P25:Z25)</f>
        <v>328</v>
      </c>
      <c r="P25" s="19">
        <v>140</v>
      </c>
      <c r="Q25" s="19"/>
      <c r="R25" s="19">
        <v>192</v>
      </c>
      <c r="S25" s="2"/>
      <c r="T25" s="19"/>
      <c r="U25" s="2"/>
      <c r="V25" s="19"/>
      <c r="W25" s="19"/>
      <c r="X25" s="19">
        <v>256</v>
      </c>
      <c r="Y25" s="19"/>
      <c r="Z25" s="2"/>
      <c r="AA25" s="7">
        <f t="shared" si="1"/>
        <v>145.64400000000001</v>
      </c>
      <c r="AB25" s="8" t="s">
        <v>95</v>
      </c>
      <c r="AC25" s="8">
        <v>0</v>
      </c>
      <c r="AD25" s="8">
        <v>64</v>
      </c>
      <c r="AE25" s="8" t="s">
        <v>101</v>
      </c>
      <c r="AF25" s="8">
        <f t="shared" si="2"/>
        <v>14.3125</v>
      </c>
      <c r="AG25"/>
    </row>
    <row r="26" spans="1:36" hidden="1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26</v>
      </c>
      <c r="AC26" s="8">
        <v>0</v>
      </c>
      <c r="AD26" s="8">
        <v>200</v>
      </c>
      <c r="AE26" s="8" t="s">
        <v>101</v>
      </c>
      <c r="AF26" s="8">
        <f t="shared" si="2"/>
        <v>0</v>
      </c>
      <c r="AG26"/>
    </row>
    <row r="27" spans="1:36" hidden="1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26</v>
      </c>
      <c r="AC27" s="8">
        <v>0</v>
      </c>
      <c r="AD27" s="8">
        <v>200</v>
      </c>
      <c r="AE27" s="8" t="s">
        <v>101</v>
      </c>
      <c r="AF27" s="8">
        <f t="shared" si="2"/>
        <v>0</v>
      </c>
      <c r="AG27"/>
    </row>
    <row r="28" spans="1:36" hidden="1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26</v>
      </c>
      <c r="AC28" s="8" t="s">
        <v>99</v>
      </c>
      <c r="AD28" s="8">
        <v>500</v>
      </c>
      <c r="AE28" s="8" t="s">
        <v>102</v>
      </c>
      <c r="AF28" s="8">
        <f t="shared" si="2"/>
        <v>0</v>
      </c>
      <c r="AG28"/>
    </row>
    <row r="29" spans="1:36" hidden="1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/>
      <c r="AA29" s="7">
        <f t="shared" si="1"/>
        <v>0</v>
      </c>
      <c r="AB29" s="8" t="s">
        <v>26</v>
      </c>
      <c r="AC29" s="8" t="s">
        <v>99</v>
      </c>
      <c r="AD29" s="8">
        <v>200</v>
      </c>
      <c r="AE29" s="8" t="s">
        <v>102</v>
      </c>
      <c r="AF29" s="8">
        <f t="shared" si="2"/>
        <v>0</v>
      </c>
      <c r="AG29"/>
    </row>
    <row r="30" spans="1:36" hidden="1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/>
      <c r="J30" s="2"/>
      <c r="K30" s="2"/>
      <c r="L30" s="2"/>
      <c r="M30" s="2"/>
      <c r="N30" s="2"/>
      <c r="O30" s="8">
        <f t="shared" si="0"/>
        <v>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2"/>
      <c r="AA30" s="7">
        <f t="shared" si="1"/>
        <v>0</v>
      </c>
      <c r="AB30" s="8" t="s">
        <v>26</v>
      </c>
      <c r="AC30" s="8" t="s">
        <v>99</v>
      </c>
      <c r="AD30" s="8">
        <v>200</v>
      </c>
      <c r="AE30" s="8" t="s">
        <v>102</v>
      </c>
      <c r="AF30" s="8">
        <f t="shared" si="2"/>
        <v>0</v>
      </c>
      <c r="AG30"/>
    </row>
    <row r="31" spans="1:36" hidden="1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/>
      <c r="J31" s="2"/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2"/>
      <c r="AA31" s="7">
        <f t="shared" si="1"/>
        <v>0</v>
      </c>
      <c r="AB31" s="8" t="s">
        <v>26</v>
      </c>
      <c r="AC31" s="8" t="s">
        <v>99</v>
      </c>
      <c r="AD31" s="8">
        <v>100</v>
      </c>
      <c r="AE31" s="8" t="s">
        <v>102</v>
      </c>
      <c r="AF31" s="8">
        <f t="shared" si="2"/>
        <v>0</v>
      </c>
      <c r="AG31"/>
    </row>
    <row r="32" spans="1:36" hidden="1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/>
      <c r="J32" s="2"/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97</v>
      </c>
      <c r="AC32" s="8" t="s">
        <v>98</v>
      </c>
      <c r="AD32" s="8">
        <v>400</v>
      </c>
      <c r="AE32" s="8" t="s">
        <v>102</v>
      </c>
      <c r="AF32" s="8">
        <f t="shared" si="2"/>
        <v>0</v>
      </c>
      <c r="AG32"/>
    </row>
    <row r="33" spans="1:33" hidden="1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2"/>
      <c r="AA33" s="7">
        <f t="shared" si="1"/>
        <v>0</v>
      </c>
      <c r="AB33" s="8" t="s">
        <v>26</v>
      </c>
      <c r="AC33" s="8" t="s">
        <v>98</v>
      </c>
      <c r="AD33" s="8">
        <v>250</v>
      </c>
      <c r="AE33" s="8" t="s">
        <v>102</v>
      </c>
      <c r="AF33" s="8">
        <f t="shared" si="2"/>
        <v>0</v>
      </c>
      <c r="AG33"/>
    </row>
    <row r="34" spans="1:33" hidden="1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2"/>
      <c r="AA34" s="7">
        <f t="shared" si="1"/>
        <v>0</v>
      </c>
      <c r="AB34" s="8" t="s">
        <v>26</v>
      </c>
      <c r="AC34" s="8" t="s">
        <v>98</v>
      </c>
      <c r="AD34" s="8">
        <v>300</v>
      </c>
      <c r="AE34" s="8" t="s">
        <v>102</v>
      </c>
      <c r="AF34" s="8">
        <f t="shared" si="2"/>
        <v>0</v>
      </c>
      <c r="AG34"/>
    </row>
    <row r="35" spans="1:33" hidden="1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/>
      <c r="J35" s="2"/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0</v>
      </c>
      <c r="AB35" s="8" t="s">
        <v>26</v>
      </c>
      <c r="AC35" s="8" t="s">
        <v>98</v>
      </c>
      <c r="AD35" s="8">
        <v>300</v>
      </c>
      <c r="AE35" s="8" t="s">
        <v>102</v>
      </c>
      <c r="AF35" s="8">
        <f t="shared" si="2"/>
        <v>0</v>
      </c>
      <c r="AG35"/>
    </row>
    <row r="36" spans="1:33" hidden="1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/>
      <c r="J36" s="2"/>
      <c r="K36" s="2"/>
      <c r="L36" s="2"/>
      <c r="M36" s="2"/>
      <c r="N36" s="2"/>
      <c r="O36" s="8">
        <f t="shared" si="0"/>
        <v>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0</v>
      </c>
      <c r="AB36" s="8" t="s">
        <v>97</v>
      </c>
      <c r="AC36" s="8" t="s">
        <v>98</v>
      </c>
      <c r="AD36" s="8">
        <v>250</v>
      </c>
      <c r="AE36" s="8" t="s">
        <v>102</v>
      </c>
      <c r="AF36" s="8">
        <f t="shared" si="2"/>
        <v>0</v>
      </c>
      <c r="AG36"/>
    </row>
    <row r="37" spans="1:33" hidden="1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/>
      <c r="J37" s="2"/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26</v>
      </c>
      <c r="AC37" s="8" t="s">
        <v>99</v>
      </c>
      <c r="AD37" s="8">
        <v>100</v>
      </c>
      <c r="AE37" s="8" t="s">
        <v>102</v>
      </c>
      <c r="AF37" s="8">
        <f t="shared" si="2"/>
        <v>0</v>
      </c>
      <c r="AG37"/>
    </row>
    <row r="38" spans="1:33" hidden="1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/>
      <c r="J38" s="2"/>
      <c r="K38" s="2"/>
      <c r="L38" s="2"/>
      <c r="M38" s="2"/>
      <c r="N38" s="2"/>
      <c r="O38" s="8">
        <f t="shared" ref="O38:O63" si="3">+I38+J38+K38+L38+M38+N38-SUM(P38:Z38)</f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ref="AA38:AA63" si="4">+G38*SUM(I38:N38)</f>
        <v>0</v>
      </c>
      <c r="AB38" s="8" t="s">
        <v>26</v>
      </c>
      <c r="AC38" s="8" t="s">
        <v>99</v>
      </c>
      <c r="AD38" s="8">
        <v>100</v>
      </c>
      <c r="AE38" s="8" t="s">
        <v>102</v>
      </c>
      <c r="AF38" s="8">
        <f t="shared" ref="AF38:AF63" si="5">+SUM(I38:N38)/AD38</f>
        <v>0</v>
      </c>
      <c r="AG38"/>
    </row>
    <row r="39" spans="1:33" hidden="1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/>
      <c r="J39" s="2"/>
      <c r="K39" s="2"/>
      <c r="L39" s="2"/>
      <c r="M39" s="2"/>
      <c r="N39" s="2"/>
      <c r="O39" s="8">
        <f t="shared" si="3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4"/>
        <v>0</v>
      </c>
      <c r="AB39" s="8" t="s">
        <v>26</v>
      </c>
      <c r="AC39" s="8" t="s">
        <v>99</v>
      </c>
      <c r="AD39" s="8">
        <v>300</v>
      </c>
      <c r="AE39" s="8" t="s">
        <v>102</v>
      </c>
      <c r="AF39" s="8">
        <f t="shared" si="5"/>
        <v>0</v>
      </c>
      <c r="AG39"/>
    </row>
    <row r="40" spans="1:33" hidden="1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/>
      <c r="J40" s="2"/>
      <c r="K40" s="2"/>
      <c r="L40" s="2"/>
      <c r="M40" s="2"/>
      <c r="N40" s="2"/>
      <c r="O40" s="8">
        <f t="shared" si="3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4"/>
        <v>0</v>
      </c>
      <c r="AB40" s="8" t="s">
        <v>26</v>
      </c>
      <c r="AC40" s="8" t="s">
        <v>99</v>
      </c>
      <c r="AD40" s="8">
        <v>200</v>
      </c>
      <c r="AE40" s="8" t="s">
        <v>102</v>
      </c>
      <c r="AF40" s="8">
        <f t="shared" si="5"/>
        <v>0</v>
      </c>
      <c r="AG40"/>
    </row>
    <row r="41" spans="1:33" hidden="1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/>
      <c r="J41" s="2"/>
      <c r="K41" s="2"/>
      <c r="L41" s="2"/>
      <c r="M41" s="2"/>
      <c r="N41" s="2"/>
      <c r="O41" s="8">
        <f t="shared" si="3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4"/>
        <v>0</v>
      </c>
      <c r="AB41" s="8" t="s">
        <v>26</v>
      </c>
      <c r="AC41" s="8" t="s">
        <v>99</v>
      </c>
      <c r="AD41" s="8">
        <v>100</v>
      </c>
      <c r="AE41" s="8" t="s">
        <v>102</v>
      </c>
      <c r="AF41" s="8">
        <f t="shared" si="5"/>
        <v>0</v>
      </c>
      <c r="AG41"/>
    </row>
    <row r="42" spans="1:33" hidden="1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/>
      <c r="J42" s="2"/>
      <c r="K42" s="2"/>
      <c r="L42" s="2"/>
      <c r="M42" s="2"/>
      <c r="N42" s="2"/>
      <c r="O42" s="8">
        <f t="shared" si="3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4"/>
        <v>0</v>
      </c>
      <c r="AB42" s="8" t="s">
        <v>26</v>
      </c>
      <c r="AC42" s="8" t="s">
        <v>99</v>
      </c>
      <c r="AD42" s="8">
        <v>300</v>
      </c>
      <c r="AE42" s="8" t="s">
        <v>102</v>
      </c>
      <c r="AF42" s="8">
        <f t="shared" si="5"/>
        <v>0</v>
      </c>
      <c r="AG42"/>
    </row>
    <row r="43" spans="1:33" hidden="1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/>
      <c r="J43" s="2"/>
      <c r="K43" s="2"/>
      <c r="L43" s="2"/>
      <c r="M43" s="2"/>
      <c r="N43" s="2"/>
      <c r="O43" s="8">
        <f t="shared" si="3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4"/>
        <v>0</v>
      </c>
      <c r="AB43" s="8" t="s">
        <v>26</v>
      </c>
      <c r="AC43" s="8" t="s">
        <v>99</v>
      </c>
      <c r="AD43" s="8">
        <v>260</v>
      </c>
      <c r="AE43" s="8" t="s">
        <v>102</v>
      </c>
      <c r="AF43" s="8">
        <f t="shared" si="5"/>
        <v>0</v>
      </c>
      <c r="AG43"/>
    </row>
    <row r="44" spans="1:33" hidden="1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/>
      <c r="J44" s="2"/>
      <c r="K44" s="2"/>
      <c r="L44" s="2"/>
      <c r="M44" s="2"/>
      <c r="N44" s="2"/>
      <c r="O44" s="8">
        <f t="shared" si="3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4"/>
        <v>0</v>
      </c>
      <c r="AB44" s="8" t="s">
        <v>26</v>
      </c>
      <c r="AC44" s="8" t="s">
        <v>99</v>
      </c>
      <c r="AD44" s="8">
        <v>500</v>
      </c>
      <c r="AE44" s="8" t="s">
        <v>102</v>
      </c>
      <c r="AF44" s="8">
        <f t="shared" si="5"/>
        <v>0</v>
      </c>
      <c r="AG44"/>
    </row>
    <row r="45" spans="1:33" hidden="1" x14ac:dyDescent="0.25">
      <c r="A45" s="2">
        <v>40</v>
      </c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/>
      <c r="J45" s="2"/>
      <c r="K45" s="2"/>
      <c r="L45" s="2"/>
      <c r="M45" s="2"/>
      <c r="N45" s="2"/>
      <c r="O45" s="8">
        <f t="shared" si="3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2"/>
      <c r="AA45" s="7">
        <f t="shared" si="4"/>
        <v>0</v>
      </c>
      <c r="AB45" s="8" t="s">
        <v>95</v>
      </c>
      <c r="AC45" s="8" t="s">
        <v>98</v>
      </c>
      <c r="AD45" s="8">
        <v>50</v>
      </c>
      <c r="AE45" s="8" t="s">
        <v>102</v>
      </c>
      <c r="AF45" s="8">
        <f t="shared" si="5"/>
        <v>0</v>
      </c>
      <c r="AG45"/>
    </row>
    <row r="46" spans="1:33" hidden="1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/>
      <c r="J46" s="2"/>
      <c r="K46" s="2">
        <v>500</v>
      </c>
      <c r="L46" s="2"/>
      <c r="M46" s="2"/>
      <c r="N46" s="2"/>
      <c r="O46" s="8">
        <f t="shared" si="3"/>
        <v>0</v>
      </c>
      <c r="P46" s="19">
        <v>500</v>
      </c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4"/>
        <v>98.5</v>
      </c>
      <c r="AB46" s="8" t="s">
        <v>95</v>
      </c>
      <c r="AC46" s="8" t="s">
        <v>98</v>
      </c>
      <c r="AD46" s="8">
        <v>50</v>
      </c>
      <c r="AE46" s="8" t="s">
        <v>102</v>
      </c>
      <c r="AF46" s="8">
        <f t="shared" si="5"/>
        <v>10</v>
      </c>
      <c r="AG46"/>
    </row>
    <row r="47" spans="1:33" hidden="1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/>
      <c r="J47" s="2"/>
      <c r="K47" s="2"/>
      <c r="L47" s="2"/>
      <c r="M47" s="2"/>
      <c r="N47" s="2"/>
      <c r="O47" s="8">
        <f t="shared" si="3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2"/>
      <c r="AA47" s="7">
        <f t="shared" si="4"/>
        <v>0</v>
      </c>
      <c r="AB47" s="8" t="s">
        <v>95</v>
      </c>
      <c r="AC47" s="8" t="s">
        <v>98</v>
      </c>
      <c r="AD47" s="8">
        <v>50</v>
      </c>
      <c r="AE47" s="8" t="s">
        <v>102</v>
      </c>
      <c r="AF47" s="8">
        <f t="shared" si="5"/>
        <v>0</v>
      </c>
      <c r="AG47"/>
    </row>
    <row r="48" spans="1:33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/>
      <c r="J48" s="2"/>
      <c r="K48" s="2">
        <v>950</v>
      </c>
      <c r="L48" s="2"/>
      <c r="M48" s="2"/>
      <c r="N48" s="2"/>
      <c r="O48" s="8">
        <f t="shared" si="3"/>
        <v>950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2"/>
      <c r="AA48" s="7">
        <f t="shared" si="4"/>
        <v>115.89999999999999</v>
      </c>
      <c r="AB48" s="8" t="s">
        <v>95</v>
      </c>
      <c r="AC48" s="8" t="s">
        <v>98</v>
      </c>
      <c r="AD48" s="8">
        <v>50</v>
      </c>
      <c r="AE48" s="8" t="s">
        <v>102</v>
      </c>
      <c r="AF48" s="8">
        <f t="shared" si="5"/>
        <v>19</v>
      </c>
      <c r="AG48"/>
    </row>
    <row r="49" spans="1:33" hidden="1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/>
      <c r="J49" s="2"/>
      <c r="K49" s="2"/>
      <c r="L49" s="2"/>
      <c r="M49" s="2"/>
      <c r="N49" s="2"/>
      <c r="O49" s="8">
        <f t="shared" si="3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4"/>
        <v>0</v>
      </c>
      <c r="AB49" s="8" t="s">
        <v>26</v>
      </c>
      <c r="AC49" s="8" t="s">
        <v>99</v>
      </c>
      <c r="AD49" s="8">
        <v>100</v>
      </c>
      <c r="AE49" s="8" t="s">
        <v>102</v>
      </c>
      <c r="AF49" s="8">
        <f t="shared" si="5"/>
        <v>0</v>
      </c>
      <c r="AG49"/>
    </row>
    <row r="50" spans="1:33" hidden="1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/>
      <c r="J50" s="2"/>
      <c r="K50" s="2"/>
      <c r="L50" s="2"/>
      <c r="M50" s="2"/>
      <c r="N50" s="2"/>
      <c r="O50" s="8">
        <f t="shared" si="3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2"/>
      <c r="AA50" s="7">
        <f t="shared" si="4"/>
        <v>0</v>
      </c>
      <c r="AB50" s="8" t="s">
        <v>25</v>
      </c>
      <c r="AC50" s="8" t="s">
        <v>99</v>
      </c>
      <c r="AD50" s="8">
        <v>50</v>
      </c>
      <c r="AE50" s="8" t="s">
        <v>102</v>
      </c>
      <c r="AF50" s="8">
        <f t="shared" si="5"/>
        <v>0</v>
      </c>
      <c r="AG50"/>
    </row>
    <row r="51" spans="1:33" hidden="1" x14ac:dyDescent="0.25">
      <c r="A51" s="2">
        <v>46</v>
      </c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/>
      <c r="J51" s="2"/>
      <c r="K51" s="2">
        <v>400</v>
      </c>
      <c r="L51" s="2"/>
      <c r="M51" s="2"/>
      <c r="N51" s="2"/>
      <c r="O51" s="8">
        <f t="shared" si="3"/>
        <v>0</v>
      </c>
      <c r="P51" s="19">
        <v>400</v>
      </c>
      <c r="Q51" s="19"/>
      <c r="R51" s="19"/>
      <c r="S51" s="2"/>
      <c r="T51" s="19"/>
      <c r="U51" s="2"/>
      <c r="V51" s="19"/>
      <c r="W51" s="19"/>
      <c r="X51" s="19"/>
      <c r="Y51" s="19"/>
      <c r="Z51" s="2"/>
      <c r="AA51" s="7">
        <f t="shared" si="4"/>
        <v>106</v>
      </c>
      <c r="AB51" s="8" t="s">
        <v>97</v>
      </c>
      <c r="AC51" s="8" t="s">
        <v>99</v>
      </c>
      <c r="AD51" s="8">
        <v>400</v>
      </c>
      <c r="AE51" s="8" t="s">
        <v>102</v>
      </c>
      <c r="AF51" s="8">
        <f t="shared" si="5"/>
        <v>1</v>
      </c>
      <c r="AG51"/>
    </row>
    <row r="52" spans="1:33" x14ac:dyDescent="0.25">
      <c r="A52" s="2">
        <v>47</v>
      </c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/>
      <c r="J52" s="2"/>
      <c r="K52" s="2">
        <v>450</v>
      </c>
      <c r="L52" s="2"/>
      <c r="M52" s="2"/>
      <c r="N52" s="2"/>
      <c r="O52" s="8">
        <f t="shared" si="3"/>
        <v>450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2"/>
      <c r="AA52" s="7">
        <f t="shared" si="4"/>
        <v>61.2</v>
      </c>
      <c r="AB52" s="8" t="s">
        <v>27</v>
      </c>
      <c r="AC52" s="8" t="s">
        <v>99</v>
      </c>
      <c r="AD52" s="8">
        <v>50</v>
      </c>
      <c r="AE52" s="8" t="s">
        <v>102</v>
      </c>
      <c r="AF52" s="8">
        <f t="shared" si="5"/>
        <v>9</v>
      </c>
      <c r="AG52"/>
    </row>
    <row r="53" spans="1:33" hidden="1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/>
      <c r="J53" s="2"/>
      <c r="K53" s="2"/>
      <c r="L53" s="2"/>
      <c r="M53" s="2"/>
      <c r="N53" s="2"/>
      <c r="O53" s="8">
        <f t="shared" si="3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4"/>
        <v>0</v>
      </c>
      <c r="AB53" s="8" t="s">
        <v>97</v>
      </c>
      <c r="AC53" s="8" t="s">
        <v>99</v>
      </c>
      <c r="AD53" s="8">
        <v>400</v>
      </c>
      <c r="AE53" s="8" t="s">
        <v>102</v>
      </c>
      <c r="AF53" s="8">
        <f t="shared" si="5"/>
        <v>0</v>
      </c>
      <c r="AG53"/>
    </row>
    <row r="54" spans="1:33" hidden="1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/>
      <c r="J54" s="2"/>
      <c r="K54" s="2"/>
      <c r="L54" s="2"/>
      <c r="M54" s="2"/>
      <c r="N54" s="2"/>
      <c r="O54" s="8">
        <f t="shared" si="3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4"/>
        <v>0</v>
      </c>
      <c r="AB54" s="8" t="s">
        <v>97</v>
      </c>
      <c r="AC54" s="8" t="s">
        <v>99</v>
      </c>
      <c r="AD54" s="8">
        <v>400</v>
      </c>
      <c r="AE54" s="8" t="s">
        <v>102</v>
      </c>
      <c r="AF54" s="8">
        <f t="shared" si="5"/>
        <v>0</v>
      </c>
      <c r="AG54"/>
    </row>
    <row r="55" spans="1:33" hidden="1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/>
      <c r="J55" s="2"/>
      <c r="K55" s="2"/>
      <c r="L55" s="2"/>
      <c r="M55" s="2"/>
      <c r="N55" s="2"/>
      <c r="O55" s="8">
        <f t="shared" si="3"/>
        <v>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2"/>
      <c r="AA55" s="7">
        <f t="shared" si="4"/>
        <v>0</v>
      </c>
      <c r="AB55" s="8" t="s">
        <v>27</v>
      </c>
      <c r="AC55" s="8" t="s">
        <v>99</v>
      </c>
      <c r="AD55" s="8">
        <v>60</v>
      </c>
      <c r="AE55" s="8" t="s">
        <v>102</v>
      </c>
      <c r="AF55" s="8">
        <f t="shared" si="5"/>
        <v>0</v>
      </c>
      <c r="AG55"/>
    </row>
    <row r="56" spans="1:33" hidden="1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/>
      <c r="J56" s="2"/>
      <c r="K56" s="2"/>
      <c r="L56" s="2"/>
      <c r="M56" s="2"/>
      <c r="N56" s="2"/>
      <c r="O56" s="8">
        <f t="shared" si="3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2"/>
      <c r="AA56" s="7">
        <f t="shared" si="4"/>
        <v>0</v>
      </c>
      <c r="AB56" s="8" t="s">
        <v>27</v>
      </c>
      <c r="AC56" s="8" t="s">
        <v>99</v>
      </c>
      <c r="AD56" s="8">
        <v>70</v>
      </c>
      <c r="AE56" s="8" t="s">
        <v>102</v>
      </c>
      <c r="AF56" s="8">
        <f t="shared" si="5"/>
        <v>0</v>
      </c>
      <c r="AG56"/>
    </row>
    <row r="57" spans="1:33" hidden="1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/>
      <c r="J57" s="2"/>
      <c r="K57" s="2"/>
      <c r="L57" s="2"/>
      <c r="M57" s="2"/>
      <c r="N57" s="2"/>
      <c r="O57" s="8">
        <f t="shared" si="3"/>
        <v>0</v>
      </c>
      <c r="P57" s="19"/>
      <c r="Q57" s="19"/>
      <c r="R57" s="19"/>
      <c r="S57" s="2"/>
      <c r="T57" s="19"/>
      <c r="U57" s="2"/>
      <c r="V57" s="19"/>
      <c r="W57" s="19"/>
      <c r="X57" s="19"/>
      <c r="Y57" s="19"/>
      <c r="Z57" s="2"/>
      <c r="AA57" s="7">
        <f t="shared" si="4"/>
        <v>0</v>
      </c>
      <c r="AB57" s="8" t="s">
        <v>97</v>
      </c>
      <c r="AC57" s="8" t="s">
        <v>99</v>
      </c>
      <c r="AD57" s="8">
        <v>400</v>
      </c>
      <c r="AE57" s="8" t="s">
        <v>102</v>
      </c>
      <c r="AF57" s="8">
        <f t="shared" si="5"/>
        <v>0</v>
      </c>
      <c r="AG57"/>
    </row>
    <row r="58" spans="1:33" hidden="1" x14ac:dyDescent="0.25">
      <c r="A58" s="2">
        <v>53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/>
      <c r="J58" s="2"/>
      <c r="K58" s="2">
        <v>600</v>
      </c>
      <c r="L58" s="2"/>
      <c r="M58" s="2"/>
      <c r="N58" s="2"/>
      <c r="O58" s="8">
        <f t="shared" si="3"/>
        <v>0</v>
      </c>
      <c r="P58" s="19">
        <v>300</v>
      </c>
      <c r="Q58" s="19"/>
      <c r="R58" s="19">
        <v>300</v>
      </c>
      <c r="S58" s="2"/>
      <c r="T58" s="19"/>
      <c r="U58" s="2"/>
      <c r="V58" s="19"/>
      <c r="W58" s="19"/>
      <c r="X58" s="19"/>
      <c r="Y58" s="19"/>
      <c r="Z58" s="2"/>
      <c r="AA58" s="7">
        <f t="shared" si="4"/>
        <v>288.59999999999997</v>
      </c>
      <c r="AB58" s="8" t="s">
        <v>97</v>
      </c>
      <c r="AC58" s="8" t="s">
        <v>99</v>
      </c>
      <c r="AD58" s="8">
        <v>300</v>
      </c>
      <c r="AE58" s="8" t="s">
        <v>102</v>
      </c>
      <c r="AF58" s="8">
        <f t="shared" si="5"/>
        <v>2</v>
      </c>
      <c r="AG58"/>
    </row>
    <row r="59" spans="1:33" hidden="1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/>
      <c r="J59" s="2"/>
      <c r="K59" s="2"/>
      <c r="L59" s="2"/>
      <c r="M59" s="2"/>
      <c r="N59" s="2"/>
      <c r="O59" s="8">
        <f t="shared" si="3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2"/>
      <c r="AA59" s="7">
        <f t="shared" si="4"/>
        <v>0</v>
      </c>
      <c r="AB59" s="8" t="s">
        <v>97</v>
      </c>
      <c r="AC59" s="8" t="s">
        <v>99</v>
      </c>
      <c r="AD59" s="8">
        <v>500</v>
      </c>
      <c r="AE59" s="8" t="s">
        <v>102</v>
      </c>
      <c r="AF59" s="8">
        <f t="shared" si="5"/>
        <v>0</v>
      </c>
      <c r="AG59"/>
    </row>
    <row r="60" spans="1:33" hidden="1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/>
      <c r="J60" s="2"/>
      <c r="K60" s="2"/>
      <c r="L60" s="2"/>
      <c r="M60" s="2"/>
      <c r="N60" s="2"/>
      <c r="O60" s="8">
        <f t="shared" si="3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2"/>
      <c r="AA60" s="7">
        <f t="shared" si="4"/>
        <v>0</v>
      </c>
      <c r="AB60" s="8" t="s">
        <v>97</v>
      </c>
      <c r="AC60" s="8" t="s">
        <v>99</v>
      </c>
      <c r="AD60" s="8">
        <v>500</v>
      </c>
      <c r="AE60" s="8" t="s">
        <v>102</v>
      </c>
      <c r="AF60" s="8">
        <f t="shared" si="5"/>
        <v>0</v>
      </c>
      <c r="AG60"/>
    </row>
    <row r="61" spans="1:33" hidden="1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/>
      <c r="J61" s="2"/>
      <c r="K61" s="2"/>
      <c r="L61" s="2"/>
      <c r="M61" s="2"/>
      <c r="N61" s="2"/>
      <c r="O61" s="8">
        <f t="shared" si="3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2"/>
      <c r="AA61" s="7">
        <f t="shared" si="4"/>
        <v>0</v>
      </c>
      <c r="AB61" s="8" t="s">
        <v>26</v>
      </c>
      <c r="AC61" s="8" t="s">
        <v>98</v>
      </c>
      <c r="AD61" s="8">
        <v>250</v>
      </c>
      <c r="AE61" s="8" t="s">
        <v>102</v>
      </c>
      <c r="AF61" s="8">
        <f t="shared" si="5"/>
        <v>0</v>
      </c>
      <c r="AG61"/>
    </row>
    <row r="62" spans="1:33" hidden="1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/>
      <c r="J62" s="2"/>
      <c r="K62" s="2"/>
      <c r="L62" s="2"/>
      <c r="M62" s="2"/>
      <c r="N62" s="2"/>
      <c r="O62" s="8">
        <f t="shared" si="3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/>
      <c r="AA62" s="7">
        <f t="shared" si="4"/>
        <v>0</v>
      </c>
      <c r="AB62" s="8" t="s">
        <v>26</v>
      </c>
      <c r="AC62" s="8" t="s">
        <v>99</v>
      </c>
      <c r="AD62" s="8">
        <v>300</v>
      </c>
      <c r="AE62" s="8" t="s">
        <v>102</v>
      </c>
      <c r="AF62" s="8">
        <f t="shared" si="5"/>
        <v>0</v>
      </c>
      <c r="AG62"/>
    </row>
    <row r="63" spans="1:33" hidden="1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/>
      <c r="J63" s="2"/>
      <c r="K63" s="2"/>
      <c r="L63" s="2"/>
      <c r="M63" s="2"/>
      <c r="N63" s="2"/>
      <c r="O63" s="8">
        <f t="shared" si="3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4"/>
        <v>0</v>
      </c>
      <c r="AB63" s="8" t="s">
        <v>26</v>
      </c>
      <c r="AC63" s="8" t="s">
        <v>99</v>
      </c>
      <c r="AD63" s="8">
        <v>250</v>
      </c>
      <c r="AE63" s="8" t="s">
        <v>102</v>
      </c>
      <c r="AF63" s="8">
        <f t="shared" si="5"/>
        <v>0</v>
      </c>
      <c r="AG63"/>
    </row>
    <row r="64" spans="1:33" x14ac:dyDescent="0.25">
      <c r="H64" s="4" t="s">
        <v>19</v>
      </c>
      <c r="I64" s="9">
        <f t="shared" ref="I64:AA64" si="6">SUM(I6:I63)</f>
        <v>1440</v>
      </c>
      <c r="J64" s="9">
        <f t="shared" si="6"/>
        <v>420</v>
      </c>
      <c r="K64" s="9">
        <f t="shared" si="6"/>
        <v>4633</v>
      </c>
      <c r="L64" s="9">
        <f t="shared" si="6"/>
        <v>0</v>
      </c>
      <c r="M64" s="9">
        <f t="shared" si="6"/>
        <v>0</v>
      </c>
      <c r="N64" s="9">
        <f t="shared" si="6"/>
        <v>0</v>
      </c>
      <c r="O64" s="11">
        <f t="shared" si="6"/>
        <v>3181</v>
      </c>
      <c r="P64" s="20">
        <f t="shared" si="6"/>
        <v>1574</v>
      </c>
      <c r="Q64" s="20">
        <f t="shared" si="6"/>
        <v>0</v>
      </c>
      <c r="R64" s="20">
        <f t="shared" si="6"/>
        <v>492</v>
      </c>
      <c r="S64" s="9">
        <f t="shared" si="6"/>
        <v>0</v>
      </c>
      <c r="T64" s="20">
        <f t="shared" si="6"/>
        <v>0</v>
      </c>
      <c r="U64" s="9">
        <f t="shared" si="6"/>
        <v>0</v>
      </c>
      <c r="V64" s="20">
        <f t="shared" si="6"/>
        <v>440</v>
      </c>
      <c r="W64" s="20">
        <f t="shared" si="6"/>
        <v>400</v>
      </c>
      <c r="X64" s="20">
        <f t="shared" si="6"/>
        <v>406</v>
      </c>
      <c r="Y64" s="20">
        <f t="shared" si="6"/>
        <v>0</v>
      </c>
      <c r="Z64" s="9">
        <f t="shared" si="6"/>
        <v>0</v>
      </c>
      <c r="AA64" s="9">
        <f t="shared" si="6"/>
        <v>1259.78</v>
      </c>
      <c r="AF64" s="12">
        <f>SUM(AF6:AF63)</f>
        <v>73.322976190476197</v>
      </c>
    </row>
    <row r="65" spans="1:26" hidden="1" x14ac:dyDescent="0.25">
      <c r="H65" s="4" t="s">
        <v>21</v>
      </c>
      <c r="I65" s="56">
        <f>+I64+J64+K64+L64+M64+N64</f>
        <v>6493</v>
      </c>
      <c r="J65" s="56"/>
      <c r="K65" s="56"/>
      <c r="L65" s="56"/>
      <c r="M65" s="56"/>
      <c r="N65" s="56"/>
      <c r="P65" s="57">
        <f>+P64+Q64</f>
        <v>1574</v>
      </c>
      <c r="Q65" s="54"/>
      <c r="R65" s="57">
        <f>+R64+S64</f>
        <v>492</v>
      </c>
      <c r="S65" s="54"/>
      <c r="T65" s="57">
        <f>+T64+U64</f>
        <v>0</v>
      </c>
      <c r="U65" s="54"/>
      <c r="V65" s="57">
        <f t="shared" ref="V65" si="7">+V64+W64</f>
        <v>840</v>
      </c>
      <c r="W65" s="54"/>
      <c r="X65" s="57">
        <f t="shared" ref="X65" si="8">+X64+Y64</f>
        <v>406</v>
      </c>
      <c r="Y65" s="54"/>
      <c r="Z65" s="10">
        <f>+Z64</f>
        <v>0</v>
      </c>
    </row>
    <row r="66" spans="1:26" x14ac:dyDescent="0.25">
      <c r="I66" s="1">
        <v>0</v>
      </c>
      <c r="J66" s="25">
        <f>+J64</f>
        <v>420</v>
      </c>
      <c r="K66" s="25">
        <f t="shared" ref="K66:N66" si="9">+K64</f>
        <v>4633</v>
      </c>
      <c r="L66" s="25">
        <f t="shared" si="9"/>
        <v>0</v>
      </c>
      <c r="M66" s="25">
        <f t="shared" si="9"/>
        <v>0</v>
      </c>
      <c r="N66" s="25">
        <f t="shared" si="9"/>
        <v>0</v>
      </c>
    </row>
    <row r="68" spans="1:26" x14ac:dyDescent="0.25">
      <c r="C68" s="2" t="s">
        <v>111</v>
      </c>
      <c r="D68" s="2" t="s">
        <v>112</v>
      </c>
      <c r="E68" s="2" t="s">
        <v>113</v>
      </c>
    </row>
    <row r="69" spans="1:26" x14ac:dyDescent="0.25">
      <c r="B69" s="2" t="s">
        <v>114</v>
      </c>
      <c r="C69" s="8">
        <v>6493</v>
      </c>
      <c r="D69" s="2">
        <f>+C69/5</f>
        <v>1298.5999999999999</v>
      </c>
      <c r="E69" s="2">
        <f>+D69/2</f>
        <v>649.29999999999995</v>
      </c>
      <c r="H69" s="23"/>
    </row>
    <row r="70" spans="1:26" x14ac:dyDescent="0.25">
      <c r="B70" s="2" t="s">
        <v>115</v>
      </c>
      <c r="C70" s="8">
        <v>3181</v>
      </c>
      <c r="D70" s="2">
        <f>+C70/5</f>
        <v>636.20000000000005</v>
      </c>
      <c r="E70" s="2">
        <f>+D70/2</f>
        <v>318.10000000000002</v>
      </c>
      <c r="H70" s="23"/>
    </row>
    <row r="71" spans="1:26" x14ac:dyDescent="0.25">
      <c r="B71" s="2" t="s">
        <v>116</v>
      </c>
      <c r="C71" s="2">
        <f>+C69-C70</f>
        <v>3312</v>
      </c>
    </row>
    <row r="72" spans="1:26" x14ac:dyDescent="0.25">
      <c r="B72" s="2" t="s">
        <v>117</v>
      </c>
      <c r="C72" s="24">
        <f>+C71/C69</f>
        <v>0.5100877868473741</v>
      </c>
      <c r="H72" s="23"/>
    </row>
    <row r="73" spans="1:26" x14ac:dyDescent="0.25">
      <c r="B73" s="2" t="s">
        <v>118</v>
      </c>
      <c r="C73" s="24">
        <f>+C70/C69</f>
        <v>0.4899122131526259</v>
      </c>
    </row>
    <row r="75" spans="1:26" x14ac:dyDescent="0.25">
      <c r="A75" s="51" t="s">
        <v>136</v>
      </c>
      <c r="B75" s="52"/>
      <c r="C75" s="52"/>
      <c r="D75" s="52"/>
      <c r="E75" s="52"/>
      <c r="F75" s="53"/>
    </row>
    <row r="76" spans="1:26" x14ac:dyDescent="0.25">
      <c r="A76" s="54" t="s">
        <v>141</v>
      </c>
      <c r="B76" s="37">
        <v>46258</v>
      </c>
      <c r="C76" s="37">
        <v>46259</v>
      </c>
      <c r="D76" s="37">
        <v>46260</v>
      </c>
      <c r="E76" s="37">
        <v>46261</v>
      </c>
      <c r="F76" s="37">
        <v>46262</v>
      </c>
    </row>
    <row r="77" spans="1:26" x14ac:dyDescent="0.25">
      <c r="A77" s="54"/>
      <c r="B77" s="38" t="s">
        <v>122</v>
      </c>
      <c r="C77" s="4" t="s">
        <v>123</v>
      </c>
      <c r="D77" s="4" t="s">
        <v>124</v>
      </c>
      <c r="E77" s="4" t="s">
        <v>125</v>
      </c>
      <c r="F77" s="4" t="s">
        <v>128</v>
      </c>
    </row>
    <row r="78" spans="1:26" x14ac:dyDescent="0.25">
      <c r="A78" s="12" t="s">
        <v>134</v>
      </c>
      <c r="B78" s="26">
        <v>0.21</v>
      </c>
      <c r="C78" s="26">
        <v>0.3</v>
      </c>
      <c r="D78" s="26">
        <v>0.3</v>
      </c>
      <c r="E78" s="26">
        <v>0.5</v>
      </c>
      <c r="F78" s="26">
        <v>0.51</v>
      </c>
    </row>
    <row r="79" spans="1:26" x14ac:dyDescent="0.25">
      <c r="A79" s="12" t="s">
        <v>135</v>
      </c>
      <c r="B79" s="26">
        <v>0.79</v>
      </c>
      <c r="C79" s="26">
        <v>0.7</v>
      </c>
      <c r="D79" s="26">
        <v>0.7</v>
      </c>
      <c r="E79" s="26">
        <v>0.5</v>
      </c>
      <c r="F79" s="26">
        <v>0.49</v>
      </c>
    </row>
    <row r="84" spans="2:2" x14ac:dyDescent="0.25">
      <c r="B84" s="1">
        <v>87</v>
      </c>
    </row>
    <row r="85" spans="2:2" x14ac:dyDescent="0.25">
      <c r="B85" s="1">
        <v>91</v>
      </c>
    </row>
  </sheetData>
  <autoFilter ref="B5:AF65" xr:uid="{00000000-0009-0000-0000-000008000000}">
    <filterColumn colId="13">
      <customFilters>
        <customFilter operator="greaterThan" val="1"/>
      </customFilters>
    </filterColumn>
  </autoFilter>
  <mergeCells count="16">
    <mergeCell ref="A75:F75"/>
    <mergeCell ref="A76:A77"/>
    <mergeCell ref="C2:D2"/>
    <mergeCell ref="B3:B4"/>
    <mergeCell ref="P4:Q4"/>
    <mergeCell ref="R4:S4"/>
    <mergeCell ref="T4:U4"/>
    <mergeCell ref="J4:N4"/>
    <mergeCell ref="X4:Y4"/>
    <mergeCell ref="I65:N65"/>
    <mergeCell ref="P65:Q65"/>
    <mergeCell ref="R65:S65"/>
    <mergeCell ref="T65:U65"/>
    <mergeCell ref="V65:W65"/>
    <mergeCell ref="X65:Y65"/>
    <mergeCell ref="V4:W4"/>
  </mergeCells>
  <pageMargins left="0.70866141732283472" right="0.70866141732283472" top="0.74803149606299213" bottom="0.74803149606299213" header="0.31496062992125984" footer="0.31496062992125984"/>
  <pageSetup paperSize="9" scale="61" orientation="portrait" r:id="rId2"/>
  <colBreaks count="1" manualBreakCount="1">
    <brk id="15" max="3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00B050"/>
    <pageSetUpPr fitToPage="1"/>
  </sheetPr>
  <dimension ref="A1:AJ79"/>
  <sheetViews>
    <sheetView zoomScale="80" zoomScaleNormal="80" workbookViewId="0">
      <pane xSplit="15" topLeftCell="P1" activePane="topRight" state="frozen"/>
      <selection activeCell="K20" sqref="K20"/>
      <selection pane="topRight" activeCell="B3" sqref="B3:B4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2.42578125" style="1" bestFit="1" customWidth="1"/>
    <col min="7" max="7" width="10.5703125" style="1" customWidth="1"/>
    <col min="8" max="8" width="15.42578125" style="1" hidden="1" customWidth="1"/>
    <col min="9" max="9" width="10.7109375" style="1" customWidth="1"/>
    <col min="10" max="10" width="10.140625" style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26" width="8.7109375" style="1" customWidth="1"/>
    <col min="27" max="27" width="8.7109375" style="1"/>
    <col min="28" max="28" width="16.85546875" style="1" bestFit="1" customWidth="1"/>
    <col min="29" max="29" width="16.5703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6.28515625" style="1" customWidth="1"/>
    <col min="35" max="35" width="19.7109375" style="1" bestFit="1" customWidth="1"/>
    <col min="36" max="16384" width="8.7109375" style="1"/>
  </cols>
  <sheetData>
    <row r="1" spans="1:36" x14ac:dyDescent="0.25">
      <c r="P1" s="17"/>
      <c r="Q1" s="17"/>
      <c r="R1" s="17"/>
      <c r="T1" s="17"/>
      <c r="V1" s="17"/>
      <c r="W1" s="17"/>
      <c r="X1" s="17"/>
      <c r="Y1" s="17"/>
    </row>
    <row r="2" spans="1:36" x14ac:dyDescent="0.25">
      <c r="B2" s="4" t="s">
        <v>17</v>
      </c>
      <c r="C2" s="58" t="s">
        <v>18</v>
      </c>
      <c r="D2" s="58"/>
      <c r="P2" s="17"/>
      <c r="Q2" s="17"/>
      <c r="R2" s="17"/>
      <c r="T2" s="17"/>
      <c r="V2" s="17"/>
      <c r="W2" s="17"/>
      <c r="X2" s="17"/>
      <c r="Y2" s="17"/>
    </row>
    <row r="3" spans="1:3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  <c r="P3" s="17"/>
      <c r="Q3" s="17"/>
      <c r="R3" s="17"/>
      <c r="T3" s="17"/>
      <c r="V3" s="17"/>
      <c r="W3" s="17"/>
      <c r="X3" s="17"/>
      <c r="Y3" s="17"/>
    </row>
    <row r="4" spans="1:36" x14ac:dyDescent="0.25">
      <c r="B4" s="59"/>
      <c r="C4" s="4" t="s">
        <v>16</v>
      </c>
      <c r="D4" s="2"/>
      <c r="I4" s="4" t="s">
        <v>5</v>
      </c>
      <c r="J4" s="60" t="s">
        <v>119</v>
      </c>
      <c r="K4" s="60"/>
      <c r="L4" s="60"/>
      <c r="M4" s="60"/>
      <c r="N4" s="60"/>
      <c r="P4" s="55">
        <v>46265</v>
      </c>
      <c r="Q4" s="55"/>
      <c r="R4" s="55">
        <v>46266</v>
      </c>
      <c r="S4" s="55"/>
      <c r="T4" s="55">
        <v>46267</v>
      </c>
      <c r="U4" s="55"/>
      <c r="V4" s="55">
        <v>46268</v>
      </c>
      <c r="W4" s="55"/>
      <c r="X4" s="55">
        <v>46269</v>
      </c>
      <c r="Y4" s="55"/>
      <c r="Z4" s="6" t="s">
        <v>10</v>
      </c>
    </row>
    <row r="5" spans="1:3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36</v>
      </c>
      <c r="J5" s="4" t="s">
        <v>140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4" t="s">
        <v>20</v>
      </c>
      <c r="AA5" s="4" t="s">
        <v>8</v>
      </c>
      <c r="AB5" s="4" t="s">
        <v>22</v>
      </c>
      <c r="AC5" s="4" t="s">
        <v>100</v>
      </c>
      <c r="AD5" s="4" t="s">
        <v>24</v>
      </c>
      <c r="AE5" s="4" t="s">
        <v>23</v>
      </c>
      <c r="AF5" s="4" t="s">
        <v>28</v>
      </c>
      <c r="AG5"/>
      <c r="AH5" s="15" t="s">
        <v>29</v>
      </c>
      <c r="AI5" s="15" t="s">
        <v>31</v>
      </c>
      <c r="AJ5"/>
    </row>
    <row r="6" spans="1:36" hidden="1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/>
      <c r="J6" s="2">
        <v>0</v>
      </c>
      <c r="K6" s="2"/>
      <c r="L6" s="2"/>
      <c r="M6" s="2"/>
      <c r="N6" s="2"/>
      <c r="O6" s="8">
        <f t="shared" ref="O6:O37" si="0">+I6+J6+K6+L6+M6+N6-SUM(P6:Z6)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2"/>
      <c r="AA6" s="7">
        <f t="shared" ref="AA6:AA37" si="1">+G6*SUM(I6:N6)</f>
        <v>0</v>
      </c>
      <c r="AB6" s="8" t="s">
        <v>26</v>
      </c>
      <c r="AC6" s="8">
        <v>0</v>
      </c>
      <c r="AD6" s="8">
        <v>260</v>
      </c>
      <c r="AE6" s="8" t="s">
        <v>101</v>
      </c>
      <c r="AF6" s="8">
        <f t="shared" ref="AF6:AF37" si="2">+SUM(I6:N6)/AD6</f>
        <v>0</v>
      </c>
      <c r="AG6"/>
      <c r="AH6" s="16" t="s">
        <v>26</v>
      </c>
      <c r="AI6" s="15">
        <v>0</v>
      </c>
      <c r="AJ6"/>
    </row>
    <row r="7" spans="1:36" hidden="1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/>
      <c r="J7" s="2">
        <v>612</v>
      </c>
      <c r="K7" s="2"/>
      <c r="L7" s="2"/>
      <c r="M7" s="2"/>
      <c r="N7" s="2"/>
      <c r="O7" s="8">
        <f t="shared" si="0"/>
        <v>0</v>
      </c>
      <c r="P7" s="19"/>
      <c r="Q7" s="19"/>
      <c r="R7" s="19"/>
      <c r="S7" s="2"/>
      <c r="T7" s="19"/>
      <c r="U7" s="2"/>
      <c r="V7" s="19"/>
      <c r="W7" s="19"/>
      <c r="X7" s="19"/>
      <c r="Y7" s="19"/>
      <c r="Z7" s="2">
        <v>612</v>
      </c>
      <c r="AA7" s="7">
        <f t="shared" si="1"/>
        <v>62.423999999999999</v>
      </c>
      <c r="AB7" s="8" t="s">
        <v>95</v>
      </c>
      <c r="AC7" s="8">
        <v>0</v>
      </c>
      <c r="AD7" s="8">
        <v>70</v>
      </c>
      <c r="AE7" s="8" t="s">
        <v>101</v>
      </c>
      <c r="AF7" s="8">
        <f t="shared" si="2"/>
        <v>8.742857142857142</v>
      </c>
      <c r="AG7"/>
      <c r="AH7" s="16" t="s">
        <v>95</v>
      </c>
      <c r="AI7" s="15">
        <v>0</v>
      </c>
      <c r="AJ7"/>
    </row>
    <row r="8" spans="1:36" hidden="1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/>
      <c r="J8" s="2">
        <v>162</v>
      </c>
      <c r="K8" s="2"/>
      <c r="L8" s="2"/>
      <c r="M8" s="2"/>
      <c r="N8" s="2"/>
      <c r="O8" s="8">
        <f t="shared" si="0"/>
        <v>0</v>
      </c>
      <c r="P8" s="19"/>
      <c r="Q8" s="19"/>
      <c r="R8" s="19"/>
      <c r="S8" s="2"/>
      <c r="T8" s="19"/>
      <c r="U8" s="2"/>
      <c r="V8" s="19"/>
      <c r="W8" s="19"/>
      <c r="X8" s="19"/>
      <c r="Y8" s="19"/>
      <c r="Z8" s="2">
        <v>162</v>
      </c>
      <c r="AA8" s="7">
        <f t="shared" si="1"/>
        <v>17.334</v>
      </c>
      <c r="AB8" s="8" t="s">
        <v>95</v>
      </c>
      <c r="AC8" s="8">
        <v>0</v>
      </c>
      <c r="AD8" s="8">
        <v>70</v>
      </c>
      <c r="AE8" s="8" t="s">
        <v>101</v>
      </c>
      <c r="AF8" s="8">
        <f t="shared" si="2"/>
        <v>2.3142857142857145</v>
      </c>
      <c r="AG8"/>
      <c r="AH8" s="16" t="s">
        <v>27</v>
      </c>
      <c r="AI8" s="15">
        <v>0</v>
      </c>
      <c r="AJ8"/>
    </row>
    <row r="9" spans="1:36" hidden="1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/>
      <c r="J9" s="2">
        <v>0</v>
      </c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2"/>
      <c r="AA9" s="7">
        <f t="shared" si="1"/>
        <v>0</v>
      </c>
      <c r="AB9" s="8" t="s">
        <v>26</v>
      </c>
      <c r="AC9" s="8">
        <v>0</v>
      </c>
      <c r="AD9" s="8">
        <v>70</v>
      </c>
      <c r="AE9" s="8" t="s">
        <v>101</v>
      </c>
      <c r="AF9" s="8">
        <f t="shared" si="2"/>
        <v>0</v>
      </c>
      <c r="AG9"/>
      <c r="AH9" s="16" t="s">
        <v>96</v>
      </c>
      <c r="AI9" s="15">
        <v>0</v>
      </c>
      <c r="AJ9"/>
    </row>
    <row r="10" spans="1:36" hidden="1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/>
      <c r="J10" s="2">
        <v>0</v>
      </c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2"/>
      <c r="AA10" s="7">
        <f t="shared" si="1"/>
        <v>0</v>
      </c>
      <c r="AB10" s="8" t="s">
        <v>95</v>
      </c>
      <c r="AC10" s="8">
        <v>0</v>
      </c>
      <c r="AD10" s="8">
        <v>70</v>
      </c>
      <c r="AE10" s="8" t="s">
        <v>101</v>
      </c>
      <c r="AF10" s="8">
        <f t="shared" si="2"/>
        <v>0</v>
      </c>
      <c r="AG10"/>
      <c r="AH10" s="16" t="s">
        <v>97</v>
      </c>
      <c r="AI10" s="15">
        <v>0</v>
      </c>
      <c r="AJ10"/>
    </row>
    <row r="11" spans="1:36" hidden="1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/>
      <c r="J11" s="2">
        <v>0</v>
      </c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si="1"/>
        <v>0</v>
      </c>
      <c r="AB11" s="8" t="s">
        <v>26</v>
      </c>
      <c r="AC11" s="8">
        <v>0</v>
      </c>
      <c r="AD11" s="8">
        <v>160</v>
      </c>
      <c r="AE11" s="8" t="s">
        <v>101</v>
      </c>
      <c r="AF11" s="8">
        <f t="shared" si="2"/>
        <v>0</v>
      </c>
      <c r="AG11"/>
      <c r="AH11" s="16" t="s">
        <v>30</v>
      </c>
      <c r="AI11" s="15">
        <v>0</v>
      </c>
      <c r="AJ11"/>
    </row>
    <row r="12" spans="1:36" hidden="1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/>
      <c r="J12" s="2">
        <v>0</v>
      </c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>
        <v>0</v>
      </c>
      <c r="AD12" s="8">
        <v>200</v>
      </c>
      <c r="AE12" s="8" t="s">
        <v>101</v>
      </c>
      <c r="AF12" s="8">
        <f t="shared" si="2"/>
        <v>0</v>
      </c>
      <c r="AG12"/>
      <c r="AH12"/>
      <c r="AI12"/>
      <c r="AJ12"/>
    </row>
    <row r="13" spans="1:36" hidden="1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/>
      <c r="J13" s="2">
        <v>0</v>
      </c>
      <c r="K13" s="2"/>
      <c r="L13" s="2"/>
      <c r="M13" s="2"/>
      <c r="N13" s="2"/>
      <c r="O13" s="8">
        <f t="shared" si="0"/>
        <v>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2"/>
      <c r="AA13" s="7">
        <f t="shared" si="1"/>
        <v>0</v>
      </c>
      <c r="AB13" s="8" t="s">
        <v>95</v>
      </c>
      <c r="AC13" s="8">
        <v>0</v>
      </c>
      <c r="AD13" s="8">
        <v>280</v>
      </c>
      <c r="AE13" s="8" t="s">
        <v>101</v>
      </c>
      <c r="AF13" s="8">
        <f t="shared" si="2"/>
        <v>0</v>
      </c>
      <c r="AG13"/>
      <c r="AH13"/>
      <c r="AI13"/>
      <c r="AJ13"/>
    </row>
    <row r="14" spans="1:36" hidden="1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/>
      <c r="J14" s="2">
        <v>0</v>
      </c>
      <c r="K14" s="2"/>
      <c r="L14" s="2"/>
      <c r="M14" s="2"/>
      <c r="N14" s="2"/>
      <c r="O14" s="8">
        <f t="shared" si="0"/>
        <v>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2"/>
      <c r="AA14" s="7">
        <f t="shared" si="1"/>
        <v>0</v>
      </c>
      <c r="AB14" s="8" t="s">
        <v>26</v>
      </c>
      <c r="AC14" s="8">
        <v>0</v>
      </c>
      <c r="AD14" s="8">
        <v>260</v>
      </c>
      <c r="AE14" s="8" t="s">
        <v>101</v>
      </c>
      <c r="AF14" s="8">
        <f t="shared" si="2"/>
        <v>0</v>
      </c>
      <c r="AG14"/>
      <c r="AH14"/>
      <c r="AI14"/>
      <c r="AJ14"/>
    </row>
    <row r="15" spans="1:36" hidden="1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/>
      <c r="J15" s="2">
        <v>0</v>
      </c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26</v>
      </c>
      <c r="AC15" s="8">
        <v>0</v>
      </c>
      <c r="AD15" s="8">
        <v>520</v>
      </c>
      <c r="AE15" s="8" t="s">
        <v>101</v>
      </c>
      <c r="AF15" s="8">
        <f t="shared" si="2"/>
        <v>0</v>
      </c>
      <c r="AG15"/>
      <c r="AH15"/>
      <c r="AI15"/>
      <c r="AJ15"/>
    </row>
    <row r="16" spans="1:36" hidden="1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/>
      <c r="J16" s="2">
        <v>0</v>
      </c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27</v>
      </c>
      <c r="AC16" s="8">
        <v>0</v>
      </c>
      <c r="AD16" s="8">
        <v>150</v>
      </c>
      <c r="AE16" s="8" t="s">
        <v>101</v>
      </c>
      <c r="AF16" s="8">
        <f t="shared" si="2"/>
        <v>0</v>
      </c>
      <c r="AG16"/>
      <c r="AH16"/>
      <c r="AI16"/>
      <c r="AJ16"/>
    </row>
    <row r="17" spans="1:36" hidden="1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/>
      <c r="J17" s="2">
        <v>650</v>
      </c>
      <c r="K17" s="2"/>
      <c r="L17" s="2"/>
      <c r="M17" s="2"/>
      <c r="N17" s="2"/>
      <c r="O17" s="8">
        <f t="shared" si="0"/>
        <v>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2">
        <v>650</v>
      </c>
      <c r="AA17" s="7">
        <f t="shared" si="1"/>
        <v>141.05000000000001</v>
      </c>
      <c r="AB17" s="8" t="s">
        <v>96</v>
      </c>
      <c r="AC17" s="8">
        <v>0</v>
      </c>
      <c r="AD17" s="8">
        <v>400</v>
      </c>
      <c r="AE17" s="8" t="s">
        <v>101</v>
      </c>
      <c r="AF17" s="8">
        <f t="shared" si="2"/>
        <v>1.625</v>
      </c>
      <c r="AG17"/>
      <c r="AH17"/>
      <c r="AI17"/>
      <c r="AJ17"/>
    </row>
    <row r="18" spans="1:36" hidden="1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/>
      <c r="J18" s="2">
        <v>143</v>
      </c>
      <c r="K18" s="2"/>
      <c r="L18" s="2"/>
      <c r="M18" s="2"/>
      <c r="N18" s="2"/>
      <c r="O18" s="8">
        <f t="shared" si="0"/>
        <v>0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2">
        <v>143</v>
      </c>
      <c r="AA18" s="7">
        <f t="shared" si="1"/>
        <v>15.157999999999999</v>
      </c>
      <c r="AB18" s="8" t="s">
        <v>27</v>
      </c>
      <c r="AC18" s="8">
        <v>0</v>
      </c>
      <c r="AD18" s="8">
        <v>150</v>
      </c>
      <c r="AE18" s="8" t="s">
        <v>101</v>
      </c>
      <c r="AF18" s="8">
        <f t="shared" si="2"/>
        <v>0.95333333333333337</v>
      </c>
      <c r="AG18"/>
      <c r="AH18"/>
      <c r="AI18"/>
      <c r="AJ18"/>
    </row>
    <row r="19" spans="1:36" hidden="1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/>
      <c r="J19" s="2">
        <v>0</v>
      </c>
      <c r="K19" s="2"/>
      <c r="L19" s="2"/>
      <c r="M19" s="2"/>
      <c r="N19" s="2"/>
      <c r="O19" s="8">
        <f t="shared" si="0"/>
        <v>-400</v>
      </c>
      <c r="P19" s="19"/>
      <c r="Q19" s="19"/>
      <c r="R19" s="19">
        <v>400</v>
      </c>
      <c r="S19" s="2"/>
      <c r="T19" s="19"/>
      <c r="U19" s="2"/>
      <c r="V19" s="19"/>
      <c r="W19" s="19"/>
      <c r="X19" s="19"/>
      <c r="Y19" s="19"/>
      <c r="Z19" s="2"/>
      <c r="AA19" s="7">
        <f t="shared" si="1"/>
        <v>0</v>
      </c>
      <c r="AB19" s="8" t="s">
        <v>96</v>
      </c>
      <c r="AC19" s="8">
        <v>0</v>
      </c>
      <c r="AD19" s="8">
        <v>420</v>
      </c>
      <c r="AE19" s="8" t="s">
        <v>101</v>
      </c>
      <c r="AF19" s="8">
        <f t="shared" si="2"/>
        <v>0</v>
      </c>
      <c r="AG19"/>
      <c r="AH19"/>
      <c r="AI19"/>
      <c r="AJ19"/>
    </row>
    <row r="20" spans="1:36" hidden="1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/>
      <c r="J20" s="2">
        <v>0</v>
      </c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95</v>
      </c>
      <c r="AC20" s="8">
        <v>0</v>
      </c>
      <c r="AD20" s="8">
        <v>64</v>
      </c>
      <c r="AE20" s="8" t="s">
        <v>101</v>
      </c>
      <c r="AF20" s="8">
        <f t="shared" si="2"/>
        <v>0</v>
      </c>
      <c r="AG20"/>
      <c r="AH20"/>
      <c r="AI20"/>
      <c r="AJ20"/>
    </row>
    <row r="21" spans="1:36" hidden="1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/>
      <c r="J21" s="2">
        <v>0</v>
      </c>
      <c r="K21" s="2"/>
      <c r="L21" s="2"/>
      <c r="M21" s="2"/>
      <c r="N21" s="2"/>
      <c r="O21" s="8">
        <f t="shared" si="0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2"/>
      <c r="AA21" s="7">
        <f t="shared" si="1"/>
        <v>0</v>
      </c>
      <c r="AB21" s="8" t="s">
        <v>27</v>
      </c>
      <c r="AC21" s="8">
        <v>0</v>
      </c>
      <c r="AD21" s="8">
        <v>92</v>
      </c>
      <c r="AE21" s="8" t="s">
        <v>101</v>
      </c>
      <c r="AF21" s="8">
        <f t="shared" si="2"/>
        <v>0</v>
      </c>
      <c r="AG21"/>
      <c r="AH21"/>
      <c r="AI21"/>
      <c r="AJ21"/>
    </row>
    <row r="22" spans="1:36" hidden="1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/>
      <c r="J22" s="2">
        <v>0</v>
      </c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97</v>
      </c>
      <c r="AC22" s="8">
        <v>0</v>
      </c>
      <c r="AD22" s="8">
        <v>200</v>
      </c>
      <c r="AE22" s="8" t="s">
        <v>101</v>
      </c>
      <c r="AF22" s="8">
        <f t="shared" si="2"/>
        <v>0</v>
      </c>
      <c r="AG22"/>
      <c r="AH22"/>
      <c r="AI22"/>
      <c r="AJ22"/>
    </row>
    <row r="23" spans="1:36" hidden="1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/>
      <c r="J23" s="2">
        <v>0</v>
      </c>
      <c r="K23" s="2"/>
      <c r="L23" s="2"/>
      <c r="M23" s="2"/>
      <c r="N23" s="2"/>
      <c r="O23" s="8">
        <f t="shared" si="0"/>
        <v>0</v>
      </c>
      <c r="P23" s="19"/>
      <c r="Q23" s="19"/>
      <c r="R23" s="19"/>
      <c r="S23" s="2"/>
      <c r="T23" s="19"/>
      <c r="U23" s="2"/>
      <c r="V23" s="19"/>
      <c r="W23" s="19"/>
      <c r="X23" s="19"/>
      <c r="Y23" s="19"/>
      <c r="Z23" s="2"/>
      <c r="AA23" s="7">
        <f t="shared" si="1"/>
        <v>0</v>
      </c>
      <c r="AB23" s="8" t="s">
        <v>97</v>
      </c>
      <c r="AC23" s="8">
        <v>0</v>
      </c>
      <c r="AD23" s="8">
        <v>260</v>
      </c>
      <c r="AE23" s="8" t="s">
        <v>101</v>
      </c>
      <c r="AF23" s="8">
        <f t="shared" si="2"/>
        <v>0</v>
      </c>
      <c r="AG23"/>
    </row>
    <row r="24" spans="1:36" hidden="1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/>
      <c r="J24" s="2">
        <v>0</v>
      </c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2"/>
      <c r="AA24" s="7">
        <f t="shared" si="1"/>
        <v>0</v>
      </c>
      <c r="AB24" s="8" t="s">
        <v>27</v>
      </c>
      <c r="AC24" s="8">
        <v>0</v>
      </c>
      <c r="AD24" s="8">
        <v>100</v>
      </c>
      <c r="AE24" s="8" t="s">
        <v>101</v>
      </c>
      <c r="AF24" s="8">
        <f t="shared" si="2"/>
        <v>0</v>
      </c>
      <c r="AG24"/>
    </row>
    <row r="25" spans="1:36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3000</v>
      </c>
      <c r="J25" s="2">
        <v>328</v>
      </c>
      <c r="K25" s="2"/>
      <c r="L25" s="2"/>
      <c r="M25" s="2"/>
      <c r="N25" s="2"/>
      <c r="O25" s="8">
        <f t="shared" si="0"/>
        <v>1088</v>
      </c>
      <c r="P25" s="19">
        <v>256</v>
      </c>
      <c r="Q25" s="19"/>
      <c r="R25" s="19">
        <v>448</v>
      </c>
      <c r="S25" s="2">
        <v>128</v>
      </c>
      <c r="T25" s="19">
        <v>704</v>
      </c>
      <c r="U25" s="2">
        <v>384</v>
      </c>
      <c r="V25" s="19">
        <v>320</v>
      </c>
      <c r="W25" s="19"/>
      <c r="X25" s="19"/>
      <c r="Y25" s="19"/>
      <c r="Z25" s="2"/>
      <c r="AA25" s="7">
        <f t="shared" si="1"/>
        <v>529.15200000000004</v>
      </c>
      <c r="AB25" s="8" t="s">
        <v>95</v>
      </c>
      <c r="AC25" s="8">
        <v>0</v>
      </c>
      <c r="AD25" s="8">
        <v>64</v>
      </c>
      <c r="AE25" s="8" t="s">
        <v>101</v>
      </c>
      <c r="AF25" s="8">
        <f t="shared" si="2"/>
        <v>52</v>
      </c>
      <c r="AG25"/>
    </row>
    <row r="26" spans="1:36" hidden="1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/>
      <c r="J26" s="2">
        <v>0</v>
      </c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26</v>
      </c>
      <c r="AC26" s="8">
        <v>0</v>
      </c>
      <c r="AD26" s="8">
        <v>200</v>
      </c>
      <c r="AE26" s="8" t="s">
        <v>101</v>
      </c>
      <c r="AF26" s="8">
        <f t="shared" si="2"/>
        <v>0</v>
      </c>
      <c r="AG26"/>
    </row>
    <row r="27" spans="1:36" hidden="1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/>
      <c r="J27" s="2">
        <v>0</v>
      </c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26</v>
      </c>
      <c r="AC27" s="8">
        <v>0</v>
      </c>
      <c r="AD27" s="8">
        <v>200</v>
      </c>
      <c r="AE27" s="8" t="s">
        <v>101</v>
      </c>
      <c r="AF27" s="8">
        <f t="shared" si="2"/>
        <v>0</v>
      </c>
      <c r="AG27"/>
    </row>
    <row r="28" spans="1:36" hidden="1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/>
      <c r="J28" s="2">
        <v>0</v>
      </c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26</v>
      </c>
      <c r="AC28" s="8" t="s">
        <v>99</v>
      </c>
      <c r="AD28" s="8">
        <v>500</v>
      </c>
      <c r="AE28" s="8" t="s">
        <v>102</v>
      </c>
      <c r="AF28" s="8">
        <f t="shared" si="2"/>
        <v>0</v>
      </c>
      <c r="AG28"/>
    </row>
    <row r="29" spans="1:36" hidden="1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/>
      <c r="J29" s="2">
        <v>0</v>
      </c>
      <c r="K29" s="2"/>
      <c r="L29" s="2"/>
      <c r="M29" s="2"/>
      <c r="N29" s="2"/>
      <c r="O29" s="8">
        <f t="shared" si="0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/>
      <c r="AA29" s="7">
        <f t="shared" si="1"/>
        <v>0</v>
      </c>
      <c r="AB29" s="8" t="s">
        <v>26</v>
      </c>
      <c r="AC29" s="8" t="s">
        <v>99</v>
      </c>
      <c r="AD29" s="8">
        <v>200</v>
      </c>
      <c r="AE29" s="8" t="s">
        <v>102</v>
      </c>
      <c r="AF29" s="8">
        <f t="shared" si="2"/>
        <v>0</v>
      </c>
      <c r="AG29"/>
    </row>
    <row r="30" spans="1:36" hidden="1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/>
      <c r="J30" s="2">
        <v>0</v>
      </c>
      <c r="K30" s="2"/>
      <c r="L30" s="2"/>
      <c r="M30" s="2"/>
      <c r="N30" s="2"/>
      <c r="O30" s="8">
        <f t="shared" si="0"/>
        <v>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2"/>
      <c r="AA30" s="7">
        <f t="shared" si="1"/>
        <v>0</v>
      </c>
      <c r="AB30" s="8" t="s">
        <v>26</v>
      </c>
      <c r="AC30" s="8" t="s">
        <v>99</v>
      </c>
      <c r="AD30" s="8">
        <v>200</v>
      </c>
      <c r="AE30" s="8" t="s">
        <v>102</v>
      </c>
      <c r="AF30" s="8">
        <f t="shared" si="2"/>
        <v>0</v>
      </c>
      <c r="AG30"/>
    </row>
    <row r="31" spans="1:36" hidden="1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/>
      <c r="J31" s="2">
        <v>0</v>
      </c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2"/>
      <c r="AA31" s="7">
        <f t="shared" si="1"/>
        <v>0</v>
      </c>
      <c r="AB31" s="8" t="s">
        <v>26</v>
      </c>
      <c r="AC31" s="8" t="s">
        <v>99</v>
      </c>
      <c r="AD31" s="8">
        <v>100</v>
      </c>
      <c r="AE31" s="8" t="s">
        <v>102</v>
      </c>
      <c r="AF31" s="8">
        <f t="shared" si="2"/>
        <v>0</v>
      </c>
      <c r="AG31"/>
    </row>
    <row r="32" spans="1:36" hidden="1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/>
      <c r="J32" s="2">
        <v>0</v>
      </c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97</v>
      </c>
      <c r="AC32" s="8" t="s">
        <v>98</v>
      </c>
      <c r="AD32" s="8">
        <v>400</v>
      </c>
      <c r="AE32" s="8" t="s">
        <v>102</v>
      </c>
      <c r="AF32" s="8">
        <f t="shared" si="2"/>
        <v>0</v>
      </c>
      <c r="AG32"/>
    </row>
    <row r="33" spans="1:33" hidden="1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/>
      <c r="J33" s="2">
        <v>0</v>
      </c>
      <c r="K33" s="2"/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2"/>
      <c r="AA33" s="7">
        <f t="shared" si="1"/>
        <v>0</v>
      </c>
      <c r="AB33" s="8" t="s">
        <v>26</v>
      </c>
      <c r="AC33" s="8" t="s">
        <v>98</v>
      </c>
      <c r="AD33" s="8">
        <v>250</v>
      </c>
      <c r="AE33" s="8" t="s">
        <v>102</v>
      </c>
      <c r="AF33" s="8">
        <f t="shared" si="2"/>
        <v>0</v>
      </c>
      <c r="AG33"/>
    </row>
    <row r="34" spans="1:33" hidden="1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/>
      <c r="J34" s="2">
        <v>0</v>
      </c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2"/>
      <c r="AA34" s="7">
        <f t="shared" si="1"/>
        <v>0</v>
      </c>
      <c r="AB34" s="8" t="s">
        <v>26</v>
      </c>
      <c r="AC34" s="8" t="s">
        <v>98</v>
      </c>
      <c r="AD34" s="8">
        <v>300</v>
      </c>
      <c r="AE34" s="8" t="s">
        <v>102</v>
      </c>
      <c r="AF34" s="8">
        <f t="shared" si="2"/>
        <v>0</v>
      </c>
      <c r="AG34"/>
    </row>
    <row r="35" spans="1:33" hidden="1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/>
      <c r="J35" s="2">
        <v>0</v>
      </c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0</v>
      </c>
      <c r="AB35" s="8" t="s">
        <v>26</v>
      </c>
      <c r="AC35" s="8" t="s">
        <v>98</v>
      </c>
      <c r="AD35" s="8">
        <v>300</v>
      </c>
      <c r="AE35" s="8" t="s">
        <v>102</v>
      </c>
      <c r="AF35" s="8">
        <f t="shared" si="2"/>
        <v>0</v>
      </c>
      <c r="AG35"/>
    </row>
    <row r="36" spans="1:33" hidden="1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/>
      <c r="J36" s="2">
        <v>0</v>
      </c>
      <c r="K36" s="2"/>
      <c r="L36" s="2"/>
      <c r="M36" s="2"/>
      <c r="N36" s="2"/>
      <c r="O36" s="8">
        <f t="shared" si="0"/>
        <v>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0</v>
      </c>
      <c r="AB36" s="8" t="s">
        <v>97</v>
      </c>
      <c r="AC36" s="8" t="s">
        <v>98</v>
      </c>
      <c r="AD36" s="8">
        <v>250</v>
      </c>
      <c r="AE36" s="8" t="s">
        <v>102</v>
      </c>
      <c r="AF36" s="8">
        <f t="shared" si="2"/>
        <v>0</v>
      </c>
      <c r="AG36"/>
    </row>
    <row r="37" spans="1:33" hidden="1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/>
      <c r="J37" s="2">
        <v>0</v>
      </c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26</v>
      </c>
      <c r="AC37" s="8" t="s">
        <v>99</v>
      </c>
      <c r="AD37" s="8">
        <v>100</v>
      </c>
      <c r="AE37" s="8" t="s">
        <v>102</v>
      </c>
      <c r="AF37" s="8">
        <f t="shared" si="2"/>
        <v>0</v>
      </c>
      <c r="AG37"/>
    </row>
    <row r="38" spans="1:33" hidden="1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/>
      <c r="J38" s="2">
        <v>0</v>
      </c>
      <c r="K38" s="2"/>
      <c r="L38" s="2"/>
      <c r="M38" s="2"/>
      <c r="N38" s="2"/>
      <c r="O38" s="8">
        <f t="shared" ref="O38:O63" si="3">+I38+J38+K38+L38+M38+N38-SUM(P38:Z38)</f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ref="AA38:AA63" si="4">+G38*SUM(I38:N38)</f>
        <v>0</v>
      </c>
      <c r="AB38" s="8" t="s">
        <v>26</v>
      </c>
      <c r="AC38" s="8" t="s">
        <v>99</v>
      </c>
      <c r="AD38" s="8">
        <v>100</v>
      </c>
      <c r="AE38" s="8" t="s">
        <v>102</v>
      </c>
      <c r="AF38" s="8">
        <f t="shared" ref="AF38:AF63" si="5">+SUM(I38:N38)/AD38</f>
        <v>0</v>
      </c>
      <c r="AG38"/>
    </row>
    <row r="39" spans="1:33" hidden="1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/>
      <c r="J39" s="2">
        <v>0</v>
      </c>
      <c r="K39" s="2"/>
      <c r="L39" s="2"/>
      <c r="M39" s="2"/>
      <c r="N39" s="2"/>
      <c r="O39" s="8">
        <f t="shared" si="3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4"/>
        <v>0</v>
      </c>
      <c r="AB39" s="8" t="s">
        <v>26</v>
      </c>
      <c r="AC39" s="8" t="s">
        <v>99</v>
      </c>
      <c r="AD39" s="8">
        <v>300</v>
      </c>
      <c r="AE39" s="8" t="s">
        <v>102</v>
      </c>
      <c r="AF39" s="8">
        <f t="shared" si="5"/>
        <v>0</v>
      </c>
      <c r="AG39"/>
    </row>
    <row r="40" spans="1:33" hidden="1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/>
      <c r="J40" s="2">
        <v>0</v>
      </c>
      <c r="K40" s="2"/>
      <c r="L40" s="2"/>
      <c r="M40" s="2"/>
      <c r="N40" s="2"/>
      <c r="O40" s="8">
        <f t="shared" si="3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4"/>
        <v>0</v>
      </c>
      <c r="AB40" s="8" t="s">
        <v>26</v>
      </c>
      <c r="AC40" s="8" t="s">
        <v>99</v>
      </c>
      <c r="AD40" s="8">
        <v>200</v>
      </c>
      <c r="AE40" s="8" t="s">
        <v>102</v>
      </c>
      <c r="AF40" s="8">
        <f t="shared" si="5"/>
        <v>0</v>
      </c>
      <c r="AG40"/>
    </row>
    <row r="41" spans="1:33" hidden="1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/>
      <c r="J41" s="2">
        <v>0</v>
      </c>
      <c r="K41" s="2"/>
      <c r="L41" s="2"/>
      <c r="M41" s="2"/>
      <c r="N41" s="2"/>
      <c r="O41" s="8">
        <f t="shared" si="3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4"/>
        <v>0</v>
      </c>
      <c r="AB41" s="8" t="s">
        <v>26</v>
      </c>
      <c r="AC41" s="8" t="s">
        <v>99</v>
      </c>
      <c r="AD41" s="8">
        <v>100</v>
      </c>
      <c r="AE41" s="8" t="s">
        <v>102</v>
      </c>
      <c r="AF41" s="8">
        <f t="shared" si="5"/>
        <v>0</v>
      </c>
      <c r="AG41"/>
    </row>
    <row r="42" spans="1:33" hidden="1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/>
      <c r="J42" s="2">
        <v>0</v>
      </c>
      <c r="K42" s="2"/>
      <c r="L42" s="2"/>
      <c r="M42" s="2"/>
      <c r="N42" s="2"/>
      <c r="O42" s="8">
        <f t="shared" si="3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4"/>
        <v>0</v>
      </c>
      <c r="AB42" s="8" t="s">
        <v>26</v>
      </c>
      <c r="AC42" s="8" t="s">
        <v>99</v>
      </c>
      <c r="AD42" s="8">
        <v>300</v>
      </c>
      <c r="AE42" s="8" t="s">
        <v>102</v>
      </c>
      <c r="AF42" s="8">
        <f t="shared" si="5"/>
        <v>0</v>
      </c>
      <c r="AG42"/>
    </row>
    <row r="43" spans="1:33" hidden="1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/>
      <c r="J43" s="2">
        <v>0</v>
      </c>
      <c r="K43" s="2"/>
      <c r="L43" s="2"/>
      <c r="M43" s="2"/>
      <c r="N43" s="2"/>
      <c r="O43" s="8">
        <f t="shared" si="3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4"/>
        <v>0</v>
      </c>
      <c r="AB43" s="8" t="s">
        <v>26</v>
      </c>
      <c r="AC43" s="8" t="s">
        <v>99</v>
      </c>
      <c r="AD43" s="8">
        <v>260</v>
      </c>
      <c r="AE43" s="8" t="s">
        <v>102</v>
      </c>
      <c r="AF43" s="8">
        <f t="shared" si="5"/>
        <v>0</v>
      </c>
      <c r="AG43"/>
    </row>
    <row r="44" spans="1:33" hidden="1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/>
      <c r="J44" s="2">
        <v>0</v>
      </c>
      <c r="K44" s="2"/>
      <c r="L44" s="2"/>
      <c r="M44" s="2"/>
      <c r="N44" s="2"/>
      <c r="O44" s="8">
        <f t="shared" si="3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4"/>
        <v>0</v>
      </c>
      <c r="AB44" s="8" t="s">
        <v>26</v>
      </c>
      <c r="AC44" s="8" t="s">
        <v>99</v>
      </c>
      <c r="AD44" s="8">
        <v>500</v>
      </c>
      <c r="AE44" s="8" t="s">
        <v>102</v>
      </c>
      <c r="AF44" s="8">
        <f t="shared" si="5"/>
        <v>0</v>
      </c>
      <c r="AG44"/>
    </row>
    <row r="45" spans="1:33" hidden="1" x14ac:dyDescent="0.25">
      <c r="A45" s="2">
        <v>40</v>
      </c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/>
      <c r="J45" s="2">
        <v>0</v>
      </c>
      <c r="K45" s="2"/>
      <c r="L45" s="2"/>
      <c r="M45" s="2"/>
      <c r="N45" s="2"/>
      <c r="O45" s="8">
        <f t="shared" si="3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2"/>
      <c r="AA45" s="7">
        <f t="shared" si="4"/>
        <v>0</v>
      </c>
      <c r="AB45" s="8" t="s">
        <v>95</v>
      </c>
      <c r="AC45" s="8" t="s">
        <v>98</v>
      </c>
      <c r="AD45" s="8">
        <v>50</v>
      </c>
      <c r="AE45" s="8" t="s">
        <v>102</v>
      </c>
      <c r="AF45" s="8">
        <f t="shared" si="5"/>
        <v>0</v>
      </c>
      <c r="AG45"/>
    </row>
    <row r="46" spans="1:33" hidden="1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/>
      <c r="J46" s="2">
        <v>0</v>
      </c>
      <c r="K46" s="2"/>
      <c r="L46" s="2"/>
      <c r="M46" s="2"/>
      <c r="N46" s="2"/>
      <c r="O46" s="8">
        <f t="shared" si="3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4"/>
        <v>0</v>
      </c>
      <c r="AB46" s="8" t="s">
        <v>95</v>
      </c>
      <c r="AC46" s="8" t="s">
        <v>98</v>
      </c>
      <c r="AD46" s="8">
        <v>50</v>
      </c>
      <c r="AE46" s="8" t="s">
        <v>102</v>
      </c>
      <c r="AF46" s="8">
        <f t="shared" si="5"/>
        <v>0</v>
      </c>
      <c r="AG46"/>
    </row>
    <row r="47" spans="1:33" hidden="1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/>
      <c r="J47" s="2">
        <v>0</v>
      </c>
      <c r="K47" s="2"/>
      <c r="L47" s="2"/>
      <c r="M47" s="2"/>
      <c r="N47" s="2"/>
      <c r="O47" s="8">
        <f t="shared" si="3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2"/>
      <c r="AA47" s="7">
        <f t="shared" si="4"/>
        <v>0</v>
      </c>
      <c r="AB47" s="8" t="s">
        <v>95</v>
      </c>
      <c r="AC47" s="8" t="s">
        <v>98</v>
      </c>
      <c r="AD47" s="8">
        <v>50</v>
      </c>
      <c r="AE47" s="8" t="s">
        <v>102</v>
      </c>
      <c r="AF47" s="8">
        <f t="shared" si="5"/>
        <v>0</v>
      </c>
      <c r="AG47"/>
    </row>
    <row r="48" spans="1:33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>
        <v>550</v>
      </c>
      <c r="J48" s="2">
        <v>950</v>
      </c>
      <c r="K48" s="2"/>
      <c r="L48" s="2"/>
      <c r="M48" s="2"/>
      <c r="N48" s="2"/>
      <c r="O48" s="8">
        <f t="shared" si="3"/>
        <v>350</v>
      </c>
      <c r="P48" s="19">
        <v>150</v>
      </c>
      <c r="Q48" s="19">
        <v>700</v>
      </c>
      <c r="R48" s="19"/>
      <c r="S48" s="2"/>
      <c r="T48" s="19"/>
      <c r="U48" s="2"/>
      <c r="V48" s="19"/>
      <c r="W48" s="19"/>
      <c r="X48" s="19"/>
      <c r="Y48" s="19">
        <v>300</v>
      </c>
      <c r="Z48" s="2"/>
      <c r="AA48" s="7">
        <f t="shared" si="4"/>
        <v>183</v>
      </c>
      <c r="AB48" s="8" t="s">
        <v>95</v>
      </c>
      <c r="AC48" s="8" t="s">
        <v>98</v>
      </c>
      <c r="AD48" s="8">
        <v>50</v>
      </c>
      <c r="AE48" s="8" t="s">
        <v>102</v>
      </c>
      <c r="AF48" s="8">
        <f t="shared" si="5"/>
        <v>30</v>
      </c>
      <c r="AG48"/>
    </row>
    <row r="49" spans="1:33" hidden="1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/>
      <c r="J49" s="2">
        <v>0</v>
      </c>
      <c r="K49" s="2"/>
      <c r="L49" s="2"/>
      <c r="M49" s="2"/>
      <c r="N49" s="2"/>
      <c r="O49" s="8">
        <f t="shared" si="3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4"/>
        <v>0</v>
      </c>
      <c r="AB49" s="8" t="s">
        <v>26</v>
      </c>
      <c r="AC49" s="8" t="s">
        <v>99</v>
      </c>
      <c r="AD49" s="8">
        <v>100</v>
      </c>
      <c r="AE49" s="8" t="s">
        <v>102</v>
      </c>
      <c r="AF49" s="8">
        <f t="shared" si="5"/>
        <v>0</v>
      </c>
      <c r="AG49"/>
    </row>
    <row r="50" spans="1:33" hidden="1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/>
      <c r="J50" s="2">
        <v>0</v>
      </c>
      <c r="K50" s="2"/>
      <c r="L50" s="2"/>
      <c r="M50" s="2"/>
      <c r="N50" s="2"/>
      <c r="O50" s="8">
        <f t="shared" si="3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2"/>
      <c r="AA50" s="7">
        <f t="shared" si="4"/>
        <v>0</v>
      </c>
      <c r="AB50" s="8" t="s">
        <v>25</v>
      </c>
      <c r="AC50" s="8" t="s">
        <v>99</v>
      </c>
      <c r="AD50" s="8">
        <v>50</v>
      </c>
      <c r="AE50" s="8" t="s">
        <v>102</v>
      </c>
      <c r="AF50" s="8">
        <f t="shared" si="5"/>
        <v>0</v>
      </c>
      <c r="AG50"/>
    </row>
    <row r="51" spans="1:33" x14ac:dyDescent="0.25">
      <c r="A51" s="2">
        <v>46</v>
      </c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>
        <v>400</v>
      </c>
      <c r="J51" s="2">
        <v>0</v>
      </c>
      <c r="K51" s="2"/>
      <c r="L51" s="2"/>
      <c r="M51" s="2"/>
      <c r="N51" s="2"/>
      <c r="O51" s="8">
        <f t="shared" si="3"/>
        <v>400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2"/>
      <c r="AA51" s="7">
        <f t="shared" si="4"/>
        <v>106</v>
      </c>
      <c r="AB51" s="8" t="s">
        <v>97</v>
      </c>
      <c r="AC51" s="8" t="s">
        <v>99</v>
      </c>
      <c r="AD51" s="8">
        <v>400</v>
      </c>
      <c r="AE51" s="8" t="s">
        <v>102</v>
      </c>
      <c r="AF51" s="8">
        <f t="shared" si="5"/>
        <v>1</v>
      </c>
      <c r="AG51"/>
    </row>
    <row r="52" spans="1:33" x14ac:dyDescent="0.25">
      <c r="A52" s="2">
        <v>47</v>
      </c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/>
      <c r="J52" s="2">
        <v>450</v>
      </c>
      <c r="K52" s="2"/>
      <c r="L52" s="2"/>
      <c r="M52" s="2"/>
      <c r="N52" s="2"/>
      <c r="O52" s="8">
        <f t="shared" si="3"/>
        <v>450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2"/>
      <c r="AA52" s="7">
        <f t="shared" si="4"/>
        <v>61.2</v>
      </c>
      <c r="AB52" s="8" t="s">
        <v>27</v>
      </c>
      <c r="AC52" s="8" t="s">
        <v>99</v>
      </c>
      <c r="AD52" s="8">
        <v>50</v>
      </c>
      <c r="AE52" s="8" t="s">
        <v>102</v>
      </c>
      <c r="AF52" s="8">
        <f t="shared" si="5"/>
        <v>9</v>
      </c>
      <c r="AG52"/>
    </row>
    <row r="53" spans="1:33" hidden="1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/>
      <c r="J53" s="2">
        <v>0</v>
      </c>
      <c r="K53" s="2"/>
      <c r="L53" s="2"/>
      <c r="M53" s="2"/>
      <c r="N53" s="2"/>
      <c r="O53" s="8">
        <f t="shared" si="3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4"/>
        <v>0</v>
      </c>
      <c r="AB53" s="8" t="s">
        <v>97</v>
      </c>
      <c r="AC53" s="8" t="s">
        <v>99</v>
      </c>
      <c r="AD53" s="8">
        <v>400</v>
      </c>
      <c r="AE53" s="8" t="s">
        <v>102</v>
      </c>
      <c r="AF53" s="8">
        <f t="shared" si="5"/>
        <v>0</v>
      </c>
      <c r="AG53"/>
    </row>
    <row r="54" spans="1:33" hidden="1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/>
      <c r="J54" s="2">
        <v>0</v>
      </c>
      <c r="K54" s="2"/>
      <c r="L54" s="2"/>
      <c r="M54" s="2"/>
      <c r="N54" s="2"/>
      <c r="O54" s="8">
        <f t="shared" si="3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4"/>
        <v>0</v>
      </c>
      <c r="AB54" s="8" t="s">
        <v>97</v>
      </c>
      <c r="AC54" s="8" t="s">
        <v>99</v>
      </c>
      <c r="AD54" s="8">
        <v>400</v>
      </c>
      <c r="AE54" s="8" t="s">
        <v>102</v>
      </c>
      <c r="AF54" s="8">
        <f t="shared" si="5"/>
        <v>0</v>
      </c>
      <c r="AG54"/>
    </row>
    <row r="55" spans="1:33" hidden="1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/>
      <c r="J55" s="2">
        <v>0</v>
      </c>
      <c r="K55" s="2"/>
      <c r="L55" s="2"/>
      <c r="M55" s="2"/>
      <c r="N55" s="2"/>
      <c r="O55" s="8">
        <f t="shared" si="3"/>
        <v>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2"/>
      <c r="AA55" s="7">
        <f t="shared" si="4"/>
        <v>0</v>
      </c>
      <c r="AB55" s="8" t="s">
        <v>27</v>
      </c>
      <c r="AC55" s="8" t="s">
        <v>99</v>
      </c>
      <c r="AD55" s="8">
        <v>60</v>
      </c>
      <c r="AE55" s="8" t="s">
        <v>102</v>
      </c>
      <c r="AF55" s="8">
        <f t="shared" si="5"/>
        <v>0</v>
      </c>
      <c r="AG55"/>
    </row>
    <row r="56" spans="1:33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>
        <v>630</v>
      </c>
      <c r="J56" s="2">
        <v>0</v>
      </c>
      <c r="K56" s="2"/>
      <c r="L56" s="2"/>
      <c r="M56" s="2"/>
      <c r="N56" s="2"/>
      <c r="O56" s="8">
        <f t="shared" si="3"/>
        <v>630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2"/>
      <c r="AA56" s="7">
        <f t="shared" si="4"/>
        <v>99.54</v>
      </c>
      <c r="AB56" s="8" t="s">
        <v>27</v>
      </c>
      <c r="AC56" s="8" t="s">
        <v>99</v>
      </c>
      <c r="AD56" s="8">
        <v>70</v>
      </c>
      <c r="AE56" s="8" t="s">
        <v>102</v>
      </c>
      <c r="AF56" s="8">
        <f t="shared" si="5"/>
        <v>9</v>
      </c>
      <c r="AG56"/>
    </row>
    <row r="57" spans="1:33" hidden="1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/>
      <c r="J57" s="2">
        <v>0</v>
      </c>
      <c r="K57" s="2"/>
      <c r="L57" s="2"/>
      <c r="M57" s="2"/>
      <c r="N57" s="2"/>
      <c r="O57" s="8">
        <f t="shared" si="3"/>
        <v>0</v>
      </c>
      <c r="P57" s="19"/>
      <c r="Q57" s="19"/>
      <c r="R57" s="19"/>
      <c r="S57" s="2"/>
      <c r="T57" s="19"/>
      <c r="U57" s="2"/>
      <c r="V57" s="19"/>
      <c r="W57" s="19"/>
      <c r="X57" s="19"/>
      <c r="Y57" s="19"/>
      <c r="Z57" s="2"/>
      <c r="AA57" s="7">
        <f t="shared" si="4"/>
        <v>0</v>
      </c>
      <c r="AB57" s="8" t="s">
        <v>97</v>
      </c>
      <c r="AC57" s="8" t="s">
        <v>99</v>
      </c>
      <c r="AD57" s="8">
        <v>400</v>
      </c>
      <c r="AE57" s="8" t="s">
        <v>102</v>
      </c>
      <c r="AF57" s="8">
        <f t="shared" si="5"/>
        <v>0</v>
      </c>
      <c r="AG57"/>
    </row>
    <row r="58" spans="1:33" x14ac:dyDescent="0.25">
      <c r="A58" s="2">
        <v>53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>
        <v>300</v>
      </c>
      <c r="J58" s="2">
        <v>0</v>
      </c>
      <c r="K58" s="2"/>
      <c r="L58" s="2"/>
      <c r="M58" s="2"/>
      <c r="N58" s="2"/>
      <c r="O58" s="8">
        <f t="shared" si="3"/>
        <v>300</v>
      </c>
      <c r="P58" s="19"/>
      <c r="Q58" s="19"/>
      <c r="R58" s="19"/>
      <c r="S58" s="2"/>
      <c r="T58" s="19"/>
      <c r="U58" s="2"/>
      <c r="V58" s="19"/>
      <c r="W58" s="19"/>
      <c r="X58" s="19"/>
      <c r="Y58" s="19"/>
      <c r="Z58" s="2"/>
      <c r="AA58" s="7">
        <f t="shared" si="4"/>
        <v>144.29999999999998</v>
      </c>
      <c r="AB58" s="8" t="s">
        <v>97</v>
      </c>
      <c r="AC58" s="8" t="s">
        <v>99</v>
      </c>
      <c r="AD58" s="8">
        <v>300</v>
      </c>
      <c r="AE58" s="8" t="s">
        <v>102</v>
      </c>
      <c r="AF58" s="8">
        <f t="shared" si="5"/>
        <v>1</v>
      </c>
      <c r="AG58"/>
    </row>
    <row r="59" spans="1:33" hidden="1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/>
      <c r="J59" s="2">
        <v>0</v>
      </c>
      <c r="K59" s="2"/>
      <c r="L59" s="2"/>
      <c r="M59" s="2"/>
      <c r="N59" s="2"/>
      <c r="O59" s="8">
        <f t="shared" si="3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2"/>
      <c r="AA59" s="7">
        <f t="shared" si="4"/>
        <v>0</v>
      </c>
      <c r="AB59" s="8" t="s">
        <v>97</v>
      </c>
      <c r="AC59" s="8" t="s">
        <v>99</v>
      </c>
      <c r="AD59" s="8">
        <v>500</v>
      </c>
      <c r="AE59" s="8" t="s">
        <v>102</v>
      </c>
      <c r="AF59" s="8">
        <f t="shared" si="5"/>
        <v>0</v>
      </c>
      <c r="AG59"/>
    </row>
    <row r="60" spans="1:33" hidden="1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/>
      <c r="J60" s="2">
        <v>0</v>
      </c>
      <c r="K60" s="2"/>
      <c r="L60" s="2"/>
      <c r="M60" s="2"/>
      <c r="N60" s="2"/>
      <c r="O60" s="8">
        <f t="shared" si="3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2"/>
      <c r="AA60" s="7">
        <f t="shared" si="4"/>
        <v>0</v>
      </c>
      <c r="AB60" s="8" t="s">
        <v>97</v>
      </c>
      <c r="AC60" s="8" t="s">
        <v>99</v>
      </c>
      <c r="AD60" s="8">
        <v>500</v>
      </c>
      <c r="AE60" s="8" t="s">
        <v>102</v>
      </c>
      <c r="AF60" s="8">
        <f t="shared" si="5"/>
        <v>0</v>
      </c>
      <c r="AG60"/>
    </row>
    <row r="61" spans="1:33" hidden="1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/>
      <c r="J61" s="2">
        <v>0</v>
      </c>
      <c r="K61" s="2"/>
      <c r="L61" s="2"/>
      <c r="M61" s="2"/>
      <c r="N61" s="2"/>
      <c r="O61" s="8">
        <f t="shared" si="3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2"/>
      <c r="AA61" s="7">
        <f t="shared" si="4"/>
        <v>0</v>
      </c>
      <c r="AB61" s="8" t="s">
        <v>26</v>
      </c>
      <c r="AC61" s="8" t="s">
        <v>98</v>
      </c>
      <c r="AD61" s="8">
        <v>250</v>
      </c>
      <c r="AE61" s="8" t="s">
        <v>102</v>
      </c>
      <c r="AF61" s="8">
        <f t="shared" si="5"/>
        <v>0</v>
      </c>
      <c r="AG61"/>
    </row>
    <row r="62" spans="1:33" hidden="1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/>
      <c r="J62" s="2">
        <v>0</v>
      </c>
      <c r="K62" s="2"/>
      <c r="L62" s="2"/>
      <c r="M62" s="2"/>
      <c r="N62" s="2"/>
      <c r="O62" s="8">
        <f t="shared" si="3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/>
      <c r="AA62" s="7">
        <f t="shared" si="4"/>
        <v>0</v>
      </c>
      <c r="AB62" s="8" t="s">
        <v>26</v>
      </c>
      <c r="AC62" s="8" t="s">
        <v>99</v>
      </c>
      <c r="AD62" s="8">
        <v>300</v>
      </c>
      <c r="AE62" s="8" t="s">
        <v>102</v>
      </c>
      <c r="AF62" s="8">
        <f t="shared" si="5"/>
        <v>0</v>
      </c>
      <c r="AG62"/>
    </row>
    <row r="63" spans="1:33" hidden="1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/>
      <c r="J63" s="2">
        <v>0</v>
      </c>
      <c r="K63" s="2"/>
      <c r="L63" s="2"/>
      <c r="M63" s="2"/>
      <c r="N63" s="2"/>
      <c r="O63" s="8">
        <f t="shared" si="3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4"/>
        <v>0</v>
      </c>
      <c r="AB63" s="8" t="s">
        <v>26</v>
      </c>
      <c r="AC63" s="8" t="s">
        <v>99</v>
      </c>
      <c r="AD63" s="8">
        <v>250</v>
      </c>
      <c r="AE63" s="8" t="s">
        <v>102</v>
      </c>
      <c r="AF63" s="8">
        <f t="shared" si="5"/>
        <v>0</v>
      </c>
      <c r="AG63"/>
    </row>
    <row r="64" spans="1:33" x14ac:dyDescent="0.25">
      <c r="H64" s="4" t="s">
        <v>19</v>
      </c>
      <c r="I64" s="9">
        <f t="shared" ref="I64:AA64" si="6">SUM(I6:I63)</f>
        <v>4880</v>
      </c>
      <c r="J64" s="9">
        <f t="shared" si="6"/>
        <v>3295</v>
      </c>
      <c r="K64" s="9">
        <f t="shared" si="6"/>
        <v>0</v>
      </c>
      <c r="L64" s="9">
        <f t="shared" si="6"/>
        <v>0</v>
      </c>
      <c r="M64" s="9">
        <f t="shared" si="6"/>
        <v>0</v>
      </c>
      <c r="N64" s="9">
        <f t="shared" si="6"/>
        <v>0</v>
      </c>
      <c r="O64" s="11">
        <f t="shared" si="6"/>
        <v>2818</v>
      </c>
      <c r="P64" s="20">
        <f t="shared" si="6"/>
        <v>406</v>
      </c>
      <c r="Q64" s="20">
        <f t="shared" si="6"/>
        <v>700</v>
      </c>
      <c r="R64" s="20">
        <f t="shared" si="6"/>
        <v>848</v>
      </c>
      <c r="S64" s="9">
        <f t="shared" si="6"/>
        <v>128</v>
      </c>
      <c r="T64" s="20">
        <f t="shared" si="6"/>
        <v>704</v>
      </c>
      <c r="U64" s="9">
        <f t="shared" si="6"/>
        <v>384</v>
      </c>
      <c r="V64" s="20">
        <f t="shared" si="6"/>
        <v>320</v>
      </c>
      <c r="W64" s="20">
        <f t="shared" si="6"/>
        <v>0</v>
      </c>
      <c r="X64" s="20">
        <f t="shared" si="6"/>
        <v>0</v>
      </c>
      <c r="Y64" s="20">
        <f t="shared" si="6"/>
        <v>300</v>
      </c>
      <c r="Z64" s="9">
        <f t="shared" si="6"/>
        <v>1567</v>
      </c>
      <c r="AA64" s="9">
        <f t="shared" si="6"/>
        <v>1359.1579999999999</v>
      </c>
      <c r="AF64" s="12">
        <f>SUM(AF6:AF63)</f>
        <v>115.6354761904762</v>
      </c>
    </row>
    <row r="65" spans="1:26" x14ac:dyDescent="0.25">
      <c r="H65" s="4" t="s">
        <v>21</v>
      </c>
      <c r="I65" s="56">
        <f>+I64+J64+K64+L64+M64+N64</f>
        <v>8175</v>
      </c>
      <c r="J65" s="56"/>
      <c r="K65" s="56"/>
      <c r="L65" s="56"/>
      <c r="M65" s="56"/>
      <c r="N65" s="56"/>
      <c r="P65" s="57">
        <f>+P64+Q64</f>
        <v>1106</v>
      </c>
      <c r="Q65" s="54"/>
      <c r="R65" s="57">
        <f>+R64+S64</f>
        <v>976</v>
      </c>
      <c r="S65" s="54"/>
      <c r="T65" s="57">
        <f>+T64+U64</f>
        <v>1088</v>
      </c>
      <c r="U65" s="54"/>
      <c r="V65" s="57">
        <f t="shared" ref="V65" si="7">+V64+W64</f>
        <v>320</v>
      </c>
      <c r="W65" s="54"/>
      <c r="X65" s="57">
        <f t="shared" ref="X65" si="8">+X64+Y64</f>
        <v>300</v>
      </c>
      <c r="Y65" s="54"/>
      <c r="Z65" s="10">
        <f>+Z64</f>
        <v>1567</v>
      </c>
    </row>
    <row r="66" spans="1:26" x14ac:dyDescent="0.25">
      <c r="I66" s="1">
        <v>0</v>
      </c>
      <c r="J66" s="25">
        <f>+J64</f>
        <v>3295</v>
      </c>
      <c r="K66" s="25">
        <f t="shared" ref="K66:N66" si="9">+K64</f>
        <v>0</v>
      </c>
      <c r="L66" s="25">
        <f t="shared" si="9"/>
        <v>0</v>
      </c>
      <c r="M66" s="25">
        <f t="shared" si="9"/>
        <v>0</v>
      </c>
      <c r="N66" s="25">
        <f t="shared" si="9"/>
        <v>0</v>
      </c>
      <c r="P66" s="17"/>
      <c r="Q66" s="17"/>
      <c r="R66" s="17"/>
      <c r="T66" s="17"/>
      <c r="V66" s="17"/>
      <c r="W66" s="17"/>
      <c r="X66" s="17"/>
      <c r="Y66" s="17"/>
    </row>
    <row r="67" spans="1:26" x14ac:dyDescent="0.25">
      <c r="P67" s="17"/>
      <c r="Q67" s="17"/>
      <c r="R67" s="17"/>
      <c r="T67" s="17"/>
      <c r="V67" s="17"/>
      <c r="W67" s="17"/>
      <c r="X67" s="17"/>
      <c r="Y67" s="17"/>
    </row>
    <row r="68" spans="1:26" x14ac:dyDescent="0.25">
      <c r="C68" s="2" t="s">
        <v>111</v>
      </c>
      <c r="D68" s="2" t="s">
        <v>112</v>
      </c>
      <c r="E68" s="2" t="s">
        <v>113</v>
      </c>
      <c r="P68" s="19" t="s">
        <v>15</v>
      </c>
      <c r="Q68" s="19" t="s">
        <v>16</v>
      </c>
      <c r="R68" s="19" t="s">
        <v>15</v>
      </c>
      <c r="S68" s="19" t="s">
        <v>16</v>
      </c>
      <c r="T68" s="19" t="s">
        <v>15</v>
      </c>
      <c r="U68" s="19" t="s">
        <v>16</v>
      </c>
      <c r="V68" s="19" t="s">
        <v>15</v>
      </c>
      <c r="W68" s="19" t="s">
        <v>16</v>
      </c>
      <c r="X68" s="19" t="s">
        <v>15</v>
      </c>
      <c r="Y68" s="19" t="s">
        <v>16</v>
      </c>
      <c r="Z68" s="19"/>
    </row>
    <row r="69" spans="1:26" x14ac:dyDescent="0.25">
      <c r="B69" s="2" t="s">
        <v>114</v>
      </c>
      <c r="C69" s="8">
        <v>8175</v>
      </c>
      <c r="D69" s="2">
        <f>+C69/5</f>
        <v>1635</v>
      </c>
      <c r="E69" s="2">
        <f>+D69/2</f>
        <v>817.5</v>
      </c>
      <c r="H69" s="23"/>
      <c r="P69" s="40">
        <f>+P64/$E$69</f>
        <v>0.49663608562691131</v>
      </c>
      <c r="Q69" s="40">
        <f t="shared" ref="Q69:Y69" si="10">+Q64/$E$69</f>
        <v>0.85626911314984711</v>
      </c>
      <c r="R69" s="40">
        <f t="shared" si="10"/>
        <v>1.037308868501529</v>
      </c>
      <c r="S69" s="40">
        <f t="shared" si="10"/>
        <v>0.1565749235474006</v>
      </c>
      <c r="T69" s="40">
        <f t="shared" si="10"/>
        <v>0.86116207951070334</v>
      </c>
      <c r="U69" s="40">
        <f t="shared" si="10"/>
        <v>0.46972477064220186</v>
      </c>
      <c r="V69" s="40">
        <f t="shared" si="10"/>
        <v>0.39143730886850153</v>
      </c>
      <c r="W69" s="40">
        <f t="shared" si="10"/>
        <v>0</v>
      </c>
      <c r="X69" s="40">
        <f t="shared" si="10"/>
        <v>0</v>
      </c>
      <c r="Y69" s="40">
        <f t="shared" si="10"/>
        <v>0.3669724770642202</v>
      </c>
      <c r="Z69" s="19"/>
    </row>
    <row r="70" spans="1:26" x14ac:dyDescent="0.25">
      <c r="B70" s="2" t="s">
        <v>115</v>
      </c>
      <c r="C70" s="8">
        <v>3218</v>
      </c>
      <c r="D70" s="2">
        <f>+C70/5</f>
        <v>643.6</v>
      </c>
      <c r="E70" s="2">
        <f>+D70/2</f>
        <v>321.8</v>
      </c>
      <c r="H70" s="23"/>
    </row>
    <row r="71" spans="1:26" x14ac:dyDescent="0.25">
      <c r="B71" s="2" t="s">
        <v>116</v>
      </c>
      <c r="C71" s="2">
        <f>+C69-C70</f>
        <v>4957</v>
      </c>
    </row>
    <row r="72" spans="1:26" x14ac:dyDescent="0.25">
      <c r="B72" s="2" t="s">
        <v>117</v>
      </c>
      <c r="C72" s="24">
        <f>+C71/C69</f>
        <v>0.60636085626911318</v>
      </c>
      <c r="H72" s="23"/>
    </row>
    <row r="73" spans="1:26" x14ac:dyDescent="0.25">
      <c r="B73" s="2" t="s">
        <v>118</v>
      </c>
      <c r="C73" s="24">
        <f>+C70/C69</f>
        <v>0.39363914373088688</v>
      </c>
    </row>
    <row r="75" spans="1:26" x14ac:dyDescent="0.25">
      <c r="A75" s="51" t="s">
        <v>136</v>
      </c>
      <c r="B75" s="52"/>
      <c r="C75" s="52"/>
      <c r="D75" s="52"/>
      <c r="E75" s="52"/>
      <c r="F75" s="53"/>
    </row>
    <row r="76" spans="1:26" x14ac:dyDescent="0.25">
      <c r="A76" s="54" t="s">
        <v>142</v>
      </c>
      <c r="B76" s="37">
        <v>46265</v>
      </c>
      <c r="C76" s="37">
        <v>46266</v>
      </c>
      <c r="D76" s="37">
        <v>46267</v>
      </c>
      <c r="E76" s="37">
        <v>46268</v>
      </c>
      <c r="F76" s="37">
        <v>46269</v>
      </c>
    </row>
    <row r="77" spans="1:26" x14ac:dyDescent="0.25">
      <c r="A77" s="54"/>
      <c r="B77" s="38" t="s">
        <v>122</v>
      </c>
      <c r="C77" s="4" t="s">
        <v>123</v>
      </c>
      <c r="D77" s="4" t="s">
        <v>124</v>
      </c>
      <c r="E77" s="4" t="s">
        <v>125</v>
      </c>
      <c r="F77" s="4" t="s">
        <v>128</v>
      </c>
    </row>
    <row r="78" spans="1:26" x14ac:dyDescent="0.25">
      <c r="A78" s="12" t="s">
        <v>134</v>
      </c>
      <c r="B78" s="26">
        <v>0.14000000000000001</v>
      </c>
      <c r="C78" s="26">
        <v>0.21</v>
      </c>
      <c r="D78" s="26">
        <v>0.34</v>
      </c>
      <c r="E78" s="26">
        <v>0.56999999999999995</v>
      </c>
      <c r="F78" s="26">
        <v>0.61</v>
      </c>
    </row>
    <row r="79" spans="1:26" x14ac:dyDescent="0.25">
      <c r="A79" s="12" t="s">
        <v>135</v>
      </c>
      <c r="B79" s="26">
        <v>0.86</v>
      </c>
      <c r="C79" s="26">
        <v>0.79</v>
      </c>
      <c r="D79" s="26">
        <v>0.66</v>
      </c>
      <c r="E79" s="26">
        <v>0.43</v>
      </c>
      <c r="F79" s="26">
        <v>0.39</v>
      </c>
    </row>
  </sheetData>
  <autoFilter ref="B5:AF65" xr:uid="{00000000-0009-0000-0000-000009000000}">
    <filterColumn colId="13">
      <filters blank="1">
        <filter val="1088"/>
        <filter val="3,118"/>
        <filter val="300"/>
        <filter val="400"/>
        <filter val="450"/>
        <filter val="630"/>
        <filter val="650"/>
      </filters>
    </filterColumn>
  </autoFilter>
  <mergeCells count="16">
    <mergeCell ref="A75:F75"/>
    <mergeCell ref="A76:A77"/>
    <mergeCell ref="C2:D2"/>
    <mergeCell ref="B3:B4"/>
    <mergeCell ref="P4:Q4"/>
    <mergeCell ref="R4:S4"/>
    <mergeCell ref="T4:U4"/>
    <mergeCell ref="J4:N4"/>
    <mergeCell ref="X4:Y4"/>
    <mergeCell ref="I65:N65"/>
    <mergeCell ref="P65:Q65"/>
    <mergeCell ref="R65:S65"/>
    <mergeCell ref="T65:U65"/>
    <mergeCell ref="V65:W65"/>
    <mergeCell ref="X65:Y65"/>
    <mergeCell ref="V4:W4"/>
  </mergeCells>
  <conditionalFormatting sqref="P69:Y69">
    <cfRule type="cellIs" dxfId="17" priority="1" operator="between">
      <formula>1</formula>
      <formula>5</formula>
    </cfRule>
    <cfRule type="cellIs" dxfId="16" priority="2" operator="between">
      <formula>0.85</formula>
      <formula>0.99</formula>
    </cfRule>
    <cfRule type="cellIs" dxfId="15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7" orientation="portrait" r:id="rId2"/>
  <colBreaks count="1" manualBreakCount="1">
    <brk id="15" max="32" man="1"/>
  </colBreaks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00B050"/>
    <pageSetUpPr fitToPage="1"/>
  </sheetPr>
  <dimension ref="A1:AJ101"/>
  <sheetViews>
    <sheetView zoomScale="73" zoomScaleNormal="80" workbookViewId="0">
      <pane xSplit="15" topLeftCell="P1" activePane="topRight" state="frozen"/>
      <selection activeCell="K20" sqref="K20"/>
      <selection pane="topRight" activeCell="C72" sqref="C72"/>
    </sheetView>
  </sheetViews>
  <sheetFormatPr baseColWidth="10" defaultColWidth="8.7109375" defaultRowHeight="15" x14ac:dyDescent="0.25"/>
  <cols>
    <col min="1" max="1" width="8.7109375" style="1"/>
    <col min="2" max="2" width="33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2.42578125" style="1" bestFit="1" customWidth="1"/>
    <col min="7" max="7" width="10.5703125" style="1" customWidth="1"/>
    <col min="8" max="8" width="15.42578125" style="1" hidden="1" customWidth="1"/>
    <col min="9" max="9" width="10.7109375" style="1" customWidth="1"/>
    <col min="10" max="10" width="10.140625" style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26" width="8.7109375" style="1" customWidth="1"/>
    <col min="27" max="27" width="8.7109375" style="1"/>
    <col min="28" max="28" width="16.85546875" style="1" bestFit="1" customWidth="1"/>
    <col min="29" max="29" width="16.5703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6.28515625" style="1" customWidth="1"/>
    <col min="35" max="35" width="19.7109375" style="1" bestFit="1" customWidth="1"/>
    <col min="36" max="16384" width="8.7109375" style="1"/>
  </cols>
  <sheetData>
    <row r="1" spans="1:36" x14ac:dyDescent="0.25">
      <c r="P1" s="17"/>
      <c r="Q1" s="17"/>
      <c r="R1" s="17"/>
      <c r="T1" s="17"/>
      <c r="V1" s="17"/>
      <c r="W1" s="17"/>
      <c r="X1" s="17"/>
      <c r="Y1" s="17"/>
    </row>
    <row r="2" spans="1:36" x14ac:dyDescent="0.25">
      <c r="B2" s="4" t="s">
        <v>17</v>
      </c>
      <c r="C2" s="58" t="s">
        <v>18</v>
      </c>
      <c r="D2" s="58"/>
      <c r="P2" s="17"/>
      <c r="Q2" s="17"/>
      <c r="R2" s="17"/>
      <c r="T2" s="17"/>
      <c r="V2" s="17"/>
      <c r="W2" s="17"/>
      <c r="X2" s="17"/>
      <c r="Y2" s="17"/>
    </row>
    <row r="3" spans="1:3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  <c r="P3" s="17"/>
      <c r="Q3" s="17"/>
      <c r="R3" s="17"/>
      <c r="T3" s="17"/>
      <c r="V3" s="17"/>
      <c r="W3" s="17"/>
      <c r="X3" s="17"/>
      <c r="Y3" s="17"/>
    </row>
    <row r="4" spans="1:36" x14ac:dyDescent="0.25">
      <c r="B4" s="59"/>
      <c r="C4" s="4" t="s">
        <v>16</v>
      </c>
      <c r="D4" s="2"/>
      <c r="I4" s="4" t="s">
        <v>5</v>
      </c>
      <c r="J4" s="60" t="s">
        <v>119</v>
      </c>
      <c r="K4" s="60"/>
      <c r="L4" s="60"/>
      <c r="M4" s="60"/>
      <c r="N4" s="60"/>
      <c r="P4" s="55">
        <v>46272</v>
      </c>
      <c r="Q4" s="55"/>
      <c r="R4" s="55">
        <v>46273</v>
      </c>
      <c r="S4" s="55"/>
      <c r="T4" s="55">
        <v>46274</v>
      </c>
      <c r="U4" s="55"/>
      <c r="V4" s="55">
        <v>46275</v>
      </c>
      <c r="W4" s="55"/>
      <c r="X4" s="55">
        <v>46276</v>
      </c>
      <c r="Y4" s="55"/>
      <c r="Z4" s="6" t="s">
        <v>10</v>
      </c>
    </row>
    <row r="5" spans="1:3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37</v>
      </c>
      <c r="J5" s="4" t="s">
        <v>144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4" t="s">
        <v>20</v>
      </c>
      <c r="AA5" s="4" t="s">
        <v>8</v>
      </c>
      <c r="AB5" s="4" t="s">
        <v>22</v>
      </c>
      <c r="AC5" s="4" t="s">
        <v>100</v>
      </c>
      <c r="AD5" s="4" t="s">
        <v>24</v>
      </c>
      <c r="AE5" s="4" t="s">
        <v>23</v>
      </c>
      <c r="AF5" s="4" t="s">
        <v>28</v>
      </c>
      <c r="AG5"/>
      <c r="AH5" s="15" t="s">
        <v>29</v>
      </c>
      <c r="AI5" s="15" t="s">
        <v>31</v>
      </c>
      <c r="AJ5"/>
    </row>
    <row r="6" spans="1:36" hidden="1" x14ac:dyDescent="0.25">
      <c r="A6" s="2">
        <v>1</v>
      </c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>
        <v>0</v>
      </c>
      <c r="J6" s="2">
        <v>0</v>
      </c>
      <c r="K6" s="2"/>
      <c r="L6" s="2"/>
      <c r="M6" s="2"/>
      <c r="N6" s="2"/>
      <c r="O6" s="8">
        <f t="shared" ref="O6:O37" si="0">+I6+J6+K6+L6+M6+N6-SUM(P6:Z6)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2"/>
      <c r="AA6" s="7">
        <f t="shared" ref="AA6:AA63" si="1">+G6*SUM(I6:N6)</f>
        <v>0</v>
      </c>
      <c r="AB6" s="8" t="s">
        <v>26</v>
      </c>
      <c r="AC6" s="8">
        <v>0</v>
      </c>
      <c r="AD6" s="8">
        <v>260</v>
      </c>
      <c r="AE6" s="8" t="s">
        <v>101</v>
      </c>
      <c r="AF6" s="8">
        <f t="shared" ref="AF6:AF63" si="2">+SUM(I6:N6)/AD6</f>
        <v>0</v>
      </c>
      <c r="AG6"/>
      <c r="AH6" s="16" t="s">
        <v>26</v>
      </c>
      <c r="AI6" s="15">
        <v>0</v>
      </c>
      <c r="AJ6"/>
    </row>
    <row r="7" spans="1:36" hidden="1" x14ac:dyDescent="0.25">
      <c r="A7" s="2">
        <v>2</v>
      </c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>
        <v>0</v>
      </c>
      <c r="J7" s="2">
        <v>0</v>
      </c>
      <c r="K7" s="2"/>
      <c r="L7" s="2"/>
      <c r="M7" s="2"/>
      <c r="N7" s="2"/>
      <c r="O7" s="8">
        <f t="shared" si="0"/>
        <v>0</v>
      </c>
      <c r="P7" s="19"/>
      <c r="Q7" s="19"/>
      <c r="R7" s="19"/>
      <c r="S7" s="2"/>
      <c r="T7" s="19"/>
      <c r="U7" s="2"/>
      <c r="V7" s="19"/>
      <c r="W7" s="19"/>
      <c r="X7" s="19"/>
      <c r="Y7" s="19"/>
      <c r="Z7" s="2"/>
      <c r="AA7" s="7">
        <f t="shared" si="1"/>
        <v>0</v>
      </c>
      <c r="AB7" s="8" t="s">
        <v>95</v>
      </c>
      <c r="AC7" s="8">
        <v>0</v>
      </c>
      <c r="AD7" s="8">
        <v>70</v>
      </c>
      <c r="AE7" s="8" t="s">
        <v>101</v>
      </c>
      <c r="AF7" s="8">
        <f t="shared" si="2"/>
        <v>0</v>
      </c>
      <c r="AG7"/>
      <c r="AH7" s="16" t="s">
        <v>95</v>
      </c>
      <c r="AI7" s="15">
        <v>0</v>
      </c>
      <c r="AJ7"/>
    </row>
    <row r="8" spans="1:36" hidden="1" x14ac:dyDescent="0.25">
      <c r="A8" s="2">
        <v>3</v>
      </c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>
        <v>0</v>
      </c>
      <c r="J8" s="2">
        <v>0</v>
      </c>
      <c r="K8" s="2"/>
      <c r="L8" s="2"/>
      <c r="M8" s="2"/>
      <c r="N8" s="2"/>
      <c r="O8" s="8">
        <f t="shared" si="0"/>
        <v>0</v>
      </c>
      <c r="P8" s="19"/>
      <c r="Q8" s="19"/>
      <c r="R8" s="19"/>
      <c r="S8" s="2"/>
      <c r="T8" s="19"/>
      <c r="U8" s="2"/>
      <c r="V8" s="19"/>
      <c r="W8" s="19"/>
      <c r="X8" s="19"/>
      <c r="Y8" s="19"/>
      <c r="Z8" s="2"/>
      <c r="AA8" s="7">
        <f t="shared" si="1"/>
        <v>0</v>
      </c>
      <c r="AB8" s="8" t="s">
        <v>95</v>
      </c>
      <c r="AC8" s="8">
        <v>0</v>
      </c>
      <c r="AD8" s="8">
        <v>70</v>
      </c>
      <c r="AE8" s="8" t="s">
        <v>101</v>
      </c>
      <c r="AF8" s="8">
        <f t="shared" si="2"/>
        <v>0</v>
      </c>
      <c r="AG8"/>
      <c r="AH8" s="16" t="s">
        <v>27</v>
      </c>
      <c r="AI8" s="15">
        <v>0</v>
      </c>
      <c r="AJ8"/>
    </row>
    <row r="9" spans="1:36" hidden="1" x14ac:dyDescent="0.25">
      <c r="A9" s="2">
        <v>4</v>
      </c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>
        <v>0</v>
      </c>
      <c r="J9" s="2">
        <v>0</v>
      </c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2"/>
      <c r="AA9" s="7">
        <f t="shared" si="1"/>
        <v>0</v>
      </c>
      <c r="AB9" s="8" t="s">
        <v>26</v>
      </c>
      <c r="AC9" s="8">
        <v>0</v>
      </c>
      <c r="AD9" s="8">
        <v>70</v>
      </c>
      <c r="AE9" s="8" t="s">
        <v>101</v>
      </c>
      <c r="AF9" s="8">
        <f t="shared" si="2"/>
        <v>0</v>
      </c>
      <c r="AG9"/>
      <c r="AH9" s="16" t="s">
        <v>96</v>
      </c>
      <c r="AI9" s="15">
        <v>0</v>
      </c>
      <c r="AJ9"/>
    </row>
    <row r="10" spans="1:36" hidden="1" x14ac:dyDescent="0.25">
      <c r="A10" s="2">
        <v>5</v>
      </c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>
        <v>0</v>
      </c>
      <c r="J10" s="2">
        <v>0</v>
      </c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2"/>
      <c r="AA10" s="7">
        <f t="shared" si="1"/>
        <v>0</v>
      </c>
      <c r="AB10" s="8" t="s">
        <v>95</v>
      </c>
      <c r="AC10" s="8">
        <v>0</v>
      </c>
      <c r="AD10" s="8">
        <v>70</v>
      </c>
      <c r="AE10" s="8" t="s">
        <v>101</v>
      </c>
      <c r="AF10" s="8">
        <f t="shared" si="2"/>
        <v>0</v>
      </c>
      <c r="AG10"/>
      <c r="AH10" s="16" t="s">
        <v>97</v>
      </c>
      <c r="AI10" s="15">
        <v>0</v>
      </c>
      <c r="AJ10"/>
    </row>
    <row r="11" spans="1:36" hidden="1" x14ac:dyDescent="0.25">
      <c r="A11" s="2">
        <v>6</v>
      </c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>
        <v>0</v>
      </c>
      <c r="J11" s="2">
        <v>0</v>
      </c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si="1"/>
        <v>0</v>
      </c>
      <c r="AB11" s="8" t="s">
        <v>26</v>
      </c>
      <c r="AC11" s="8">
        <v>0</v>
      </c>
      <c r="AD11" s="8">
        <v>160</v>
      </c>
      <c r="AE11" s="8" t="s">
        <v>101</v>
      </c>
      <c r="AF11" s="8">
        <f t="shared" si="2"/>
        <v>0</v>
      </c>
      <c r="AG11"/>
      <c r="AH11" s="16" t="s">
        <v>30</v>
      </c>
      <c r="AI11" s="15">
        <v>0</v>
      </c>
      <c r="AJ11"/>
    </row>
    <row r="12" spans="1:36" hidden="1" x14ac:dyDescent="0.25">
      <c r="A12" s="2">
        <v>7</v>
      </c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>
        <v>0</v>
      </c>
      <c r="J12" s="2">
        <v>0</v>
      </c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>
        <v>0</v>
      </c>
      <c r="AD12" s="8">
        <v>200</v>
      </c>
      <c r="AE12" s="8" t="s">
        <v>101</v>
      </c>
      <c r="AF12" s="8">
        <f t="shared" si="2"/>
        <v>0</v>
      </c>
      <c r="AG12"/>
      <c r="AH12"/>
      <c r="AI12"/>
      <c r="AJ12"/>
    </row>
    <row r="13" spans="1:36" hidden="1" x14ac:dyDescent="0.25">
      <c r="A13" s="2">
        <v>8</v>
      </c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>
        <v>0</v>
      </c>
      <c r="J13" s="2">
        <v>0</v>
      </c>
      <c r="K13" s="2"/>
      <c r="L13" s="2"/>
      <c r="M13" s="2"/>
      <c r="N13" s="2"/>
      <c r="O13" s="8">
        <f t="shared" si="0"/>
        <v>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2"/>
      <c r="AA13" s="7">
        <f t="shared" si="1"/>
        <v>0</v>
      </c>
      <c r="AB13" s="8" t="s">
        <v>95</v>
      </c>
      <c r="AC13" s="8">
        <v>0</v>
      </c>
      <c r="AD13" s="8">
        <v>280</v>
      </c>
      <c r="AE13" s="8" t="s">
        <v>101</v>
      </c>
      <c r="AF13" s="8">
        <f t="shared" si="2"/>
        <v>0</v>
      </c>
      <c r="AG13"/>
      <c r="AH13"/>
      <c r="AI13"/>
      <c r="AJ13"/>
    </row>
    <row r="14" spans="1:36" hidden="1" x14ac:dyDescent="0.25">
      <c r="A14" s="2">
        <v>9</v>
      </c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>
        <v>0</v>
      </c>
      <c r="J14" s="2">
        <v>0</v>
      </c>
      <c r="K14" s="2"/>
      <c r="L14" s="2"/>
      <c r="M14" s="2"/>
      <c r="N14" s="2"/>
      <c r="O14" s="8">
        <f t="shared" si="0"/>
        <v>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2"/>
      <c r="AA14" s="7">
        <f t="shared" si="1"/>
        <v>0</v>
      </c>
      <c r="AB14" s="8" t="s">
        <v>26</v>
      </c>
      <c r="AC14" s="8">
        <v>0</v>
      </c>
      <c r="AD14" s="8">
        <v>260</v>
      </c>
      <c r="AE14" s="8" t="s">
        <v>101</v>
      </c>
      <c r="AF14" s="8">
        <f t="shared" si="2"/>
        <v>0</v>
      </c>
      <c r="AG14"/>
      <c r="AH14"/>
      <c r="AI14"/>
      <c r="AJ14"/>
    </row>
    <row r="15" spans="1:36" hidden="1" x14ac:dyDescent="0.25">
      <c r="A15" s="2">
        <v>10</v>
      </c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>
        <v>0</v>
      </c>
      <c r="J15" s="2">
        <v>0</v>
      </c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26</v>
      </c>
      <c r="AC15" s="8">
        <v>0</v>
      </c>
      <c r="AD15" s="8">
        <v>520</v>
      </c>
      <c r="AE15" s="8" t="s">
        <v>101</v>
      </c>
      <c r="AF15" s="8">
        <f t="shared" si="2"/>
        <v>0</v>
      </c>
      <c r="AG15"/>
      <c r="AH15"/>
      <c r="AI15"/>
      <c r="AJ15"/>
    </row>
    <row r="16" spans="1:36" hidden="1" x14ac:dyDescent="0.25">
      <c r="A16" s="2">
        <v>11</v>
      </c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>
        <v>0</v>
      </c>
      <c r="J16" s="2">
        <v>0</v>
      </c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27</v>
      </c>
      <c r="AC16" s="8">
        <v>0</v>
      </c>
      <c r="AD16" s="8">
        <v>150</v>
      </c>
      <c r="AE16" s="8" t="s">
        <v>101</v>
      </c>
      <c r="AF16" s="8">
        <f t="shared" si="2"/>
        <v>0</v>
      </c>
      <c r="AG16"/>
      <c r="AH16"/>
      <c r="AI16"/>
      <c r="AJ16"/>
    </row>
    <row r="17" spans="1:36" hidden="1" x14ac:dyDescent="0.25">
      <c r="A17" s="2">
        <v>12</v>
      </c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0</v>
      </c>
      <c r="J17" s="2">
        <v>0</v>
      </c>
      <c r="K17" s="2"/>
      <c r="L17" s="2"/>
      <c r="M17" s="2"/>
      <c r="N17" s="2"/>
      <c r="O17" s="8">
        <f t="shared" si="0"/>
        <v>-182</v>
      </c>
      <c r="P17" s="19"/>
      <c r="Q17" s="19"/>
      <c r="R17" s="19">
        <v>182</v>
      </c>
      <c r="S17" s="2"/>
      <c r="T17" s="19"/>
      <c r="U17" s="2"/>
      <c r="V17" s="19"/>
      <c r="W17" s="19"/>
      <c r="X17" s="19"/>
      <c r="Y17" s="19"/>
      <c r="Z17" s="2"/>
      <c r="AA17" s="7">
        <f t="shared" si="1"/>
        <v>0</v>
      </c>
      <c r="AB17" s="8" t="s">
        <v>96</v>
      </c>
      <c r="AC17" s="8">
        <v>0</v>
      </c>
      <c r="AD17" s="8">
        <v>400</v>
      </c>
      <c r="AE17" s="8" t="s">
        <v>101</v>
      </c>
      <c r="AF17" s="8">
        <f t="shared" si="2"/>
        <v>0</v>
      </c>
      <c r="AG17"/>
      <c r="AH17"/>
      <c r="AI17"/>
      <c r="AJ17"/>
    </row>
    <row r="18" spans="1:36" hidden="1" x14ac:dyDescent="0.25">
      <c r="A18" s="2">
        <v>13</v>
      </c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>
        <v>0</v>
      </c>
      <c r="J18" s="2">
        <v>0</v>
      </c>
      <c r="K18" s="2"/>
      <c r="L18" s="2"/>
      <c r="M18" s="2"/>
      <c r="N18" s="2"/>
      <c r="O18" s="8">
        <f t="shared" si="0"/>
        <v>0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2"/>
      <c r="AA18" s="7">
        <f t="shared" si="1"/>
        <v>0</v>
      </c>
      <c r="AB18" s="8" t="s">
        <v>27</v>
      </c>
      <c r="AC18" s="8">
        <v>0</v>
      </c>
      <c r="AD18" s="8">
        <v>150</v>
      </c>
      <c r="AE18" s="8" t="s">
        <v>101</v>
      </c>
      <c r="AF18" s="8">
        <f t="shared" si="2"/>
        <v>0</v>
      </c>
      <c r="AG18"/>
      <c r="AH18"/>
      <c r="AI18"/>
      <c r="AJ18"/>
    </row>
    <row r="19" spans="1:36" hidden="1" x14ac:dyDescent="0.25">
      <c r="A19" s="2">
        <v>14</v>
      </c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>
        <v>0</v>
      </c>
      <c r="J19" s="2">
        <v>0</v>
      </c>
      <c r="K19" s="2"/>
      <c r="L19" s="2"/>
      <c r="M19" s="2"/>
      <c r="N19" s="2"/>
      <c r="O19" s="8">
        <f t="shared" si="0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2"/>
      <c r="AA19" s="7">
        <f t="shared" si="1"/>
        <v>0</v>
      </c>
      <c r="AB19" s="8" t="s">
        <v>96</v>
      </c>
      <c r="AC19" s="8">
        <v>0</v>
      </c>
      <c r="AD19" s="8">
        <v>420</v>
      </c>
      <c r="AE19" s="8" t="s">
        <v>101</v>
      </c>
      <c r="AF19" s="8">
        <f t="shared" si="2"/>
        <v>0</v>
      </c>
      <c r="AG19"/>
      <c r="AH19"/>
      <c r="AI19"/>
      <c r="AJ19"/>
    </row>
    <row r="20" spans="1:36" hidden="1" x14ac:dyDescent="0.25">
      <c r="A20" s="2">
        <v>15</v>
      </c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>
        <v>0</v>
      </c>
      <c r="J20" s="2">
        <v>0</v>
      </c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95</v>
      </c>
      <c r="AC20" s="8">
        <v>0</v>
      </c>
      <c r="AD20" s="8">
        <v>64</v>
      </c>
      <c r="AE20" s="8" t="s">
        <v>101</v>
      </c>
      <c r="AF20" s="8">
        <f t="shared" si="2"/>
        <v>0</v>
      </c>
      <c r="AG20"/>
      <c r="AH20"/>
      <c r="AI20"/>
      <c r="AJ20"/>
    </row>
    <row r="21" spans="1:36" hidden="1" x14ac:dyDescent="0.25">
      <c r="A21" s="2">
        <v>16</v>
      </c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>
        <v>0</v>
      </c>
      <c r="J21" s="2">
        <v>0</v>
      </c>
      <c r="K21" s="2"/>
      <c r="L21" s="2"/>
      <c r="M21" s="2"/>
      <c r="N21" s="2"/>
      <c r="O21" s="8">
        <f t="shared" si="0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2"/>
      <c r="AA21" s="7">
        <f t="shared" si="1"/>
        <v>0</v>
      </c>
      <c r="AB21" s="8" t="s">
        <v>27</v>
      </c>
      <c r="AC21" s="8">
        <v>0</v>
      </c>
      <c r="AD21" s="8">
        <v>92</v>
      </c>
      <c r="AE21" s="8" t="s">
        <v>101</v>
      </c>
      <c r="AF21" s="8">
        <f t="shared" si="2"/>
        <v>0</v>
      </c>
      <c r="AG21"/>
      <c r="AH21"/>
      <c r="AI21"/>
      <c r="AJ21"/>
    </row>
    <row r="22" spans="1:36" hidden="1" x14ac:dyDescent="0.25">
      <c r="A22" s="2">
        <v>17</v>
      </c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>
        <v>0</v>
      </c>
      <c r="J22" s="2">
        <v>0</v>
      </c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97</v>
      </c>
      <c r="AC22" s="8">
        <v>0</v>
      </c>
      <c r="AD22" s="8">
        <v>200</v>
      </c>
      <c r="AE22" s="8" t="s">
        <v>101</v>
      </c>
      <c r="AF22" s="8">
        <f t="shared" si="2"/>
        <v>0</v>
      </c>
      <c r="AG22"/>
      <c r="AH22"/>
      <c r="AI22"/>
      <c r="AJ22"/>
    </row>
    <row r="23" spans="1:36" hidden="1" x14ac:dyDescent="0.25">
      <c r="A23" s="2">
        <v>18</v>
      </c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>
        <v>0</v>
      </c>
      <c r="J23" s="2">
        <v>0</v>
      </c>
      <c r="K23" s="2"/>
      <c r="L23" s="2"/>
      <c r="M23" s="2"/>
      <c r="N23" s="2"/>
      <c r="O23" s="8">
        <f t="shared" si="0"/>
        <v>0</v>
      </c>
      <c r="P23" s="19"/>
      <c r="Q23" s="19"/>
      <c r="R23" s="19"/>
      <c r="S23" s="2"/>
      <c r="T23" s="19"/>
      <c r="U23" s="2"/>
      <c r="V23" s="19"/>
      <c r="W23" s="19"/>
      <c r="X23" s="19"/>
      <c r="Y23" s="19"/>
      <c r="Z23" s="2"/>
      <c r="AA23" s="7">
        <f t="shared" si="1"/>
        <v>0</v>
      </c>
      <c r="AB23" s="8" t="s">
        <v>97</v>
      </c>
      <c r="AC23" s="8">
        <v>0</v>
      </c>
      <c r="AD23" s="8">
        <v>260</v>
      </c>
      <c r="AE23" s="8" t="s">
        <v>101</v>
      </c>
      <c r="AF23" s="8">
        <f t="shared" si="2"/>
        <v>0</v>
      </c>
      <c r="AG23"/>
    </row>
    <row r="24" spans="1:36" hidden="1" x14ac:dyDescent="0.25">
      <c r="A24" s="2">
        <v>19</v>
      </c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>
        <v>0</v>
      </c>
      <c r="J24" s="2">
        <v>0</v>
      </c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2"/>
      <c r="AA24" s="7">
        <f t="shared" si="1"/>
        <v>0</v>
      </c>
      <c r="AB24" s="8" t="s">
        <v>27</v>
      </c>
      <c r="AC24" s="8">
        <v>0</v>
      </c>
      <c r="AD24" s="8">
        <v>100</v>
      </c>
      <c r="AE24" s="8" t="s">
        <v>101</v>
      </c>
      <c r="AF24" s="8">
        <f t="shared" si="2"/>
        <v>0</v>
      </c>
      <c r="AG24"/>
    </row>
    <row r="25" spans="1:36" x14ac:dyDescent="0.25">
      <c r="A25" s="2">
        <v>20</v>
      </c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0</v>
      </c>
      <c r="J25" s="2">
        <v>1088</v>
      </c>
      <c r="K25" s="2"/>
      <c r="L25" s="2"/>
      <c r="M25" s="2"/>
      <c r="N25" s="2"/>
      <c r="O25" s="8">
        <f t="shared" si="0"/>
        <v>1088</v>
      </c>
      <c r="P25" s="19"/>
      <c r="Q25" s="19"/>
      <c r="R25" s="19"/>
      <c r="S25" s="2"/>
      <c r="T25" s="19"/>
      <c r="U25" s="2"/>
      <c r="V25" s="19"/>
      <c r="W25" s="19"/>
      <c r="X25" s="19"/>
      <c r="Y25" s="19"/>
      <c r="Z25" s="2"/>
      <c r="AA25" s="7">
        <f t="shared" si="1"/>
        <v>172.99199999999999</v>
      </c>
      <c r="AB25" s="8" t="s">
        <v>95</v>
      </c>
      <c r="AC25" s="8">
        <v>0</v>
      </c>
      <c r="AD25" s="8">
        <v>64</v>
      </c>
      <c r="AE25" s="8" t="s">
        <v>101</v>
      </c>
      <c r="AF25" s="8">
        <f t="shared" si="2"/>
        <v>17</v>
      </c>
      <c r="AG25"/>
    </row>
    <row r="26" spans="1:36" hidden="1" x14ac:dyDescent="0.25">
      <c r="A26" s="2">
        <v>21</v>
      </c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>
        <v>0</v>
      </c>
      <c r="J26" s="2">
        <v>0</v>
      </c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26</v>
      </c>
      <c r="AC26" s="8">
        <v>0</v>
      </c>
      <c r="AD26" s="8">
        <v>200</v>
      </c>
      <c r="AE26" s="8" t="s">
        <v>101</v>
      </c>
      <c r="AF26" s="8">
        <f t="shared" si="2"/>
        <v>0</v>
      </c>
      <c r="AG26"/>
    </row>
    <row r="27" spans="1:36" hidden="1" x14ac:dyDescent="0.25">
      <c r="A27" s="2">
        <v>22</v>
      </c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>
        <v>0</v>
      </c>
      <c r="J27" s="2">
        <v>0</v>
      </c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26</v>
      </c>
      <c r="AC27" s="8">
        <v>0</v>
      </c>
      <c r="AD27" s="8">
        <v>200</v>
      </c>
      <c r="AE27" s="8" t="s">
        <v>101</v>
      </c>
      <c r="AF27" s="8">
        <f t="shared" si="2"/>
        <v>0</v>
      </c>
      <c r="AG27"/>
    </row>
    <row r="28" spans="1:36" hidden="1" x14ac:dyDescent="0.25">
      <c r="A28" s="2">
        <v>23</v>
      </c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>
        <v>0</v>
      </c>
      <c r="J28" s="2">
        <v>0</v>
      </c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26</v>
      </c>
      <c r="AC28" s="8" t="s">
        <v>99</v>
      </c>
      <c r="AD28" s="8">
        <v>500</v>
      </c>
      <c r="AE28" s="8" t="s">
        <v>102</v>
      </c>
      <c r="AF28" s="8">
        <f t="shared" si="2"/>
        <v>0</v>
      </c>
      <c r="AG28"/>
    </row>
    <row r="29" spans="1:36" x14ac:dyDescent="0.25">
      <c r="A29" s="2">
        <v>24</v>
      </c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>
        <v>800</v>
      </c>
      <c r="J29" s="2">
        <v>0</v>
      </c>
      <c r="K29" s="2"/>
      <c r="L29" s="2"/>
      <c r="M29" s="2"/>
      <c r="N29" s="2"/>
      <c r="O29" s="8">
        <f t="shared" si="0"/>
        <v>800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/>
      <c r="AA29" s="7">
        <f t="shared" si="1"/>
        <v>13.600000000000001</v>
      </c>
      <c r="AB29" s="8" t="s">
        <v>26</v>
      </c>
      <c r="AC29" s="8" t="s">
        <v>99</v>
      </c>
      <c r="AD29" s="8">
        <v>200</v>
      </c>
      <c r="AE29" s="8" t="s">
        <v>102</v>
      </c>
      <c r="AF29" s="8">
        <f t="shared" si="2"/>
        <v>4</v>
      </c>
      <c r="AG29"/>
    </row>
    <row r="30" spans="1:36" x14ac:dyDescent="0.25">
      <c r="A30" s="2">
        <v>25</v>
      </c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>
        <v>800</v>
      </c>
      <c r="J30" s="2">
        <v>0</v>
      </c>
      <c r="K30" s="2"/>
      <c r="L30" s="2"/>
      <c r="M30" s="2"/>
      <c r="N30" s="2"/>
      <c r="O30" s="8">
        <f t="shared" si="0"/>
        <v>800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2"/>
      <c r="AA30" s="7">
        <f t="shared" si="1"/>
        <v>33.6</v>
      </c>
      <c r="AB30" s="8" t="s">
        <v>26</v>
      </c>
      <c r="AC30" s="8" t="s">
        <v>99</v>
      </c>
      <c r="AD30" s="8">
        <v>200</v>
      </c>
      <c r="AE30" s="8" t="s">
        <v>102</v>
      </c>
      <c r="AF30" s="8">
        <f t="shared" si="2"/>
        <v>4</v>
      </c>
      <c r="AG30"/>
    </row>
    <row r="31" spans="1:36" hidden="1" x14ac:dyDescent="0.25">
      <c r="A31" s="2">
        <v>26</v>
      </c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>
        <v>1600</v>
      </c>
      <c r="J31" s="2">
        <v>0</v>
      </c>
      <c r="K31" s="2"/>
      <c r="L31" s="2"/>
      <c r="M31" s="2"/>
      <c r="N31" s="2"/>
      <c r="O31" s="8">
        <f t="shared" si="0"/>
        <v>-67</v>
      </c>
      <c r="P31" s="19">
        <v>400</v>
      </c>
      <c r="Q31" s="19"/>
      <c r="R31" s="19">
        <v>1267</v>
      </c>
      <c r="S31" s="2"/>
      <c r="T31" s="19"/>
      <c r="U31" s="2"/>
      <c r="V31" s="19"/>
      <c r="W31" s="19"/>
      <c r="X31" s="19"/>
      <c r="Y31" s="19"/>
      <c r="Z31" s="2"/>
      <c r="AA31" s="7">
        <f t="shared" si="1"/>
        <v>44.800000000000004</v>
      </c>
      <c r="AB31" s="8" t="s">
        <v>26</v>
      </c>
      <c r="AC31" s="8" t="s">
        <v>99</v>
      </c>
      <c r="AD31" s="8">
        <v>100</v>
      </c>
      <c r="AE31" s="8" t="s">
        <v>102</v>
      </c>
      <c r="AF31" s="8">
        <f t="shared" si="2"/>
        <v>16</v>
      </c>
      <c r="AG31"/>
    </row>
    <row r="32" spans="1:36" hidden="1" x14ac:dyDescent="0.25">
      <c r="A32" s="2">
        <v>27</v>
      </c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>
        <v>0</v>
      </c>
      <c r="J32" s="2">
        <v>0</v>
      </c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97</v>
      </c>
      <c r="AC32" s="8" t="s">
        <v>98</v>
      </c>
      <c r="AD32" s="8">
        <v>400</v>
      </c>
      <c r="AE32" s="8" t="s">
        <v>102</v>
      </c>
      <c r="AF32" s="8">
        <f t="shared" si="2"/>
        <v>0</v>
      </c>
      <c r="AG32"/>
    </row>
    <row r="33" spans="1:33" hidden="1" x14ac:dyDescent="0.25">
      <c r="A33" s="2">
        <v>28</v>
      </c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>
        <v>0</v>
      </c>
      <c r="J33" s="2">
        <v>0</v>
      </c>
      <c r="K33" s="2"/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2"/>
      <c r="AA33" s="7">
        <f t="shared" si="1"/>
        <v>0</v>
      </c>
      <c r="AB33" s="8" t="s">
        <v>26</v>
      </c>
      <c r="AC33" s="8" t="s">
        <v>98</v>
      </c>
      <c r="AD33" s="8">
        <v>250</v>
      </c>
      <c r="AE33" s="8" t="s">
        <v>102</v>
      </c>
      <c r="AF33" s="8">
        <f t="shared" si="2"/>
        <v>0</v>
      </c>
      <c r="AG33"/>
    </row>
    <row r="34" spans="1:33" hidden="1" x14ac:dyDescent="0.25">
      <c r="A34" s="2">
        <v>29</v>
      </c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>
        <v>0</v>
      </c>
      <c r="J34" s="2">
        <v>0</v>
      </c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2"/>
      <c r="AA34" s="7">
        <f t="shared" si="1"/>
        <v>0</v>
      </c>
      <c r="AB34" s="8" t="s">
        <v>26</v>
      </c>
      <c r="AC34" s="8" t="s">
        <v>98</v>
      </c>
      <c r="AD34" s="8">
        <v>300</v>
      </c>
      <c r="AE34" s="8" t="s">
        <v>102</v>
      </c>
      <c r="AF34" s="8">
        <f t="shared" si="2"/>
        <v>0</v>
      </c>
      <c r="AG34"/>
    </row>
    <row r="35" spans="1:33" hidden="1" x14ac:dyDescent="0.25">
      <c r="A35" s="2">
        <v>30</v>
      </c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>
        <v>0</v>
      </c>
      <c r="J35" s="2">
        <v>0</v>
      </c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0</v>
      </c>
      <c r="AB35" s="8" t="s">
        <v>26</v>
      </c>
      <c r="AC35" s="8" t="s">
        <v>98</v>
      </c>
      <c r="AD35" s="8">
        <v>300</v>
      </c>
      <c r="AE35" s="8" t="s">
        <v>102</v>
      </c>
      <c r="AF35" s="8">
        <f t="shared" si="2"/>
        <v>0</v>
      </c>
      <c r="AG35"/>
    </row>
    <row r="36" spans="1:33" hidden="1" x14ac:dyDescent="0.25">
      <c r="A36" s="2">
        <v>31</v>
      </c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>
        <v>0</v>
      </c>
      <c r="J36" s="2">
        <v>0</v>
      </c>
      <c r="K36" s="2"/>
      <c r="L36" s="2"/>
      <c r="M36" s="2"/>
      <c r="N36" s="2"/>
      <c r="O36" s="8">
        <f t="shared" si="0"/>
        <v>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0</v>
      </c>
      <c r="AB36" s="8" t="s">
        <v>97</v>
      </c>
      <c r="AC36" s="8" t="s">
        <v>98</v>
      </c>
      <c r="AD36" s="8">
        <v>250</v>
      </c>
      <c r="AE36" s="8" t="s">
        <v>102</v>
      </c>
      <c r="AF36" s="8">
        <f t="shared" si="2"/>
        <v>0</v>
      </c>
      <c r="AG36"/>
    </row>
    <row r="37" spans="1:33" hidden="1" x14ac:dyDescent="0.25">
      <c r="A37" s="2">
        <v>32</v>
      </c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>
        <v>0</v>
      </c>
      <c r="J37" s="2">
        <v>0</v>
      </c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26</v>
      </c>
      <c r="AC37" s="8" t="s">
        <v>99</v>
      </c>
      <c r="AD37" s="8">
        <v>100</v>
      </c>
      <c r="AE37" s="8" t="s">
        <v>102</v>
      </c>
      <c r="AF37" s="8">
        <f t="shared" si="2"/>
        <v>0</v>
      </c>
      <c r="AG37"/>
    </row>
    <row r="38" spans="1:33" hidden="1" x14ac:dyDescent="0.25">
      <c r="A38" s="2">
        <v>33</v>
      </c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>
        <v>0</v>
      </c>
      <c r="K38" s="2"/>
      <c r="L38" s="2"/>
      <c r="M38" s="2"/>
      <c r="N38" s="2"/>
      <c r="O38" s="8">
        <f t="shared" ref="O38:O63" si="3">+I38+J38+K38+L38+M38+N38-SUM(P38:Z38)</f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si="1"/>
        <v>0</v>
      </c>
      <c r="AB38" s="8" t="s">
        <v>26</v>
      </c>
      <c r="AC38" s="8" t="s">
        <v>99</v>
      </c>
      <c r="AD38" s="8">
        <v>100</v>
      </c>
      <c r="AE38" s="8" t="s">
        <v>102</v>
      </c>
      <c r="AF38" s="8">
        <f t="shared" si="2"/>
        <v>0</v>
      </c>
      <c r="AG38"/>
    </row>
    <row r="39" spans="1:33" hidden="1" x14ac:dyDescent="0.25">
      <c r="A39" s="2">
        <v>34</v>
      </c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>
        <v>0</v>
      </c>
      <c r="J39" s="2">
        <v>0</v>
      </c>
      <c r="K39" s="2"/>
      <c r="L39" s="2"/>
      <c r="M39" s="2"/>
      <c r="N39" s="2"/>
      <c r="O39" s="8">
        <f t="shared" si="3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1"/>
        <v>0</v>
      </c>
      <c r="AB39" s="8" t="s">
        <v>26</v>
      </c>
      <c r="AC39" s="8" t="s">
        <v>99</v>
      </c>
      <c r="AD39" s="8">
        <v>300</v>
      </c>
      <c r="AE39" s="8" t="s">
        <v>102</v>
      </c>
      <c r="AF39" s="8">
        <f t="shared" si="2"/>
        <v>0</v>
      </c>
      <c r="AG39"/>
    </row>
    <row r="40" spans="1:33" hidden="1" x14ac:dyDescent="0.25">
      <c r="A40" s="2">
        <v>35</v>
      </c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>
        <v>0</v>
      </c>
      <c r="J40" s="2">
        <v>0</v>
      </c>
      <c r="K40" s="2"/>
      <c r="L40" s="2"/>
      <c r="M40" s="2"/>
      <c r="N40" s="2"/>
      <c r="O40" s="8">
        <f t="shared" si="3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1"/>
        <v>0</v>
      </c>
      <c r="AB40" s="8" t="s">
        <v>26</v>
      </c>
      <c r="AC40" s="8" t="s">
        <v>99</v>
      </c>
      <c r="AD40" s="8">
        <v>200</v>
      </c>
      <c r="AE40" s="8" t="s">
        <v>102</v>
      </c>
      <c r="AF40" s="8">
        <f t="shared" si="2"/>
        <v>0</v>
      </c>
      <c r="AG40"/>
    </row>
    <row r="41" spans="1:33" hidden="1" x14ac:dyDescent="0.25">
      <c r="A41" s="2">
        <v>36</v>
      </c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>
        <v>0</v>
      </c>
      <c r="J41" s="2">
        <v>0</v>
      </c>
      <c r="K41" s="2"/>
      <c r="L41" s="2"/>
      <c r="M41" s="2"/>
      <c r="N41" s="2"/>
      <c r="O41" s="8">
        <f t="shared" si="3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1"/>
        <v>0</v>
      </c>
      <c r="AB41" s="8" t="s">
        <v>26</v>
      </c>
      <c r="AC41" s="8" t="s">
        <v>99</v>
      </c>
      <c r="AD41" s="8">
        <v>100</v>
      </c>
      <c r="AE41" s="8" t="s">
        <v>102</v>
      </c>
      <c r="AF41" s="8">
        <f t="shared" si="2"/>
        <v>0</v>
      </c>
      <c r="AG41"/>
    </row>
    <row r="42" spans="1:33" hidden="1" x14ac:dyDescent="0.25">
      <c r="A42" s="2">
        <v>37</v>
      </c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>
        <v>0</v>
      </c>
      <c r="J42" s="2">
        <v>0</v>
      </c>
      <c r="K42" s="2"/>
      <c r="L42" s="2"/>
      <c r="M42" s="2"/>
      <c r="N42" s="2"/>
      <c r="O42" s="8">
        <f t="shared" si="3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1"/>
        <v>0</v>
      </c>
      <c r="AB42" s="8" t="s">
        <v>26</v>
      </c>
      <c r="AC42" s="8" t="s">
        <v>99</v>
      </c>
      <c r="AD42" s="8">
        <v>300</v>
      </c>
      <c r="AE42" s="8" t="s">
        <v>102</v>
      </c>
      <c r="AF42" s="8">
        <f t="shared" si="2"/>
        <v>0</v>
      </c>
      <c r="AG42"/>
    </row>
    <row r="43" spans="1:33" hidden="1" x14ac:dyDescent="0.25">
      <c r="A43" s="2">
        <v>38</v>
      </c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>
        <v>0</v>
      </c>
      <c r="J43" s="2">
        <v>0</v>
      </c>
      <c r="K43" s="2"/>
      <c r="L43" s="2"/>
      <c r="M43" s="2"/>
      <c r="N43" s="2"/>
      <c r="O43" s="8">
        <f t="shared" si="3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1"/>
        <v>0</v>
      </c>
      <c r="AB43" s="8" t="s">
        <v>26</v>
      </c>
      <c r="AC43" s="8" t="s">
        <v>99</v>
      </c>
      <c r="AD43" s="8">
        <v>260</v>
      </c>
      <c r="AE43" s="8" t="s">
        <v>102</v>
      </c>
      <c r="AF43" s="8">
        <f t="shared" si="2"/>
        <v>0</v>
      </c>
      <c r="AG43"/>
    </row>
    <row r="44" spans="1:33" hidden="1" x14ac:dyDescent="0.25">
      <c r="A44" s="2">
        <v>39</v>
      </c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>
        <v>0</v>
      </c>
      <c r="J44" s="2">
        <v>0</v>
      </c>
      <c r="K44" s="2"/>
      <c r="L44" s="2"/>
      <c r="M44" s="2"/>
      <c r="N44" s="2"/>
      <c r="O44" s="8">
        <f t="shared" si="3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1"/>
        <v>0</v>
      </c>
      <c r="AB44" s="8" t="s">
        <v>26</v>
      </c>
      <c r="AC44" s="8" t="s">
        <v>99</v>
      </c>
      <c r="AD44" s="8">
        <v>500</v>
      </c>
      <c r="AE44" s="8" t="s">
        <v>102</v>
      </c>
      <c r="AF44" s="8">
        <f t="shared" si="2"/>
        <v>0</v>
      </c>
      <c r="AG44"/>
    </row>
    <row r="45" spans="1:33" hidden="1" x14ac:dyDescent="0.25">
      <c r="A45" s="2">
        <v>40</v>
      </c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>
        <v>0</v>
      </c>
      <c r="J45" s="2">
        <v>0</v>
      </c>
      <c r="K45" s="2"/>
      <c r="L45" s="2"/>
      <c r="M45" s="2"/>
      <c r="N45" s="2"/>
      <c r="O45" s="8">
        <f t="shared" si="3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2"/>
      <c r="AA45" s="7">
        <f t="shared" si="1"/>
        <v>0</v>
      </c>
      <c r="AB45" s="8" t="s">
        <v>95</v>
      </c>
      <c r="AC45" s="8" t="s">
        <v>98</v>
      </c>
      <c r="AD45" s="8">
        <v>50</v>
      </c>
      <c r="AE45" s="8" t="s">
        <v>102</v>
      </c>
      <c r="AF45" s="8">
        <f t="shared" si="2"/>
        <v>0</v>
      </c>
      <c r="AG45"/>
    </row>
    <row r="46" spans="1:33" hidden="1" x14ac:dyDescent="0.25">
      <c r="A46" s="2">
        <v>41</v>
      </c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>
        <v>0</v>
      </c>
      <c r="J46" s="2">
        <v>0</v>
      </c>
      <c r="K46" s="2"/>
      <c r="L46" s="2"/>
      <c r="M46" s="2"/>
      <c r="N46" s="2"/>
      <c r="O46" s="8">
        <f t="shared" si="3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1"/>
        <v>0</v>
      </c>
      <c r="AB46" s="8" t="s">
        <v>95</v>
      </c>
      <c r="AC46" s="8" t="s">
        <v>98</v>
      </c>
      <c r="AD46" s="8">
        <v>50</v>
      </c>
      <c r="AE46" s="8" t="s">
        <v>102</v>
      </c>
      <c r="AF46" s="8">
        <f t="shared" si="2"/>
        <v>0</v>
      </c>
      <c r="AG46"/>
    </row>
    <row r="47" spans="1:33" hidden="1" x14ac:dyDescent="0.25">
      <c r="A47" s="2">
        <v>42</v>
      </c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>
        <v>300</v>
      </c>
      <c r="J47" s="2">
        <v>0</v>
      </c>
      <c r="K47" s="2"/>
      <c r="L47" s="2"/>
      <c r="M47" s="2"/>
      <c r="N47" s="2"/>
      <c r="O47" s="8">
        <f t="shared" si="3"/>
        <v>-1850</v>
      </c>
      <c r="P47" s="19">
        <v>400</v>
      </c>
      <c r="Q47" s="19">
        <v>350</v>
      </c>
      <c r="R47" s="19"/>
      <c r="S47" s="2">
        <v>300</v>
      </c>
      <c r="T47" s="19">
        <v>150</v>
      </c>
      <c r="U47" s="2">
        <v>600</v>
      </c>
      <c r="V47" s="19">
        <v>350</v>
      </c>
      <c r="W47" s="19"/>
      <c r="X47" s="19"/>
      <c r="Y47" s="19"/>
      <c r="Z47" s="2"/>
      <c r="AA47" s="7">
        <f t="shared" si="1"/>
        <v>32.1</v>
      </c>
      <c r="AB47" s="8" t="s">
        <v>95</v>
      </c>
      <c r="AC47" s="8" t="s">
        <v>98</v>
      </c>
      <c r="AD47" s="8">
        <v>50</v>
      </c>
      <c r="AE47" s="8" t="s">
        <v>102</v>
      </c>
      <c r="AF47" s="8">
        <f t="shared" si="2"/>
        <v>6</v>
      </c>
      <c r="AG47"/>
    </row>
    <row r="48" spans="1:33" x14ac:dyDescent="0.25">
      <c r="A48" s="2">
        <v>43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>
        <v>1200</v>
      </c>
      <c r="J48" s="2">
        <v>350</v>
      </c>
      <c r="K48" s="2"/>
      <c r="L48" s="2"/>
      <c r="M48" s="2"/>
      <c r="N48" s="2"/>
      <c r="O48" s="8">
        <f t="shared" si="3"/>
        <v>450</v>
      </c>
      <c r="P48" s="19"/>
      <c r="Q48" s="19"/>
      <c r="R48" s="19"/>
      <c r="S48" s="2"/>
      <c r="T48" s="19">
        <v>1100</v>
      </c>
      <c r="U48" s="2"/>
      <c r="V48" s="19"/>
      <c r="W48" s="19"/>
      <c r="X48" s="19"/>
      <c r="Y48" s="19"/>
      <c r="Z48" s="2"/>
      <c r="AA48" s="7">
        <f t="shared" si="1"/>
        <v>189.1</v>
      </c>
      <c r="AB48" s="8" t="s">
        <v>95</v>
      </c>
      <c r="AC48" s="8" t="s">
        <v>98</v>
      </c>
      <c r="AD48" s="8">
        <v>50</v>
      </c>
      <c r="AE48" s="8" t="s">
        <v>102</v>
      </c>
      <c r="AF48" s="8">
        <f t="shared" si="2"/>
        <v>31</v>
      </c>
      <c r="AG48"/>
    </row>
    <row r="49" spans="1:33" x14ac:dyDescent="0.25">
      <c r="A49" s="2">
        <v>44</v>
      </c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>
        <v>300</v>
      </c>
      <c r="J49" s="2">
        <v>0</v>
      </c>
      <c r="K49" s="2"/>
      <c r="L49" s="2"/>
      <c r="M49" s="2"/>
      <c r="N49" s="2"/>
      <c r="O49" s="8">
        <f t="shared" si="3"/>
        <v>300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1"/>
        <v>15.299999999999999</v>
      </c>
      <c r="AB49" s="8" t="s">
        <v>26</v>
      </c>
      <c r="AC49" s="8" t="s">
        <v>99</v>
      </c>
      <c r="AD49" s="8">
        <v>100</v>
      </c>
      <c r="AE49" s="8" t="s">
        <v>102</v>
      </c>
      <c r="AF49" s="8">
        <f t="shared" si="2"/>
        <v>3</v>
      </c>
      <c r="AG49"/>
    </row>
    <row r="50" spans="1:33" x14ac:dyDescent="0.25">
      <c r="A50" s="2">
        <v>45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>
        <v>700</v>
      </c>
      <c r="J50" s="2">
        <v>0</v>
      </c>
      <c r="K50" s="2"/>
      <c r="L50" s="2"/>
      <c r="M50" s="2"/>
      <c r="N50" s="2"/>
      <c r="O50" s="8">
        <f t="shared" si="3"/>
        <v>700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2"/>
      <c r="AA50" s="7">
        <f t="shared" si="1"/>
        <v>73.5</v>
      </c>
      <c r="AB50" s="8" t="s">
        <v>25</v>
      </c>
      <c r="AC50" s="8" t="s">
        <v>99</v>
      </c>
      <c r="AD50" s="8">
        <v>50</v>
      </c>
      <c r="AE50" s="8" t="s">
        <v>102</v>
      </c>
      <c r="AF50" s="8">
        <f t="shared" si="2"/>
        <v>14</v>
      </c>
      <c r="AG50"/>
    </row>
    <row r="51" spans="1:33" hidden="1" x14ac:dyDescent="0.25">
      <c r="A51" s="2">
        <v>46</v>
      </c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>
        <v>0</v>
      </c>
      <c r="J51" s="2">
        <v>400</v>
      </c>
      <c r="K51" s="2"/>
      <c r="L51" s="2"/>
      <c r="M51" s="2"/>
      <c r="N51" s="2"/>
      <c r="O51" s="8">
        <f t="shared" si="3"/>
        <v>0</v>
      </c>
      <c r="P51" s="19"/>
      <c r="Q51" s="19"/>
      <c r="R51" s="19">
        <v>400</v>
      </c>
      <c r="S51" s="2"/>
      <c r="T51" s="19"/>
      <c r="U51" s="2"/>
      <c r="V51" s="19"/>
      <c r="W51" s="19"/>
      <c r="X51" s="19"/>
      <c r="Y51" s="19"/>
      <c r="Z51" s="2"/>
      <c r="AA51" s="7">
        <f t="shared" si="1"/>
        <v>106</v>
      </c>
      <c r="AB51" s="8" t="s">
        <v>97</v>
      </c>
      <c r="AC51" s="8" t="s">
        <v>99</v>
      </c>
      <c r="AD51" s="8">
        <v>400</v>
      </c>
      <c r="AE51" s="8" t="s">
        <v>102</v>
      </c>
      <c r="AF51" s="8">
        <f t="shared" si="2"/>
        <v>1</v>
      </c>
      <c r="AG51"/>
    </row>
    <row r="52" spans="1:33" x14ac:dyDescent="0.25">
      <c r="A52" s="2">
        <v>47</v>
      </c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>
        <v>300</v>
      </c>
      <c r="J52" s="2">
        <v>450</v>
      </c>
      <c r="K52" s="2"/>
      <c r="L52" s="2"/>
      <c r="M52" s="2"/>
      <c r="N52" s="2"/>
      <c r="O52" s="8">
        <f t="shared" si="3"/>
        <v>750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2"/>
      <c r="AA52" s="7">
        <f t="shared" si="1"/>
        <v>102.00000000000001</v>
      </c>
      <c r="AB52" s="8" t="s">
        <v>27</v>
      </c>
      <c r="AC52" s="8" t="s">
        <v>99</v>
      </c>
      <c r="AD52" s="8">
        <v>50</v>
      </c>
      <c r="AE52" s="8" t="s">
        <v>102</v>
      </c>
      <c r="AF52" s="8">
        <f t="shared" si="2"/>
        <v>15</v>
      </c>
      <c r="AG52"/>
    </row>
    <row r="53" spans="1:33" hidden="1" x14ac:dyDescent="0.25">
      <c r="A53" s="2">
        <v>48</v>
      </c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>
        <v>0</v>
      </c>
      <c r="J53" s="2">
        <v>0</v>
      </c>
      <c r="K53" s="2"/>
      <c r="L53" s="2"/>
      <c r="M53" s="2"/>
      <c r="N53" s="2"/>
      <c r="O53" s="8">
        <f t="shared" si="3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1"/>
        <v>0</v>
      </c>
      <c r="AB53" s="8" t="s">
        <v>97</v>
      </c>
      <c r="AC53" s="8" t="s">
        <v>99</v>
      </c>
      <c r="AD53" s="8">
        <v>400</v>
      </c>
      <c r="AE53" s="8" t="s">
        <v>102</v>
      </c>
      <c r="AF53" s="8">
        <f t="shared" si="2"/>
        <v>0</v>
      </c>
      <c r="AG53"/>
    </row>
    <row r="54" spans="1:33" hidden="1" x14ac:dyDescent="0.25">
      <c r="A54" s="2">
        <v>49</v>
      </c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>
        <v>0</v>
      </c>
      <c r="J54" s="2">
        <v>0</v>
      </c>
      <c r="K54" s="2"/>
      <c r="L54" s="2"/>
      <c r="M54" s="2"/>
      <c r="N54" s="2"/>
      <c r="O54" s="8">
        <f t="shared" si="3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1"/>
        <v>0</v>
      </c>
      <c r="AB54" s="8" t="s">
        <v>97</v>
      </c>
      <c r="AC54" s="8" t="s">
        <v>99</v>
      </c>
      <c r="AD54" s="8">
        <v>400</v>
      </c>
      <c r="AE54" s="8" t="s">
        <v>102</v>
      </c>
      <c r="AF54" s="8">
        <f t="shared" si="2"/>
        <v>0</v>
      </c>
      <c r="AG54"/>
    </row>
    <row r="55" spans="1:33" hidden="1" x14ac:dyDescent="0.25">
      <c r="A55" s="2">
        <v>50</v>
      </c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>
        <v>0</v>
      </c>
      <c r="J55" s="2">
        <v>0</v>
      </c>
      <c r="K55" s="2"/>
      <c r="L55" s="2"/>
      <c r="M55" s="2"/>
      <c r="N55" s="2"/>
      <c r="O55" s="8">
        <f t="shared" si="3"/>
        <v>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2"/>
      <c r="AA55" s="7">
        <f t="shared" si="1"/>
        <v>0</v>
      </c>
      <c r="AB55" s="8" t="s">
        <v>27</v>
      </c>
      <c r="AC55" s="8" t="s">
        <v>99</v>
      </c>
      <c r="AD55" s="8">
        <v>60</v>
      </c>
      <c r="AE55" s="8" t="s">
        <v>102</v>
      </c>
      <c r="AF55" s="8">
        <f t="shared" si="2"/>
        <v>0</v>
      </c>
      <c r="AG55"/>
    </row>
    <row r="56" spans="1:33" x14ac:dyDescent="0.25">
      <c r="A56" s="2">
        <v>51</v>
      </c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>
        <v>1050</v>
      </c>
      <c r="J56" s="2">
        <v>630</v>
      </c>
      <c r="K56" s="2"/>
      <c r="L56" s="2"/>
      <c r="M56" s="2"/>
      <c r="N56" s="2"/>
      <c r="O56" s="8">
        <f t="shared" si="3"/>
        <v>140</v>
      </c>
      <c r="P56" s="19"/>
      <c r="Q56" s="19"/>
      <c r="R56" s="19"/>
      <c r="S56" s="2">
        <v>560</v>
      </c>
      <c r="T56" s="19">
        <v>980</v>
      </c>
      <c r="U56" s="2"/>
      <c r="V56" s="19"/>
      <c r="W56" s="19"/>
      <c r="X56" s="19"/>
      <c r="Y56" s="19"/>
      <c r="Z56" s="2"/>
      <c r="AA56" s="7">
        <f t="shared" si="1"/>
        <v>265.44</v>
      </c>
      <c r="AB56" s="8" t="s">
        <v>27</v>
      </c>
      <c r="AC56" s="8" t="s">
        <v>99</v>
      </c>
      <c r="AD56" s="8">
        <v>70</v>
      </c>
      <c r="AE56" s="8" t="s">
        <v>102</v>
      </c>
      <c r="AF56" s="8">
        <f t="shared" si="2"/>
        <v>24</v>
      </c>
      <c r="AG56"/>
    </row>
    <row r="57" spans="1:33" x14ac:dyDescent="0.25">
      <c r="A57" s="2">
        <v>52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>
        <v>400</v>
      </c>
      <c r="J57" s="2">
        <v>0</v>
      </c>
      <c r="K57" s="2"/>
      <c r="L57" s="2"/>
      <c r="M57" s="2"/>
      <c r="N57" s="2"/>
      <c r="O57" s="8">
        <f t="shared" si="3"/>
        <v>28</v>
      </c>
      <c r="P57" s="19"/>
      <c r="Q57" s="19"/>
      <c r="R57" s="19"/>
      <c r="S57" s="2"/>
      <c r="T57" s="19"/>
      <c r="U57" s="2"/>
      <c r="V57" s="19">
        <v>372</v>
      </c>
      <c r="W57" s="19"/>
      <c r="X57" s="19"/>
      <c r="Y57" s="19"/>
      <c r="Z57" s="2"/>
      <c r="AA57" s="7">
        <f t="shared" si="1"/>
        <v>105.2</v>
      </c>
      <c r="AB57" s="8" t="s">
        <v>97</v>
      </c>
      <c r="AC57" s="8" t="s">
        <v>99</v>
      </c>
      <c r="AD57" s="8">
        <v>400</v>
      </c>
      <c r="AE57" s="8" t="s">
        <v>102</v>
      </c>
      <c r="AF57" s="8">
        <f t="shared" si="2"/>
        <v>1</v>
      </c>
      <c r="AG57"/>
    </row>
    <row r="58" spans="1:33" x14ac:dyDescent="0.25">
      <c r="A58" s="2">
        <v>53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>
        <v>900</v>
      </c>
      <c r="J58" s="2">
        <v>300</v>
      </c>
      <c r="K58" s="2"/>
      <c r="L58" s="2"/>
      <c r="M58" s="2"/>
      <c r="N58" s="2"/>
      <c r="O58" s="8">
        <f t="shared" si="3"/>
        <v>136</v>
      </c>
      <c r="P58" s="19">
        <v>100</v>
      </c>
      <c r="Q58" s="19"/>
      <c r="R58" s="19">
        <v>849</v>
      </c>
      <c r="S58" s="2"/>
      <c r="T58" s="19"/>
      <c r="U58" s="2">
        <v>115</v>
      </c>
      <c r="V58" s="19"/>
      <c r="W58" s="19"/>
      <c r="X58" s="19"/>
      <c r="Y58" s="19"/>
      <c r="Z58" s="2"/>
      <c r="AA58" s="7">
        <f t="shared" si="1"/>
        <v>577.19999999999993</v>
      </c>
      <c r="AB58" s="8" t="s">
        <v>97</v>
      </c>
      <c r="AC58" s="8" t="s">
        <v>99</v>
      </c>
      <c r="AD58" s="8">
        <v>300</v>
      </c>
      <c r="AE58" s="8" t="s">
        <v>102</v>
      </c>
      <c r="AF58" s="8">
        <f t="shared" si="2"/>
        <v>4</v>
      </c>
      <c r="AG58"/>
    </row>
    <row r="59" spans="1:33" hidden="1" x14ac:dyDescent="0.25">
      <c r="A59" s="2">
        <v>54</v>
      </c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>
        <v>0</v>
      </c>
      <c r="J59" s="2">
        <v>0</v>
      </c>
      <c r="K59" s="2"/>
      <c r="L59" s="2"/>
      <c r="M59" s="2"/>
      <c r="N59" s="2"/>
      <c r="O59" s="8">
        <f t="shared" si="3"/>
        <v>-83</v>
      </c>
      <c r="P59" s="19"/>
      <c r="Q59" s="19"/>
      <c r="R59" s="19"/>
      <c r="S59" s="2"/>
      <c r="T59" s="19">
        <v>83</v>
      </c>
      <c r="U59" s="2"/>
      <c r="V59" s="19"/>
      <c r="W59" s="19"/>
      <c r="X59" s="19"/>
      <c r="Y59" s="19"/>
      <c r="Z59" s="2"/>
      <c r="AA59" s="7">
        <f t="shared" si="1"/>
        <v>0</v>
      </c>
      <c r="AB59" s="8" t="s">
        <v>97</v>
      </c>
      <c r="AC59" s="8" t="s">
        <v>99</v>
      </c>
      <c r="AD59" s="8">
        <v>500</v>
      </c>
      <c r="AE59" s="8" t="s">
        <v>102</v>
      </c>
      <c r="AF59" s="8">
        <f t="shared" si="2"/>
        <v>0</v>
      </c>
      <c r="AG59"/>
    </row>
    <row r="60" spans="1:33" x14ac:dyDescent="0.25">
      <c r="A60" s="2">
        <v>55</v>
      </c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>
        <v>1000</v>
      </c>
      <c r="J60" s="2">
        <v>0</v>
      </c>
      <c r="K60" s="2"/>
      <c r="L60" s="2"/>
      <c r="M60" s="2"/>
      <c r="N60" s="2"/>
      <c r="O60" s="8">
        <f t="shared" si="3"/>
        <v>688</v>
      </c>
      <c r="P60" s="19"/>
      <c r="Q60" s="19"/>
      <c r="R60" s="19"/>
      <c r="S60" s="2"/>
      <c r="T60" s="19"/>
      <c r="U60" s="2"/>
      <c r="V60" s="19"/>
      <c r="W60" s="19"/>
      <c r="X60" s="19"/>
      <c r="Y60" s="19">
        <v>312</v>
      </c>
      <c r="Z60" s="2"/>
      <c r="AA60" s="7">
        <f t="shared" si="1"/>
        <v>348</v>
      </c>
      <c r="AB60" s="8" t="s">
        <v>97</v>
      </c>
      <c r="AC60" s="8" t="s">
        <v>99</v>
      </c>
      <c r="AD60" s="8">
        <v>500</v>
      </c>
      <c r="AE60" s="8" t="s">
        <v>102</v>
      </c>
      <c r="AF60" s="8">
        <f t="shared" si="2"/>
        <v>2</v>
      </c>
      <c r="AG60"/>
    </row>
    <row r="61" spans="1:33" hidden="1" x14ac:dyDescent="0.25">
      <c r="A61" s="2">
        <v>56</v>
      </c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>
        <v>0</v>
      </c>
      <c r="J61" s="2">
        <v>0</v>
      </c>
      <c r="K61" s="2"/>
      <c r="L61" s="2"/>
      <c r="M61" s="2"/>
      <c r="N61" s="2"/>
      <c r="O61" s="8">
        <f t="shared" si="3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2"/>
      <c r="AA61" s="7">
        <f t="shared" si="1"/>
        <v>0</v>
      </c>
      <c r="AB61" s="8" t="s">
        <v>26</v>
      </c>
      <c r="AC61" s="8" t="s">
        <v>98</v>
      </c>
      <c r="AD61" s="8">
        <v>250</v>
      </c>
      <c r="AE61" s="8" t="s">
        <v>102</v>
      </c>
      <c r="AF61" s="8">
        <f t="shared" si="2"/>
        <v>0</v>
      </c>
      <c r="AG61"/>
    </row>
    <row r="62" spans="1:33" hidden="1" x14ac:dyDescent="0.25">
      <c r="A62" s="2">
        <v>57</v>
      </c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>
        <v>0</v>
      </c>
      <c r="J62" s="2">
        <v>0</v>
      </c>
      <c r="K62" s="2"/>
      <c r="L62" s="2"/>
      <c r="M62" s="2"/>
      <c r="N62" s="2"/>
      <c r="O62" s="8">
        <f t="shared" si="3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/>
      <c r="AA62" s="7">
        <f t="shared" si="1"/>
        <v>0</v>
      </c>
      <c r="AB62" s="8" t="s">
        <v>26</v>
      </c>
      <c r="AC62" s="8" t="s">
        <v>99</v>
      </c>
      <c r="AD62" s="8">
        <v>300</v>
      </c>
      <c r="AE62" s="8" t="s">
        <v>102</v>
      </c>
      <c r="AF62" s="8">
        <f t="shared" si="2"/>
        <v>0</v>
      </c>
      <c r="AG62"/>
    </row>
    <row r="63" spans="1:33" hidden="1" x14ac:dyDescent="0.25">
      <c r="A63" s="2">
        <v>58</v>
      </c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>
        <v>0</v>
      </c>
      <c r="J63" s="2">
        <v>0</v>
      </c>
      <c r="K63" s="2"/>
      <c r="L63" s="2"/>
      <c r="M63" s="2"/>
      <c r="N63" s="2"/>
      <c r="O63" s="8">
        <f t="shared" si="3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1"/>
        <v>0</v>
      </c>
      <c r="AB63" s="8" t="s">
        <v>26</v>
      </c>
      <c r="AC63" s="8" t="s">
        <v>99</v>
      </c>
      <c r="AD63" s="8">
        <v>250</v>
      </c>
      <c r="AE63" s="8" t="s">
        <v>102</v>
      </c>
      <c r="AF63" s="8">
        <f t="shared" si="2"/>
        <v>0</v>
      </c>
      <c r="AG63"/>
    </row>
    <row r="64" spans="1:33" x14ac:dyDescent="0.25">
      <c r="H64" s="4" t="s">
        <v>19</v>
      </c>
      <c r="I64" s="9">
        <f t="shared" ref="I64:AA64" si="4">SUM(I6:I63)</f>
        <v>9350</v>
      </c>
      <c r="J64" s="9">
        <f t="shared" si="4"/>
        <v>3218</v>
      </c>
      <c r="K64" s="9">
        <f t="shared" si="4"/>
        <v>0</v>
      </c>
      <c r="L64" s="9">
        <f t="shared" si="4"/>
        <v>0</v>
      </c>
      <c r="M64" s="9">
        <f t="shared" si="4"/>
        <v>0</v>
      </c>
      <c r="N64" s="9">
        <f t="shared" si="4"/>
        <v>0</v>
      </c>
      <c r="O64" s="11">
        <f t="shared" si="4"/>
        <v>3698</v>
      </c>
      <c r="P64" s="20">
        <f t="shared" si="4"/>
        <v>900</v>
      </c>
      <c r="Q64" s="20">
        <f t="shared" si="4"/>
        <v>350</v>
      </c>
      <c r="R64" s="20">
        <f t="shared" si="4"/>
        <v>2698</v>
      </c>
      <c r="S64" s="9">
        <f t="shared" si="4"/>
        <v>860</v>
      </c>
      <c r="T64" s="20">
        <f t="shared" si="4"/>
        <v>2313</v>
      </c>
      <c r="U64" s="9">
        <f t="shared" si="4"/>
        <v>715</v>
      </c>
      <c r="V64" s="20">
        <f t="shared" si="4"/>
        <v>722</v>
      </c>
      <c r="W64" s="20">
        <f t="shared" si="4"/>
        <v>0</v>
      </c>
      <c r="X64" s="20">
        <f t="shared" si="4"/>
        <v>0</v>
      </c>
      <c r="Y64" s="20">
        <f t="shared" si="4"/>
        <v>312</v>
      </c>
      <c r="Z64" s="9">
        <f t="shared" si="4"/>
        <v>0</v>
      </c>
      <c r="AA64" s="9">
        <f t="shared" si="4"/>
        <v>2078.8319999999999</v>
      </c>
      <c r="AF64" s="12">
        <f>SUM(AF6:AF63)</f>
        <v>142</v>
      </c>
    </row>
    <row r="65" spans="1:26" hidden="1" x14ac:dyDescent="0.25">
      <c r="H65" s="4" t="s">
        <v>21</v>
      </c>
      <c r="I65" s="56">
        <f>+I64+J64+K64+L64+M64+N64</f>
        <v>12568</v>
      </c>
      <c r="J65" s="56"/>
      <c r="K65" s="56"/>
      <c r="L65" s="56"/>
      <c r="M65" s="56"/>
      <c r="N65" s="56"/>
      <c r="P65" s="57">
        <f>+P64+Q64</f>
        <v>1250</v>
      </c>
      <c r="Q65" s="54"/>
      <c r="R65" s="57">
        <f>+R64+S64</f>
        <v>3558</v>
      </c>
      <c r="S65" s="54"/>
      <c r="T65" s="57">
        <f>+T64+U64</f>
        <v>3028</v>
      </c>
      <c r="U65" s="54"/>
      <c r="V65" s="57">
        <f t="shared" ref="V65" si="5">+V64+W64</f>
        <v>722</v>
      </c>
      <c r="W65" s="54"/>
      <c r="X65" s="57">
        <f t="shared" ref="X65" si="6">+X64+Y64</f>
        <v>312</v>
      </c>
      <c r="Y65" s="54"/>
      <c r="Z65" s="10">
        <f>+Z64</f>
        <v>0</v>
      </c>
    </row>
    <row r="66" spans="1:26" x14ac:dyDescent="0.25">
      <c r="I66" s="1">
        <v>0</v>
      </c>
      <c r="J66" s="25">
        <f>+J64</f>
        <v>3218</v>
      </c>
      <c r="K66" s="25">
        <f t="shared" ref="K66:N66" si="7">+K64</f>
        <v>0</v>
      </c>
      <c r="L66" s="25">
        <f t="shared" si="7"/>
        <v>0</v>
      </c>
      <c r="M66" s="25">
        <f t="shared" si="7"/>
        <v>0</v>
      </c>
      <c r="N66" s="25">
        <f t="shared" si="7"/>
        <v>0</v>
      </c>
      <c r="P66" s="17"/>
      <c r="Q66" s="17"/>
      <c r="R66" s="17"/>
      <c r="T66" s="17"/>
      <c r="V66" s="17"/>
      <c r="W66" s="17"/>
      <c r="X66" s="17"/>
      <c r="Y66" s="17"/>
    </row>
    <row r="67" spans="1:26" x14ac:dyDescent="0.25">
      <c r="P67" s="17"/>
      <c r="Q67" s="17"/>
      <c r="R67" s="17"/>
      <c r="T67" s="17"/>
      <c r="V67" s="17"/>
      <c r="W67" s="17"/>
      <c r="X67" s="17"/>
      <c r="Y67" s="17"/>
    </row>
    <row r="68" spans="1:26" x14ac:dyDescent="0.25">
      <c r="C68" s="2" t="s">
        <v>111</v>
      </c>
      <c r="D68" s="2" t="s">
        <v>112</v>
      </c>
      <c r="E68" s="2" t="s">
        <v>113</v>
      </c>
      <c r="P68" s="19" t="s">
        <v>15</v>
      </c>
      <c r="Q68" s="19" t="s">
        <v>16</v>
      </c>
      <c r="R68" s="19" t="s">
        <v>15</v>
      </c>
      <c r="S68" s="19" t="s">
        <v>16</v>
      </c>
      <c r="T68" s="19" t="s">
        <v>15</v>
      </c>
      <c r="U68" s="19" t="s">
        <v>16</v>
      </c>
      <c r="V68" s="19" t="s">
        <v>15</v>
      </c>
      <c r="W68" s="19" t="s">
        <v>16</v>
      </c>
      <c r="X68" s="19" t="s">
        <v>15</v>
      </c>
      <c r="Y68" s="19" t="s">
        <v>16</v>
      </c>
      <c r="Z68" s="19"/>
    </row>
    <row r="69" spans="1:26" x14ac:dyDescent="0.25">
      <c r="B69" s="2" t="s">
        <v>114</v>
      </c>
      <c r="C69" s="8">
        <v>12568</v>
      </c>
      <c r="D69" s="2">
        <f>+C69/5</f>
        <v>2513.6</v>
      </c>
      <c r="E69" s="2">
        <f>+D69/2</f>
        <v>1256.8</v>
      </c>
      <c r="H69" s="23"/>
      <c r="P69" s="40">
        <f>+P64/$E$69</f>
        <v>0.71610439210693833</v>
      </c>
      <c r="Q69" s="40">
        <f t="shared" ref="Q69:Y69" si="8">+Q64/$E$69</f>
        <v>0.27848504137492042</v>
      </c>
      <c r="R69" s="40">
        <f t="shared" si="8"/>
        <v>2.146721833227244</v>
      </c>
      <c r="S69" s="40">
        <f t="shared" si="8"/>
        <v>0.68427753023551885</v>
      </c>
      <c r="T69" s="40">
        <f t="shared" si="8"/>
        <v>1.8403882877148314</v>
      </c>
      <c r="U69" s="40">
        <f t="shared" si="8"/>
        <v>0.56890515595162316</v>
      </c>
      <c r="V69" s="40">
        <f t="shared" si="8"/>
        <v>0.57447485677912158</v>
      </c>
      <c r="W69" s="40">
        <f t="shared" si="8"/>
        <v>0</v>
      </c>
      <c r="X69" s="40">
        <f t="shared" si="8"/>
        <v>0</v>
      </c>
      <c r="Y69" s="40">
        <f t="shared" si="8"/>
        <v>0.24824952259707195</v>
      </c>
      <c r="Z69" s="19"/>
    </row>
    <row r="70" spans="1:26" x14ac:dyDescent="0.25">
      <c r="B70" s="2" t="s">
        <v>115</v>
      </c>
      <c r="C70" s="8">
        <v>5880</v>
      </c>
      <c r="D70" s="2">
        <f>+C70/5</f>
        <v>1176</v>
      </c>
      <c r="E70" s="2">
        <f>+D70/2</f>
        <v>588</v>
      </c>
      <c r="H70" s="23"/>
    </row>
    <row r="71" spans="1:26" x14ac:dyDescent="0.25">
      <c r="B71" s="2" t="s">
        <v>116</v>
      </c>
      <c r="C71" s="2">
        <f>+C69-C70</f>
        <v>6688</v>
      </c>
    </row>
    <row r="72" spans="1:26" x14ac:dyDescent="0.25">
      <c r="B72" s="2" t="s">
        <v>117</v>
      </c>
      <c r="C72" s="24">
        <f>+C71/C69</f>
        <v>0.53214513049013368</v>
      </c>
      <c r="H72" s="23"/>
    </row>
    <row r="73" spans="1:26" x14ac:dyDescent="0.25">
      <c r="B73" s="2" t="s">
        <v>118</v>
      </c>
      <c r="C73" s="24">
        <f>+C70/C69</f>
        <v>0.46785486950986632</v>
      </c>
    </row>
    <row r="75" spans="1:26" x14ac:dyDescent="0.25">
      <c r="A75" s="51" t="s">
        <v>136</v>
      </c>
      <c r="B75" s="52"/>
      <c r="C75" s="52"/>
      <c r="D75" s="52"/>
      <c r="E75" s="52"/>
      <c r="F75" s="53"/>
    </row>
    <row r="76" spans="1:26" x14ac:dyDescent="0.25">
      <c r="A76" s="54" t="s">
        <v>143</v>
      </c>
      <c r="B76" s="37">
        <v>46272</v>
      </c>
      <c r="C76" s="37">
        <v>46273</v>
      </c>
      <c r="D76" s="37">
        <v>46274</v>
      </c>
      <c r="E76" s="37">
        <v>46275</v>
      </c>
      <c r="F76" s="37">
        <v>46276</v>
      </c>
    </row>
    <row r="77" spans="1:26" x14ac:dyDescent="0.25">
      <c r="A77" s="54"/>
      <c r="B77" s="38" t="s">
        <v>122</v>
      </c>
      <c r="C77" s="4" t="s">
        <v>123</v>
      </c>
      <c r="D77" s="4" t="s">
        <v>124</v>
      </c>
      <c r="E77" s="4" t="s">
        <v>125</v>
      </c>
      <c r="F77" s="4" t="s">
        <v>128</v>
      </c>
    </row>
    <row r="78" spans="1:26" x14ac:dyDescent="0.25">
      <c r="A78" s="12" t="s">
        <v>134</v>
      </c>
      <c r="B78" s="26">
        <v>0.1</v>
      </c>
      <c r="C78" s="26">
        <v>0.3</v>
      </c>
      <c r="D78" s="26">
        <v>0.48</v>
      </c>
      <c r="E78" s="26">
        <v>0.48</v>
      </c>
      <c r="F78" s="26">
        <v>0.53</v>
      </c>
    </row>
    <row r="79" spans="1:26" x14ac:dyDescent="0.25">
      <c r="A79" s="12" t="s">
        <v>135</v>
      </c>
      <c r="B79" s="26">
        <v>0.9</v>
      </c>
      <c r="C79" s="26">
        <v>0.7</v>
      </c>
      <c r="D79" s="26">
        <v>0.52</v>
      </c>
      <c r="E79" s="26">
        <v>0.52</v>
      </c>
      <c r="F79" s="26">
        <v>0.47</v>
      </c>
    </row>
    <row r="82" spans="2:2" x14ac:dyDescent="0.25">
      <c r="B82" s="1" t="s">
        <v>145</v>
      </c>
    </row>
    <row r="83" spans="2:2" x14ac:dyDescent="0.25">
      <c r="B83" s="1" t="s">
        <v>146</v>
      </c>
    </row>
    <row r="86" spans="2:2" x14ac:dyDescent="0.25">
      <c r="B86" s="1" t="s">
        <v>147</v>
      </c>
    </row>
    <row r="88" spans="2:2" x14ac:dyDescent="0.25">
      <c r="B88" s="1" t="s">
        <v>148</v>
      </c>
    </row>
    <row r="92" spans="2:2" x14ac:dyDescent="0.25">
      <c r="B92" s="1" t="s">
        <v>149</v>
      </c>
    </row>
    <row r="93" spans="2:2" x14ac:dyDescent="0.25">
      <c r="B93" s="1" t="s">
        <v>150</v>
      </c>
    </row>
    <row r="94" spans="2:2" x14ac:dyDescent="0.25">
      <c r="B94" s="1" t="s">
        <v>151</v>
      </c>
    </row>
    <row r="95" spans="2:2" x14ac:dyDescent="0.25">
      <c r="B95" s="1" t="s">
        <v>152</v>
      </c>
    </row>
    <row r="97" spans="2:2" x14ac:dyDescent="0.25">
      <c r="B97" s="1" t="s">
        <v>153</v>
      </c>
    </row>
    <row r="98" spans="2:2" x14ac:dyDescent="0.25">
      <c r="B98" s="1" t="s">
        <v>154</v>
      </c>
    </row>
    <row r="99" spans="2:2" x14ac:dyDescent="0.25">
      <c r="B99" s="1" t="s">
        <v>155</v>
      </c>
    </row>
    <row r="100" spans="2:2" x14ac:dyDescent="0.25">
      <c r="B100" s="1" t="s">
        <v>156</v>
      </c>
    </row>
    <row r="101" spans="2:2" x14ac:dyDescent="0.25">
      <c r="B101" s="1" t="s">
        <v>157</v>
      </c>
    </row>
  </sheetData>
  <autoFilter ref="B5:AF65" xr:uid="{00000000-0009-0000-0000-00000A000000}">
    <filterColumn colId="13">
      <customFilters>
        <customFilter operator="greaterThan" val="1"/>
      </customFilters>
    </filterColumn>
  </autoFilter>
  <mergeCells count="16">
    <mergeCell ref="A75:F75"/>
    <mergeCell ref="A76:A77"/>
    <mergeCell ref="V4:W4"/>
    <mergeCell ref="X4:Y4"/>
    <mergeCell ref="I65:N65"/>
    <mergeCell ref="P65:Q65"/>
    <mergeCell ref="R65:S65"/>
    <mergeCell ref="T65:U65"/>
    <mergeCell ref="V65:W65"/>
    <mergeCell ref="X65:Y65"/>
    <mergeCell ref="T4:U4"/>
    <mergeCell ref="C2:D2"/>
    <mergeCell ref="B3:B4"/>
    <mergeCell ref="J4:N4"/>
    <mergeCell ref="P4:Q4"/>
    <mergeCell ref="R4:S4"/>
  </mergeCells>
  <conditionalFormatting sqref="P69:Y69">
    <cfRule type="cellIs" dxfId="14" priority="1" operator="between">
      <formula>1</formula>
      <formula>5</formula>
    </cfRule>
    <cfRule type="cellIs" dxfId="13" priority="2" operator="between">
      <formula>0.85</formula>
      <formula>0.99</formula>
    </cfRule>
    <cfRule type="cellIs" dxfId="12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1" orientation="portrait" r:id="rId2"/>
  <colBreaks count="1" manualBreakCount="1">
    <brk id="15" max="32" man="1"/>
  </colBreaks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pageSetUpPr fitToPage="1"/>
  </sheetPr>
  <dimension ref="A1:AJ101"/>
  <sheetViews>
    <sheetView zoomScale="73" zoomScaleNormal="80" workbookViewId="0">
      <pane xSplit="15" topLeftCell="P1" activePane="topRight" state="frozen"/>
      <selection activeCell="K20" sqref="K20"/>
      <selection pane="topRight" activeCell="D25" sqref="D25:U25"/>
    </sheetView>
  </sheetViews>
  <sheetFormatPr baseColWidth="10" defaultColWidth="8.7109375" defaultRowHeight="15" x14ac:dyDescent="0.25"/>
  <cols>
    <col min="1" max="1" width="8.7109375" style="1"/>
    <col min="2" max="2" width="33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2.42578125" style="1" bestFit="1" customWidth="1"/>
    <col min="7" max="7" width="10.5703125" style="1" customWidth="1"/>
    <col min="8" max="8" width="15.42578125" style="1" hidden="1" customWidth="1"/>
    <col min="9" max="9" width="10.7109375" style="1" customWidth="1"/>
    <col min="10" max="10" width="10.140625" style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26" width="8.7109375" style="1" customWidth="1"/>
    <col min="27" max="27" width="8.7109375" style="1"/>
    <col min="28" max="28" width="16.85546875" style="1" bestFit="1" customWidth="1"/>
    <col min="29" max="29" width="16.5703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6.28515625" style="1" customWidth="1"/>
    <col min="35" max="35" width="19.7109375" style="1" bestFit="1" customWidth="1"/>
    <col min="36" max="16384" width="8.7109375" style="1"/>
  </cols>
  <sheetData>
    <row r="1" spans="1:36" x14ac:dyDescent="0.25">
      <c r="P1" s="17"/>
      <c r="Q1" s="17"/>
      <c r="R1" s="17"/>
      <c r="T1" s="17"/>
      <c r="V1" s="17"/>
      <c r="W1" s="17"/>
      <c r="X1" s="17"/>
      <c r="Y1" s="17"/>
    </row>
    <row r="2" spans="1:36" x14ac:dyDescent="0.25">
      <c r="B2" s="4" t="s">
        <v>17</v>
      </c>
      <c r="C2" s="58" t="s">
        <v>18</v>
      </c>
      <c r="D2" s="58"/>
      <c r="P2" s="17"/>
      <c r="Q2" s="17"/>
      <c r="R2" s="17"/>
      <c r="T2" s="17"/>
      <c r="V2" s="17"/>
      <c r="W2" s="17"/>
      <c r="X2" s="17"/>
      <c r="Y2" s="17"/>
    </row>
    <row r="3" spans="1:36" x14ac:dyDescent="0.25">
      <c r="B3" s="59">
        <f ca="1">TODAY()</f>
        <v>46309</v>
      </c>
      <c r="C3" s="4" t="s">
        <v>15</v>
      </c>
      <c r="D3" s="2" t="s">
        <v>103</v>
      </c>
      <c r="I3" s="4" t="s">
        <v>4</v>
      </c>
      <c r="P3" s="17"/>
      <c r="Q3" s="17"/>
      <c r="R3" s="17"/>
      <c r="T3" s="17"/>
      <c r="V3" s="17"/>
      <c r="W3" s="17"/>
      <c r="X3" s="17"/>
      <c r="Y3" s="17"/>
    </row>
    <row r="4" spans="1:36" x14ac:dyDescent="0.25">
      <c r="B4" s="59"/>
      <c r="C4" s="4" t="s">
        <v>16</v>
      </c>
      <c r="D4" s="2"/>
      <c r="I4" s="4" t="s">
        <v>5</v>
      </c>
      <c r="J4" s="60" t="s">
        <v>119</v>
      </c>
      <c r="K4" s="60"/>
      <c r="L4" s="60"/>
      <c r="M4" s="60"/>
      <c r="N4" s="60"/>
      <c r="P4" s="55">
        <v>46279</v>
      </c>
      <c r="Q4" s="55"/>
      <c r="R4" s="55">
        <v>46280</v>
      </c>
      <c r="S4" s="55"/>
      <c r="T4" s="55">
        <v>46281</v>
      </c>
      <c r="U4" s="55"/>
      <c r="V4" s="55">
        <v>46282</v>
      </c>
      <c r="W4" s="55"/>
      <c r="X4" s="55">
        <v>46283</v>
      </c>
      <c r="Y4" s="55"/>
      <c r="Z4" s="6" t="s">
        <v>10</v>
      </c>
    </row>
    <row r="5" spans="1:36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32</v>
      </c>
      <c r="I5" s="5">
        <v>38</v>
      </c>
      <c r="J5" s="4" t="s">
        <v>159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18" t="s">
        <v>15</v>
      </c>
      <c r="Q5" s="18" t="s">
        <v>16</v>
      </c>
      <c r="R5" s="18" t="s">
        <v>15</v>
      </c>
      <c r="S5" s="4" t="s">
        <v>16</v>
      </c>
      <c r="T5" s="18" t="s">
        <v>15</v>
      </c>
      <c r="U5" s="4" t="s">
        <v>16</v>
      </c>
      <c r="V5" s="18" t="s">
        <v>15</v>
      </c>
      <c r="W5" s="18" t="s">
        <v>16</v>
      </c>
      <c r="X5" s="18" t="s">
        <v>15</v>
      </c>
      <c r="Y5" s="18" t="s">
        <v>16</v>
      </c>
      <c r="Z5" s="4" t="s">
        <v>20</v>
      </c>
      <c r="AA5" s="4" t="s">
        <v>8</v>
      </c>
      <c r="AB5" s="4" t="s">
        <v>22</v>
      </c>
      <c r="AC5" s="4" t="s">
        <v>100</v>
      </c>
      <c r="AD5" s="4" t="s">
        <v>24</v>
      </c>
      <c r="AE5" s="4" t="s">
        <v>23</v>
      </c>
      <c r="AF5" s="4" t="s">
        <v>28</v>
      </c>
      <c r="AG5"/>
      <c r="AH5" s="15" t="s">
        <v>29</v>
      </c>
      <c r="AI5" s="15" t="s">
        <v>31</v>
      </c>
      <c r="AJ5"/>
    </row>
    <row r="6" spans="1:36" hidden="1" x14ac:dyDescent="0.25">
      <c r="A6" s="2"/>
      <c r="B6" s="2" t="s">
        <v>33</v>
      </c>
      <c r="C6" s="2" t="s">
        <v>34</v>
      </c>
      <c r="D6" s="2" t="s">
        <v>35</v>
      </c>
      <c r="E6" s="13">
        <v>0.25</v>
      </c>
      <c r="F6" s="2">
        <v>3.1E-2</v>
      </c>
      <c r="G6" s="3">
        <v>1.4E-2</v>
      </c>
      <c r="H6" s="3"/>
      <c r="I6" s="2">
        <v>0</v>
      </c>
      <c r="J6" s="2">
        <v>0</v>
      </c>
      <c r="K6" s="2"/>
      <c r="L6" s="2"/>
      <c r="M6" s="2"/>
      <c r="N6" s="2"/>
      <c r="O6" s="8">
        <f t="shared" ref="O6:O63" si="0">+I6+J6+K6+L6+M6+N6-SUM(P6:Z6)</f>
        <v>0</v>
      </c>
      <c r="P6" s="19"/>
      <c r="Q6" s="19"/>
      <c r="R6" s="19"/>
      <c r="S6" s="2"/>
      <c r="T6" s="19"/>
      <c r="U6" s="2"/>
      <c r="V6" s="19"/>
      <c r="W6" s="19"/>
      <c r="X6" s="19"/>
      <c r="Y6" s="19"/>
      <c r="Z6" s="2"/>
      <c r="AA6" s="7">
        <f t="shared" ref="AA6:AA63" si="1">+G6*SUM(I6:N6)</f>
        <v>0</v>
      </c>
      <c r="AB6" s="8" t="s">
        <v>26</v>
      </c>
      <c r="AC6" s="8">
        <v>0</v>
      </c>
      <c r="AD6" s="8">
        <v>260</v>
      </c>
      <c r="AE6" s="8" t="s">
        <v>101</v>
      </c>
      <c r="AF6" s="8">
        <f t="shared" ref="AF6:AF63" si="2">+SUM(I6:N6)/AD6</f>
        <v>0</v>
      </c>
      <c r="AG6"/>
      <c r="AH6" s="16" t="s">
        <v>26</v>
      </c>
      <c r="AI6" s="15">
        <v>0</v>
      </c>
      <c r="AJ6"/>
    </row>
    <row r="7" spans="1:36" hidden="1" x14ac:dyDescent="0.25">
      <c r="A7" s="2"/>
      <c r="B7" s="2" t="s">
        <v>33</v>
      </c>
      <c r="C7" s="2" t="s">
        <v>34</v>
      </c>
      <c r="D7" s="2" t="s">
        <v>36</v>
      </c>
      <c r="E7" s="13">
        <v>0.375</v>
      </c>
      <c r="F7" s="2">
        <v>2.8000000000000001E-2</v>
      </c>
      <c r="G7" s="3">
        <v>0.10199999999999999</v>
      </c>
      <c r="H7" s="3"/>
      <c r="I7" s="2">
        <v>0</v>
      </c>
      <c r="J7" s="2">
        <v>0</v>
      </c>
      <c r="K7" s="2"/>
      <c r="L7" s="2"/>
      <c r="M7" s="2"/>
      <c r="N7" s="2"/>
      <c r="O7" s="8">
        <f t="shared" si="0"/>
        <v>0</v>
      </c>
      <c r="P7" s="19"/>
      <c r="Q7" s="19"/>
      <c r="R7" s="19"/>
      <c r="S7" s="2"/>
      <c r="T7" s="19"/>
      <c r="U7" s="2"/>
      <c r="V7" s="19"/>
      <c r="W7" s="19"/>
      <c r="X7" s="19"/>
      <c r="Y7" s="19"/>
      <c r="Z7" s="2"/>
      <c r="AA7" s="7">
        <f t="shared" si="1"/>
        <v>0</v>
      </c>
      <c r="AB7" s="8" t="s">
        <v>95</v>
      </c>
      <c r="AC7" s="8">
        <v>0</v>
      </c>
      <c r="AD7" s="8">
        <v>70</v>
      </c>
      <c r="AE7" s="8" t="s">
        <v>101</v>
      </c>
      <c r="AF7" s="8">
        <f t="shared" si="2"/>
        <v>0</v>
      </c>
      <c r="AG7"/>
      <c r="AH7" s="16" t="s">
        <v>95</v>
      </c>
      <c r="AI7" s="15">
        <v>0</v>
      </c>
      <c r="AJ7"/>
    </row>
    <row r="8" spans="1:36" x14ac:dyDescent="0.25">
      <c r="A8" s="2"/>
      <c r="B8" s="2" t="s">
        <v>33</v>
      </c>
      <c r="C8" s="2" t="s">
        <v>34</v>
      </c>
      <c r="D8" s="2" t="s">
        <v>37</v>
      </c>
      <c r="E8" s="13">
        <v>0.375</v>
      </c>
      <c r="F8" s="2">
        <v>2.8000000000000001E-2</v>
      </c>
      <c r="G8" s="3">
        <v>0.107</v>
      </c>
      <c r="H8" s="3"/>
      <c r="I8" s="2">
        <v>840</v>
      </c>
      <c r="J8" s="2">
        <v>0</v>
      </c>
      <c r="K8" s="2"/>
      <c r="L8" s="2"/>
      <c r="M8" s="2"/>
      <c r="N8" s="2"/>
      <c r="O8" s="8">
        <f t="shared" si="0"/>
        <v>840</v>
      </c>
      <c r="P8" s="19"/>
      <c r="Q8" s="19"/>
      <c r="R8" s="19"/>
      <c r="S8" s="2"/>
      <c r="T8" s="19"/>
      <c r="U8" s="2"/>
      <c r="V8" s="19"/>
      <c r="W8" s="19"/>
      <c r="X8" s="19"/>
      <c r="Y8" s="19"/>
      <c r="Z8" s="2"/>
      <c r="AA8" s="7">
        <f t="shared" si="1"/>
        <v>89.88</v>
      </c>
      <c r="AB8" s="8" t="s">
        <v>95</v>
      </c>
      <c r="AC8" s="8">
        <v>0</v>
      </c>
      <c r="AD8" s="8">
        <v>70</v>
      </c>
      <c r="AE8" s="8" t="s">
        <v>101</v>
      </c>
      <c r="AF8" s="8">
        <f t="shared" si="2"/>
        <v>12</v>
      </c>
      <c r="AG8"/>
      <c r="AH8" s="16" t="s">
        <v>27</v>
      </c>
      <c r="AI8" s="15">
        <v>0</v>
      </c>
      <c r="AJ8"/>
    </row>
    <row r="9" spans="1:36" hidden="1" x14ac:dyDescent="0.25">
      <c r="A9" s="2"/>
      <c r="B9" s="2" t="s">
        <v>33</v>
      </c>
      <c r="C9" s="2" t="s">
        <v>34</v>
      </c>
      <c r="D9" s="2" t="s">
        <v>38</v>
      </c>
      <c r="E9" s="13">
        <v>0.375</v>
      </c>
      <c r="F9" s="2">
        <v>3.1E-2</v>
      </c>
      <c r="G9" s="3">
        <v>6.4000000000000001E-2</v>
      </c>
      <c r="H9" s="3"/>
      <c r="I9" s="2">
        <v>0</v>
      </c>
      <c r="J9" s="2">
        <v>0</v>
      </c>
      <c r="K9" s="2"/>
      <c r="L9" s="2"/>
      <c r="M9" s="2"/>
      <c r="N9" s="2"/>
      <c r="O9" s="8">
        <f t="shared" si="0"/>
        <v>0</v>
      </c>
      <c r="P9" s="19"/>
      <c r="Q9" s="19"/>
      <c r="R9" s="19"/>
      <c r="S9" s="2"/>
      <c r="T9" s="19"/>
      <c r="U9" s="2"/>
      <c r="V9" s="19"/>
      <c r="W9" s="19"/>
      <c r="X9" s="19"/>
      <c r="Y9" s="19"/>
      <c r="Z9" s="2"/>
      <c r="AA9" s="7">
        <f t="shared" si="1"/>
        <v>0</v>
      </c>
      <c r="AB9" s="8" t="s">
        <v>26</v>
      </c>
      <c r="AC9" s="8">
        <v>0</v>
      </c>
      <c r="AD9" s="8">
        <v>70</v>
      </c>
      <c r="AE9" s="8" t="s">
        <v>101</v>
      </c>
      <c r="AF9" s="8">
        <f t="shared" si="2"/>
        <v>0</v>
      </c>
      <c r="AG9"/>
      <c r="AH9" s="16" t="s">
        <v>96</v>
      </c>
      <c r="AI9" s="15">
        <v>0</v>
      </c>
      <c r="AJ9"/>
    </row>
    <row r="10" spans="1:36" hidden="1" x14ac:dyDescent="0.25">
      <c r="A10" s="2"/>
      <c r="B10" s="2" t="s">
        <v>33</v>
      </c>
      <c r="C10" s="2" t="s">
        <v>34</v>
      </c>
      <c r="D10" s="2" t="s">
        <v>39</v>
      </c>
      <c r="E10" s="13">
        <v>0.375</v>
      </c>
      <c r="F10" s="2">
        <v>2.8000000000000001E-2</v>
      </c>
      <c r="G10" s="3">
        <v>0.11700000000000001</v>
      </c>
      <c r="H10" s="3"/>
      <c r="I10" s="2">
        <v>0</v>
      </c>
      <c r="J10" s="2">
        <v>0</v>
      </c>
      <c r="K10" s="2"/>
      <c r="L10" s="2"/>
      <c r="M10" s="2"/>
      <c r="N10" s="2"/>
      <c r="O10" s="8">
        <f t="shared" si="0"/>
        <v>0</v>
      </c>
      <c r="P10" s="19"/>
      <c r="Q10" s="19"/>
      <c r="R10" s="19"/>
      <c r="S10" s="2"/>
      <c r="T10" s="19"/>
      <c r="U10" s="2"/>
      <c r="V10" s="19"/>
      <c r="W10" s="19"/>
      <c r="X10" s="19"/>
      <c r="Y10" s="19"/>
      <c r="Z10" s="2"/>
      <c r="AA10" s="7">
        <f t="shared" si="1"/>
        <v>0</v>
      </c>
      <c r="AB10" s="8" t="s">
        <v>95</v>
      </c>
      <c r="AC10" s="8">
        <v>0</v>
      </c>
      <c r="AD10" s="8">
        <v>70</v>
      </c>
      <c r="AE10" s="8" t="s">
        <v>101</v>
      </c>
      <c r="AF10" s="8">
        <f t="shared" si="2"/>
        <v>0</v>
      </c>
      <c r="AG10"/>
      <c r="AH10" s="16" t="s">
        <v>97</v>
      </c>
      <c r="AI10" s="15">
        <v>0</v>
      </c>
      <c r="AJ10"/>
    </row>
    <row r="11" spans="1:36" hidden="1" x14ac:dyDescent="0.25">
      <c r="A11" s="2"/>
      <c r="B11" s="2" t="s">
        <v>33</v>
      </c>
      <c r="C11" s="2" t="s">
        <v>34</v>
      </c>
      <c r="D11" s="2" t="s">
        <v>40</v>
      </c>
      <c r="E11" s="13">
        <v>0.375</v>
      </c>
      <c r="F11" s="2">
        <v>3.1E-2</v>
      </c>
      <c r="G11" s="3">
        <v>6.2E-2</v>
      </c>
      <c r="H11" s="3"/>
      <c r="I11" s="2">
        <v>0</v>
      </c>
      <c r="J11" s="2">
        <v>0</v>
      </c>
      <c r="K11" s="2"/>
      <c r="L11" s="2"/>
      <c r="M11" s="2"/>
      <c r="N11" s="2"/>
      <c r="O11" s="8">
        <f t="shared" si="0"/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si="1"/>
        <v>0</v>
      </c>
      <c r="AB11" s="8" t="s">
        <v>26</v>
      </c>
      <c r="AC11" s="8">
        <v>0</v>
      </c>
      <c r="AD11" s="8">
        <v>160</v>
      </c>
      <c r="AE11" s="8" t="s">
        <v>101</v>
      </c>
      <c r="AF11" s="8">
        <f t="shared" si="2"/>
        <v>0</v>
      </c>
      <c r="AG11"/>
      <c r="AH11" s="16" t="s">
        <v>30</v>
      </c>
      <c r="AI11" s="15">
        <v>0</v>
      </c>
      <c r="AJ11"/>
    </row>
    <row r="12" spans="1:36" hidden="1" x14ac:dyDescent="0.25">
      <c r="A12" s="2"/>
      <c r="B12" s="2" t="s">
        <v>33</v>
      </c>
      <c r="C12" s="2" t="s">
        <v>34</v>
      </c>
      <c r="D12" s="2" t="s">
        <v>41</v>
      </c>
      <c r="E12" s="13">
        <v>0.375</v>
      </c>
      <c r="F12" s="2">
        <v>2.8000000000000001E-2</v>
      </c>
      <c r="G12" s="3">
        <v>7.8E-2</v>
      </c>
      <c r="H12" s="3"/>
      <c r="I12" s="2">
        <v>0</v>
      </c>
      <c r="J12" s="2">
        <v>0</v>
      </c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>
        <v>0</v>
      </c>
      <c r="AD12" s="8">
        <v>200</v>
      </c>
      <c r="AE12" s="8" t="s">
        <v>101</v>
      </c>
      <c r="AF12" s="8">
        <f t="shared" si="2"/>
        <v>0</v>
      </c>
      <c r="AG12"/>
      <c r="AH12"/>
      <c r="AI12"/>
      <c r="AJ12"/>
    </row>
    <row r="13" spans="1:36" hidden="1" x14ac:dyDescent="0.25">
      <c r="A13" s="2"/>
      <c r="B13" s="2" t="s">
        <v>33</v>
      </c>
      <c r="C13" s="2" t="s">
        <v>34</v>
      </c>
      <c r="D13" s="2" t="s">
        <v>42</v>
      </c>
      <c r="E13" s="13">
        <v>0.375</v>
      </c>
      <c r="F13" s="2">
        <v>2.8000000000000001E-2</v>
      </c>
      <c r="G13" s="3">
        <v>4.7E-2</v>
      </c>
      <c r="H13" s="3"/>
      <c r="I13" s="2">
        <v>0</v>
      </c>
      <c r="J13" s="2">
        <v>0</v>
      </c>
      <c r="K13" s="2"/>
      <c r="L13" s="2"/>
      <c r="M13" s="2"/>
      <c r="N13" s="2"/>
      <c r="O13" s="8">
        <f t="shared" si="0"/>
        <v>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2"/>
      <c r="AA13" s="7">
        <f t="shared" si="1"/>
        <v>0</v>
      </c>
      <c r="AB13" s="8" t="s">
        <v>95</v>
      </c>
      <c r="AC13" s="8">
        <v>0</v>
      </c>
      <c r="AD13" s="8">
        <v>280</v>
      </c>
      <c r="AE13" s="8" t="s">
        <v>101</v>
      </c>
      <c r="AF13" s="8">
        <f t="shared" si="2"/>
        <v>0</v>
      </c>
      <c r="AG13"/>
      <c r="AH13"/>
      <c r="AI13"/>
      <c r="AJ13"/>
    </row>
    <row r="14" spans="1:36" hidden="1" x14ac:dyDescent="0.25">
      <c r="A14" s="2"/>
      <c r="B14" s="2" t="s">
        <v>33</v>
      </c>
      <c r="C14" s="2" t="s">
        <v>34</v>
      </c>
      <c r="D14" s="2" t="s">
        <v>43</v>
      </c>
      <c r="E14" s="13">
        <v>0.375</v>
      </c>
      <c r="F14" s="2">
        <v>2.8000000000000001E-2</v>
      </c>
      <c r="G14" s="3">
        <v>1.9E-2</v>
      </c>
      <c r="H14" s="3"/>
      <c r="I14" s="2">
        <v>0</v>
      </c>
      <c r="J14" s="2">
        <v>0</v>
      </c>
      <c r="K14" s="2"/>
      <c r="L14" s="2"/>
      <c r="M14" s="2"/>
      <c r="N14" s="2"/>
      <c r="O14" s="8">
        <f t="shared" si="0"/>
        <v>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2"/>
      <c r="AA14" s="7">
        <f t="shared" si="1"/>
        <v>0</v>
      </c>
      <c r="AB14" s="8" t="s">
        <v>26</v>
      </c>
      <c r="AC14" s="8">
        <v>0</v>
      </c>
      <c r="AD14" s="8">
        <v>260</v>
      </c>
      <c r="AE14" s="8" t="s">
        <v>101</v>
      </c>
      <c r="AF14" s="8">
        <f t="shared" si="2"/>
        <v>0</v>
      </c>
      <c r="AG14"/>
      <c r="AH14"/>
      <c r="AI14"/>
      <c r="AJ14"/>
    </row>
    <row r="15" spans="1:36" hidden="1" x14ac:dyDescent="0.25">
      <c r="A15" s="2"/>
      <c r="B15" s="2" t="s">
        <v>33</v>
      </c>
      <c r="C15" s="2" t="s">
        <v>34</v>
      </c>
      <c r="D15" s="2" t="s">
        <v>44</v>
      </c>
      <c r="E15" s="13">
        <v>0.375</v>
      </c>
      <c r="F15" s="2">
        <v>2.8000000000000001E-2</v>
      </c>
      <c r="G15" s="3">
        <v>1.0999999999999999E-2</v>
      </c>
      <c r="H15" s="3"/>
      <c r="I15" s="2">
        <v>0</v>
      </c>
      <c r="J15" s="2">
        <v>0</v>
      </c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26</v>
      </c>
      <c r="AC15" s="8">
        <v>0</v>
      </c>
      <c r="AD15" s="8">
        <v>520</v>
      </c>
      <c r="AE15" s="8" t="s">
        <v>101</v>
      </c>
      <c r="AF15" s="8">
        <f t="shared" si="2"/>
        <v>0</v>
      </c>
      <c r="AG15"/>
      <c r="AH15"/>
      <c r="AI15"/>
      <c r="AJ15"/>
    </row>
    <row r="16" spans="1:36" hidden="1" x14ac:dyDescent="0.25">
      <c r="A16" s="2"/>
      <c r="B16" s="2" t="s">
        <v>33</v>
      </c>
      <c r="C16" s="2" t="s">
        <v>34</v>
      </c>
      <c r="D16" s="2" t="s">
        <v>45</v>
      </c>
      <c r="E16" s="13">
        <v>0.5</v>
      </c>
      <c r="F16" s="2">
        <v>3.1E-2</v>
      </c>
      <c r="G16" s="3">
        <v>0.14599999999999999</v>
      </c>
      <c r="H16" s="3"/>
      <c r="I16" s="2">
        <v>0</v>
      </c>
      <c r="J16" s="2">
        <v>0</v>
      </c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27</v>
      </c>
      <c r="AC16" s="8">
        <v>0</v>
      </c>
      <c r="AD16" s="8">
        <v>150</v>
      </c>
      <c r="AE16" s="8" t="s">
        <v>101</v>
      </c>
      <c r="AF16" s="8">
        <f t="shared" si="2"/>
        <v>0</v>
      </c>
      <c r="AG16"/>
      <c r="AH16"/>
      <c r="AI16"/>
      <c r="AJ16"/>
    </row>
    <row r="17" spans="1:36" hidden="1" x14ac:dyDescent="0.25">
      <c r="A17" s="2"/>
      <c r="B17" s="2" t="s">
        <v>33</v>
      </c>
      <c r="C17" s="2" t="s">
        <v>34</v>
      </c>
      <c r="D17" s="2" t="s">
        <v>46</v>
      </c>
      <c r="E17" s="13">
        <v>0.5</v>
      </c>
      <c r="F17" s="2">
        <v>3.5000000000000003E-2</v>
      </c>
      <c r="G17" s="3">
        <v>0.217</v>
      </c>
      <c r="H17" s="3"/>
      <c r="I17" s="2">
        <v>0</v>
      </c>
      <c r="J17" s="2">
        <v>0</v>
      </c>
      <c r="K17" s="2"/>
      <c r="L17" s="2"/>
      <c r="M17" s="2"/>
      <c r="N17" s="2"/>
      <c r="O17" s="8">
        <f t="shared" si="0"/>
        <v>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2"/>
      <c r="AA17" s="7">
        <f t="shared" si="1"/>
        <v>0</v>
      </c>
      <c r="AB17" s="8" t="s">
        <v>96</v>
      </c>
      <c r="AC17" s="8">
        <v>0</v>
      </c>
      <c r="AD17" s="8">
        <v>400</v>
      </c>
      <c r="AE17" s="8" t="s">
        <v>101</v>
      </c>
      <c r="AF17" s="8">
        <f t="shared" si="2"/>
        <v>0</v>
      </c>
      <c r="AG17"/>
      <c r="AH17"/>
      <c r="AI17"/>
      <c r="AJ17"/>
    </row>
    <row r="18" spans="1:36" x14ac:dyDescent="0.25">
      <c r="A18" s="2"/>
      <c r="B18" s="2" t="s">
        <v>33</v>
      </c>
      <c r="C18" s="2" t="s">
        <v>34</v>
      </c>
      <c r="D18" s="2" t="s">
        <v>47</v>
      </c>
      <c r="E18" s="13">
        <v>0.5</v>
      </c>
      <c r="F18" s="2">
        <v>3.1E-2</v>
      </c>
      <c r="G18" s="3">
        <v>0.106</v>
      </c>
      <c r="H18" s="3"/>
      <c r="I18" s="2">
        <v>1200</v>
      </c>
      <c r="J18" s="2">
        <v>0</v>
      </c>
      <c r="K18" s="2"/>
      <c r="L18" s="2"/>
      <c r="M18" s="2"/>
      <c r="N18" s="2"/>
      <c r="O18" s="8">
        <f t="shared" si="0"/>
        <v>1200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2"/>
      <c r="AA18" s="7">
        <f t="shared" si="1"/>
        <v>127.2</v>
      </c>
      <c r="AB18" s="8" t="s">
        <v>27</v>
      </c>
      <c r="AC18" s="8">
        <v>0</v>
      </c>
      <c r="AD18" s="8">
        <v>150</v>
      </c>
      <c r="AE18" s="8" t="s">
        <v>101</v>
      </c>
      <c r="AF18" s="8">
        <f t="shared" si="2"/>
        <v>8</v>
      </c>
      <c r="AG18"/>
      <c r="AH18"/>
      <c r="AI18"/>
      <c r="AJ18"/>
    </row>
    <row r="19" spans="1:36" x14ac:dyDescent="0.25">
      <c r="A19" s="2"/>
      <c r="B19" s="2" t="s">
        <v>33</v>
      </c>
      <c r="C19" s="2" t="s">
        <v>34</v>
      </c>
      <c r="D19" s="2" t="s">
        <v>48</v>
      </c>
      <c r="E19" s="13">
        <v>0.5</v>
      </c>
      <c r="F19" s="2">
        <v>3.5000000000000003E-2</v>
      </c>
      <c r="G19" s="3">
        <v>0.17699999999999999</v>
      </c>
      <c r="H19" s="3"/>
      <c r="I19" s="2">
        <v>1200</v>
      </c>
      <c r="J19" s="2">
        <v>0</v>
      </c>
      <c r="K19" s="2"/>
      <c r="L19" s="2"/>
      <c r="M19" s="2"/>
      <c r="N19" s="2"/>
      <c r="O19" s="8">
        <f t="shared" si="0"/>
        <v>1200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2"/>
      <c r="AA19" s="7">
        <f t="shared" si="1"/>
        <v>212.39999999999998</v>
      </c>
      <c r="AB19" s="8" t="s">
        <v>96</v>
      </c>
      <c r="AC19" s="8">
        <v>0</v>
      </c>
      <c r="AD19" s="8">
        <v>420</v>
      </c>
      <c r="AE19" s="8" t="s">
        <v>101</v>
      </c>
      <c r="AF19" s="8">
        <f t="shared" si="2"/>
        <v>2.8571428571428572</v>
      </c>
      <c r="AG19"/>
      <c r="AH19"/>
      <c r="AI19"/>
      <c r="AJ19"/>
    </row>
    <row r="20" spans="1:36" hidden="1" x14ac:dyDescent="0.25">
      <c r="A20" s="2"/>
      <c r="B20" s="2" t="s">
        <v>33</v>
      </c>
      <c r="C20" s="2" t="s">
        <v>34</v>
      </c>
      <c r="D20" s="2" t="s">
        <v>49</v>
      </c>
      <c r="E20" s="13">
        <v>0.625</v>
      </c>
      <c r="F20" s="2">
        <v>3.6999999999999998E-2</v>
      </c>
      <c r="G20" s="3">
        <v>0.20799999999999999</v>
      </c>
      <c r="H20" s="3"/>
      <c r="I20" s="2">
        <v>0</v>
      </c>
      <c r="J20" s="2">
        <v>0</v>
      </c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95</v>
      </c>
      <c r="AC20" s="8">
        <v>0</v>
      </c>
      <c r="AD20" s="8">
        <v>64</v>
      </c>
      <c r="AE20" s="8" t="s">
        <v>101</v>
      </c>
      <c r="AF20" s="8">
        <f t="shared" si="2"/>
        <v>0</v>
      </c>
      <c r="AG20"/>
      <c r="AH20"/>
      <c r="AI20"/>
      <c r="AJ20"/>
    </row>
    <row r="21" spans="1:36" hidden="1" x14ac:dyDescent="0.25">
      <c r="A21" s="2"/>
      <c r="B21" s="2" t="s">
        <v>33</v>
      </c>
      <c r="C21" s="2" t="s">
        <v>34</v>
      </c>
      <c r="D21" s="2" t="s">
        <v>50</v>
      </c>
      <c r="E21" s="13">
        <v>0.625</v>
      </c>
      <c r="F21" s="2">
        <v>3.6999999999999998E-2</v>
      </c>
      <c r="G21" s="3">
        <v>0.14499999999999999</v>
      </c>
      <c r="H21" s="3"/>
      <c r="I21" s="2">
        <v>0</v>
      </c>
      <c r="J21" s="2">
        <v>0</v>
      </c>
      <c r="K21" s="2"/>
      <c r="L21" s="2"/>
      <c r="M21" s="2"/>
      <c r="N21" s="2"/>
      <c r="O21" s="8">
        <f t="shared" si="0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2"/>
      <c r="AA21" s="7">
        <f t="shared" si="1"/>
        <v>0</v>
      </c>
      <c r="AB21" s="8" t="s">
        <v>27</v>
      </c>
      <c r="AC21" s="8">
        <v>0</v>
      </c>
      <c r="AD21" s="8">
        <v>92</v>
      </c>
      <c r="AE21" s="8" t="s">
        <v>101</v>
      </c>
      <c r="AF21" s="8">
        <f t="shared" si="2"/>
        <v>0</v>
      </c>
      <c r="AG21"/>
      <c r="AH21"/>
      <c r="AI21"/>
      <c r="AJ21"/>
    </row>
    <row r="22" spans="1:36" hidden="1" x14ac:dyDescent="0.25">
      <c r="A22" s="2"/>
      <c r="B22" s="2" t="s">
        <v>33</v>
      </c>
      <c r="C22" s="2" t="s">
        <v>34</v>
      </c>
      <c r="D22" s="2" t="s">
        <v>51</v>
      </c>
      <c r="E22" s="13">
        <v>0.625</v>
      </c>
      <c r="F22" s="2">
        <v>3.6999999999999998E-2</v>
      </c>
      <c r="G22" s="3">
        <v>0.46800000000000003</v>
      </c>
      <c r="H22" s="3"/>
      <c r="I22" s="2">
        <v>0</v>
      </c>
      <c r="J22" s="2">
        <v>0</v>
      </c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97</v>
      </c>
      <c r="AC22" s="8">
        <v>0</v>
      </c>
      <c r="AD22" s="8">
        <v>200</v>
      </c>
      <c r="AE22" s="8" t="s">
        <v>101</v>
      </c>
      <c r="AF22" s="8">
        <f t="shared" si="2"/>
        <v>0</v>
      </c>
      <c r="AG22"/>
      <c r="AH22"/>
      <c r="AI22"/>
      <c r="AJ22"/>
    </row>
    <row r="23" spans="1:36" hidden="1" x14ac:dyDescent="0.25">
      <c r="A23" s="2"/>
      <c r="B23" s="2" t="s">
        <v>33</v>
      </c>
      <c r="C23" s="2" t="s">
        <v>34</v>
      </c>
      <c r="D23" s="2" t="s">
        <v>52</v>
      </c>
      <c r="E23" s="13">
        <v>0.625</v>
      </c>
      <c r="F23" s="2">
        <v>3.6999999999999998E-2</v>
      </c>
      <c r="G23" s="3">
        <v>0.31900000000000001</v>
      </c>
      <c r="H23" s="3"/>
      <c r="I23" s="2">
        <v>0</v>
      </c>
      <c r="J23" s="2">
        <v>0</v>
      </c>
      <c r="K23" s="2"/>
      <c r="L23" s="2"/>
      <c r="M23" s="2"/>
      <c r="N23" s="2"/>
      <c r="O23" s="8">
        <f t="shared" si="0"/>
        <v>0</v>
      </c>
      <c r="P23" s="19"/>
      <c r="Q23" s="19"/>
      <c r="R23" s="19"/>
      <c r="S23" s="2"/>
      <c r="T23" s="19"/>
      <c r="U23" s="2"/>
      <c r="V23" s="19"/>
      <c r="W23" s="19"/>
      <c r="X23" s="19"/>
      <c r="Y23" s="19"/>
      <c r="Z23" s="2"/>
      <c r="AA23" s="7">
        <f t="shared" si="1"/>
        <v>0</v>
      </c>
      <c r="AB23" s="8" t="s">
        <v>97</v>
      </c>
      <c r="AC23" s="8">
        <v>0</v>
      </c>
      <c r="AD23" s="8">
        <v>260</v>
      </c>
      <c r="AE23" s="8" t="s">
        <v>101</v>
      </c>
      <c r="AF23" s="8">
        <f t="shared" si="2"/>
        <v>0</v>
      </c>
      <c r="AG23"/>
    </row>
    <row r="24" spans="1:36" hidden="1" x14ac:dyDescent="0.25">
      <c r="A24" s="2"/>
      <c r="B24" s="2" t="s">
        <v>33</v>
      </c>
      <c r="C24" s="2" t="s">
        <v>34</v>
      </c>
      <c r="D24" s="2" t="s">
        <v>53</v>
      </c>
      <c r="E24" s="13">
        <v>0.625</v>
      </c>
      <c r="F24" s="2">
        <v>3.6999999999999998E-2</v>
      </c>
      <c r="G24" s="3">
        <v>0.15</v>
      </c>
      <c r="H24" s="3"/>
      <c r="I24" s="2">
        <v>0</v>
      </c>
      <c r="J24" s="2">
        <v>0</v>
      </c>
      <c r="K24" s="2"/>
      <c r="L24" s="2"/>
      <c r="M24" s="2"/>
      <c r="N24" s="2"/>
      <c r="O24" s="8">
        <f t="shared" si="0"/>
        <v>0</v>
      </c>
      <c r="P24" s="19"/>
      <c r="Q24" s="19"/>
      <c r="R24" s="19"/>
      <c r="S24" s="2"/>
      <c r="T24" s="19"/>
      <c r="U24" s="2"/>
      <c r="V24" s="19"/>
      <c r="W24" s="19"/>
      <c r="X24" s="19"/>
      <c r="Y24" s="19"/>
      <c r="Z24" s="2"/>
      <c r="AA24" s="7">
        <f t="shared" si="1"/>
        <v>0</v>
      </c>
      <c r="AB24" s="8" t="s">
        <v>27</v>
      </c>
      <c r="AC24" s="8">
        <v>0</v>
      </c>
      <c r="AD24" s="8">
        <v>100</v>
      </c>
      <c r="AE24" s="8" t="s">
        <v>101</v>
      </c>
      <c r="AF24" s="8">
        <f t="shared" si="2"/>
        <v>0</v>
      </c>
      <c r="AG24"/>
    </row>
    <row r="25" spans="1:36" x14ac:dyDescent="0.25">
      <c r="A25" s="2"/>
      <c r="B25" s="2" t="s">
        <v>33</v>
      </c>
      <c r="C25" s="2" t="s">
        <v>34</v>
      </c>
      <c r="D25" s="2" t="s">
        <v>54</v>
      </c>
      <c r="E25" s="13">
        <v>0.625</v>
      </c>
      <c r="F25" s="2">
        <v>3.6999999999999998E-2</v>
      </c>
      <c r="G25" s="3">
        <v>0.159</v>
      </c>
      <c r="H25" s="3"/>
      <c r="I25" s="2">
        <v>0</v>
      </c>
      <c r="J25" s="2">
        <v>1088</v>
      </c>
      <c r="K25" s="2"/>
      <c r="L25" s="2"/>
      <c r="M25" s="2"/>
      <c r="N25" s="2"/>
      <c r="O25" s="8">
        <f t="shared" si="0"/>
        <v>1088</v>
      </c>
      <c r="P25" s="19"/>
      <c r="Q25" s="19"/>
      <c r="R25" s="19"/>
      <c r="S25" s="2"/>
      <c r="T25" s="19"/>
      <c r="U25" s="2"/>
      <c r="V25" s="19"/>
      <c r="W25" s="19"/>
      <c r="X25" s="19"/>
      <c r="Y25" s="19"/>
      <c r="Z25" s="2"/>
      <c r="AA25" s="7">
        <f t="shared" si="1"/>
        <v>172.99199999999999</v>
      </c>
      <c r="AB25" s="8" t="s">
        <v>95</v>
      </c>
      <c r="AC25" s="8">
        <v>0</v>
      </c>
      <c r="AD25" s="8">
        <v>64</v>
      </c>
      <c r="AE25" s="8" t="s">
        <v>101</v>
      </c>
      <c r="AF25" s="8">
        <f t="shared" si="2"/>
        <v>17</v>
      </c>
      <c r="AG25"/>
    </row>
    <row r="26" spans="1:36" hidden="1" x14ac:dyDescent="0.25">
      <c r="A26" s="2"/>
      <c r="B26" s="2" t="s">
        <v>33</v>
      </c>
      <c r="C26" s="2" t="s">
        <v>34</v>
      </c>
      <c r="D26" s="2" t="s">
        <v>55</v>
      </c>
      <c r="E26" s="13" t="s">
        <v>57</v>
      </c>
      <c r="F26" s="2">
        <v>2.8000000000000001E-2</v>
      </c>
      <c r="G26" s="3">
        <v>0.02</v>
      </c>
      <c r="H26" s="3"/>
      <c r="I26" s="2">
        <v>0</v>
      </c>
      <c r="J26" s="2">
        <v>0</v>
      </c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26</v>
      </c>
      <c r="AC26" s="8">
        <v>0</v>
      </c>
      <c r="AD26" s="8">
        <v>200</v>
      </c>
      <c r="AE26" s="8" t="s">
        <v>101</v>
      </c>
      <c r="AF26" s="8">
        <f t="shared" si="2"/>
        <v>0</v>
      </c>
      <c r="AG26"/>
    </row>
    <row r="27" spans="1:36" hidden="1" x14ac:dyDescent="0.25">
      <c r="A27" s="2"/>
      <c r="B27" s="2" t="s">
        <v>33</v>
      </c>
      <c r="C27" s="2" t="s">
        <v>34</v>
      </c>
      <c r="D27" s="2" t="s">
        <v>56</v>
      </c>
      <c r="E27" s="13" t="s">
        <v>57</v>
      </c>
      <c r="F27" s="2">
        <v>2.8000000000000001E-2</v>
      </c>
      <c r="G27" s="3">
        <v>1.2E-2</v>
      </c>
      <c r="H27" s="3"/>
      <c r="I27" s="2">
        <v>0</v>
      </c>
      <c r="J27" s="2">
        <v>0</v>
      </c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26</v>
      </c>
      <c r="AC27" s="8">
        <v>0</v>
      </c>
      <c r="AD27" s="8">
        <v>200</v>
      </c>
      <c r="AE27" s="8" t="s">
        <v>101</v>
      </c>
      <c r="AF27" s="8">
        <f t="shared" si="2"/>
        <v>0</v>
      </c>
      <c r="AG27"/>
    </row>
    <row r="28" spans="1:36" hidden="1" x14ac:dyDescent="0.25">
      <c r="A28" s="2"/>
      <c r="B28" s="2" t="s">
        <v>33</v>
      </c>
      <c r="C28" s="2" t="s">
        <v>94</v>
      </c>
      <c r="D28" s="2" t="s">
        <v>58</v>
      </c>
      <c r="E28" s="13">
        <v>0.25</v>
      </c>
      <c r="F28" s="2">
        <v>2.8000000000000001E-2</v>
      </c>
      <c r="G28" s="3">
        <v>1.0999999999999999E-2</v>
      </c>
      <c r="H28" s="3"/>
      <c r="I28" s="2">
        <v>0</v>
      </c>
      <c r="J28" s="2">
        <v>0</v>
      </c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26</v>
      </c>
      <c r="AC28" s="8" t="s">
        <v>99</v>
      </c>
      <c r="AD28" s="8">
        <v>500</v>
      </c>
      <c r="AE28" s="8" t="s">
        <v>102</v>
      </c>
      <c r="AF28" s="8">
        <f t="shared" si="2"/>
        <v>0</v>
      </c>
      <c r="AG28"/>
    </row>
    <row r="29" spans="1:36" hidden="1" x14ac:dyDescent="0.25">
      <c r="A29" s="2"/>
      <c r="B29" s="2" t="s">
        <v>33</v>
      </c>
      <c r="C29" s="2" t="s">
        <v>94</v>
      </c>
      <c r="D29" s="2" t="s">
        <v>59</v>
      </c>
      <c r="E29" s="13">
        <v>0.25</v>
      </c>
      <c r="F29" s="2">
        <v>3.1E-2</v>
      </c>
      <c r="G29" s="3">
        <v>1.7000000000000001E-2</v>
      </c>
      <c r="H29" s="3"/>
      <c r="I29" s="2">
        <v>0</v>
      </c>
      <c r="J29" s="2">
        <v>800</v>
      </c>
      <c r="K29" s="2"/>
      <c r="L29" s="2"/>
      <c r="M29" s="2"/>
      <c r="N29" s="2"/>
      <c r="O29" s="8">
        <f t="shared" si="0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>
        <v>800</v>
      </c>
      <c r="AA29" s="7">
        <f t="shared" si="1"/>
        <v>13.600000000000001</v>
      </c>
      <c r="AB29" s="8" t="s">
        <v>26</v>
      </c>
      <c r="AC29" s="8" t="s">
        <v>99</v>
      </c>
      <c r="AD29" s="8">
        <v>200</v>
      </c>
      <c r="AE29" s="8" t="s">
        <v>102</v>
      </c>
      <c r="AF29" s="8">
        <f t="shared" si="2"/>
        <v>4</v>
      </c>
      <c r="AG29"/>
    </row>
    <row r="30" spans="1:36" hidden="1" x14ac:dyDescent="0.25">
      <c r="A30" s="2"/>
      <c r="B30" s="2" t="s">
        <v>33</v>
      </c>
      <c r="C30" s="2" t="s">
        <v>94</v>
      </c>
      <c r="D30" s="2" t="s">
        <v>60</v>
      </c>
      <c r="E30" s="13">
        <v>0.25</v>
      </c>
      <c r="F30" s="2">
        <v>3.1E-2</v>
      </c>
      <c r="G30" s="3">
        <v>4.2000000000000003E-2</v>
      </c>
      <c r="H30" s="3"/>
      <c r="I30" s="2">
        <v>0</v>
      </c>
      <c r="J30" s="2">
        <v>800</v>
      </c>
      <c r="K30" s="2"/>
      <c r="L30" s="2"/>
      <c r="M30" s="2"/>
      <c r="N30" s="2"/>
      <c r="O30" s="8">
        <f t="shared" si="0"/>
        <v>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2">
        <v>800</v>
      </c>
      <c r="AA30" s="7">
        <f t="shared" si="1"/>
        <v>33.6</v>
      </c>
      <c r="AB30" s="8" t="s">
        <v>26</v>
      </c>
      <c r="AC30" s="8" t="s">
        <v>99</v>
      </c>
      <c r="AD30" s="8">
        <v>200</v>
      </c>
      <c r="AE30" s="8" t="s">
        <v>102</v>
      </c>
      <c r="AF30" s="8">
        <f t="shared" si="2"/>
        <v>4</v>
      </c>
      <c r="AG30"/>
    </row>
    <row r="31" spans="1:36" hidden="1" x14ac:dyDescent="0.25">
      <c r="A31" s="2"/>
      <c r="B31" s="2" t="s">
        <v>33</v>
      </c>
      <c r="C31" s="2" t="s">
        <v>94</v>
      </c>
      <c r="D31" s="2" t="s">
        <v>61</v>
      </c>
      <c r="E31" s="13">
        <v>0.25</v>
      </c>
      <c r="F31" s="2">
        <v>3.1E-2</v>
      </c>
      <c r="G31" s="3">
        <v>2.8000000000000001E-2</v>
      </c>
      <c r="H31" s="3"/>
      <c r="I31" s="2">
        <v>0</v>
      </c>
      <c r="J31" s="2">
        <v>0</v>
      </c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2"/>
      <c r="AA31" s="7">
        <f t="shared" si="1"/>
        <v>0</v>
      </c>
      <c r="AB31" s="8" t="s">
        <v>26</v>
      </c>
      <c r="AC31" s="8" t="s">
        <v>99</v>
      </c>
      <c r="AD31" s="8">
        <v>100</v>
      </c>
      <c r="AE31" s="8" t="s">
        <v>102</v>
      </c>
      <c r="AF31" s="8">
        <f t="shared" si="2"/>
        <v>0</v>
      </c>
      <c r="AG31"/>
    </row>
    <row r="32" spans="1:36" hidden="1" x14ac:dyDescent="0.25">
      <c r="A32" s="2"/>
      <c r="B32" s="2" t="s">
        <v>33</v>
      </c>
      <c r="C32" s="2" t="s">
        <v>94</v>
      </c>
      <c r="D32" s="2" t="s">
        <v>62</v>
      </c>
      <c r="E32" s="13">
        <v>0.375</v>
      </c>
      <c r="F32" s="2">
        <v>2.8000000000000001E-2</v>
      </c>
      <c r="G32" s="3">
        <v>0.128</v>
      </c>
      <c r="H32" s="3"/>
      <c r="I32" s="2">
        <v>0</v>
      </c>
      <c r="J32" s="2">
        <v>0</v>
      </c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97</v>
      </c>
      <c r="AC32" s="8" t="s">
        <v>98</v>
      </c>
      <c r="AD32" s="8">
        <v>400</v>
      </c>
      <c r="AE32" s="8" t="s">
        <v>102</v>
      </c>
      <c r="AF32" s="8">
        <f t="shared" si="2"/>
        <v>0</v>
      </c>
      <c r="AG32"/>
    </row>
    <row r="33" spans="1:33" hidden="1" x14ac:dyDescent="0.25">
      <c r="A33" s="2"/>
      <c r="B33" s="2" t="s">
        <v>33</v>
      </c>
      <c r="C33" s="2" t="s">
        <v>94</v>
      </c>
      <c r="D33" s="2" t="s">
        <v>63</v>
      </c>
      <c r="E33" s="13">
        <v>0.375</v>
      </c>
      <c r="F33" s="2">
        <v>3.1E-2</v>
      </c>
      <c r="G33" s="3">
        <v>4.4999999999999998E-2</v>
      </c>
      <c r="H33" s="3"/>
      <c r="I33" s="2">
        <v>0</v>
      </c>
      <c r="J33" s="2">
        <v>0</v>
      </c>
      <c r="K33" s="2"/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2"/>
      <c r="AA33" s="7">
        <f t="shared" si="1"/>
        <v>0</v>
      </c>
      <c r="AB33" s="8" t="s">
        <v>26</v>
      </c>
      <c r="AC33" s="8" t="s">
        <v>98</v>
      </c>
      <c r="AD33" s="8">
        <v>250</v>
      </c>
      <c r="AE33" s="8" t="s">
        <v>102</v>
      </c>
      <c r="AF33" s="8">
        <f t="shared" si="2"/>
        <v>0</v>
      </c>
      <c r="AG33"/>
    </row>
    <row r="34" spans="1:33" hidden="1" x14ac:dyDescent="0.25">
      <c r="A34" s="2"/>
      <c r="B34" s="2" t="s">
        <v>33</v>
      </c>
      <c r="C34" s="2" t="s">
        <v>94</v>
      </c>
      <c r="D34" s="2" t="s">
        <v>64</v>
      </c>
      <c r="E34" s="13">
        <v>0.375</v>
      </c>
      <c r="F34" s="2">
        <v>3.1E-2</v>
      </c>
      <c r="G34" s="3">
        <v>3.4000000000000002E-2</v>
      </c>
      <c r="H34" s="3"/>
      <c r="I34" s="2">
        <v>0</v>
      </c>
      <c r="J34" s="2">
        <v>0</v>
      </c>
      <c r="K34" s="2"/>
      <c r="L34" s="2"/>
      <c r="M34" s="2"/>
      <c r="N34" s="2"/>
      <c r="O34" s="8">
        <f t="shared" si="0"/>
        <v>0</v>
      </c>
      <c r="P34" s="19"/>
      <c r="Q34" s="19"/>
      <c r="R34" s="19"/>
      <c r="S34" s="2"/>
      <c r="T34" s="19"/>
      <c r="U34" s="2"/>
      <c r="V34" s="19"/>
      <c r="W34" s="19"/>
      <c r="X34" s="19"/>
      <c r="Y34" s="19"/>
      <c r="Z34" s="2"/>
      <c r="AA34" s="7">
        <f t="shared" si="1"/>
        <v>0</v>
      </c>
      <c r="AB34" s="8" t="s">
        <v>26</v>
      </c>
      <c r="AC34" s="8" t="s">
        <v>98</v>
      </c>
      <c r="AD34" s="8">
        <v>300</v>
      </c>
      <c r="AE34" s="8" t="s">
        <v>102</v>
      </c>
      <c r="AF34" s="8">
        <f t="shared" si="2"/>
        <v>0</v>
      </c>
      <c r="AG34"/>
    </row>
    <row r="35" spans="1:33" hidden="1" x14ac:dyDescent="0.25">
      <c r="A35" s="2"/>
      <c r="B35" s="2" t="s">
        <v>33</v>
      </c>
      <c r="C35" s="2" t="s">
        <v>94</v>
      </c>
      <c r="D35" s="2" t="s">
        <v>65</v>
      </c>
      <c r="E35" s="13">
        <v>0.375</v>
      </c>
      <c r="F35" s="2">
        <v>2.8000000000000001E-2</v>
      </c>
      <c r="G35" s="3">
        <v>2.9000000000000001E-2</v>
      </c>
      <c r="H35" s="3"/>
      <c r="I35" s="2">
        <v>0</v>
      </c>
      <c r="J35" s="2">
        <v>0</v>
      </c>
      <c r="K35" s="2"/>
      <c r="L35" s="2"/>
      <c r="M35" s="2"/>
      <c r="N35" s="2"/>
      <c r="O35" s="8">
        <f t="shared" si="0"/>
        <v>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0</v>
      </c>
      <c r="AB35" s="8" t="s">
        <v>26</v>
      </c>
      <c r="AC35" s="8" t="s">
        <v>98</v>
      </c>
      <c r="AD35" s="8">
        <v>300</v>
      </c>
      <c r="AE35" s="8" t="s">
        <v>102</v>
      </c>
      <c r="AF35" s="8">
        <f t="shared" si="2"/>
        <v>0</v>
      </c>
      <c r="AG35"/>
    </row>
    <row r="36" spans="1:33" hidden="1" x14ac:dyDescent="0.25">
      <c r="A36" s="2"/>
      <c r="B36" s="2" t="s">
        <v>33</v>
      </c>
      <c r="C36" s="2" t="s">
        <v>94</v>
      </c>
      <c r="D36" s="2" t="s">
        <v>66</v>
      </c>
      <c r="E36" s="13">
        <v>0.375</v>
      </c>
      <c r="F36" s="2">
        <v>2.8000000000000001E-2</v>
      </c>
      <c r="G36" s="3">
        <v>0.20499999999999999</v>
      </c>
      <c r="H36" s="3"/>
      <c r="I36" s="2">
        <v>0</v>
      </c>
      <c r="J36" s="2">
        <v>0</v>
      </c>
      <c r="K36" s="2"/>
      <c r="L36" s="2"/>
      <c r="M36" s="2"/>
      <c r="N36" s="2"/>
      <c r="O36" s="8">
        <f t="shared" si="0"/>
        <v>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0</v>
      </c>
      <c r="AB36" s="8" t="s">
        <v>97</v>
      </c>
      <c r="AC36" s="8" t="s">
        <v>98</v>
      </c>
      <c r="AD36" s="8">
        <v>250</v>
      </c>
      <c r="AE36" s="8" t="s">
        <v>102</v>
      </c>
      <c r="AF36" s="8">
        <f t="shared" si="2"/>
        <v>0</v>
      </c>
      <c r="AG36"/>
    </row>
    <row r="37" spans="1:33" hidden="1" x14ac:dyDescent="0.25">
      <c r="A37" s="2"/>
      <c r="B37" s="2" t="s">
        <v>33</v>
      </c>
      <c r="C37" s="2" t="s">
        <v>94</v>
      </c>
      <c r="D37" s="2" t="s">
        <v>67</v>
      </c>
      <c r="E37" s="13">
        <v>0.375</v>
      </c>
      <c r="F37" s="2">
        <v>3.1E-2</v>
      </c>
      <c r="G37" s="3">
        <v>4.8000000000000001E-2</v>
      </c>
      <c r="H37" s="3"/>
      <c r="I37" s="2">
        <v>0</v>
      </c>
      <c r="J37" s="2">
        <v>0</v>
      </c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26</v>
      </c>
      <c r="AC37" s="8" t="s">
        <v>99</v>
      </c>
      <c r="AD37" s="8">
        <v>100</v>
      </c>
      <c r="AE37" s="8" t="s">
        <v>102</v>
      </c>
      <c r="AF37" s="8">
        <f t="shared" si="2"/>
        <v>0</v>
      </c>
      <c r="AG37"/>
    </row>
    <row r="38" spans="1:33" hidden="1" x14ac:dyDescent="0.25">
      <c r="A38" s="2"/>
      <c r="B38" s="2" t="s">
        <v>33</v>
      </c>
      <c r="C38" s="2" t="s">
        <v>94</v>
      </c>
      <c r="D38" s="2" t="s">
        <v>68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>
        <v>0</v>
      </c>
      <c r="K38" s="2"/>
      <c r="L38" s="2"/>
      <c r="M38" s="2"/>
      <c r="N38" s="2"/>
      <c r="O38" s="8">
        <f t="shared" si="0"/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si="1"/>
        <v>0</v>
      </c>
      <c r="AB38" s="8" t="s">
        <v>26</v>
      </c>
      <c r="AC38" s="8" t="s">
        <v>99</v>
      </c>
      <c r="AD38" s="8">
        <v>100</v>
      </c>
      <c r="AE38" s="8" t="s">
        <v>102</v>
      </c>
      <c r="AF38" s="8">
        <f t="shared" si="2"/>
        <v>0</v>
      </c>
      <c r="AG38"/>
    </row>
    <row r="39" spans="1:33" hidden="1" x14ac:dyDescent="0.25">
      <c r="A39" s="2"/>
      <c r="B39" s="2" t="s">
        <v>33</v>
      </c>
      <c r="C39" s="2" t="s">
        <v>94</v>
      </c>
      <c r="D39" s="2" t="s">
        <v>69</v>
      </c>
      <c r="E39" s="13">
        <v>0.375</v>
      </c>
      <c r="F39" s="2">
        <v>2.8000000000000001E-2</v>
      </c>
      <c r="G39" s="3">
        <v>3.1E-2</v>
      </c>
      <c r="H39" s="3"/>
      <c r="I39" s="2">
        <v>0</v>
      </c>
      <c r="J39" s="2">
        <v>0</v>
      </c>
      <c r="K39" s="2"/>
      <c r="L39" s="2"/>
      <c r="M39" s="2"/>
      <c r="N39" s="2"/>
      <c r="O39" s="8">
        <f t="shared" si="0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1"/>
        <v>0</v>
      </c>
      <c r="AB39" s="8" t="s">
        <v>26</v>
      </c>
      <c r="AC39" s="8" t="s">
        <v>99</v>
      </c>
      <c r="AD39" s="8">
        <v>300</v>
      </c>
      <c r="AE39" s="8" t="s">
        <v>102</v>
      </c>
      <c r="AF39" s="8">
        <f t="shared" si="2"/>
        <v>0</v>
      </c>
      <c r="AG39"/>
    </row>
    <row r="40" spans="1:33" hidden="1" x14ac:dyDescent="0.25">
      <c r="A40" s="2"/>
      <c r="B40" s="2" t="s">
        <v>33</v>
      </c>
      <c r="C40" s="2" t="s">
        <v>94</v>
      </c>
      <c r="D40" s="2" t="s">
        <v>70</v>
      </c>
      <c r="E40" s="13">
        <v>0.375</v>
      </c>
      <c r="F40" s="2">
        <v>2.8000000000000001E-2</v>
      </c>
      <c r="G40" s="3">
        <v>2.7E-2</v>
      </c>
      <c r="H40" s="3"/>
      <c r="I40" s="2">
        <v>0</v>
      </c>
      <c r="J40" s="2">
        <v>0</v>
      </c>
      <c r="K40" s="2"/>
      <c r="L40" s="2"/>
      <c r="M40" s="2"/>
      <c r="N40" s="2"/>
      <c r="O40" s="8">
        <f t="shared" si="0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1"/>
        <v>0</v>
      </c>
      <c r="AB40" s="8" t="s">
        <v>26</v>
      </c>
      <c r="AC40" s="8" t="s">
        <v>99</v>
      </c>
      <c r="AD40" s="8">
        <v>200</v>
      </c>
      <c r="AE40" s="8" t="s">
        <v>102</v>
      </c>
      <c r="AF40" s="8">
        <f t="shared" si="2"/>
        <v>0</v>
      </c>
      <c r="AG40"/>
    </row>
    <row r="41" spans="1:33" hidden="1" x14ac:dyDescent="0.25">
      <c r="A41" s="2"/>
      <c r="B41" s="2" t="s">
        <v>33</v>
      </c>
      <c r="C41" s="2" t="s">
        <v>94</v>
      </c>
      <c r="D41" s="2" t="s">
        <v>71</v>
      </c>
      <c r="E41" s="13">
        <v>0.375</v>
      </c>
      <c r="F41" s="2">
        <v>2.8000000000000001E-2</v>
      </c>
      <c r="G41" s="3">
        <v>4.8000000000000001E-2</v>
      </c>
      <c r="H41" s="3"/>
      <c r="I41" s="2">
        <v>0</v>
      </c>
      <c r="J41" s="2">
        <v>0</v>
      </c>
      <c r="K41" s="2"/>
      <c r="L41" s="2"/>
      <c r="M41" s="2"/>
      <c r="N41" s="2"/>
      <c r="O41" s="8">
        <f t="shared" si="0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1"/>
        <v>0</v>
      </c>
      <c r="AB41" s="8" t="s">
        <v>26</v>
      </c>
      <c r="AC41" s="8" t="s">
        <v>99</v>
      </c>
      <c r="AD41" s="8">
        <v>100</v>
      </c>
      <c r="AE41" s="8" t="s">
        <v>102</v>
      </c>
      <c r="AF41" s="8">
        <f t="shared" si="2"/>
        <v>0</v>
      </c>
      <c r="AG41"/>
    </row>
    <row r="42" spans="1:33" hidden="1" x14ac:dyDescent="0.25">
      <c r="A42" s="2"/>
      <c r="B42" s="2" t="s">
        <v>33</v>
      </c>
      <c r="C42" s="2" t="s">
        <v>94</v>
      </c>
      <c r="D42" s="2" t="s">
        <v>72</v>
      </c>
      <c r="E42" s="13">
        <v>0.375</v>
      </c>
      <c r="F42" s="2">
        <v>3.1E-2</v>
      </c>
      <c r="G42" s="3">
        <v>3.5999999999999999E-3</v>
      </c>
      <c r="H42" s="3"/>
      <c r="I42" s="2">
        <v>0</v>
      </c>
      <c r="J42" s="2">
        <v>0</v>
      </c>
      <c r="K42" s="2"/>
      <c r="L42" s="2"/>
      <c r="M42" s="2"/>
      <c r="N42" s="2"/>
      <c r="O42" s="8">
        <f t="shared" si="0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1"/>
        <v>0</v>
      </c>
      <c r="AB42" s="8" t="s">
        <v>26</v>
      </c>
      <c r="AC42" s="8" t="s">
        <v>99</v>
      </c>
      <c r="AD42" s="8">
        <v>300</v>
      </c>
      <c r="AE42" s="8" t="s">
        <v>102</v>
      </c>
      <c r="AF42" s="8">
        <f t="shared" si="2"/>
        <v>0</v>
      </c>
      <c r="AG42"/>
    </row>
    <row r="43" spans="1:33" hidden="1" x14ac:dyDescent="0.25">
      <c r="A43" s="2"/>
      <c r="B43" s="2" t="s">
        <v>33</v>
      </c>
      <c r="C43" s="2" t="s">
        <v>94</v>
      </c>
      <c r="D43" s="2" t="s">
        <v>73</v>
      </c>
      <c r="E43" s="13">
        <v>0.375</v>
      </c>
      <c r="F43" s="2">
        <v>2.8000000000000001E-2</v>
      </c>
      <c r="G43" s="3">
        <v>1.2999999999999999E-2</v>
      </c>
      <c r="H43" s="3"/>
      <c r="I43" s="2">
        <v>0</v>
      </c>
      <c r="J43" s="2">
        <v>0</v>
      </c>
      <c r="K43" s="2"/>
      <c r="L43" s="2"/>
      <c r="M43" s="2"/>
      <c r="N43" s="2"/>
      <c r="O43" s="8">
        <f t="shared" si="0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1"/>
        <v>0</v>
      </c>
      <c r="AB43" s="8" t="s">
        <v>26</v>
      </c>
      <c r="AC43" s="8" t="s">
        <v>99</v>
      </c>
      <c r="AD43" s="8">
        <v>260</v>
      </c>
      <c r="AE43" s="8" t="s">
        <v>102</v>
      </c>
      <c r="AF43" s="8">
        <f t="shared" si="2"/>
        <v>0</v>
      </c>
      <c r="AG43"/>
    </row>
    <row r="44" spans="1:33" hidden="1" x14ac:dyDescent="0.25">
      <c r="A44" s="2"/>
      <c r="B44" s="2" t="s">
        <v>33</v>
      </c>
      <c r="C44" s="2" t="s">
        <v>94</v>
      </c>
      <c r="D44" s="2" t="s">
        <v>74</v>
      </c>
      <c r="E44" s="13">
        <v>0.375</v>
      </c>
      <c r="F44" s="2">
        <v>2.8000000000000001E-2</v>
      </c>
      <c r="G44" s="3">
        <v>1.2E-2</v>
      </c>
      <c r="H44" s="3"/>
      <c r="I44" s="2">
        <v>0</v>
      </c>
      <c r="J44" s="2">
        <v>0</v>
      </c>
      <c r="K44" s="2"/>
      <c r="L44" s="2"/>
      <c r="M44" s="2"/>
      <c r="N44" s="2"/>
      <c r="O44" s="8">
        <f t="shared" si="0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1"/>
        <v>0</v>
      </c>
      <c r="AB44" s="8" t="s">
        <v>26</v>
      </c>
      <c r="AC44" s="8" t="s">
        <v>99</v>
      </c>
      <c r="AD44" s="8">
        <v>500</v>
      </c>
      <c r="AE44" s="8" t="s">
        <v>102</v>
      </c>
      <c r="AF44" s="8">
        <f t="shared" si="2"/>
        <v>0</v>
      </c>
      <c r="AG44"/>
    </row>
    <row r="45" spans="1:33" hidden="1" x14ac:dyDescent="0.25">
      <c r="A45" s="2"/>
      <c r="B45" s="2" t="s">
        <v>33</v>
      </c>
      <c r="C45" s="2" t="s">
        <v>94</v>
      </c>
      <c r="D45" s="2" t="s">
        <v>75</v>
      </c>
      <c r="E45" s="13">
        <v>0.5</v>
      </c>
      <c r="F45" s="2">
        <v>3.5000000000000003E-2</v>
      </c>
      <c r="G45" s="3">
        <v>0.183</v>
      </c>
      <c r="H45" s="3"/>
      <c r="I45" s="2">
        <v>0</v>
      </c>
      <c r="J45" s="2">
        <v>0</v>
      </c>
      <c r="K45" s="2"/>
      <c r="L45" s="2"/>
      <c r="M45" s="2"/>
      <c r="N45" s="2"/>
      <c r="O45" s="8">
        <f t="shared" si="0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2"/>
      <c r="AA45" s="7">
        <f t="shared" si="1"/>
        <v>0</v>
      </c>
      <c r="AB45" s="8" t="s">
        <v>95</v>
      </c>
      <c r="AC45" s="8" t="s">
        <v>98</v>
      </c>
      <c r="AD45" s="8">
        <v>50</v>
      </c>
      <c r="AE45" s="8" t="s">
        <v>102</v>
      </c>
      <c r="AF45" s="8">
        <f t="shared" si="2"/>
        <v>0</v>
      </c>
      <c r="AG45"/>
    </row>
    <row r="46" spans="1:33" hidden="1" x14ac:dyDescent="0.25">
      <c r="A46" s="2"/>
      <c r="B46" s="2" t="s">
        <v>33</v>
      </c>
      <c r="C46" s="2" t="s">
        <v>94</v>
      </c>
      <c r="D46" s="2" t="s">
        <v>76</v>
      </c>
      <c r="E46" s="13">
        <v>0.5</v>
      </c>
      <c r="F46" s="2">
        <v>3.5000000000000003E-2</v>
      </c>
      <c r="G46" s="3">
        <v>0.19700000000000001</v>
      </c>
      <c r="H46" s="3"/>
      <c r="I46" s="2">
        <v>0</v>
      </c>
      <c r="J46" s="2">
        <v>0</v>
      </c>
      <c r="K46" s="2"/>
      <c r="L46" s="2"/>
      <c r="M46" s="2"/>
      <c r="N46" s="2"/>
      <c r="O46" s="8">
        <f t="shared" si="0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1"/>
        <v>0</v>
      </c>
      <c r="AB46" s="8" t="s">
        <v>95</v>
      </c>
      <c r="AC46" s="8" t="s">
        <v>98</v>
      </c>
      <c r="AD46" s="8">
        <v>50</v>
      </c>
      <c r="AE46" s="8" t="s">
        <v>102</v>
      </c>
      <c r="AF46" s="8">
        <f t="shared" si="2"/>
        <v>0</v>
      </c>
      <c r="AG46"/>
    </row>
    <row r="47" spans="1:33" hidden="1" x14ac:dyDescent="0.25">
      <c r="A47" s="2"/>
      <c r="B47" s="2" t="s">
        <v>33</v>
      </c>
      <c r="C47" s="2" t="s">
        <v>94</v>
      </c>
      <c r="D47" s="2" t="s">
        <v>77</v>
      </c>
      <c r="E47" s="13">
        <v>0.5</v>
      </c>
      <c r="F47" s="2">
        <v>3.5000000000000003E-2</v>
      </c>
      <c r="G47" s="3">
        <v>0.107</v>
      </c>
      <c r="H47" s="3"/>
      <c r="I47" s="2">
        <v>0</v>
      </c>
      <c r="J47" s="2">
        <v>0</v>
      </c>
      <c r="K47" s="2"/>
      <c r="L47" s="2"/>
      <c r="M47" s="2"/>
      <c r="N47" s="2"/>
      <c r="O47" s="8">
        <f t="shared" si="0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2"/>
      <c r="AA47" s="7">
        <f t="shared" si="1"/>
        <v>0</v>
      </c>
      <c r="AB47" s="8" t="s">
        <v>95</v>
      </c>
      <c r="AC47" s="8" t="s">
        <v>98</v>
      </c>
      <c r="AD47" s="8">
        <v>50</v>
      </c>
      <c r="AE47" s="8" t="s">
        <v>102</v>
      </c>
      <c r="AF47" s="8">
        <f t="shared" si="2"/>
        <v>0</v>
      </c>
      <c r="AG47"/>
    </row>
    <row r="48" spans="1:33" hidden="1" x14ac:dyDescent="0.25">
      <c r="A48" s="2" t="s">
        <v>160</v>
      </c>
      <c r="B48" s="2" t="s">
        <v>33</v>
      </c>
      <c r="C48" s="2" t="s">
        <v>94</v>
      </c>
      <c r="D48" s="2" t="s">
        <v>78</v>
      </c>
      <c r="E48" s="13">
        <v>0.5</v>
      </c>
      <c r="F48" s="2">
        <v>3.5000000000000003E-2</v>
      </c>
      <c r="G48" s="3">
        <v>0.122</v>
      </c>
      <c r="H48" s="3"/>
      <c r="I48" s="2">
        <v>0</v>
      </c>
      <c r="J48" s="2">
        <v>450</v>
      </c>
      <c r="K48" s="2"/>
      <c r="L48" s="2"/>
      <c r="M48" s="2"/>
      <c r="N48" s="2"/>
      <c r="O48" s="8">
        <f t="shared" si="0"/>
        <v>0</v>
      </c>
      <c r="P48" s="19"/>
      <c r="Q48" s="19"/>
      <c r="R48" s="19"/>
      <c r="S48" s="2"/>
      <c r="T48" s="19"/>
      <c r="U48" s="2"/>
      <c r="V48" s="19">
        <v>250</v>
      </c>
      <c r="W48" s="19"/>
      <c r="X48" s="19"/>
      <c r="Y48" s="19"/>
      <c r="Z48" s="2">
        <v>200</v>
      </c>
      <c r="AA48" s="7">
        <f t="shared" si="1"/>
        <v>54.9</v>
      </c>
      <c r="AB48" s="8" t="s">
        <v>95</v>
      </c>
      <c r="AC48" s="8" t="s">
        <v>98</v>
      </c>
      <c r="AD48" s="8">
        <v>50</v>
      </c>
      <c r="AE48" s="8" t="s">
        <v>102</v>
      </c>
      <c r="AF48" s="8">
        <f t="shared" si="2"/>
        <v>9</v>
      </c>
      <c r="AG48"/>
    </row>
    <row r="49" spans="1:33" hidden="1" x14ac:dyDescent="0.25">
      <c r="A49" s="2"/>
      <c r="B49" s="2" t="s">
        <v>33</v>
      </c>
      <c r="C49" s="2" t="s">
        <v>94</v>
      </c>
      <c r="D49" s="2" t="s">
        <v>79</v>
      </c>
      <c r="E49" s="13">
        <v>0.5</v>
      </c>
      <c r="F49" s="2">
        <v>3.5000000000000003E-2</v>
      </c>
      <c r="G49" s="3">
        <v>5.0999999999999997E-2</v>
      </c>
      <c r="H49" s="3"/>
      <c r="I49" s="2">
        <v>0</v>
      </c>
      <c r="J49" s="2">
        <v>300</v>
      </c>
      <c r="K49" s="2"/>
      <c r="L49" s="2"/>
      <c r="M49" s="2"/>
      <c r="N49" s="2"/>
      <c r="O49" s="8">
        <f t="shared" si="0"/>
        <v>0</v>
      </c>
      <c r="P49" s="19">
        <v>300</v>
      </c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1"/>
        <v>15.299999999999999</v>
      </c>
      <c r="AB49" s="8" t="s">
        <v>26</v>
      </c>
      <c r="AC49" s="8" t="s">
        <v>99</v>
      </c>
      <c r="AD49" s="8">
        <v>100</v>
      </c>
      <c r="AE49" s="8" t="s">
        <v>102</v>
      </c>
      <c r="AF49" s="8">
        <f t="shared" si="2"/>
        <v>3</v>
      </c>
      <c r="AG49"/>
    </row>
    <row r="50" spans="1:33" hidden="1" x14ac:dyDescent="0.25">
      <c r="A50" s="2" t="s">
        <v>160</v>
      </c>
      <c r="B50" s="2" t="s">
        <v>33</v>
      </c>
      <c r="C50" s="2" t="s">
        <v>94</v>
      </c>
      <c r="D50" s="2" t="s">
        <v>80</v>
      </c>
      <c r="E50" s="13">
        <v>0.625</v>
      </c>
      <c r="F50" s="2">
        <v>3.6999999999999998E-2</v>
      </c>
      <c r="G50" s="3">
        <v>0.105</v>
      </c>
      <c r="H50" s="3"/>
      <c r="I50" s="2">
        <v>0</v>
      </c>
      <c r="J50" s="2">
        <v>700</v>
      </c>
      <c r="K50" s="2"/>
      <c r="L50" s="2"/>
      <c r="M50" s="2"/>
      <c r="N50" s="2"/>
      <c r="O50" s="8">
        <f t="shared" si="0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2">
        <v>700</v>
      </c>
      <c r="AA50" s="7">
        <f t="shared" si="1"/>
        <v>73.5</v>
      </c>
      <c r="AB50" s="8" t="s">
        <v>25</v>
      </c>
      <c r="AC50" s="8" t="s">
        <v>99</v>
      </c>
      <c r="AD50" s="8">
        <v>50</v>
      </c>
      <c r="AE50" s="8" t="s">
        <v>102</v>
      </c>
      <c r="AF50" s="8">
        <f t="shared" si="2"/>
        <v>14</v>
      </c>
      <c r="AG50"/>
    </row>
    <row r="51" spans="1:33" hidden="1" x14ac:dyDescent="0.25">
      <c r="A51" s="2"/>
      <c r="B51" s="2" t="s">
        <v>33</v>
      </c>
      <c r="C51" s="2" t="s">
        <v>94</v>
      </c>
      <c r="D51" s="2" t="s">
        <v>81</v>
      </c>
      <c r="E51" s="13">
        <v>0.75</v>
      </c>
      <c r="F51" s="2">
        <v>3.1E-2</v>
      </c>
      <c r="G51" s="3">
        <v>0.26500000000000001</v>
      </c>
      <c r="H51" s="3"/>
      <c r="I51" s="2">
        <v>0</v>
      </c>
      <c r="J51" s="2">
        <v>0</v>
      </c>
      <c r="K51" s="2"/>
      <c r="L51" s="2"/>
      <c r="M51" s="2"/>
      <c r="N51" s="2"/>
      <c r="O51" s="8">
        <f t="shared" si="0"/>
        <v>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2"/>
      <c r="AA51" s="7">
        <f t="shared" si="1"/>
        <v>0</v>
      </c>
      <c r="AB51" s="8" t="s">
        <v>97</v>
      </c>
      <c r="AC51" s="8" t="s">
        <v>99</v>
      </c>
      <c r="AD51" s="8">
        <v>400</v>
      </c>
      <c r="AE51" s="8" t="s">
        <v>102</v>
      </c>
      <c r="AF51" s="8">
        <f t="shared" si="2"/>
        <v>0</v>
      </c>
      <c r="AG51"/>
    </row>
    <row r="52" spans="1:33" hidden="1" x14ac:dyDescent="0.25">
      <c r="A52" s="2"/>
      <c r="B52" s="2" t="s">
        <v>33</v>
      </c>
      <c r="C52" s="2" t="s">
        <v>94</v>
      </c>
      <c r="D52" s="2" t="s">
        <v>82</v>
      </c>
      <c r="E52" s="13">
        <v>0.75</v>
      </c>
      <c r="F52" s="2">
        <v>3.1E-2</v>
      </c>
      <c r="G52" s="3">
        <v>0.13600000000000001</v>
      </c>
      <c r="H52" s="3"/>
      <c r="I52" s="2">
        <v>0</v>
      </c>
      <c r="J52" s="2">
        <v>750</v>
      </c>
      <c r="K52" s="2"/>
      <c r="L52" s="2"/>
      <c r="M52" s="2"/>
      <c r="N52" s="2"/>
      <c r="O52" s="8">
        <f t="shared" si="0"/>
        <v>0</v>
      </c>
      <c r="P52" s="19"/>
      <c r="Q52" s="19"/>
      <c r="R52" s="19">
        <v>750</v>
      </c>
      <c r="S52" s="2"/>
      <c r="T52" s="19"/>
      <c r="U52" s="2"/>
      <c r="V52" s="19"/>
      <c r="W52" s="19"/>
      <c r="X52" s="19"/>
      <c r="Y52" s="19"/>
      <c r="Z52" s="2"/>
      <c r="AA52" s="7">
        <f t="shared" si="1"/>
        <v>102.00000000000001</v>
      </c>
      <c r="AB52" s="8" t="s">
        <v>27</v>
      </c>
      <c r="AC52" s="8" t="s">
        <v>99</v>
      </c>
      <c r="AD52" s="8">
        <v>50</v>
      </c>
      <c r="AE52" s="8" t="s">
        <v>102</v>
      </c>
      <c r="AF52" s="8">
        <f t="shared" si="2"/>
        <v>15</v>
      </c>
      <c r="AG52"/>
    </row>
    <row r="53" spans="1:33" hidden="1" x14ac:dyDescent="0.25">
      <c r="A53" s="2"/>
      <c r="B53" s="2" t="s">
        <v>33</v>
      </c>
      <c r="C53" s="2" t="s">
        <v>94</v>
      </c>
      <c r="D53" s="2" t="s">
        <v>83</v>
      </c>
      <c r="E53" s="13">
        <v>0.75</v>
      </c>
      <c r="F53" s="2">
        <v>3.1E-2</v>
      </c>
      <c r="G53" s="3">
        <v>0.29899999999999999</v>
      </c>
      <c r="H53" s="3"/>
      <c r="I53" s="2">
        <v>0</v>
      </c>
      <c r="J53" s="2">
        <v>0</v>
      </c>
      <c r="K53" s="2"/>
      <c r="L53" s="2"/>
      <c r="M53" s="2"/>
      <c r="N53" s="2"/>
      <c r="O53" s="8">
        <f t="shared" si="0"/>
        <v>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1"/>
        <v>0</v>
      </c>
      <c r="AB53" s="8" t="s">
        <v>97</v>
      </c>
      <c r="AC53" s="8" t="s">
        <v>99</v>
      </c>
      <c r="AD53" s="8">
        <v>400</v>
      </c>
      <c r="AE53" s="8" t="s">
        <v>102</v>
      </c>
      <c r="AF53" s="8">
        <f t="shared" si="2"/>
        <v>0</v>
      </c>
      <c r="AG53"/>
    </row>
    <row r="54" spans="1:33" hidden="1" x14ac:dyDescent="0.25">
      <c r="A54" s="2"/>
      <c r="B54" s="2" t="s">
        <v>33</v>
      </c>
      <c r="C54" s="2" t="s">
        <v>94</v>
      </c>
      <c r="D54" s="2" t="s">
        <v>84</v>
      </c>
      <c r="E54" s="13">
        <v>0.75</v>
      </c>
      <c r="F54" s="2">
        <v>3.1E-2</v>
      </c>
      <c r="G54" s="3">
        <v>0.26500000000000001</v>
      </c>
      <c r="H54" s="3"/>
      <c r="I54" s="2">
        <v>0</v>
      </c>
      <c r="J54" s="2">
        <v>0</v>
      </c>
      <c r="K54" s="2"/>
      <c r="L54" s="2"/>
      <c r="M54" s="2"/>
      <c r="N54" s="2"/>
      <c r="O54" s="8">
        <f t="shared" si="0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1"/>
        <v>0</v>
      </c>
      <c r="AB54" s="8" t="s">
        <v>97</v>
      </c>
      <c r="AC54" s="8" t="s">
        <v>99</v>
      </c>
      <c r="AD54" s="8">
        <v>400</v>
      </c>
      <c r="AE54" s="8" t="s">
        <v>102</v>
      </c>
      <c r="AF54" s="8">
        <f t="shared" si="2"/>
        <v>0</v>
      </c>
      <c r="AG54"/>
    </row>
    <row r="55" spans="1:33" hidden="1" x14ac:dyDescent="0.25">
      <c r="A55" s="2"/>
      <c r="B55" s="2" t="s">
        <v>33</v>
      </c>
      <c r="C55" s="2" t="s">
        <v>94</v>
      </c>
      <c r="D55" s="2" t="s">
        <v>85</v>
      </c>
      <c r="E55" s="13">
        <v>0.75</v>
      </c>
      <c r="F55" s="2">
        <v>3.1E-2</v>
      </c>
      <c r="G55" s="3">
        <v>0.19700000000000001</v>
      </c>
      <c r="H55" s="3"/>
      <c r="I55" s="2">
        <v>0</v>
      </c>
      <c r="J55" s="2">
        <v>0</v>
      </c>
      <c r="K55" s="2"/>
      <c r="L55" s="2"/>
      <c r="M55" s="2"/>
      <c r="N55" s="2"/>
      <c r="O55" s="8">
        <f t="shared" si="0"/>
        <v>0</v>
      </c>
      <c r="P55" s="19"/>
      <c r="Q55" s="19"/>
      <c r="R55" s="19"/>
      <c r="S55" s="2"/>
      <c r="T55" s="19"/>
      <c r="U55" s="2"/>
      <c r="V55" s="19"/>
      <c r="W55" s="19"/>
      <c r="X55" s="19"/>
      <c r="Y55" s="19"/>
      <c r="Z55" s="2"/>
      <c r="AA55" s="7">
        <f t="shared" si="1"/>
        <v>0</v>
      </c>
      <c r="AB55" s="8" t="s">
        <v>27</v>
      </c>
      <c r="AC55" s="8" t="s">
        <v>99</v>
      </c>
      <c r="AD55" s="8">
        <v>60</v>
      </c>
      <c r="AE55" s="8" t="s">
        <v>102</v>
      </c>
      <c r="AF55" s="8">
        <f t="shared" si="2"/>
        <v>0</v>
      </c>
      <c r="AG55"/>
    </row>
    <row r="56" spans="1:33" hidden="1" x14ac:dyDescent="0.25">
      <c r="A56" s="2"/>
      <c r="B56" s="2" t="s">
        <v>33</v>
      </c>
      <c r="C56" s="2" t="s">
        <v>94</v>
      </c>
      <c r="D56" s="2" t="s">
        <v>86</v>
      </c>
      <c r="E56" s="13">
        <v>0.75</v>
      </c>
      <c r="F56" s="2">
        <v>3.1E-2</v>
      </c>
      <c r="G56" s="3">
        <v>0.158</v>
      </c>
      <c r="H56" s="3"/>
      <c r="I56" s="2">
        <v>0</v>
      </c>
      <c r="J56" s="2">
        <v>140</v>
      </c>
      <c r="K56" s="2"/>
      <c r="L56" s="2"/>
      <c r="M56" s="2"/>
      <c r="N56" s="2"/>
      <c r="O56" s="8">
        <f t="shared" si="0"/>
        <v>0</v>
      </c>
      <c r="P56" s="19"/>
      <c r="Q56" s="19"/>
      <c r="R56" s="19"/>
      <c r="S56" s="2"/>
      <c r="T56" s="19"/>
      <c r="U56" s="2"/>
      <c r="V56" s="19"/>
      <c r="W56" s="19"/>
      <c r="X56" s="19">
        <v>140</v>
      </c>
      <c r="Y56" s="19"/>
      <c r="Z56" s="2"/>
      <c r="AA56" s="7">
        <f t="shared" si="1"/>
        <v>22.12</v>
      </c>
      <c r="AB56" s="8" t="s">
        <v>27</v>
      </c>
      <c r="AC56" s="8" t="s">
        <v>99</v>
      </c>
      <c r="AD56" s="8">
        <v>70</v>
      </c>
      <c r="AE56" s="8" t="s">
        <v>102</v>
      </c>
      <c r="AF56" s="8">
        <f t="shared" si="2"/>
        <v>2</v>
      </c>
      <c r="AG56"/>
    </row>
    <row r="57" spans="1:33" x14ac:dyDescent="0.25">
      <c r="A57" s="2" t="s">
        <v>160</v>
      </c>
      <c r="B57" s="2" t="s">
        <v>33</v>
      </c>
      <c r="C57" s="2" t="s">
        <v>94</v>
      </c>
      <c r="D57" s="2" t="s">
        <v>87</v>
      </c>
      <c r="E57" s="13">
        <v>0.75</v>
      </c>
      <c r="F57" s="2">
        <v>3.1E-2</v>
      </c>
      <c r="G57" s="3">
        <v>0.26300000000000001</v>
      </c>
      <c r="H57" s="3"/>
      <c r="I57" s="2">
        <v>1000</v>
      </c>
      <c r="J57" s="2">
        <v>28</v>
      </c>
      <c r="K57" s="2"/>
      <c r="L57" s="2"/>
      <c r="M57" s="2"/>
      <c r="N57" s="2"/>
      <c r="O57" s="8">
        <f t="shared" si="0"/>
        <v>400</v>
      </c>
      <c r="P57" s="19"/>
      <c r="Q57" s="19"/>
      <c r="R57" s="19"/>
      <c r="S57" s="2">
        <v>200</v>
      </c>
      <c r="T57" s="19"/>
      <c r="U57" s="2"/>
      <c r="V57" s="19">
        <v>400</v>
      </c>
      <c r="W57" s="19"/>
      <c r="X57" s="19"/>
      <c r="Y57" s="19"/>
      <c r="Z57" s="2">
        <v>28</v>
      </c>
      <c r="AA57" s="7">
        <f t="shared" si="1"/>
        <v>270.36400000000003</v>
      </c>
      <c r="AB57" s="8" t="s">
        <v>97</v>
      </c>
      <c r="AC57" s="8" t="s">
        <v>99</v>
      </c>
      <c r="AD57" s="8">
        <v>400</v>
      </c>
      <c r="AE57" s="8" t="s">
        <v>102</v>
      </c>
      <c r="AF57" s="8">
        <f t="shared" si="2"/>
        <v>2.57</v>
      </c>
      <c r="AG57"/>
    </row>
    <row r="58" spans="1:33" hidden="1" x14ac:dyDescent="0.25">
      <c r="A58" s="2" t="s">
        <v>160</v>
      </c>
      <c r="B58" s="2" t="s">
        <v>33</v>
      </c>
      <c r="C58" s="2" t="s">
        <v>94</v>
      </c>
      <c r="D58" s="2" t="s">
        <v>88</v>
      </c>
      <c r="E58" s="13">
        <v>0.875</v>
      </c>
      <c r="F58" s="2">
        <v>4.2999999999999997E-2</v>
      </c>
      <c r="G58" s="3">
        <v>0.48099999999999998</v>
      </c>
      <c r="H58" s="3"/>
      <c r="I58" s="2">
        <v>0</v>
      </c>
      <c r="J58" s="2">
        <v>136</v>
      </c>
      <c r="K58" s="2"/>
      <c r="L58" s="2"/>
      <c r="M58" s="2"/>
      <c r="N58" s="2"/>
      <c r="O58" s="8">
        <f t="shared" si="0"/>
        <v>-123</v>
      </c>
      <c r="P58" s="19"/>
      <c r="Q58" s="19"/>
      <c r="R58" s="19"/>
      <c r="S58" s="2">
        <v>76</v>
      </c>
      <c r="T58" s="19"/>
      <c r="U58" s="2"/>
      <c r="V58" s="19">
        <v>183</v>
      </c>
      <c r="W58" s="19"/>
      <c r="X58" s="19"/>
      <c r="Y58" s="19"/>
      <c r="Z58" s="2"/>
      <c r="AA58" s="7">
        <f t="shared" si="1"/>
        <v>65.415999999999997</v>
      </c>
      <c r="AB58" s="8" t="s">
        <v>97</v>
      </c>
      <c r="AC58" s="8" t="s">
        <v>99</v>
      </c>
      <c r="AD58" s="8">
        <v>300</v>
      </c>
      <c r="AE58" s="8" t="s">
        <v>102</v>
      </c>
      <c r="AF58" s="8">
        <f t="shared" si="2"/>
        <v>0.45333333333333331</v>
      </c>
      <c r="AG58"/>
    </row>
    <row r="59" spans="1:33" hidden="1" x14ac:dyDescent="0.25">
      <c r="A59" s="2"/>
      <c r="B59" s="2" t="s">
        <v>33</v>
      </c>
      <c r="C59" s="2" t="s">
        <v>94</v>
      </c>
      <c r="D59" s="2" t="s">
        <v>89</v>
      </c>
      <c r="E59" s="13">
        <v>0.875</v>
      </c>
      <c r="F59" s="2">
        <v>4.2999999999999997E-2</v>
      </c>
      <c r="G59" s="3">
        <v>0.42299999999999999</v>
      </c>
      <c r="H59" s="3"/>
      <c r="I59" s="2">
        <v>0</v>
      </c>
      <c r="J59" s="2">
        <v>0</v>
      </c>
      <c r="K59" s="2"/>
      <c r="L59" s="2"/>
      <c r="M59" s="2"/>
      <c r="N59" s="2"/>
      <c r="O59" s="8">
        <f t="shared" si="0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2"/>
      <c r="AA59" s="7">
        <f t="shared" si="1"/>
        <v>0</v>
      </c>
      <c r="AB59" s="8" t="s">
        <v>97</v>
      </c>
      <c r="AC59" s="8" t="s">
        <v>99</v>
      </c>
      <c r="AD59" s="8">
        <v>500</v>
      </c>
      <c r="AE59" s="8" t="s">
        <v>102</v>
      </c>
      <c r="AF59" s="8">
        <f t="shared" si="2"/>
        <v>0</v>
      </c>
      <c r="AG59"/>
    </row>
    <row r="60" spans="1:33" hidden="1" x14ac:dyDescent="0.25">
      <c r="A60" s="2"/>
      <c r="B60" s="2" t="s">
        <v>33</v>
      </c>
      <c r="C60" s="2" t="s">
        <v>94</v>
      </c>
      <c r="D60" s="2" t="s">
        <v>90</v>
      </c>
      <c r="E60" s="13">
        <v>0.875</v>
      </c>
      <c r="F60" s="2">
        <v>4.2999999999999997E-2</v>
      </c>
      <c r="G60" s="3">
        <v>0.34799999999999998</v>
      </c>
      <c r="H60" s="3"/>
      <c r="I60" s="2">
        <v>0</v>
      </c>
      <c r="J60" s="2">
        <v>688</v>
      </c>
      <c r="K60" s="2"/>
      <c r="L60" s="2"/>
      <c r="M60" s="2"/>
      <c r="N60" s="2"/>
      <c r="O60" s="8">
        <f t="shared" si="0"/>
        <v>-1037</v>
      </c>
      <c r="P60" s="19"/>
      <c r="Q60" s="19">
        <v>750</v>
      </c>
      <c r="R60" s="19">
        <v>469</v>
      </c>
      <c r="S60" s="2">
        <v>18</v>
      </c>
      <c r="T60" s="19"/>
      <c r="U60" s="2"/>
      <c r="V60" s="19">
        <v>488</v>
      </c>
      <c r="W60" s="19"/>
      <c r="X60" s="19"/>
      <c r="Y60" s="19"/>
      <c r="Z60" s="2"/>
      <c r="AA60" s="7">
        <f t="shared" si="1"/>
        <v>239.42399999999998</v>
      </c>
      <c r="AB60" s="8" t="s">
        <v>97</v>
      </c>
      <c r="AC60" s="8" t="s">
        <v>99</v>
      </c>
      <c r="AD60" s="8">
        <v>500</v>
      </c>
      <c r="AE60" s="8" t="s">
        <v>102</v>
      </c>
      <c r="AF60" s="8">
        <f t="shared" si="2"/>
        <v>1.3759999999999999</v>
      </c>
      <c r="AG60"/>
    </row>
    <row r="61" spans="1:33" hidden="1" x14ac:dyDescent="0.25">
      <c r="A61" s="2"/>
      <c r="B61" s="2" t="s">
        <v>33</v>
      </c>
      <c r="C61" s="2" t="s">
        <v>94</v>
      </c>
      <c r="D61" s="2" t="s">
        <v>91</v>
      </c>
      <c r="E61" s="13" t="s">
        <v>57</v>
      </c>
      <c r="F61" s="2">
        <v>2.4E-2</v>
      </c>
      <c r="G61" s="3">
        <v>3.1E-2</v>
      </c>
      <c r="H61" s="3"/>
      <c r="I61" s="2">
        <v>0</v>
      </c>
      <c r="J61" s="2">
        <v>0</v>
      </c>
      <c r="K61" s="2"/>
      <c r="L61" s="2"/>
      <c r="M61" s="2"/>
      <c r="N61" s="2"/>
      <c r="O61" s="8">
        <f t="shared" si="0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/>
      <c r="Z61" s="2"/>
      <c r="AA61" s="7">
        <f t="shared" si="1"/>
        <v>0</v>
      </c>
      <c r="AB61" s="8" t="s">
        <v>26</v>
      </c>
      <c r="AC61" s="8" t="s">
        <v>98</v>
      </c>
      <c r="AD61" s="8">
        <v>250</v>
      </c>
      <c r="AE61" s="8" t="s">
        <v>102</v>
      </c>
      <c r="AF61" s="8">
        <f t="shared" si="2"/>
        <v>0</v>
      </c>
      <c r="AG61"/>
    </row>
    <row r="62" spans="1:33" hidden="1" x14ac:dyDescent="0.25">
      <c r="A62" s="2"/>
      <c r="B62" s="2" t="s">
        <v>33</v>
      </c>
      <c r="C62" s="2" t="s">
        <v>94</v>
      </c>
      <c r="D62" s="2" t="s">
        <v>92</v>
      </c>
      <c r="E62" s="13" t="s">
        <v>57</v>
      </c>
      <c r="F62" s="2">
        <v>2.4E-2</v>
      </c>
      <c r="G62" s="3">
        <v>2.3E-2</v>
      </c>
      <c r="H62" s="3"/>
      <c r="I62" s="2">
        <v>0</v>
      </c>
      <c r="J62" s="2">
        <v>0</v>
      </c>
      <c r="K62" s="2"/>
      <c r="L62" s="2"/>
      <c r="M62" s="2"/>
      <c r="N62" s="2"/>
      <c r="O62" s="8">
        <f t="shared" si="0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/>
      <c r="AA62" s="7">
        <f t="shared" si="1"/>
        <v>0</v>
      </c>
      <c r="AB62" s="8" t="s">
        <v>26</v>
      </c>
      <c r="AC62" s="8" t="s">
        <v>99</v>
      </c>
      <c r="AD62" s="8">
        <v>300</v>
      </c>
      <c r="AE62" s="8" t="s">
        <v>102</v>
      </c>
      <c r="AF62" s="8">
        <f t="shared" si="2"/>
        <v>0</v>
      </c>
      <c r="AG62"/>
    </row>
    <row r="63" spans="1:33" hidden="1" x14ac:dyDescent="0.25">
      <c r="A63" s="2"/>
      <c r="B63" s="2" t="s">
        <v>33</v>
      </c>
      <c r="C63" s="2" t="s">
        <v>94</v>
      </c>
      <c r="D63" s="2" t="s">
        <v>93</v>
      </c>
      <c r="E63" s="13" t="s">
        <v>57</v>
      </c>
      <c r="F63" s="2">
        <v>2.4E-2</v>
      </c>
      <c r="G63" s="3">
        <v>2.7E-2</v>
      </c>
      <c r="H63" s="3"/>
      <c r="I63" s="2">
        <v>0</v>
      </c>
      <c r="J63" s="2">
        <v>0</v>
      </c>
      <c r="K63" s="2"/>
      <c r="L63" s="2"/>
      <c r="M63" s="2"/>
      <c r="N63" s="2"/>
      <c r="O63" s="8">
        <f t="shared" si="0"/>
        <v>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1"/>
        <v>0</v>
      </c>
      <c r="AB63" s="8" t="s">
        <v>26</v>
      </c>
      <c r="AC63" s="8" t="s">
        <v>99</v>
      </c>
      <c r="AD63" s="8">
        <v>250</v>
      </c>
      <c r="AE63" s="8" t="s">
        <v>102</v>
      </c>
      <c r="AF63" s="8">
        <f t="shared" si="2"/>
        <v>0</v>
      </c>
      <c r="AG63"/>
    </row>
    <row r="64" spans="1:33" x14ac:dyDescent="0.25">
      <c r="H64" s="4" t="s">
        <v>19</v>
      </c>
      <c r="I64" s="9">
        <f t="shared" ref="I64:AA64" si="3">SUM(I6:I63)</f>
        <v>4240</v>
      </c>
      <c r="J64" s="9">
        <f t="shared" si="3"/>
        <v>5880</v>
      </c>
      <c r="K64" s="9">
        <f t="shared" si="3"/>
        <v>0</v>
      </c>
      <c r="L64" s="9">
        <f t="shared" si="3"/>
        <v>0</v>
      </c>
      <c r="M64" s="9">
        <f t="shared" si="3"/>
        <v>0</v>
      </c>
      <c r="N64" s="9">
        <f t="shared" si="3"/>
        <v>0</v>
      </c>
      <c r="O64" s="11">
        <f t="shared" si="3"/>
        <v>3568</v>
      </c>
      <c r="P64" s="20">
        <f t="shared" si="3"/>
        <v>300</v>
      </c>
      <c r="Q64" s="20">
        <f t="shared" si="3"/>
        <v>750</v>
      </c>
      <c r="R64" s="20">
        <f t="shared" si="3"/>
        <v>1219</v>
      </c>
      <c r="S64" s="9">
        <f t="shared" si="3"/>
        <v>294</v>
      </c>
      <c r="T64" s="20">
        <f t="shared" si="3"/>
        <v>0</v>
      </c>
      <c r="U64" s="9">
        <f t="shared" si="3"/>
        <v>0</v>
      </c>
      <c r="V64" s="20">
        <f t="shared" si="3"/>
        <v>1321</v>
      </c>
      <c r="W64" s="20">
        <f t="shared" si="3"/>
        <v>0</v>
      </c>
      <c r="X64" s="20">
        <f t="shared" si="3"/>
        <v>140</v>
      </c>
      <c r="Y64" s="20">
        <f t="shared" si="3"/>
        <v>0</v>
      </c>
      <c r="Z64" s="9">
        <f t="shared" si="3"/>
        <v>2528</v>
      </c>
      <c r="AA64" s="9">
        <f t="shared" si="3"/>
        <v>1492.6959999999999</v>
      </c>
      <c r="AF64" s="12">
        <f>SUM(AF6:AF63)</f>
        <v>95.256476190476192</v>
      </c>
    </row>
    <row r="65" spans="1:26" hidden="1" x14ac:dyDescent="0.25">
      <c r="H65" s="4" t="s">
        <v>21</v>
      </c>
      <c r="I65" s="56">
        <f>+I64+J64+K64+L64+M64+N64</f>
        <v>10120</v>
      </c>
      <c r="J65" s="56"/>
      <c r="K65" s="56"/>
      <c r="L65" s="56"/>
      <c r="M65" s="56"/>
      <c r="N65" s="56"/>
      <c r="P65" s="57">
        <f>+P64+Q64</f>
        <v>1050</v>
      </c>
      <c r="Q65" s="54"/>
      <c r="R65" s="57">
        <f>+R64+S64</f>
        <v>1513</v>
      </c>
      <c r="S65" s="54"/>
      <c r="T65" s="57">
        <f>+T64+U64</f>
        <v>0</v>
      </c>
      <c r="U65" s="54"/>
      <c r="V65" s="57">
        <f t="shared" ref="V65" si="4">+V64+W64</f>
        <v>1321</v>
      </c>
      <c r="W65" s="54"/>
      <c r="X65" s="57">
        <f t="shared" ref="X65" si="5">+X64+Y64</f>
        <v>140</v>
      </c>
      <c r="Y65" s="54"/>
      <c r="Z65" s="10">
        <f>+Z64</f>
        <v>2528</v>
      </c>
    </row>
    <row r="66" spans="1:26" x14ac:dyDescent="0.25">
      <c r="I66" s="1">
        <v>0</v>
      </c>
      <c r="J66" s="25">
        <f>+J64</f>
        <v>5880</v>
      </c>
      <c r="K66" s="25">
        <f t="shared" ref="K66:N66" si="6">+K64</f>
        <v>0</v>
      </c>
      <c r="L66" s="25">
        <f t="shared" si="6"/>
        <v>0</v>
      </c>
      <c r="M66" s="25">
        <f t="shared" si="6"/>
        <v>0</v>
      </c>
      <c r="N66" s="25">
        <f t="shared" si="6"/>
        <v>0</v>
      </c>
      <c r="P66" s="17"/>
      <c r="Q66" s="17"/>
      <c r="R66" s="17"/>
      <c r="T66" s="17"/>
      <c r="V66" s="17"/>
      <c r="W66" s="17"/>
      <c r="X66" s="17"/>
      <c r="Y66" s="17"/>
    </row>
    <row r="67" spans="1:26" x14ac:dyDescent="0.25">
      <c r="P67" s="17"/>
      <c r="Q67" s="17"/>
      <c r="R67" s="17"/>
      <c r="T67" s="17"/>
      <c r="V67" s="17"/>
      <c r="W67" s="17"/>
      <c r="X67" s="17"/>
      <c r="Y67" s="17"/>
    </row>
    <row r="68" spans="1:26" x14ac:dyDescent="0.25">
      <c r="C68" s="2" t="s">
        <v>111</v>
      </c>
      <c r="D68" s="2" t="s">
        <v>112</v>
      </c>
      <c r="E68" s="2" t="s">
        <v>113</v>
      </c>
      <c r="P68" s="19" t="s">
        <v>15</v>
      </c>
      <c r="Q68" s="19" t="s">
        <v>16</v>
      </c>
      <c r="R68" s="19" t="s">
        <v>15</v>
      </c>
      <c r="S68" s="19" t="s">
        <v>16</v>
      </c>
      <c r="T68" s="19" t="s">
        <v>15</v>
      </c>
      <c r="U68" s="19" t="s">
        <v>16</v>
      </c>
      <c r="V68" s="19" t="s">
        <v>15</v>
      </c>
      <c r="W68" s="19" t="s">
        <v>16</v>
      </c>
      <c r="X68" s="19" t="s">
        <v>15</v>
      </c>
      <c r="Y68" s="19" t="s">
        <v>16</v>
      </c>
      <c r="Z68" s="19"/>
    </row>
    <row r="69" spans="1:26" x14ac:dyDescent="0.25">
      <c r="B69" s="2" t="s">
        <v>114</v>
      </c>
      <c r="C69" s="8">
        <v>9120</v>
      </c>
      <c r="D69" s="2">
        <f>+C69/5</f>
        <v>1824</v>
      </c>
      <c r="E69" s="2">
        <f>+D69/2</f>
        <v>912</v>
      </c>
      <c r="H69" s="23"/>
      <c r="P69" s="40">
        <f>+P64/$E$69</f>
        <v>0.32894736842105265</v>
      </c>
      <c r="Q69" s="40">
        <f t="shared" ref="Q69:Y69" si="7">+Q64/$E$69</f>
        <v>0.82236842105263153</v>
      </c>
      <c r="R69" s="40">
        <f t="shared" si="7"/>
        <v>1.3366228070175439</v>
      </c>
      <c r="S69" s="40">
        <f t="shared" si="7"/>
        <v>0.32236842105263158</v>
      </c>
      <c r="T69" s="40">
        <f t="shared" si="7"/>
        <v>0</v>
      </c>
      <c r="U69" s="40">
        <f t="shared" si="7"/>
        <v>0</v>
      </c>
      <c r="V69" s="40">
        <f t="shared" si="7"/>
        <v>1.4484649122807018</v>
      </c>
      <c r="W69" s="40">
        <f t="shared" si="7"/>
        <v>0</v>
      </c>
      <c r="X69" s="40">
        <f t="shared" si="7"/>
        <v>0.15350877192982457</v>
      </c>
      <c r="Y69" s="40">
        <f t="shared" si="7"/>
        <v>0</v>
      </c>
      <c r="Z69" s="19"/>
    </row>
    <row r="70" spans="1:26" x14ac:dyDescent="0.25">
      <c r="B70" s="2" t="s">
        <v>115</v>
      </c>
      <c r="C70" s="8">
        <v>7228</v>
      </c>
      <c r="D70" s="2">
        <f>+C70/5</f>
        <v>1445.6</v>
      </c>
      <c r="E70" s="2">
        <f>+D70/2</f>
        <v>722.8</v>
      </c>
      <c r="H70" s="23"/>
    </row>
    <row r="71" spans="1:26" x14ac:dyDescent="0.25">
      <c r="B71" s="2" t="s">
        <v>116</v>
      </c>
      <c r="C71" s="2">
        <f>+C69-C70</f>
        <v>1892</v>
      </c>
    </row>
    <row r="72" spans="1:26" x14ac:dyDescent="0.25">
      <c r="B72" s="2" t="s">
        <v>117</v>
      </c>
      <c r="C72" s="24">
        <f>+C71/C69</f>
        <v>0.2074561403508772</v>
      </c>
      <c r="H72" s="23"/>
    </row>
    <row r="73" spans="1:26" x14ac:dyDescent="0.25">
      <c r="B73" s="2" t="s">
        <v>118</v>
      </c>
      <c r="C73" s="24">
        <f>+C70/C69</f>
        <v>0.79254385964912277</v>
      </c>
    </row>
    <row r="75" spans="1:26" x14ac:dyDescent="0.25">
      <c r="A75" s="51" t="s">
        <v>136</v>
      </c>
      <c r="B75" s="52"/>
      <c r="C75" s="52"/>
      <c r="D75" s="52"/>
      <c r="E75" s="52"/>
      <c r="F75" s="53"/>
    </row>
    <row r="76" spans="1:26" x14ac:dyDescent="0.25">
      <c r="A76" s="54" t="s">
        <v>158</v>
      </c>
      <c r="B76" s="37">
        <v>46279</v>
      </c>
      <c r="C76" s="37">
        <v>46280</v>
      </c>
      <c r="D76" s="37">
        <v>46281</v>
      </c>
      <c r="E76" s="37">
        <v>46282</v>
      </c>
      <c r="F76" s="37">
        <v>46283</v>
      </c>
    </row>
    <row r="77" spans="1:26" x14ac:dyDescent="0.25">
      <c r="A77" s="54"/>
      <c r="B77" s="38" t="s">
        <v>122</v>
      </c>
      <c r="C77" s="4" t="s">
        <v>123</v>
      </c>
      <c r="D77" s="4" t="s">
        <v>124</v>
      </c>
      <c r="E77" s="4" t="s">
        <v>125</v>
      </c>
      <c r="F77" s="4" t="s">
        <v>128</v>
      </c>
    </row>
    <row r="78" spans="1:26" x14ac:dyDescent="0.25">
      <c r="A78" s="12" t="s">
        <v>134</v>
      </c>
      <c r="B78" s="26">
        <v>0.11</v>
      </c>
      <c r="C78" s="26">
        <v>0.11</v>
      </c>
      <c r="D78" s="41" t="s">
        <v>161</v>
      </c>
      <c r="E78" s="26">
        <v>0.36</v>
      </c>
      <c r="F78" s="26">
        <v>0.48</v>
      </c>
    </row>
    <row r="79" spans="1:26" x14ac:dyDescent="0.25">
      <c r="A79" s="12" t="s">
        <v>135</v>
      </c>
      <c r="B79" s="26">
        <v>0.89</v>
      </c>
      <c r="C79" s="26">
        <v>0.89</v>
      </c>
      <c r="D79" s="41" t="s">
        <v>161</v>
      </c>
      <c r="E79" s="26">
        <v>0.64</v>
      </c>
      <c r="F79" s="26">
        <v>0.52</v>
      </c>
    </row>
    <row r="82" spans="2:2" x14ac:dyDescent="0.25">
      <c r="B82" s="1" t="s">
        <v>145</v>
      </c>
    </row>
    <row r="83" spans="2:2" x14ac:dyDescent="0.25">
      <c r="B83" s="1" t="s">
        <v>146</v>
      </c>
    </row>
    <row r="86" spans="2:2" x14ac:dyDescent="0.25">
      <c r="B86" s="1" t="s">
        <v>147</v>
      </c>
    </row>
    <row r="88" spans="2:2" x14ac:dyDescent="0.25">
      <c r="B88" s="1" t="s">
        <v>148</v>
      </c>
    </row>
    <row r="92" spans="2:2" x14ac:dyDescent="0.25">
      <c r="B92" s="1" t="s">
        <v>149</v>
      </c>
    </row>
    <row r="93" spans="2:2" x14ac:dyDescent="0.25">
      <c r="B93" s="1" t="s">
        <v>150</v>
      </c>
    </row>
    <row r="94" spans="2:2" x14ac:dyDescent="0.25">
      <c r="B94" s="1" t="s">
        <v>151</v>
      </c>
    </row>
    <row r="95" spans="2:2" x14ac:dyDescent="0.25">
      <c r="B95" s="1" t="s">
        <v>152</v>
      </c>
    </row>
    <row r="97" spans="2:2" x14ac:dyDescent="0.25">
      <c r="B97" s="1" t="s">
        <v>153</v>
      </c>
    </row>
    <row r="98" spans="2:2" x14ac:dyDescent="0.25">
      <c r="B98" s="1" t="s">
        <v>154</v>
      </c>
    </row>
    <row r="99" spans="2:2" x14ac:dyDescent="0.25">
      <c r="B99" s="1" t="s">
        <v>155</v>
      </c>
    </row>
    <row r="100" spans="2:2" x14ac:dyDescent="0.25">
      <c r="B100" s="1" t="s">
        <v>156</v>
      </c>
    </row>
    <row r="101" spans="2:2" x14ac:dyDescent="0.25">
      <c r="B101" s="1" t="s">
        <v>157</v>
      </c>
    </row>
  </sheetData>
  <autoFilter ref="B5:AF65" xr:uid="{00000000-0009-0000-0000-00000B000000}">
    <filterColumn colId="13">
      <customFilters>
        <customFilter operator="greaterThanOrEqual" val="1"/>
      </customFilters>
    </filterColumn>
  </autoFilter>
  <mergeCells count="16">
    <mergeCell ref="C2:D2"/>
    <mergeCell ref="B3:B4"/>
    <mergeCell ref="J4:N4"/>
    <mergeCell ref="P4:Q4"/>
    <mergeCell ref="R4:S4"/>
    <mergeCell ref="A75:F75"/>
    <mergeCell ref="A76:A77"/>
    <mergeCell ref="V4:W4"/>
    <mergeCell ref="X4:Y4"/>
    <mergeCell ref="I65:N65"/>
    <mergeCell ref="P65:Q65"/>
    <mergeCell ref="R65:S65"/>
    <mergeCell ref="T65:U65"/>
    <mergeCell ref="V65:W65"/>
    <mergeCell ref="X65:Y65"/>
    <mergeCell ref="T4:U4"/>
  </mergeCells>
  <conditionalFormatting sqref="P69:Y69">
    <cfRule type="cellIs" dxfId="11" priority="1" operator="between">
      <formula>1</formula>
      <formula>5</formula>
    </cfRule>
    <cfRule type="cellIs" dxfId="10" priority="2" operator="between">
      <formula>0.85</formula>
      <formula>0.99</formula>
    </cfRule>
    <cfRule type="cellIs" dxfId="9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1" orientation="portrait" r:id="rId2"/>
  <colBreaks count="1" manualBreakCount="1">
    <brk id="15" max="32" man="1"/>
  </colBreaks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pageSetUpPr fitToPage="1"/>
  </sheetPr>
  <dimension ref="A1:AJ106"/>
  <sheetViews>
    <sheetView zoomScale="80" zoomScaleNormal="80" zoomScaleSheetLayoutView="80" workbookViewId="0">
      <pane xSplit="15" topLeftCell="P1" activePane="topRight" state="frozen"/>
      <selection activeCell="K20" sqref="K20"/>
      <selection pane="topRight" activeCell="R83" sqref="R83"/>
    </sheetView>
  </sheetViews>
  <sheetFormatPr baseColWidth="10" defaultColWidth="8.7109375" defaultRowHeight="15" x14ac:dyDescent="0.25"/>
  <cols>
    <col min="1" max="1" width="10.140625" style="1" bestFit="1" customWidth="1"/>
    <col min="2" max="2" width="33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2.42578125" style="1" bestFit="1" customWidth="1"/>
    <col min="7" max="7" width="10.5703125" style="1" customWidth="1"/>
    <col min="8" max="8" width="15.42578125" style="1" hidden="1" customWidth="1"/>
    <col min="9" max="9" width="10.7109375" style="1" customWidth="1"/>
    <col min="10" max="10" width="10.140625" style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26" width="8.7109375" style="1" customWidth="1"/>
    <col min="27" max="27" width="8.7109375" style="1"/>
    <col min="28" max="28" width="16.85546875" style="1" bestFit="1" customWidth="1"/>
    <col min="29" max="29" width="16.5703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6.28515625" style="1" customWidth="1"/>
    <col min="35" max="35" width="19.7109375" style="1" bestFit="1" customWidth="1"/>
    <col min="36" max="16384" width="8.7109375" style="1"/>
  </cols>
  <sheetData>
    <row r="1" spans="1:36" s="42" customFormat="1" x14ac:dyDescent="0.25">
      <c r="H1" s="1"/>
      <c r="K1" s="1"/>
      <c r="L1" s="1"/>
      <c r="M1" s="1"/>
      <c r="N1" s="1"/>
    </row>
    <row r="2" spans="1:36" s="42" customFormat="1" x14ac:dyDescent="0.25">
      <c r="H2" s="1"/>
      <c r="K2" s="1"/>
      <c r="L2" s="1"/>
      <c r="M2" s="1"/>
      <c r="N2" s="1"/>
    </row>
    <row r="3" spans="1:36" s="42" customFormat="1" x14ac:dyDescent="0.25">
      <c r="H3" s="1"/>
      <c r="K3" s="1"/>
      <c r="L3" s="1"/>
      <c r="M3" s="1"/>
      <c r="N3" s="1"/>
    </row>
    <row r="4" spans="1:36" s="42" customFormat="1" x14ac:dyDescent="0.25">
      <c r="H4" s="1"/>
      <c r="K4" s="1"/>
      <c r="L4" s="1"/>
      <c r="M4" s="1"/>
      <c r="N4" s="1"/>
    </row>
    <row r="5" spans="1:36" s="42" customFormat="1" x14ac:dyDescent="0.25">
      <c r="H5" s="1"/>
      <c r="K5" s="1"/>
      <c r="L5" s="1"/>
      <c r="M5" s="1"/>
      <c r="N5" s="1"/>
    </row>
    <row r="6" spans="1:36" x14ac:dyDescent="0.25">
      <c r="P6" s="17"/>
      <c r="Q6" s="17"/>
      <c r="R6" s="17"/>
      <c r="T6" s="17"/>
      <c r="V6" s="17"/>
      <c r="W6" s="17"/>
      <c r="X6" s="17"/>
      <c r="Y6" s="17"/>
    </row>
    <row r="7" spans="1:36" x14ac:dyDescent="0.25">
      <c r="B7" s="4" t="s">
        <v>17</v>
      </c>
      <c r="C7" s="58" t="s">
        <v>18</v>
      </c>
      <c r="D7" s="58"/>
      <c r="P7" s="17"/>
      <c r="Q7" s="17"/>
      <c r="R7" s="17"/>
      <c r="T7" s="17"/>
      <c r="V7" s="17"/>
      <c r="W7" s="17"/>
      <c r="X7" s="17"/>
      <c r="Y7" s="17"/>
    </row>
    <row r="8" spans="1:36" x14ac:dyDescent="0.25">
      <c r="B8" s="59">
        <f ca="1">TODAY()</f>
        <v>46309</v>
      </c>
      <c r="C8" s="4" t="s">
        <v>15</v>
      </c>
      <c r="D8" s="2" t="s">
        <v>103</v>
      </c>
      <c r="I8" s="4" t="s">
        <v>4</v>
      </c>
      <c r="P8" s="17"/>
      <c r="Q8" s="17"/>
      <c r="R8" s="17"/>
      <c r="T8" s="17"/>
      <c r="V8" s="17"/>
      <c r="W8" s="17"/>
      <c r="X8" s="17"/>
      <c r="Y8" s="17"/>
    </row>
    <row r="9" spans="1:36" x14ac:dyDescent="0.25">
      <c r="B9" s="59"/>
      <c r="C9" s="4" t="s">
        <v>16</v>
      </c>
      <c r="D9" s="2"/>
      <c r="I9" s="4" t="s">
        <v>5</v>
      </c>
      <c r="J9" s="60" t="s">
        <v>119</v>
      </c>
      <c r="K9" s="60"/>
      <c r="L9" s="60"/>
      <c r="M9" s="60"/>
      <c r="N9" s="60"/>
      <c r="P9" s="55">
        <v>46286</v>
      </c>
      <c r="Q9" s="55"/>
      <c r="R9" s="55">
        <v>46287</v>
      </c>
      <c r="S9" s="55"/>
      <c r="T9" s="55">
        <v>46288</v>
      </c>
      <c r="U9" s="55"/>
      <c r="V9" s="55">
        <v>46289</v>
      </c>
      <c r="W9" s="55"/>
      <c r="X9" s="55">
        <v>46290</v>
      </c>
      <c r="Y9" s="55"/>
      <c r="Z9" s="6" t="s">
        <v>10</v>
      </c>
    </row>
    <row r="10" spans="1:36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32</v>
      </c>
      <c r="I10" s="5">
        <v>39</v>
      </c>
      <c r="J10" s="4" t="s">
        <v>164</v>
      </c>
      <c r="K10" s="4" t="s">
        <v>9</v>
      </c>
      <c r="L10" s="4" t="s">
        <v>11</v>
      </c>
      <c r="M10" s="4" t="s">
        <v>12</v>
      </c>
      <c r="N10" s="4" t="s">
        <v>13</v>
      </c>
      <c r="O10" s="4" t="s">
        <v>14</v>
      </c>
      <c r="P10" s="18" t="s">
        <v>15</v>
      </c>
      <c r="Q10" s="18" t="s">
        <v>16</v>
      </c>
      <c r="R10" s="18" t="s">
        <v>15</v>
      </c>
      <c r="S10" s="4" t="s">
        <v>16</v>
      </c>
      <c r="T10" s="18" t="s">
        <v>15</v>
      </c>
      <c r="U10" s="4" t="s">
        <v>16</v>
      </c>
      <c r="V10" s="18" t="s">
        <v>15</v>
      </c>
      <c r="W10" s="18" t="s">
        <v>16</v>
      </c>
      <c r="X10" s="18" t="s">
        <v>15</v>
      </c>
      <c r="Y10" s="18" t="s">
        <v>16</v>
      </c>
      <c r="Z10" s="4" t="s">
        <v>20</v>
      </c>
      <c r="AA10" s="4" t="s">
        <v>8</v>
      </c>
      <c r="AB10" s="4" t="s">
        <v>22</v>
      </c>
      <c r="AC10" s="4" t="s">
        <v>100</v>
      </c>
      <c r="AD10" s="4" t="s">
        <v>24</v>
      </c>
      <c r="AE10" s="4" t="s">
        <v>23</v>
      </c>
      <c r="AF10" s="4" t="s">
        <v>28</v>
      </c>
      <c r="AG10"/>
      <c r="AH10" s="15" t="s">
        <v>29</v>
      </c>
      <c r="AI10" s="15" t="s">
        <v>31</v>
      </c>
      <c r="AJ10"/>
    </row>
    <row r="11" spans="1:36" hidden="1" x14ac:dyDescent="0.25">
      <c r="A11" s="2"/>
      <c r="B11" s="2" t="s">
        <v>33</v>
      </c>
      <c r="C11" s="2" t="s">
        <v>34</v>
      </c>
      <c r="D11" s="2" t="s">
        <v>35</v>
      </c>
      <c r="E11" s="13">
        <v>0.25</v>
      </c>
      <c r="F11" s="2">
        <v>3.1E-2</v>
      </c>
      <c r="G11" s="3">
        <v>1.4E-2</v>
      </c>
      <c r="H11" s="3"/>
      <c r="I11" s="2">
        <v>0</v>
      </c>
      <c r="J11" s="2">
        <v>0</v>
      </c>
      <c r="K11" s="2"/>
      <c r="L11" s="2"/>
      <c r="M11" s="2"/>
      <c r="N11" s="2"/>
      <c r="O11" s="8">
        <f t="shared" ref="O11:O68" si="0">+I11+J11+K11+L11+M11+N11-SUM(P11:Z11)</f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2"/>
      <c r="AA11" s="7">
        <f t="shared" ref="AA11:AA68" si="1">+G11*SUM(I11:N11)</f>
        <v>0</v>
      </c>
      <c r="AB11" s="8" t="s">
        <v>26</v>
      </c>
      <c r="AC11" s="8" t="str">
        <f>VLOOKUP(D11,'[1]Estándar de Emp Ind Daiki'!$O:$P,2,0)</f>
        <v>INDIVIDUALES</v>
      </c>
      <c r="AD11" s="8">
        <v>260</v>
      </c>
      <c r="AE11" s="8" t="s">
        <v>101</v>
      </c>
      <c r="AF11" s="8">
        <f t="shared" ref="AF11:AF68" si="2">+SUM(I11:N11)/AD11</f>
        <v>0</v>
      </c>
      <c r="AG11"/>
      <c r="AH11" s="16" t="s">
        <v>26</v>
      </c>
      <c r="AI11" s="15">
        <v>0</v>
      </c>
      <c r="AJ11"/>
    </row>
    <row r="12" spans="1:36" hidden="1" x14ac:dyDescent="0.25">
      <c r="A12" s="2"/>
      <c r="B12" s="2" t="s">
        <v>33</v>
      </c>
      <c r="C12" s="2" t="s">
        <v>34</v>
      </c>
      <c r="D12" s="2" t="s">
        <v>36</v>
      </c>
      <c r="E12" s="13">
        <v>0.375</v>
      </c>
      <c r="F12" s="2">
        <v>2.8000000000000001E-2</v>
      </c>
      <c r="G12" s="3">
        <v>0.10199999999999999</v>
      </c>
      <c r="H12" s="3"/>
      <c r="I12" s="2">
        <v>0</v>
      </c>
      <c r="J12" s="2">
        <v>0</v>
      </c>
      <c r="K12" s="2"/>
      <c r="L12" s="2"/>
      <c r="M12" s="2"/>
      <c r="N12" s="2"/>
      <c r="O12" s="8">
        <f t="shared" si="0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2"/>
      <c r="AA12" s="7">
        <f t="shared" si="1"/>
        <v>0</v>
      </c>
      <c r="AB12" s="8" t="s">
        <v>95</v>
      </c>
      <c r="AC12" s="8" t="str">
        <f>VLOOKUP(D12,'[1]Estándar de Emp Ind Daiki'!$O:$P,2,0)</f>
        <v>HEADERS</v>
      </c>
      <c r="AD12" s="8">
        <v>70</v>
      </c>
      <c r="AE12" s="8" t="s">
        <v>101</v>
      </c>
      <c r="AF12" s="8">
        <f t="shared" si="2"/>
        <v>0</v>
      </c>
      <c r="AG12"/>
      <c r="AH12" s="16" t="s">
        <v>95</v>
      </c>
      <c r="AI12" s="15">
        <v>0</v>
      </c>
      <c r="AJ12"/>
    </row>
    <row r="13" spans="1:36" x14ac:dyDescent="0.25">
      <c r="A13" s="2"/>
      <c r="B13" s="2" t="s">
        <v>33</v>
      </c>
      <c r="C13" s="2" t="s">
        <v>34</v>
      </c>
      <c r="D13" s="2" t="s">
        <v>37</v>
      </c>
      <c r="E13" s="13">
        <v>0.375</v>
      </c>
      <c r="F13" s="2">
        <v>2.8000000000000001E-2</v>
      </c>
      <c r="G13" s="3">
        <v>0.107</v>
      </c>
      <c r="H13" s="3"/>
      <c r="I13" s="2">
        <v>840</v>
      </c>
      <c r="J13" s="2">
        <v>0</v>
      </c>
      <c r="K13" s="2"/>
      <c r="L13" s="2"/>
      <c r="M13" s="2"/>
      <c r="N13" s="2"/>
      <c r="O13" s="8">
        <f t="shared" si="0"/>
        <v>840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2"/>
      <c r="AA13" s="7">
        <f t="shared" si="1"/>
        <v>89.88</v>
      </c>
      <c r="AB13" s="8" t="s">
        <v>95</v>
      </c>
      <c r="AC13" s="8" t="str">
        <f>VLOOKUP(D13,'[1]Estándar de Emp Ind Daiki'!$O:$P,2,0)</f>
        <v>HEADERS</v>
      </c>
      <c r="AD13" s="8">
        <v>70</v>
      </c>
      <c r="AE13" s="8" t="s">
        <v>101</v>
      </c>
      <c r="AF13" s="8">
        <f t="shared" si="2"/>
        <v>12</v>
      </c>
      <c r="AG13"/>
      <c r="AH13" s="16" t="s">
        <v>27</v>
      </c>
      <c r="AI13" s="15">
        <v>0</v>
      </c>
      <c r="AJ13"/>
    </row>
    <row r="14" spans="1:36" hidden="1" x14ac:dyDescent="0.25">
      <c r="A14" s="2"/>
      <c r="B14" s="2" t="s">
        <v>33</v>
      </c>
      <c r="C14" s="2" t="s">
        <v>34</v>
      </c>
      <c r="D14" s="2" t="s">
        <v>38</v>
      </c>
      <c r="E14" s="13">
        <v>0.375</v>
      </c>
      <c r="F14" s="2">
        <v>3.1E-2</v>
      </c>
      <c r="G14" s="3">
        <v>6.4000000000000001E-2</v>
      </c>
      <c r="H14" s="3"/>
      <c r="I14" s="2">
        <v>0</v>
      </c>
      <c r="J14" s="2">
        <v>0</v>
      </c>
      <c r="K14" s="2"/>
      <c r="L14" s="2"/>
      <c r="M14" s="2"/>
      <c r="N14" s="2"/>
      <c r="O14" s="8">
        <f t="shared" si="0"/>
        <v>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2"/>
      <c r="AA14" s="7">
        <f t="shared" si="1"/>
        <v>0</v>
      </c>
      <c r="AB14" s="8" t="s">
        <v>26</v>
      </c>
      <c r="AC14" s="8" t="str">
        <f>VLOOKUP(D14,'[1]Estándar de Emp Ind Daiki'!$O:$P,2,0)</f>
        <v>INDIVIDUALES</v>
      </c>
      <c r="AD14" s="8">
        <v>70</v>
      </c>
      <c r="AE14" s="8" t="s">
        <v>101</v>
      </c>
      <c r="AF14" s="8">
        <f t="shared" si="2"/>
        <v>0</v>
      </c>
      <c r="AG14"/>
      <c r="AH14" s="16" t="s">
        <v>96</v>
      </c>
      <c r="AI14" s="15">
        <v>0</v>
      </c>
      <c r="AJ14"/>
    </row>
    <row r="15" spans="1:36" hidden="1" x14ac:dyDescent="0.25">
      <c r="A15" s="2"/>
      <c r="B15" s="2" t="s">
        <v>33</v>
      </c>
      <c r="C15" s="2" t="s">
        <v>34</v>
      </c>
      <c r="D15" s="2" t="s">
        <v>39</v>
      </c>
      <c r="E15" s="13">
        <v>0.375</v>
      </c>
      <c r="F15" s="2">
        <v>2.8000000000000001E-2</v>
      </c>
      <c r="G15" s="3">
        <v>0.11700000000000001</v>
      </c>
      <c r="H15" s="3"/>
      <c r="I15" s="2">
        <v>0</v>
      </c>
      <c r="J15" s="2">
        <v>0</v>
      </c>
      <c r="K15" s="2"/>
      <c r="L15" s="2"/>
      <c r="M15" s="2"/>
      <c r="N15" s="2"/>
      <c r="O15" s="8">
        <f t="shared" si="0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2"/>
      <c r="AA15" s="7">
        <f t="shared" si="1"/>
        <v>0</v>
      </c>
      <c r="AB15" s="8" t="s">
        <v>95</v>
      </c>
      <c r="AC15" s="8" t="str">
        <f>VLOOKUP(D15,'[1]Estándar de Emp Ind Daiki'!$O:$P,2,0)</f>
        <v>HEADERS</v>
      </c>
      <c r="AD15" s="8">
        <v>70</v>
      </c>
      <c r="AE15" s="8" t="s">
        <v>101</v>
      </c>
      <c r="AF15" s="8">
        <f t="shared" si="2"/>
        <v>0</v>
      </c>
      <c r="AG15"/>
      <c r="AH15" s="16" t="s">
        <v>97</v>
      </c>
      <c r="AI15" s="15">
        <v>0</v>
      </c>
      <c r="AJ15"/>
    </row>
    <row r="16" spans="1:36" hidden="1" x14ac:dyDescent="0.25">
      <c r="A16" s="2"/>
      <c r="B16" s="2" t="s">
        <v>33</v>
      </c>
      <c r="C16" s="2" t="s">
        <v>34</v>
      </c>
      <c r="D16" s="2" t="s">
        <v>40</v>
      </c>
      <c r="E16" s="13">
        <v>0.375</v>
      </c>
      <c r="F16" s="2">
        <v>3.1E-2</v>
      </c>
      <c r="G16" s="3">
        <v>6.2E-2</v>
      </c>
      <c r="H16" s="3"/>
      <c r="I16" s="2">
        <v>0</v>
      </c>
      <c r="J16" s="2">
        <v>0</v>
      </c>
      <c r="K16" s="2"/>
      <c r="L16" s="2"/>
      <c r="M16" s="2"/>
      <c r="N16" s="2"/>
      <c r="O16" s="8">
        <f t="shared" si="0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2"/>
      <c r="AA16" s="7">
        <f t="shared" si="1"/>
        <v>0</v>
      </c>
      <c r="AB16" s="8" t="s">
        <v>26</v>
      </c>
      <c r="AC16" s="8" t="str">
        <f>VLOOKUP(D16,'[1]Estándar de Emp Ind Daiki'!$O:$P,2,0)</f>
        <v>INDIVIDUALES</v>
      </c>
      <c r="AD16" s="8">
        <v>160</v>
      </c>
      <c r="AE16" s="8" t="s">
        <v>101</v>
      </c>
      <c r="AF16" s="8">
        <f t="shared" si="2"/>
        <v>0</v>
      </c>
      <c r="AG16"/>
      <c r="AH16" s="16" t="s">
        <v>30</v>
      </c>
      <c r="AI16" s="15">
        <v>0</v>
      </c>
      <c r="AJ16"/>
    </row>
    <row r="17" spans="1:36" hidden="1" x14ac:dyDescent="0.25">
      <c r="A17" s="2"/>
      <c r="B17" s="2" t="s">
        <v>33</v>
      </c>
      <c r="C17" s="2" t="s">
        <v>34</v>
      </c>
      <c r="D17" s="2" t="s">
        <v>41</v>
      </c>
      <c r="E17" s="13">
        <v>0.375</v>
      </c>
      <c r="F17" s="2">
        <v>2.8000000000000001E-2</v>
      </c>
      <c r="G17" s="3">
        <v>7.8E-2</v>
      </c>
      <c r="H17" s="3"/>
      <c r="I17" s="2">
        <v>0</v>
      </c>
      <c r="J17" s="2">
        <v>0</v>
      </c>
      <c r="K17" s="2"/>
      <c r="L17" s="2"/>
      <c r="M17" s="2"/>
      <c r="N17" s="2"/>
      <c r="O17" s="8">
        <f t="shared" si="0"/>
        <v>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2"/>
      <c r="AA17" s="7">
        <f t="shared" si="1"/>
        <v>0</v>
      </c>
      <c r="AB17" s="8" t="s">
        <v>95</v>
      </c>
      <c r="AC17" s="8" t="str">
        <f>VLOOKUP(D17,'[1]Estándar de Emp Ind Daiki'!$O:$P,2,0)</f>
        <v>HEADERS</v>
      </c>
      <c r="AD17" s="8">
        <v>200</v>
      </c>
      <c r="AE17" s="8" t="s">
        <v>101</v>
      </c>
      <c r="AF17" s="8">
        <f t="shared" si="2"/>
        <v>0</v>
      </c>
      <c r="AG17"/>
      <c r="AH17"/>
      <c r="AI17"/>
      <c r="AJ17"/>
    </row>
    <row r="18" spans="1:36" hidden="1" x14ac:dyDescent="0.25">
      <c r="A18" s="2"/>
      <c r="B18" s="2" t="s">
        <v>33</v>
      </c>
      <c r="C18" s="2" t="s">
        <v>34</v>
      </c>
      <c r="D18" s="2" t="s">
        <v>42</v>
      </c>
      <c r="E18" s="13">
        <v>0.375</v>
      </c>
      <c r="F18" s="2">
        <v>2.8000000000000001E-2</v>
      </c>
      <c r="G18" s="3">
        <v>4.7E-2</v>
      </c>
      <c r="H18" s="3"/>
      <c r="I18" s="2">
        <v>0</v>
      </c>
      <c r="J18" s="2">
        <v>0</v>
      </c>
      <c r="K18" s="2"/>
      <c r="L18" s="2"/>
      <c r="M18" s="2"/>
      <c r="N18" s="2"/>
      <c r="O18" s="8">
        <f t="shared" si="0"/>
        <v>0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2"/>
      <c r="AA18" s="7">
        <f t="shared" si="1"/>
        <v>0</v>
      </c>
      <c r="AB18" s="8" t="s">
        <v>95</v>
      </c>
      <c r="AC18" s="8" t="str">
        <f>VLOOKUP(D18,'[1]Estándar de Emp Ind Daiki'!$O:$P,2,0)</f>
        <v>HEADERS</v>
      </c>
      <c r="AD18" s="8">
        <v>280</v>
      </c>
      <c r="AE18" s="8" t="s">
        <v>101</v>
      </c>
      <c r="AF18" s="8">
        <f t="shared" si="2"/>
        <v>0</v>
      </c>
      <c r="AG18"/>
      <c r="AH18"/>
      <c r="AI18"/>
      <c r="AJ18"/>
    </row>
    <row r="19" spans="1:36" hidden="1" x14ac:dyDescent="0.25">
      <c r="A19" s="2"/>
      <c r="B19" s="2" t="s">
        <v>33</v>
      </c>
      <c r="C19" s="2" t="s">
        <v>34</v>
      </c>
      <c r="D19" s="2" t="s">
        <v>43</v>
      </c>
      <c r="E19" s="13">
        <v>0.375</v>
      </c>
      <c r="F19" s="2">
        <v>2.8000000000000001E-2</v>
      </c>
      <c r="G19" s="3">
        <v>1.9E-2</v>
      </c>
      <c r="H19" s="3"/>
      <c r="I19" s="2">
        <v>0</v>
      </c>
      <c r="J19" s="2">
        <v>0</v>
      </c>
      <c r="K19" s="2"/>
      <c r="L19" s="2"/>
      <c r="M19" s="2"/>
      <c r="N19" s="2"/>
      <c r="O19" s="8">
        <f t="shared" si="0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2"/>
      <c r="AA19" s="7">
        <f t="shared" si="1"/>
        <v>0</v>
      </c>
      <c r="AB19" s="8" t="s">
        <v>26</v>
      </c>
      <c r="AC19" s="8" t="str">
        <f>VLOOKUP(D19,'[1]Estándar de Emp Ind Daiki'!$O:$P,2,0)</f>
        <v>INDIVIDUALES</v>
      </c>
      <c r="AD19" s="8">
        <v>260</v>
      </c>
      <c r="AE19" s="8" t="s">
        <v>101</v>
      </c>
      <c r="AF19" s="8">
        <f t="shared" si="2"/>
        <v>0</v>
      </c>
      <c r="AG19"/>
      <c r="AH19"/>
      <c r="AI19"/>
      <c r="AJ19"/>
    </row>
    <row r="20" spans="1:36" hidden="1" x14ac:dyDescent="0.25">
      <c r="A20" s="2"/>
      <c r="B20" s="2" t="s">
        <v>33</v>
      </c>
      <c r="C20" s="2" t="s">
        <v>34</v>
      </c>
      <c r="D20" s="2" t="s">
        <v>44</v>
      </c>
      <c r="E20" s="13">
        <v>0.375</v>
      </c>
      <c r="F20" s="2">
        <v>2.8000000000000001E-2</v>
      </c>
      <c r="G20" s="3">
        <v>1.0999999999999999E-2</v>
      </c>
      <c r="H20" s="3"/>
      <c r="I20" s="2">
        <v>0</v>
      </c>
      <c r="J20" s="2">
        <v>0</v>
      </c>
      <c r="K20" s="2"/>
      <c r="L20" s="2"/>
      <c r="M20" s="2"/>
      <c r="N20" s="2"/>
      <c r="O20" s="8">
        <f t="shared" si="0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2"/>
      <c r="AA20" s="7">
        <f t="shared" si="1"/>
        <v>0</v>
      </c>
      <c r="AB20" s="8" t="s">
        <v>26</v>
      </c>
      <c r="AC20" s="8" t="str">
        <f>VLOOKUP(D20,'[1]Estándar de Emp Ind Daiki'!$O:$P,2,0)</f>
        <v>INDIVIDUALES</v>
      </c>
      <c r="AD20" s="8">
        <v>520</v>
      </c>
      <c r="AE20" s="8" t="s">
        <v>101</v>
      </c>
      <c r="AF20" s="8">
        <f t="shared" si="2"/>
        <v>0</v>
      </c>
      <c r="AG20"/>
      <c r="AH20"/>
      <c r="AI20"/>
      <c r="AJ20"/>
    </row>
    <row r="21" spans="1:36" hidden="1" x14ac:dyDescent="0.25">
      <c r="A21" s="2"/>
      <c r="B21" s="2" t="s">
        <v>33</v>
      </c>
      <c r="C21" s="2" t="s">
        <v>34</v>
      </c>
      <c r="D21" s="2" t="s">
        <v>45</v>
      </c>
      <c r="E21" s="13">
        <v>0.5</v>
      </c>
      <c r="F21" s="2">
        <v>3.1E-2</v>
      </c>
      <c r="G21" s="3">
        <v>0.14599999999999999</v>
      </c>
      <c r="H21" s="3"/>
      <c r="I21" s="2">
        <v>0</v>
      </c>
      <c r="J21" s="2">
        <v>0</v>
      </c>
      <c r="K21" s="2"/>
      <c r="L21" s="2"/>
      <c r="M21" s="2"/>
      <c r="N21" s="2"/>
      <c r="O21" s="8">
        <f t="shared" si="0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2"/>
      <c r="AA21" s="7">
        <f t="shared" si="1"/>
        <v>0</v>
      </c>
      <c r="AB21" s="8" t="s">
        <v>27</v>
      </c>
      <c r="AC21" s="8" t="str">
        <f>VLOOKUP(D21,'[1]Estándar de Emp Ind Daiki'!$O:$P,2,0)</f>
        <v>INDIVIDUALES</v>
      </c>
      <c r="AD21" s="8">
        <v>150</v>
      </c>
      <c r="AE21" s="8" t="s">
        <v>101</v>
      </c>
      <c r="AF21" s="8">
        <f t="shared" si="2"/>
        <v>0</v>
      </c>
      <c r="AG21"/>
      <c r="AH21"/>
      <c r="AI21"/>
      <c r="AJ21"/>
    </row>
    <row r="22" spans="1:36" hidden="1" x14ac:dyDescent="0.25">
      <c r="A22" s="2"/>
      <c r="B22" s="2" t="s">
        <v>33</v>
      </c>
      <c r="C22" s="2" t="s">
        <v>34</v>
      </c>
      <c r="D22" s="2" t="s">
        <v>46</v>
      </c>
      <c r="E22" s="13">
        <v>0.5</v>
      </c>
      <c r="F22" s="2">
        <v>3.5000000000000003E-2</v>
      </c>
      <c r="G22" s="3">
        <v>0.217</v>
      </c>
      <c r="H22" s="3"/>
      <c r="I22" s="2">
        <v>0</v>
      </c>
      <c r="J22" s="2">
        <v>0</v>
      </c>
      <c r="K22" s="2"/>
      <c r="L22" s="2"/>
      <c r="M22" s="2"/>
      <c r="N22" s="2"/>
      <c r="O22" s="8">
        <f t="shared" si="0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2"/>
      <c r="AA22" s="7">
        <f t="shared" si="1"/>
        <v>0</v>
      </c>
      <c r="AB22" s="8" t="s">
        <v>96</v>
      </c>
      <c r="AC22" s="8" t="str">
        <f>VLOOKUP(D22,'[1]Estándar de Emp Ind Daiki'!$O:$P,2,0)</f>
        <v>INDIVIDUALES</v>
      </c>
      <c r="AD22" s="8">
        <v>400</v>
      </c>
      <c r="AE22" s="8" t="s">
        <v>101</v>
      </c>
      <c r="AF22" s="8">
        <f t="shared" si="2"/>
        <v>0</v>
      </c>
      <c r="AG22"/>
      <c r="AH22"/>
      <c r="AI22"/>
      <c r="AJ22"/>
    </row>
    <row r="23" spans="1:36" hidden="1" x14ac:dyDescent="0.25">
      <c r="A23" s="2"/>
      <c r="B23" s="2" t="s">
        <v>33</v>
      </c>
      <c r="C23" s="2" t="s">
        <v>34</v>
      </c>
      <c r="D23" s="2" t="s">
        <v>47</v>
      </c>
      <c r="E23" s="13">
        <v>0.5</v>
      </c>
      <c r="F23" s="2">
        <v>3.1E-2</v>
      </c>
      <c r="G23" s="3">
        <v>0.106</v>
      </c>
      <c r="H23" s="3"/>
      <c r="I23" s="2">
        <v>1200</v>
      </c>
      <c r="J23" s="2">
        <v>0</v>
      </c>
      <c r="K23" s="2"/>
      <c r="L23" s="2"/>
      <c r="M23" s="2"/>
      <c r="N23" s="2"/>
      <c r="O23" s="8">
        <f t="shared" si="0"/>
        <v>0</v>
      </c>
      <c r="P23" s="19"/>
      <c r="Q23" s="43"/>
      <c r="R23" s="19"/>
      <c r="S23" s="2"/>
      <c r="T23" s="19">
        <v>300</v>
      </c>
      <c r="U23" s="2">
        <v>300</v>
      </c>
      <c r="V23" s="19">
        <v>600</v>
      </c>
      <c r="W23" s="19"/>
      <c r="X23" s="19"/>
      <c r="Y23" s="19"/>
      <c r="Z23" s="2"/>
      <c r="AA23" s="7">
        <f t="shared" si="1"/>
        <v>127.2</v>
      </c>
      <c r="AB23" s="8" t="s">
        <v>27</v>
      </c>
      <c r="AC23" s="8" t="str">
        <f>VLOOKUP(D23,'[1]Estándar de Emp Ind Daiki'!$O:$P,2,0)</f>
        <v>INDIVIDUALES</v>
      </c>
      <c r="AD23" s="8">
        <v>150</v>
      </c>
      <c r="AE23" s="8" t="s">
        <v>101</v>
      </c>
      <c r="AF23" s="8">
        <f t="shared" si="2"/>
        <v>8</v>
      </c>
      <c r="AG23"/>
      <c r="AH23"/>
      <c r="AI23"/>
      <c r="AJ23"/>
    </row>
    <row r="24" spans="1:36" x14ac:dyDescent="0.25">
      <c r="A24" s="2"/>
      <c r="B24" s="2" t="s">
        <v>33</v>
      </c>
      <c r="C24" s="2" t="s">
        <v>34</v>
      </c>
      <c r="D24" s="2" t="s">
        <v>48</v>
      </c>
      <c r="E24" s="13">
        <v>0.5</v>
      </c>
      <c r="F24" s="2">
        <v>3.5000000000000003E-2</v>
      </c>
      <c r="G24" s="3">
        <v>0.17699999999999999</v>
      </c>
      <c r="H24" s="3"/>
      <c r="I24" s="2">
        <v>1200</v>
      </c>
      <c r="J24" s="2">
        <v>0</v>
      </c>
      <c r="K24" s="2"/>
      <c r="L24" s="2"/>
      <c r="M24" s="2"/>
      <c r="N24" s="2"/>
      <c r="O24" s="8">
        <f t="shared" si="0"/>
        <v>670</v>
      </c>
      <c r="P24" s="19"/>
      <c r="Q24" s="19"/>
      <c r="R24" s="19">
        <v>530</v>
      </c>
      <c r="S24" s="2"/>
      <c r="T24" s="19"/>
      <c r="U24" s="2"/>
      <c r="V24" s="19"/>
      <c r="W24" s="19"/>
      <c r="X24" s="19"/>
      <c r="Y24" s="19"/>
      <c r="Z24" s="2"/>
      <c r="AA24" s="7">
        <f t="shared" si="1"/>
        <v>212.39999999999998</v>
      </c>
      <c r="AB24" s="8" t="s">
        <v>96</v>
      </c>
      <c r="AC24" s="8" t="str">
        <f>VLOOKUP(D24,'[1]Estándar de Emp Ind Daiki'!$O:$P,2,0)</f>
        <v>INDIVIDUALES</v>
      </c>
      <c r="AD24" s="8">
        <v>420</v>
      </c>
      <c r="AE24" s="8" t="s">
        <v>101</v>
      </c>
      <c r="AF24" s="8">
        <f t="shared" si="2"/>
        <v>2.8571428571428572</v>
      </c>
      <c r="AG24"/>
      <c r="AH24"/>
      <c r="AI24"/>
      <c r="AJ24"/>
    </row>
    <row r="25" spans="1:36" hidden="1" x14ac:dyDescent="0.25">
      <c r="A25" s="2"/>
      <c r="B25" s="2" t="s">
        <v>33</v>
      </c>
      <c r="C25" s="2" t="s">
        <v>34</v>
      </c>
      <c r="D25" s="2" t="s">
        <v>49</v>
      </c>
      <c r="E25" s="13">
        <v>0.625</v>
      </c>
      <c r="F25" s="2">
        <v>3.6999999999999998E-2</v>
      </c>
      <c r="G25" s="3">
        <v>0.20799999999999999</v>
      </c>
      <c r="H25" s="3"/>
      <c r="I25" s="2">
        <v>0</v>
      </c>
      <c r="J25" s="2">
        <v>0</v>
      </c>
      <c r="K25" s="2"/>
      <c r="L25" s="2"/>
      <c r="M25" s="2"/>
      <c r="N25" s="2"/>
      <c r="O25" s="8">
        <f t="shared" si="0"/>
        <v>0</v>
      </c>
      <c r="P25" s="19"/>
      <c r="Q25" s="19"/>
      <c r="R25" s="19"/>
      <c r="S25" s="2"/>
      <c r="T25" s="19"/>
      <c r="U25" s="2"/>
      <c r="V25" s="19"/>
      <c r="W25" s="19"/>
      <c r="X25" s="19"/>
      <c r="Y25" s="19"/>
      <c r="Z25" s="2"/>
      <c r="AA25" s="7">
        <f t="shared" si="1"/>
        <v>0</v>
      </c>
      <c r="AB25" s="8" t="s">
        <v>95</v>
      </c>
      <c r="AC25" s="8" t="str">
        <f>VLOOKUP(D25,'[1]Estándar de Emp Ind Daiki'!$O:$P,2,0)</f>
        <v>HEADERS</v>
      </c>
      <c r="AD25" s="8">
        <v>64</v>
      </c>
      <c r="AE25" s="8" t="s">
        <v>101</v>
      </c>
      <c r="AF25" s="8">
        <f t="shared" si="2"/>
        <v>0</v>
      </c>
      <c r="AG25"/>
      <c r="AH25"/>
      <c r="AI25"/>
      <c r="AJ25"/>
    </row>
    <row r="26" spans="1:36" hidden="1" x14ac:dyDescent="0.25">
      <c r="A26" s="2"/>
      <c r="B26" s="2" t="s">
        <v>33</v>
      </c>
      <c r="C26" s="2" t="s">
        <v>34</v>
      </c>
      <c r="D26" s="2" t="s">
        <v>50</v>
      </c>
      <c r="E26" s="13">
        <v>0.625</v>
      </c>
      <c r="F26" s="2">
        <v>3.6999999999999998E-2</v>
      </c>
      <c r="G26" s="3">
        <v>0.14499999999999999</v>
      </c>
      <c r="H26" s="3"/>
      <c r="I26" s="2">
        <v>0</v>
      </c>
      <c r="J26" s="2">
        <v>0</v>
      </c>
      <c r="K26" s="2"/>
      <c r="L26" s="2"/>
      <c r="M26" s="2"/>
      <c r="N26" s="2"/>
      <c r="O26" s="8">
        <f t="shared" si="0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2"/>
      <c r="AA26" s="7">
        <f t="shared" si="1"/>
        <v>0</v>
      </c>
      <c r="AB26" s="8" t="s">
        <v>27</v>
      </c>
      <c r="AC26" s="8" t="str">
        <f>VLOOKUP(D26,'[1]Estándar de Emp Ind Daiki'!$O:$P,2,0)</f>
        <v>INDIVIDUALES</v>
      </c>
      <c r="AD26" s="8">
        <v>92</v>
      </c>
      <c r="AE26" s="8" t="s">
        <v>101</v>
      </c>
      <c r="AF26" s="8">
        <f t="shared" si="2"/>
        <v>0</v>
      </c>
      <c r="AG26"/>
      <c r="AH26"/>
      <c r="AI26"/>
      <c r="AJ26"/>
    </row>
    <row r="27" spans="1:36" hidden="1" x14ac:dyDescent="0.25">
      <c r="A27" s="2"/>
      <c r="B27" s="2" t="s">
        <v>33</v>
      </c>
      <c r="C27" s="2" t="s">
        <v>34</v>
      </c>
      <c r="D27" s="2" t="s">
        <v>51</v>
      </c>
      <c r="E27" s="13">
        <v>0.625</v>
      </c>
      <c r="F27" s="2">
        <v>3.6999999999999998E-2</v>
      </c>
      <c r="G27" s="3">
        <v>0.46800000000000003</v>
      </c>
      <c r="H27" s="3"/>
      <c r="I27" s="2">
        <v>0</v>
      </c>
      <c r="J27" s="2">
        <v>0</v>
      </c>
      <c r="K27" s="2"/>
      <c r="L27" s="2"/>
      <c r="M27" s="2"/>
      <c r="N27" s="2"/>
      <c r="O27" s="8">
        <f t="shared" si="0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2"/>
      <c r="AA27" s="7">
        <f t="shared" si="1"/>
        <v>0</v>
      </c>
      <c r="AB27" s="8" t="s">
        <v>97</v>
      </c>
      <c r="AC27" s="8" t="str">
        <f>VLOOKUP(D27,'[1]Estándar de Emp Ind Daiki'!$O:$P,2,0)</f>
        <v>HEADERS</v>
      </c>
      <c r="AD27" s="8">
        <v>200</v>
      </c>
      <c r="AE27" s="8" t="s">
        <v>101</v>
      </c>
      <c r="AF27" s="8">
        <f t="shared" si="2"/>
        <v>0</v>
      </c>
      <c r="AG27"/>
      <c r="AH27"/>
      <c r="AI27"/>
      <c r="AJ27"/>
    </row>
    <row r="28" spans="1:36" hidden="1" x14ac:dyDescent="0.25">
      <c r="A28" s="2"/>
      <c r="B28" s="2" t="s">
        <v>33</v>
      </c>
      <c r="C28" s="2" t="s">
        <v>34</v>
      </c>
      <c r="D28" s="2" t="s">
        <v>52</v>
      </c>
      <c r="E28" s="13">
        <v>0.625</v>
      </c>
      <c r="F28" s="2">
        <v>3.6999999999999998E-2</v>
      </c>
      <c r="G28" s="3">
        <v>0.31900000000000001</v>
      </c>
      <c r="H28" s="3"/>
      <c r="I28" s="2">
        <v>0</v>
      </c>
      <c r="J28" s="2">
        <v>0</v>
      </c>
      <c r="K28" s="2"/>
      <c r="L28" s="2"/>
      <c r="M28" s="2"/>
      <c r="N28" s="2"/>
      <c r="O28" s="8">
        <f t="shared" si="0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2"/>
      <c r="AA28" s="7">
        <f t="shared" si="1"/>
        <v>0</v>
      </c>
      <c r="AB28" s="8" t="s">
        <v>97</v>
      </c>
      <c r="AC28" s="8" t="str">
        <f>VLOOKUP(D28,'[1]Estándar de Emp Ind Daiki'!$O:$P,2,0)</f>
        <v>INDIVIDUALES</v>
      </c>
      <c r="AD28" s="8">
        <v>260</v>
      </c>
      <c r="AE28" s="8" t="s">
        <v>101</v>
      </c>
      <c r="AF28" s="8">
        <f t="shared" si="2"/>
        <v>0</v>
      </c>
      <c r="AG28"/>
    </row>
    <row r="29" spans="1:36" hidden="1" x14ac:dyDescent="0.25">
      <c r="A29" s="2"/>
      <c r="B29" s="2" t="s">
        <v>33</v>
      </c>
      <c r="C29" s="2" t="s">
        <v>34</v>
      </c>
      <c r="D29" s="2" t="s">
        <v>53</v>
      </c>
      <c r="E29" s="13">
        <v>0.625</v>
      </c>
      <c r="F29" s="2">
        <v>3.6999999999999998E-2</v>
      </c>
      <c r="G29" s="3">
        <v>0.15</v>
      </c>
      <c r="H29" s="3"/>
      <c r="I29" s="2">
        <v>0</v>
      </c>
      <c r="J29" s="2">
        <v>0</v>
      </c>
      <c r="K29" s="2"/>
      <c r="L29" s="2"/>
      <c r="M29" s="2"/>
      <c r="N29" s="2"/>
      <c r="O29" s="8">
        <f t="shared" si="0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2"/>
      <c r="AA29" s="7">
        <f t="shared" si="1"/>
        <v>0</v>
      </c>
      <c r="AB29" s="8" t="s">
        <v>27</v>
      </c>
      <c r="AC29" s="8" t="str">
        <f>VLOOKUP(D29,'[1]Estándar de Emp Ind Daiki'!$O:$P,2,0)</f>
        <v>INDIVIDUALES</v>
      </c>
      <c r="AD29" s="8">
        <v>100</v>
      </c>
      <c r="AE29" s="8" t="s">
        <v>101</v>
      </c>
      <c r="AF29" s="8">
        <f t="shared" si="2"/>
        <v>0</v>
      </c>
      <c r="AG29"/>
    </row>
    <row r="30" spans="1:36" x14ac:dyDescent="0.25">
      <c r="A30" s="2"/>
      <c r="B30" s="2" t="s">
        <v>33</v>
      </c>
      <c r="C30" s="2" t="s">
        <v>34</v>
      </c>
      <c r="D30" s="2" t="s">
        <v>54</v>
      </c>
      <c r="E30" s="13">
        <v>0.625</v>
      </c>
      <c r="F30" s="2">
        <v>3.6999999999999998E-2</v>
      </c>
      <c r="G30" s="3">
        <v>0.159</v>
      </c>
      <c r="H30" s="3"/>
      <c r="I30" s="2">
        <v>1088</v>
      </c>
      <c r="J30" s="2">
        <v>2000</v>
      </c>
      <c r="K30" s="2"/>
      <c r="L30" s="2"/>
      <c r="M30" s="2"/>
      <c r="N30" s="2"/>
      <c r="O30" s="8">
        <f t="shared" si="0"/>
        <v>2000</v>
      </c>
      <c r="P30" s="19"/>
      <c r="Q30" s="19"/>
      <c r="R30" s="19"/>
      <c r="S30" s="2"/>
      <c r="T30" s="19"/>
      <c r="U30" s="2"/>
      <c r="V30" s="19"/>
      <c r="W30" s="19"/>
      <c r="X30" s="19"/>
      <c r="Y30" s="19"/>
      <c r="Z30" s="2">
        <v>1088</v>
      </c>
      <c r="AA30" s="7">
        <f t="shared" si="1"/>
        <v>490.99200000000002</v>
      </c>
      <c r="AB30" s="8" t="s">
        <v>95</v>
      </c>
      <c r="AC30" s="8" t="str">
        <f>VLOOKUP(D30,'[1]Estándar de Emp Ind Daiki'!$O:$P,2,0)</f>
        <v>HEADERS</v>
      </c>
      <c r="AD30" s="8">
        <v>64</v>
      </c>
      <c r="AE30" s="8" t="s">
        <v>101</v>
      </c>
      <c r="AF30" s="8">
        <f t="shared" si="2"/>
        <v>48.25</v>
      </c>
      <c r="AG30"/>
    </row>
    <row r="31" spans="1:36" hidden="1" x14ac:dyDescent="0.25">
      <c r="A31" s="2"/>
      <c r="B31" s="2" t="s">
        <v>33</v>
      </c>
      <c r="C31" s="2" t="s">
        <v>34</v>
      </c>
      <c r="D31" s="2" t="s">
        <v>55</v>
      </c>
      <c r="E31" s="13" t="s">
        <v>57</v>
      </c>
      <c r="F31" s="2">
        <v>2.8000000000000001E-2</v>
      </c>
      <c r="G31" s="3">
        <v>0.02</v>
      </c>
      <c r="H31" s="3"/>
      <c r="I31" s="2">
        <v>0</v>
      </c>
      <c r="J31" s="2">
        <v>0</v>
      </c>
      <c r="K31" s="2"/>
      <c r="L31" s="2"/>
      <c r="M31" s="2"/>
      <c r="N31" s="2"/>
      <c r="O31" s="8">
        <f t="shared" si="0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2"/>
      <c r="AA31" s="7">
        <f t="shared" si="1"/>
        <v>0</v>
      </c>
      <c r="AB31" s="8" t="s">
        <v>26</v>
      </c>
      <c r="AC31" s="8" t="str">
        <f>VLOOKUP(D31,'[1]Estándar de Emp Ind Daiki'!$O:$P,2,0)</f>
        <v>INDIVIDUALES</v>
      </c>
      <c r="AD31" s="8">
        <v>200</v>
      </c>
      <c r="AE31" s="8" t="s">
        <v>101</v>
      </c>
      <c r="AF31" s="8">
        <f t="shared" si="2"/>
        <v>0</v>
      </c>
      <c r="AG31"/>
    </row>
    <row r="32" spans="1:36" hidden="1" x14ac:dyDescent="0.25">
      <c r="A32" s="2"/>
      <c r="B32" s="2" t="s">
        <v>33</v>
      </c>
      <c r="C32" s="2" t="s">
        <v>34</v>
      </c>
      <c r="D32" s="2" t="s">
        <v>56</v>
      </c>
      <c r="E32" s="13" t="s">
        <v>57</v>
      </c>
      <c r="F32" s="2">
        <v>2.8000000000000001E-2</v>
      </c>
      <c r="G32" s="3">
        <v>1.2E-2</v>
      </c>
      <c r="H32" s="3"/>
      <c r="I32" s="2">
        <v>0</v>
      </c>
      <c r="J32" s="2">
        <v>0</v>
      </c>
      <c r="K32" s="2"/>
      <c r="L32" s="2"/>
      <c r="M32" s="2"/>
      <c r="N32" s="2"/>
      <c r="O32" s="8">
        <f t="shared" si="0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2"/>
      <c r="AA32" s="7">
        <f t="shared" si="1"/>
        <v>0</v>
      </c>
      <c r="AB32" s="8" t="s">
        <v>26</v>
      </c>
      <c r="AC32" s="8" t="str">
        <f>VLOOKUP(D32,'[1]Estándar de Emp Ind Daiki'!$O:$P,2,0)</f>
        <v>INDIVIDUALES</v>
      </c>
      <c r="AD32" s="8">
        <v>200</v>
      </c>
      <c r="AE32" s="8" t="s">
        <v>101</v>
      </c>
      <c r="AF32" s="8">
        <f t="shared" si="2"/>
        <v>0</v>
      </c>
      <c r="AG32"/>
    </row>
    <row r="33" spans="1:33" hidden="1" x14ac:dyDescent="0.25">
      <c r="A33" s="2"/>
      <c r="B33" s="2" t="s">
        <v>33</v>
      </c>
      <c r="C33" s="2" t="s">
        <v>94</v>
      </c>
      <c r="D33" s="2" t="s">
        <v>58</v>
      </c>
      <c r="E33" s="13">
        <v>0.25</v>
      </c>
      <c r="F33" s="2">
        <v>2.8000000000000001E-2</v>
      </c>
      <c r="G33" s="3">
        <v>1.0999999999999999E-2</v>
      </c>
      <c r="H33" s="3"/>
      <c r="I33" s="2">
        <v>0</v>
      </c>
      <c r="J33" s="2">
        <v>0</v>
      </c>
      <c r="K33" s="2"/>
      <c r="L33" s="2"/>
      <c r="M33" s="2"/>
      <c r="N33" s="2"/>
      <c r="O33" s="8">
        <f t="shared" si="0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2"/>
      <c r="AA33" s="7">
        <f t="shared" si="1"/>
        <v>0</v>
      </c>
      <c r="AB33" s="8" t="s">
        <v>26</v>
      </c>
      <c r="AC33" s="8" t="str">
        <f>VLOOKUP(D33,'[1]Estándar de Emp Ind Daiki'!$O:$P,2,0)</f>
        <v>INDIVIDUALES</v>
      </c>
      <c r="AD33" s="8">
        <v>500</v>
      </c>
      <c r="AE33" s="8" t="s">
        <v>102</v>
      </c>
      <c r="AF33" s="8">
        <f t="shared" si="2"/>
        <v>0</v>
      </c>
      <c r="AG33"/>
    </row>
    <row r="34" spans="1:33" hidden="1" x14ac:dyDescent="0.25">
      <c r="A34" s="2"/>
      <c r="B34" s="2" t="s">
        <v>33</v>
      </c>
      <c r="C34" s="2" t="s">
        <v>94</v>
      </c>
      <c r="D34" s="2" t="s">
        <v>59</v>
      </c>
      <c r="E34" s="13">
        <v>0.25</v>
      </c>
      <c r="F34" s="2">
        <v>3.1E-2</v>
      </c>
      <c r="G34" s="3">
        <v>1.7000000000000001E-2</v>
      </c>
      <c r="H34" s="3"/>
      <c r="I34" s="2">
        <v>0</v>
      </c>
      <c r="J34" s="2">
        <v>1000</v>
      </c>
      <c r="K34" s="2"/>
      <c r="L34" s="2"/>
      <c r="M34" s="2"/>
      <c r="N34" s="2"/>
      <c r="O34" s="8">
        <f t="shared" si="0"/>
        <v>-600</v>
      </c>
      <c r="P34" s="19"/>
      <c r="Q34" s="19"/>
      <c r="R34" s="19"/>
      <c r="S34" s="2"/>
      <c r="T34" s="19"/>
      <c r="U34" s="2"/>
      <c r="V34" s="19"/>
      <c r="W34" s="19"/>
      <c r="X34" s="19">
        <v>1600</v>
      </c>
      <c r="Y34" s="19"/>
      <c r="Z34" s="2"/>
      <c r="AA34" s="7">
        <f t="shared" si="1"/>
        <v>17</v>
      </c>
      <c r="AB34" s="8" t="s">
        <v>26</v>
      </c>
      <c r="AC34" s="8" t="str">
        <f>VLOOKUP(D34,'[1]Estándar de Emp Ind Daiki'!$O:$P,2,0)</f>
        <v>INDIVIDUALES</v>
      </c>
      <c r="AD34" s="8">
        <v>200</v>
      </c>
      <c r="AE34" s="8" t="s">
        <v>102</v>
      </c>
      <c r="AF34" s="8">
        <f t="shared" si="2"/>
        <v>5</v>
      </c>
      <c r="AG34"/>
    </row>
    <row r="35" spans="1:33" x14ac:dyDescent="0.25">
      <c r="A35" s="2"/>
      <c r="B35" s="2" t="s">
        <v>33</v>
      </c>
      <c r="C35" s="2" t="s">
        <v>94</v>
      </c>
      <c r="D35" s="2" t="s">
        <v>60</v>
      </c>
      <c r="E35" s="13">
        <v>0.25</v>
      </c>
      <c r="F35" s="2">
        <v>3.1E-2</v>
      </c>
      <c r="G35" s="3">
        <v>4.2000000000000003E-2</v>
      </c>
      <c r="H35" s="3"/>
      <c r="I35" s="2">
        <v>0</v>
      </c>
      <c r="J35" s="2">
        <v>1000</v>
      </c>
      <c r="K35" s="2"/>
      <c r="L35" s="2"/>
      <c r="M35" s="2"/>
      <c r="N35" s="2"/>
      <c r="O35" s="8">
        <f t="shared" si="0"/>
        <v>1000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2"/>
      <c r="AA35" s="7">
        <f t="shared" si="1"/>
        <v>42</v>
      </c>
      <c r="AB35" s="8" t="s">
        <v>26</v>
      </c>
      <c r="AC35" s="8" t="str">
        <f>VLOOKUP(D35,'[1]Estándar de Emp Ind Daiki'!$O:$P,2,0)</f>
        <v>INDIVIDUALES</v>
      </c>
      <c r="AD35" s="8">
        <v>200</v>
      </c>
      <c r="AE35" s="8" t="s">
        <v>102</v>
      </c>
      <c r="AF35" s="8">
        <f t="shared" si="2"/>
        <v>5</v>
      </c>
      <c r="AG35"/>
    </row>
    <row r="36" spans="1:33" x14ac:dyDescent="0.25">
      <c r="A36" s="2"/>
      <c r="B36" s="2" t="s">
        <v>33</v>
      </c>
      <c r="C36" s="2" t="s">
        <v>94</v>
      </c>
      <c r="D36" s="2" t="s">
        <v>61</v>
      </c>
      <c r="E36" s="13">
        <v>0.25</v>
      </c>
      <c r="F36" s="2">
        <v>3.1E-2</v>
      </c>
      <c r="G36" s="3">
        <v>2.8000000000000001E-2</v>
      </c>
      <c r="H36" s="3"/>
      <c r="I36" s="2">
        <v>0</v>
      </c>
      <c r="J36" s="2">
        <v>900</v>
      </c>
      <c r="K36" s="2"/>
      <c r="L36" s="2"/>
      <c r="M36" s="2"/>
      <c r="N36" s="2"/>
      <c r="O36" s="8">
        <f t="shared" si="0"/>
        <v>900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2"/>
      <c r="AA36" s="7">
        <f t="shared" si="1"/>
        <v>25.2</v>
      </c>
      <c r="AB36" s="8" t="s">
        <v>26</v>
      </c>
      <c r="AC36" s="8" t="str">
        <f>VLOOKUP(D36,'[1]Estándar de Emp Ind Daiki'!$O:$P,2,0)</f>
        <v>INDIVIDUALES</v>
      </c>
      <c r="AD36" s="8">
        <v>100</v>
      </c>
      <c r="AE36" s="8" t="s">
        <v>102</v>
      </c>
      <c r="AF36" s="8">
        <f t="shared" si="2"/>
        <v>9</v>
      </c>
      <c r="AG36"/>
    </row>
    <row r="37" spans="1:33" hidden="1" x14ac:dyDescent="0.25">
      <c r="A37" s="2"/>
      <c r="B37" s="2" t="s">
        <v>33</v>
      </c>
      <c r="C37" s="2" t="s">
        <v>94</v>
      </c>
      <c r="D37" s="2" t="s">
        <v>62</v>
      </c>
      <c r="E37" s="13">
        <v>0.375</v>
      </c>
      <c r="F37" s="2">
        <v>2.8000000000000001E-2</v>
      </c>
      <c r="G37" s="3">
        <v>0.128</v>
      </c>
      <c r="H37" s="3"/>
      <c r="I37" s="2">
        <v>0</v>
      </c>
      <c r="J37" s="2">
        <v>0</v>
      </c>
      <c r="K37" s="2"/>
      <c r="L37" s="2"/>
      <c r="M37" s="2"/>
      <c r="N37" s="2"/>
      <c r="O37" s="8">
        <f t="shared" si="0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2"/>
      <c r="AA37" s="7">
        <f t="shared" si="1"/>
        <v>0</v>
      </c>
      <c r="AB37" s="8" t="s">
        <v>97</v>
      </c>
      <c r="AC37" s="8" t="str">
        <f>VLOOKUP(D37,'[1]Estándar de Emp Ind Daiki'!$O:$P,2,0)</f>
        <v>HEADERS</v>
      </c>
      <c r="AD37" s="8">
        <v>400</v>
      </c>
      <c r="AE37" s="8" t="s">
        <v>102</v>
      </c>
      <c r="AF37" s="8">
        <f t="shared" si="2"/>
        <v>0</v>
      </c>
      <c r="AG37"/>
    </row>
    <row r="38" spans="1:33" hidden="1" x14ac:dyDescent="0.25">
      <c r="A38" s="2"/>
      <c r="B38" s="2" t="s">
        <v>33</v>
      </c>
      <c r="C38" s="2" t="s">
        <v>94</v>
      </c>
      <c r="D38" s="2" t="s">
        <v>63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>
        <v>0</v>
      </c>
      <c r="K38" s="2"/>
      <c r="L38" s="2"/>
      <c r="M38" s="2"/>
      <c r="N38" s="2"/>
      <c r="O38" s="8">
        <f t="shared" si="0"/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2"/>
      <c r="AA38" s="7">
        <f t="shared" si="1"/>
        <v>0</v>
      </c>
      <c r="AB38" s="8" t="s">
        <v>26</v>
      </c>
      <c r="AC38" s="8" t="str">
        <f>VLOOKUP(D38,'[1]Estándar de Emp Ind Daiki'!$O:$P,2,0)</f>
        <v>HEADERS</v>
      </c>
      <c r="AD38" s="8">
        <v>250</v>
      </c>
      <c r="AE38" s="8" t="s">
        <v>102</v>
      </c>
      <c r="AF38" s="8">
        <f t="shared" si="2"/>
        <v>0</v>
      </c>
      <c r="AG38"/>
    </row>
    <row r="39" spans="1:33" hidden="1" x14ac:dyDescent="0.25">
      <c r="A39" s="2"/>
      <c r="B39" s="2" t="s">
        <v>33</v>
      </c>
      <c r="C39" s="2" t="s">
        <v>94</v>
      </c>
      <c r="D39" s="2" t="s">
        <v>64</v>
      </c>
      <c r="E39" s="13">
        <v>0.375</v>
      </c>
      <c r="F39" s="2">
        <v>3.1E-2</v>
      </c>
      <c r="G39" s="3">
        <v>3.4000000000000002E-2</v>
      </c>
      <c r="H39" s="3"/>
      <c r="I39" s="2">
        <v>0</v>
      </c>
      <c r="J39" s="2">
        <v>0</v>
      </c>
      <c r="K39" s="2"/>
      <c r="L39" s="2"/>
      <c r="M39" s="2"/>
      <c r="N39" s="2"/>
      <c r="O39" s="8">
        <f t="shared" si="0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2"/>
      <c r="AA39" s="7">
        <f t="shared" si="1"/>
        <v>0</v>
      </c>
      <c r="AB39" s="8" t="s">
        <v>26</v>
      </c>
      <c r="AC39" s="8" t="str">
        <f>VLOOKUP(D39,'[1]Estándar de Emp Ind Daiki'!$O:$P,2,0)</f>
        <v>HEADERS</v>
      </c>
      <c r="AD39" s="8">
        <v>300</v>
      </c>
      <c r="AE39" s="8" t="s">
        <v>102</v>
      </c>
      <c r="AF39" s="8">
        <f t="shared" si="2"/>
        <v>0</v>
      </c>
      <c r="AG39"/>
    </row>
    <row r="40" spans="1:33" hidden="1" x14ac:dyDescent="0.25">
      <c r="A40" s="2"/>
      <c r="B40" s="2" t="s">
        <v>33</v>
      </c>
      <c r="C40" s="2" t="s">
        <v>94</v>
      </c>
      <c r="D40" s="2" t="s">
        <v>65</v>
      </c>
      <c r="E40" s="13">
        <v>0.375</v>
      </c>
      <c r="F40" s="2">
        <v>2.8000000000000001E-2</v>
      </c>
      <c r="G40" s="3">
        <v>2.9000000000000001E-2</v>
      </c>
      <c r="H40" s="3"/>
      <c r="I40" s="2">
        <v>0</v>
      </c>
      <c r="J40" s="2">
        <v>0</v>
      </c>
      <c r="K40" s="2"/>
      <c r="L40" s="2"/>
      <c r="M40" s="2"/>
      <c r="N40" s="2"/>
      <c r="O40" s="8">
        <f t="shared" si="0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2"/>
      <c r="AA40" s="7">
        <f t="shared" si="1"/>
        <v>0</v>
      </c>
      <c r="AB40" s="8" t="s">
        <v>26</v>
      </c>
      <c r="AC40" s="8" t="str">
        <f>VLOOKUP(D40,'[1]Estándar de Emp Ind Daiki'!$O:$P,2,0)</f>
        <v>HEADERS</v>
      </c>
      <c r="AD40" s="8">
        <v>300</v>
      </c>
      <c r="AE40" s="8" t="s">
        <v>102</v>
      </c>
      <c r="AF40" s="8">
        <f t="shared" si="2"/>
        <v>0</v>
      </c>
      <c r="AG40"/>
    </row>
    <row r="41" spans="1:33" hidden="1" x14ac:dyDescent="0.25">
      <c r="A41" s="2"/>
      <c r="B41" s="2" t="s">
        <v>33</v>
      </c>
      <c r="C41" s="2" t="s">
        <v>94</v>
      </c>
      <c r="D41" s="2" t="s">
        <v>66</v>
      </c>
      <c r="E41" s="13">
        <v>0.375</v>
      </c>
      <c r="F41" s="2">
        <v>2.8000000000000001E-2</v>
      </c>
      <c r="G41" s="3">
        <v>0.20499999999999999</v>
      </c>
      <c r="H41" s="3"/>
      <c r="I41" s="2">
        <v>0</v>
      </c>
      <c r="J41" s="2">
        <v>0</v>
      </c>
      <c r="K41" s="2"/>
      <c r="L41" s="2"/>
      <c r="M41" s="2"/>
      <c r="N41" s="2"/>
      <c r="O41" s="8">
        <f t="shared" si="0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2"/>
      <c r="AA41" s="7">
        <f t="shared" si="1"/>
        <v>0</v>
      </c>
      <c r="AB41" s="8" t="s">
        <v>97</v>
      </c>
      <c r="AC41" s="8" t="str">
        <f>VLOOKUP(D41,'[1]Estándar de Emp Ind Daiki'!$O:$P,2,0)</f>
        <v>HEADERS</v>
      </c>
      <c r="AD41" s="8">
        <v>250</v>
      </c>
      <c r="AE41" s="8" t="s">
        <v>102</v>
      </c>
      <c r="AF41" s="8">
        <f t="shared" si="2"/>
        <v>0</v>
      </c>
      <c r="AG41"/>
    </row>
    <row r="42" spans="1:33" hidden="1" x14ac:dyDescent="0.25">
      <c r="A42" s="2"/>
      <c r="B42" s="2" t="s">
        <v>33</v>
      </c>
      <c r="C42" s="2" t="s">
        <v>94</v>
      </c>
      <c r="D42" s="2" t="s">
        <v>67</v>
      </c>
      <c r="E42" s="13">
        <v>0.375</v>
      </c>
      <c r="F42" s="2">
        <v>3.1E-2</v>
      </c>
      <c r="G42" s="3">
        <v>4.8000000000000001E-2</v>
      </c>
      <c r="H42" s="3"/>
      <c r="I42" s="2">
        <v>0</v>
      </c>
      <c r="J42" s="2">
        <v>0</v>
      </c>
      <c r="K42" s="2"/>
      <c r="L42" s="2"/>
      <c r="M42" s="2"/>
      <c r="N42" s="2"/>
      <c r="O42" s="8">
        <f t="shared" si="0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2"/>
      <c r="AA42" s="7">
        <f t="shared" si="1"/>
        <v>0</v>
      </c>
      <c r="AB42" s="8" t="s">
        <v>26</v>
      </c>
      <c r="AC42" s="8" t="str">
        <f>VLOOKUP(D42,'[1]Estándar de Emp Ind Daiki'!$O:$P,2,0)</f>
        <v>INDIVIDUALES</v>
      </c>
      <c r="AD42" s="8">
        <v>100</v>
      </c>
      <c r="AE42" s="8" t="s">
        <v>102</v>
      </c>
      <c r="AF42" s="8">
        <f t="shared" si="2"/>
        <v>0</v>
      </c>
      <c r="AG42"/>
    </row>
    <row r="43" spans="1:33" hidden="1" x14ac:dyDescent="0.25">
      <c r="A43" s="2"/>
      <c r="B43" s="2" t="s">
        <v>33</v>
      </c>
      <c r="C43" s="2" t="s">
        <v>94</v>
      </c>
      <c r="D43" s="2" t="s">
        <v>68</v>
      </c>
      <c r="E43" s="13">
        <v>0.375</v>
      </c>
      <c r="F43" s="2">
        <v>3.1E-2</v>
      </c>
      <c r="G43" s="3">
        <v>4.4999999999999998E-2</v>
      </c>
      <c r="H43" s="3"/>
      <c r="I43" s="2">
        <v>0</v>
      </c>
      <c r="J43" s="2">
        <v>0</v>
      </c>
      <c r="K43" s="2"/>
      <c r="L43" s="2"/>
      <c r="M43" s="2"/>
      <c r="N43" s="2"/>
      <c r="O43" s="8">
        <f t="shared" si="0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2"/>
      <c r="AA43" s="7">
        <f t="shared" si="1"/>
        <v>0</v>
      </c>
      <c r="AB43" s="8" t="s">
        <v>26</v>
      </c>
      <c r="AC43" s="8" t="str">
        <f>VLOOKUP(D43,'[1]Estándar de Emp Ind Daiki'!$O:$P,2,0)</f>
        <v>INDIVIDUALES</v>
      </c>
      <c r="AD43" s="8">
        <v>100</v>
      </c>
      <c r="AE43" s="8" t="s">
        <v>102</v>
      </c>
      <c r="AF43" s="8">
        <f t="shared" si="2"/>
        <v>0</v>
      </c>
      <c r="AG43"/>
    </row>
    <row r="44" spans="1:33" hidden="1" x14ac:dyDescent="0.25">
      <c r="A44" s="2"/>
      <c r="B44" s="2" t="s">
        <v>33</v>
      </c>
      <c r="C44" s="2" t="s">
        <v>94</v>
      </c>
      <c r="D44" s="2" t="s">
        <v>69</v>
      </c>
      <c r="E44" s="13">
        <v>0.375</v>
      </c>
      <c r="F44" s="2">
        <v>2.8000000000000001E-2</v>
      </c>
      <c r="G44" s="3">
        <v>3.1E-2</v>
      </c>
      <c r="H44" s="3"/>
      <c r="I44" s="2">
        <v>0</v>
      </c>
      <c r="J44" s="2">
        <v>0</v>
      </c>
      <c r="K44" s="2"/>
      <c r="L44" s="2"/>
      <c r="M44" s="2"/>
      <c r="N44" s="2"/>
      <c r="O44" s="8">
        <f t="shared" si="0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2"/>
      <c r="AA44" s="7">
        <f t="shared" si="1"/>
        <v>0</v>
      </c>
      <c r="AB44" s="8" t="s">
        <v>26</v>
      </c>
      <c r="AC44" s="8" t="str">
        <f>VLOOKUP(D44,'[1]Estándar de Emp Ind Daiki'!$O:$P,2,0)</f>
        <v>INDIVIDUALES</v>
      </c>
      <c r="AD44" s="8">
        <v>300</v>
      </c>
      <c r="AE44" s="8" t="s">
        <v>102</v>
      </c>
      <c r="AF44" s="8">
        <f t="shared" si="2"/>
        <v>0</v>
      </c>
      <c r="AG44"/>
    </row>
    <row r="45" spans="1:33" hidden="1" x14ac:dyDescent="0.25">
      <c r="A45" s="2"/>
      <c r="B45" s="2" t="s">
        <v>33</v>
      </c>
      <c r="C45" s="2" t="s">
        <v>94</v>
      </c>
      <c r="D45" s="2" t="s">
        <v>70</v>
      </c>
      <c r="E45" s="13">
        <v>0.375</v>
      </c>
      <c r="F45" s="2">
        <v>2.8000000000000001E-2</v>
      </c>
      <c r="G45" s="3">
        <v>2.7E-2</v>
      </c>
      <c r="H45" s="3"/>
      <c r="I45" s="2">
        <v>0</v>
      </c>
      <c r="J45" s="2">
        <v>0</v>
      </c>
      <c r="K45" s="2"/>
      <c r="L45" s="2"/>
      <c r="M45" s="2"/>
      <c r="N45" s="2"/>
      <c r="O45" s="8">
        <f t="shared" si="0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2"/>
      <c r="AA45" s="7">
        <f t="shared" si="1"/>
        <v>0</v>
      </c>
      <c r="AB45" s="8" t="s">
        <v>26</v>
      </c>
      <c r="AC45" s="8" t="str">
        <f>VLOOKUP(D45,'[1]Estándar de Emp Ind Daiki'!$O:$P,2,0)</f>
        <v>INDIVIDUALES</v>
      </c>
      <c r="AD45" s="8">
        <v>200</v>
      </c>
      <c r="AE45" s="8" t="s">
        <v>102</v>
      </c>
      <c r="AF45" s="8">
        <f t="shared" si="2"/>
        <v>0</v>
      </c>
      <c r="AG45"/>
    </row>
    <row r="46" spans="1:33" hidden="1" x14ac:dyDescent="0.25">
      <c r="A46" s="2"/>
      <c r="B46" s="2" t="s">
        <v>33</v>
      </c>
      <c r="C46" s="2" t="s">
        <v>94</v>
      </c>
      <c r="D46" s="2" t="s">
        <v>71</v>
      </c>
      <c r="E46" s="13">
        <v>0.375</v>
      </c>
      <c r="F46" s="2">
        <v>2.8000000000000001E-2</v>
      </c>
      <c r="G46" s="3">
        <v>4.8000000000000001E-2</v>
      </c>
      <c r="H46" s="3"/>
      <c r="I46" s="2">
        <v>0</v>
      </c>
      <c r="J46" s="2">
        <v>0</v>
      </c>
      <c r="K46" s="2"/>
      <c r="L46" s="2"/>
      <c r="M46" s="2"/>
      <c r="N46" s="2"/>
      <c r="O46" s="8">
        <f t="shared" si="0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2"/>
      <c r="AA46" s="7">
        <f t="shared" si="1"/>
        <v>0</v>
      </c>
      <c r="AB46" s="8" t="s">
        <v>26</v>
      </c>
      <c r="AC46" s="8" t="str">
        <f>VLOOKUP(D46,'[1]Estándar de Emp Ind Daiki'!$O:$P,2,0)</f>
        <v>INDIVIDUALES</v>
      </c>
      <c r="AD46" s="8">
        <v>100</v>
      </c>
      <c r="AE46" s="8" t="s">
        <v>102</v>
      </c>
      <c r="AF46" s="8">
        <f t="shared" si="2"/>
        <v>0</v>
      </c>
      <c r="AG46"/>
    </row>
    <row r="47" spans="1:33" hidden="1" x14ac:dyDescent="0.25">
      <c r="A47" s="2"/>
      <c r="B47" s="2" t="s">
        <v>33</v>
      </c>
      <c r="C47" s="2" t="s">
        <v>94</v>
      </c>
      <c r="D47" s="2" t="s">
        <v>72</v>
      </c>
      <c r="E47" s="13">
        <v>0.375</v>
      </c>
      <c r="F47" s="2">
        <v>3.1E-2</v>
      </c>
      <c r="G47" s="3">
        <v>3.5999999999999999E-3</v>
      </c>
      <c r="H47" s="3"/>
      <c r="I47" s="2">
        <v>0</v>
      </c>
      <c r="J47" s="2">
        <v>0</v>
      </c>
      <c r="K47" s="2"/>
      <c r="L47" s="2"/>
      <c r="M47" s="2"/>
      <c r="N47" s="2"/>
      <c r="O47" s="8">
        <f t="shared" si="0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2"/>
      <c r="AA47" s="7">
        <f t="shared" si="1"/>
        <v>0</v>
      </c>
      <c r="AB47" s="8" t="s">
        <v>26</v>
      </c>
      <c r="AC47" s="8" t="str">
        <f>VLOOKUP(D47,'[1]Estándar de Emp Ind Daiki'!$O:$P,2,0)</f>
        <v>INDIVIDUALES</v>
      </c>
      <c r="AD47" s="8">
        <v>300</v>
      </c>
      <c r="AE47" s="8" t="s">
        <v>102</v>
      </c>
      <c r="AF47" s="8">
        <f t="shared" si="2"/>
        <v>0</v>
      </c>
      <c r="AG47"/>
    </row>
    <row r="48" spans="1:33" hidden="1" x14ac:dyDescent="0.25">
      <c r="A48" s="2"/>
      <c r="B48" s="2" t="s">
        <v>33</v>
      </c>
      <c r="C48" s="2" t="s">
        <v>94</v>
      </c>
      <c r="D48" s="2" t="s">
        <v>73</v>
      </c>
      <c r="E48" s="13">
        <v>0.375</v>
      </c>
      <c r="F48" s="2">
        <v>2.8000000000000001E-2</v>
      </c>
      <c r="G48" s="3">
        <v>1.2999999999999999E-2</v>
      </c>
      <c r="H48" s="3"/>
      <c r="I48" s="2">
        <v>0</v>
      </c>
      <c r="J48" s="2">
        <v>0</v>
      </c>
      <c r="K48" s="2"/>
      <c r="L48" s="2"/>
      <c r="M48" s="2"/>
      <c r="N48" s="2"/>
      <c r="O48" s="8">
        <f t="shared" si="0"/>
        <v>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2"/>
      <c r="AA48" s="7">
        <f t="shared" si="1"/>
        <v>0</v>
      </c>
      <c r="AB48" s="8" t="s">
        <v>26</v>
      </c>
      <c r="AC48" s="8" t="str">
        <f>VLOOKUP(D48,'[1]Estándar de Emp Ind Daiki'!$O:$P,2,0)</f>
        <v>INDIVIDUALES</v>
      </c>
      <c r="AD48" s="8">
        <v>260</v>
      </c>
      <c r="AE48" s="8" t="s">
        <v>102</v>
      </c>
      <c r="AF48" s="8">
        <f t="shared" si="2"/>
        <v>0</v>
      </c>
      <c r="AG48"/>
    </row>
    <row r="49" spans="1:33" hidden="1" x14ac:dyDescent="0.25">
      <c r="A49" s="2"/>
      <c r="B49" s="2" t="s">
        <v>33</v>
      </c>
      <c r="C49" s="2" t="s">
        <v>94</v>
      </c>
      <c r="D49" s="2" t="s">
        <v>74</v>
      </c>
      <c r="E49" s="13">
        <v>0.375</v>
      </c>
      <c r="F49" s="2">
        <v>2.8000000000000001E-2</v>
      </c>
      <c r="G49" s="3">
        <v>1.2E-2</v>
      </c>
      <c r="H49" s="3"/>
      <c r="I49" s="2">
        <v>0</v>
      </c>
      <c r="J49" s="2">
        <v>0</v>
      </c>
      <c r="K49" s="2"/>
      <c r="L49" s="2"/>
      <c r="M49" s="2"/>
      <c r="N49" s="2"/>
      <c r="O49" s="8">
        <f t="shared" si="0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2"/>
      <c r="AA49" s="7">
        <f t="shared" si="1"/>
        <v>0</v>
      </c>
      <c r="AB49" s="8" t="s">
        <v>26</v>
      </c>
      <c r="AC49" s="8" t="str">
        <f>VLOOKUP(D49,'[1]Estándar de Emp Ind Daiki'!$O:$P,2,0)</f>
        <v>INDIVIDUALES</v>
      </c>
      <c r="AD49" s="8">
        <v>500</v>
      </c>
      <c r="AE49" s="8" t="s">
        <v>102</v>
      </c>
      <c r="AF49" s="8">
        <f t="shared" si="2"/>
        <v>0</v>
      </c>
      <c r="AG49"/>
    </row>
    <row r="50" spans="1:33" hidden="1" x14ac:dyDescent="0.25">
      <c r="A50" s="2"/>
      <c r="B50" s="2" t="s">
        <v>33</v>
      </c>
      <c r="C50" s="2" t="s">
        <v>94</v>
      </c>
      <c r="D50" s="2" t="s">
        <v>75</v>
      </c>
      <c r="E50" s="13">
        <v>0.5</v>
      </c>
      <c r="F50" s="2">
        <v>3.5000000000000003E-2</v>
      </c>
      <c r="G50" s="3">
        <v>0.183</v>
      </c>
      <c r="H50" s="3"/>
      <c r="I50" s="2">
        <v>0</v>
      </c>
      <c r="J50" s="2">
        <v>0</v>
      </c>
      <c r="K50" s="2"/>
      <c r="L50" s="2"/>
      <c r="M50" s="2"/>
      <c r="N50" s="2"/>
      <c r="O50" s="8">
        <f t="shared" si="0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2"/>
      <c r="AA50" s="7">
        <f t="shared" si="1"/>
        <v>0</v>
      </c>
      <c r="AB50" s="8" t="s">
        <v>95</v>
      </c>
      <c r="AC50" s="8" t="str">
        <f>VLOOKUP(D50,'[1]Estándar de Emp Ind Daiki'!$O:$P,2,0)</f>
        <v>HEADERS</v>
      </c>
      <c r="AD50" s="8">
        <v>50</v>
      </c>
      <c r="AE50" s="8" t="s">
        <v>102</v>
      </c>
      <c r="AF50" s="8">
        <f t="shared" si="2"/>
        <v>0</v>
      </c>
      <c r="AG50"/>
    </row>
    <row r="51" spans="1:33" hidden="1" x14ac:dyDescent="0.25">
      <c r="A51" s="2"/>
      <c r="B51" s="2" t="s">
        <v>33</v>
      </c>
      <c r="C51" s="2" t="s">
        <v>94</v>
      </c>
      <c r="D51" s="2" t="s">
        <v>76</v>
      </c>
      <c r="E51" s="13">
        <v>0.5</v>
      </c>
      <c r="F51" s="2">
        <v>3.5000000000000003E-2</v>
      </c>
      <c r="G51" s="3">
        <v>0.19700000000000001</v>
      </c>
      <c r="H51" s="3"/>
      <c r="I51" s="2">
        <v>0</v>
      </c>
      <c r="J51" s="2">
        <v>0</v>
      </c>
      <c r="K51" s="2"/>
      <c r="L51" s="2"/>
      <c r="M51" s="2"/>
      <c r="N51" s="2"/>
      <c r="O51" s="8">
        <f t="shared" si="0"/>
        <v>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2"/>
      <c r="AA51" s="7">
        <f t="shared" si="1"/>
        <v>0</v>
      </c>
      <c r="AB51" s="8" t="s">
        <v>95</v>
      </c>
      <c r="AC51" s="8" t="str">
        <f>VLOOKUP(D51,'[1]Estándar de Emp Ind Daiki'!$O:$P,2,0)</f>
        <v>HEADERS</v>
      </c>
      <c r="AD51" s="8">
        <v>50</v>
      </c>
      <c r="AE51" s="8" t="s">
        <v>102</v>
      </c>
      <c r="AF51" s="8">
        <f t="shared" si="2"/>
        <v>0</v>
      </c>
      <c r="AG51"/>
    </row>
    <row r="52" spans="1:33" hidden="1" x14ac:dyDescent="0.25">
      <c r="A52" s="2"/>
      <c r="B52" s="2" t="s">
        <v>33</v>
      </c>
      <c r="C52" s="2" t="s">
        <v>94</v>
      </c>
      <c r="D52" s="2" t="s">
        <v>77</v>
      </c>
      <c r="E52" s="13">
        <v>0.5</v>
      </c>
      <c r="F52" s="2">
        <v>3.5000000000000003E-2</v>
      </c>
      <c r="G52" s="3">
        <v>0.107</v>
      </c>
      <c r="H52" s="3"/>
      <c r="I52" s="2">
        <v>0</v>
      </c>
      <c r="J52" s="2">
        <v>0</v>
      </c>
      <c r="K52" s="2"/>
      <c r="L52" s="2"/>
      <c r="M52" s="2"/>
      <c r="N52" s="2"/>
      <c r="O52" s="8">
        <f t="shared" si="0"/>
        <v>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2"/>
      <c r="AA52" s="7">
        <f t="shared" si="1"/>
        <v>0</v>
      </c>
      <c r="AB52" s="8" t="s">
        <v>95</v>
      </c>
      <c r="AC52" s="8" t="str">
        <f>VLOOKUP(D52,'[1]Estándar de Emp Ind Daiki'!$O:$P,2,0)</f>
        <v>HEADERS</v>
      </c>
      <c r="AD52" s="8">
        <v>50</v>
      </c>
      <c r="AE52" s="8" t="s">
        <v>102</v>
      </c>
      <c r="AF52" s="8">
        <f t="shared" si="2"/>
        <v>0</v>
      </c>
      <c r="AG52"/>
    </row>
    <row r="53" spans="1:33" x14ac:dyDescent="0.25">
      <c r="A53" s="2" t="s">
        <v>160</v>
      </c>
      <c r="B53" s="2" t="s">
        <v>33</v>
      </c>
      <c r="C53" s="2" t="s">
        <v>94</v>
      </c>
      <c r="D53" s="2" t="s">
        <v>78</v>
      </c>
      <c r="E53" s="13">
        <v>0.5</v>
      </c>
      <c r="F53" s="2">
        <v>3.5000000000000003E-2</v>
      </c>
      <c r="G53" s="3">
        <v>0.122</v>
      </c>
      <c r="H53" s="3"/>
      <c r="I53" s="2">
        <v>0</v>
      </c>
      <c r="J53" s="2">
        <v>1000</v>
      </c>
      <c r="K53" s="2"/>
      <c r="L53" s="2"/>
      <c r="M53" s="2"/>
      <c r="N53" s="2"/>
      <c r="O53" s="8">
        <f t="shared" si="0"/>
        <v>1000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2"/>
      <c r="AA53" s="7">
        <f t="shared" si="1"/>
        <v>122</v>
      </c>
      <c r="AB53" s="8" t="s">
        <v>95</v>
      </c>
      <c r="AC53" s="8" t="str">
        <f>VLOOKUP(D53,'[1]Estándar de Emp Ind Daiki'!$O:$P,2,0)</f>
        <v>HEADERS</v>
      </c>
      <c r="AD53" s="8">
        <v>50</v>
      </c>
      <c r="AE53" s="8" t="s">
        <v>102</v>
      </c>
      <c r="AF53" s="8">
        <f t="shared" si="2"/>
        <v>20</v>
      </c>
      <c r="AG53"/>
    </row>
    <row r="54" spans="1:33" hidden="1" x14ac:dyDescent="0.25">
      <c r="A54" s="2"/>
      <c r="B54" s="2" t="s">
        <v>33</v>
      </c>
      <c r="C54" s="2" t="s">
        <v>94</v>
      </c>
      <c r="D54" s="2" t="s">
        <v>79</v>
      </c>
      <c r="E54" s="13">
        <v>0.5</v>
      </c>
      <c r="F54" s="2">
        <v>3.5000000000000003E-2</v>
      </c>
      <c r="G54" s="3">
        <v>5.0999999999999997E-2</v>
      </c>
      <c r="H54" s="3"/>
      <c r="I54" s="2">
        <v>0</v>
      </c>
      <c r="J54" s="2">
        <v>0</v>
      </c>
      <c r="K54" s="2"/>
      <c r="L54" s="2"/>
      <c r="M54" s="2"/>
      <c r="N54" s="2"/>
      <c r="O54" s="8">
        <f t="shared" si="0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2"/>
      <c r="AA54" s="7">
        <f t="shared" si="1"/>
        <v>0</v>
      </c>
      <c r="AB54" s="8" t="s">
        <v>26</v>
      </c>
      <c r="AC54" s="8" t="str">
        <f>VLOOKUP(D54,'[1]Estándar de Emp Ind Daiki'!$O:$P,2,0)</f>
        <v>INDIVIDUALES</v>
      </c>
      <c r="AD54" s="8">
        <v>100</v>
      </c>
      <c r="AE54" s="8" t="s">
        <v>102</v>
      </c>
      <c r="AF54" s="8">
        <f t="shared" si="2"/>
        <v>0</v>
      </c>
      <c r="AG54"/>
    </row>
    <row r="55" spans="1:33" hidden="1" x14ac:dyDescent="0.25">
      <c r="A55" s="2" t="s">
        <v>160</v>
      </c>
      <c r="B55" s="2" t="s">
        <v>33</v>
      </c>
      <c r="C55" s="2" t="s">
        <v>94</v>
      </c>
      <c r="D55" s="2" t="s">
        <v>80</v>
      </c>
      <c r="E55" s="13">
        <v>0.625</v>
      </c>
      <c r="F55" s="2">
        <v>3.6999999999999998E-2</v>
      </c>
      <c r="G55" s="3">
        <v>0.105</v>
      </c>
      <c r="H55" s="3"/>
      <c r="I55" s="2">
        <v>0</v>
      </c>
      <c r="J55" s="2">
        <v>450</v>
      </c>
      <c r="K55" s="2"/>
      <c r="L55" s="2"/>
      <c r="M55" s="2"/>
      <c r="N55" s="2"/>
      <c r="O55" s="8">
        <f t="shared" si="0"/>
        <v>-70</v>
      </c>
      <c r="P55" s="19"/>
      <c r="Q55" s="19"/>
      <c r="R55" s="19">
        <v>520</v>
      </c>
      <c r="S55" s="2"/>
      <c r="T55" s="19"/>
      <c r="U55" s="2"/>
      <c r="V55" s="19"/>
      <c r="W55" s="19"/>
      <c r="X55" s="19"/>
      <c r="Y55" s="19"/>
      <c r="Z55" s="2"/>
      <c r="AA55" s="7">
        <f t="shared" si="1"/>
        <v>47.25</v>
      </c>
      <c r="AB55" s="8" t="s">
        <v>25</v>
      </c>
      <c r="AC55" s="8" t="str">
        <f>VLOOKUP(D55,'[1]Estándar de Emp Ind Daiki'!$O:$P,2,0)</f>
        <v>INDIVIDUALES</v>
      </c>
      <c r="AD55" s="8">
        <v>50</v>
      </c>
      <c r="AE55" s="8" t="s">
        <v>102</v>
      </c>
      <c r="AF55" s="8">
        <f t="shared" si="2"/>
        <v>9</v>
      </c>
      <c r="AG55"/>
    </row>
    <row r="56" spans="1:33" hidden="1" x14ac:dyDescent="0.25">
      <c r="A56" s="2"/>
      <c r="B56" s="2" t="s">
        <v>33</v>
      </c>
      <c r="C56" s="2" t="s">
        <v>94</v>
      </c>
      <c r="D56" s="2" t="s">
        <v>81</v>
      </c>
      <c r="E56" s="13">
        <v>0.75</v>
      </c>
      <c r="F56" s="2">
        <v>3.1E-2</v>
      </c>
      <c r="G56" s="3">
        <v>0.26500000000000001</v>
      </c>
      <c r="H56" s="3"/>
      <c r="I56" s="2">
        <v>0</v>
      </c>
      <c r="J56" s="2">
        <v>0</v>
      </c>
      <c r="K56" s="2"/>
      <c r="L56" s="2"/>
      <c r="M56" s="2"/>
      <c r="N56" s="2"/>
      <c r="O56" s="8">
        <f t="shared" si="0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2"/>
      <c r="AA56" s="7">
        <f t="shared" si="1"/>
        <v>0</v>
      </c>
      <c r="AB56" s="8" t="s">
        <v>97</v>
      </c>
      <c r="AC56" s="8" t="str">
        <f>VLOOKUP(D56,'[1]Estándar de Emp Ind Daiki'!$O:$P,2,0)</f>
        <v>INDIVIDUALES</v>
      </c>
      <c r="AD56" s="8">
        <v>400</v>
      </c>
      <c r="AE56" s="8" t="s">
        <v>102</v>
      </c>
      <c r="AF56" s="8">
        <f t="shared" si="2"/>
        <v>0</v>
      </c>
      <c r="AG56"/>
    </row>
    <row r="57" spans="1:33" hidden="1" x14ac:dyDescent="0.25">
      <c r="A57" s="2"/>
      <c r="B57" s="2" t="s">
        <v>33</v>
      </c>
      <c r="C57" s="2" t="s">
        <v>94</v>
      </c>
      <c r="D57" s="2" t="s">
        <v>82</v>
      </c>
      <c r="E57" s="13">
        <v>0.75</v>
      </c>
      <c r="F57" s="2">
        <v>3.1E-2</v>
      </c>
      <c r="G57" s="3">
        <v>0.13600000000000001</v>
      </c>
      <c r="H57" s="3"/>
      <c r="I57" s="2">
        <v>0</v>
      </c>
      <c r="J57" s="2">
        <v>400</v>
      </c>
      <c r="K57" s="2"/>
      <c r="L57" s="2"/>
      <c r="M57" s="2"/>
      <c r="N57" s="2"/>
      <c r="O57" s="8">
        <f t="shared" si="0"/>
        <v>0</v>
      </c>
      <c r="P57" s="19"/>
      <c r="Q57" s="19"/>
      <c r="R57" s="19"/>
      <c r="S57" s="2"/>
      <c r="T57" s="19"/>
      <c r="U57" s="2"/>
      <c r="V57" s="19"/>
      <c r="W57" s="19"/>
      <c r="X57" s="19">
        <v>400</v>
      </c>
      <c r="Y57" s="19"/>
      <c r="Z57" s="2"/>
      <c r="AA57" s="7">
        <f t="shared" si="1"/>
        <v>54.400000000000006</v>
      </c>
      <c r="AB57" s="8" t="s">
        <v>27</v>
      </c>
      <c r="AC57" s="8" t="str">
        <f>VLOOKUP(D57,'[1]Estándar de Emp Ind Daiki'!$O:$P,2,0)</f>
        <v>INDIVIDUALES</v>
      </c>
      <c r="AD57" s="8">
        <v>50</v>
      </c>
      <c r="AE57" s="8" t="s">
        <v>102</v>
      </c>
      <c r="AF57" s="8">
        <f t="shared" si="2"/>
        <v>8</v>
      </c>
      <c r="AG57"/>
    </row>
    <row r="58" spans="1:33" hidden="1" x14ac:dyDescent="0.25">
      <c r="A58" s="2"/>
      <c r="B58" s="2" t="s">
        <v>33</v>
      </c>
      <c r="C58" s="2" t="s">
        <v>94</v>
      </c>
      <c r="D58" s="2" t="s">
        <v>83</v>
      </c>
      <c r="E58" s="13">
        <v>0.75</v>
      </c>
      <c r="F58" s="2">
        <v>3.1E-2</v>
      </c>
      <c r="G58" s="3">
        <v>0.29899999999999999</v>
      </c>
      <c r="H58" s="3"/>
      <c r="I58" s="2">
        <v>0</v>
      </c>
      <c r="J58" s="2">
        <v>250</v>
      </c>
      <c r="K58" s="2"/>
      <c r="L58" s="2"/>
      <c r="M58" s="2"/>
      <c r="N58" s="2"/>
      <c r="O58" s="8">
        <f t="shared" si="0"/>
        <v>-150</v>
      </c>
      <c r="P58" s="19"/>
      <c r="Q58" s="19"/>
      <c r="R58" s="19"/>
      <c r="S58" s="2"/>
      <c r="T58" s="19"/>
      <c r="U58" s="2"/>
      <c r="V58" s="19"/>
      <c r="W58" s="19"/>
      <c r="X58" s="19">
        <v>400</v>
      </c>
      <c r="Y58" s="19"/>
      <c r="Z58" s="2"/>
      <c r="AA58" s="7">
        <f t="shared" si="1"/>
        <v>74.75</v>
      </c>
      <c r="AB58" s="8" t="s">
        <v>97</v>
      </c>
      <c r="AC58" s="8" t="str">
        <f>VLOOKUP(D58,'[1]Estándar de Emp Ind Daiki'!$O:$P,2,0)</f>
        <v>INDIVIDUALES</v>
      </c>
      <c r="AD58" s="8">
        <v>400</v>
      </c>
      <c r="AE58" s="8" t="s">
        <v>102</v>
      </c>
      <c r="AF58" s="8">
        <f t="shared" si="2"/>
        <v>0.625</v>
      </c>
      <c r="AG58"/>
    </row>
    <row r="59" spans="1:33" hidden="1" x14ac:dyDescent="0.25">
      <c r="A59" s="2"/>
      <c r="B59" s="2" t="s">
        <v>33</v>
      </c>
      <c r="C59" s="2" t="s">
        <v>94</v>
      </c>
      <c r="D59" s="2" t="s">
        <v>84</v>
      </c>
      <c r="E59" s="13">
        <v>0.75</v>
      </c>
      <c r="F59" s="2">
        <v>3.1E-2</v>
      </c>
      <c r="G59" s="3">
        <v>0.26500000000000001</v>
      </c>
      <c r="H59" s="3"/>
      <c r="I59" s="2">
        <v>0</v>
      </c>
      <c r="J59" s="2">
        <v>0</v>
      </c>
      <c r="K59" s="2"/>
      <c r="L59" s="2"/>
      <c r="M59" s="2"/>
      <c r="N59" s="2"/>
      <c r="O59" s="8">
        <f t="shared" si="0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2"/>
      <c r="AA59" s="7">
        <f t="shared" si="1"/>
        <v>0</v>
      </c>
      <c r="AB59" s="8" t="s">
        <v>97</v>
      </c>
      <c r="AC59" s="8" t="str">
        <f>VLOOKUP(D59,'[1]Estándar de Emp Ind Daiki'!$O:$P,2,0)</f>
        <v>INDIVIDUALES</v>
      </c>
      <c r="AD59" s="8">
        <v>400</v>
      </c>
      <c r="AE59" s="8" t="s">
        <v>102</v>
      </c>
      <c r="AF59" s="8">
        <f t="shared" si="2"/>
        <v>0</v>
      </c>
      <c r="AG59"/>
    </row>
    <row r="60" spans="1:33" hidden="1" x14ac:dyDescent="0.25">
      <c r="A60" s="2"/>
      <c r="B60" s="2" t="s">
        <v>33</v>
      </c>
      <c r="C60" s="2" t="s">
        <v>94</v>
      </c>
      <c r="D60" s="2" t="s">
        <v>85</v>
      </c>
      <c r="E60" s="13">
        <v>0.75</v>
      </c>
      <c r="F60" s="2">
        <v>3.1E-2</v>
      </c>
      <c r="G60" s="3">
        <v>0.19700000000000001</v>
      </c>
      <c r="H60" s="3"/>
      <c r="I60" s="2">
        <v>0</v>
      </c>
      <c r="J60" s="2">
        <v>0</v>
      </c>
      <c r="K60" s="2"/>
      <c r="L60" s="2"/>
      <c r="M60" s="2"/>
      <c r="N60" s="2"/>
      <c r="O60" s="8">
        <f t="shared" si="0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2"/>
      <c r="AA60" s="7">
        <f t="shared" si="1"/>
        <v>0</v>
      </c>
      <c r="AB60" s="8" t="s">
        <v>27</v>
      </c>
      <c r="AC60" s="8" t="str">
        <f>VLOOKUP(D60,'[1]Estándar de Emp Ind Daiki'!$O:$P,2,0)</f>
        <v>INDIVIDUALES</v>
      </c>
      <c r="AD60" s="8">
        <v>60</v>
      </c>
      <c r="AE60" s="8" t="s">
        <v>102</v>
      </c>
      <c r="AF60" s="8">
        <f t="shared" si="2"/>
        <v>0</v>
      </c>
      <c r="AG60"/>
    </row>
    <row r="61" spans="1:33" x14ac:dyDescent="0.25">
      <c r="A61" s="2"/>
      <c r="B61" s="2" t="s">
        <v>33</v>
      </c>
      <c r="C61" s="2" t="s">
        <v>94</v>
      </c>
      <c r="D61" s="2" t="s">
        <v>86</v>
      </c>
      <c r="E61" s="13">
        <v>0.75</v>
      </c>
      <c r="F61" s="2">
        <v>3.1E-2</v>
      </c>
      <c r="G61" s="3">
        <v>0.158</v>
      </c>
      <c r="H61" s="3"/>
      <c r="I61" s="2">
        <v>0</v>
      </c>
      <c r="J61" s="2">
        <v>250</v>
      </c>
      <c r="K61" s="2"/>
      <c r="L61" s="2"/>
      <c r="M61" s="2"/>
      <c r="N61" s="2"/>
      <c r="O61" s="8">
        <f t="shared" si="0"/>
        <v>74</v>
      </c>
      <c r="P61" s="19"/>
      <c r="Q61" s="19"/>
      <c r="R61" s="19"/>
      <c r="S61" s="2"/>
      <c r="T61" s="19"/>
      <c r="U61" s="2"/>
      <c r="V61" s="19"/>
      <c r="W61" s="19"/>
      <c r="X61" s="19"/>
      <c r="Y61" s="19">
        <v>176</v>
      </c>
      <c r="Z61" s="2"/>
      <c r="AA61" s="7">
        <f t="shared" si="1"/>
        <v>39.5</v>
      </c>
      <c r="AB61" s="8" t="s">
        <v>27</v>
      </c>
      <c r="AC61" s="8" t="str">
        <f>VLOOKUP(D61,'[1]Estándar de Emp Ind Daiki'!$O:$P,2,0)</f>
        <v>INDIVIDUALES</v>
      </c>
      <c r="AD61" s="8">
        <v>70</v>
      </c>
      <c r="AE61" s="8" t="s">
        <v>102</v>
      </c>
      <c r="AF61" s="8">
        <f t="shared" si="2"/>
        <v>3.5714285714285716</v>
      </c>
      <c r="AG61"/>
    </row>
    <row r="62" spans="1:33" hidden="1" x14ac:dyDescent="0.25">
      <c r="A62" s="2" t="s">
        <v>160</v>
      </c>
      <c r="B62" s="2" t="s">
        <v>33</v>
      </c>
      <c r="C62" s="2" t="s">
        <v>94</v>
      </c>
      <c r="D62" s="2" t="s">
        <v>87</v>
      </c>
      <c r="E62" s="13">
        <v>0.75</v>
      </c>
      <c r="F62" s="2">
        <v>3.1E-2</v>
      </c>
      <c r="G62" s="3">
        <v>0.26300000000000001</v>
      </c>
      <c r="H62" s="3"/>
      <c r="I62" s="2">
        <v>400</v>
      </c>
      <c r="J62" s="2">
        <v>0</v>
      </c>
      <c r="K62" s="2"/>
      <c r="L62" s="2"/>
      <c r="M62" s="2"/>
      <c r="N62" s="2"/>
      <c r="O62" s="8">
        <f t="shared" si="0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2">
        <v>400</v>
      </c>
      <c r="AA62" s="7">
        <f t="shared" si="1"/>
        <v>105.2</v>
      </c>
      <c r="AB62" s="8" t="s">
        <v>97</v>
      </c>
      <c r="AC62" s="8" t="str">
        <f>VLOOKUP(D62,'[1]Estándar de Emp Ind Daiki'!$O:$P,2,0)</f>
        <v>INDIVIDUALES</v>
      </c>
      <c r="AD62" s="8">
        <v>400</v>
      </c>
      <c r="AE62" s="8" t="s">
        <v>102</v>
      </c>
      <c r="AF62" s="8">
        <f t="shared" si="2"/>
        <v>1</v>
      </c>
      <c r="AG62"/>
    </row>
    <row r="63" spans="1:33" x14ac:dyDescent="0.25">
      <c r="A63" s="2" t="s">
        <v>160</v>
      </c>
      <c r="B63" s="2" t="s">
        <v>33</v>
      </c>
      <c r="C63" s="2" t="s">
        <v>94</v>
      </c>
      <c r="D63" s="2" t="s">
        <v>88</v>
      </c>
      <c r="E63" s="13">
        <v>0.875</v>
      </c>
      <c r="F63" s="2">
        <v>4.2999999999999997E-2</v>
      </c>
      <c r="G63" s="3">
        <v>0.48099999999999998</v>
      </c>
      <c r="H63" s="3"/>
      <c r="I63" s="2">
        <v>0</v>
      </c>
      <c r="J63" s="2">
        <v>600</v>
      </c>
      <c r="K63" s="2"/>
      <c r="L63" s="2"/>
      <c r="M63" s="2"/>
      <c r="N63" s="2"/>
      <c r="O63" s="8">
        <f t="shared" si="0"/>
        <v>600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2"/>
      <c r="AA63" s="7">
        <f t="shared" si="1"/>
        <v>288.59999999999997</v>
      </c>
      <c r="AB63" s="8" t="s">
        <v>97</v>
      </c>
      <c r="AC63" s="8" t="str">
        <f>VLOOKUP(D63,'[1]Estándar de Emp Ind Daiki'!$O:$P,2,0)</f>
        <v>INDIVIDUALES</v>
      </c>
      <c r="AD63" s="8">
        <v>300</v>
      </c>
      <c r="AE63" s="8" t="s">
        <v>102</v>
      </c>
      <c r="AF63" s="8">
        <f t="shared" si="2"/>
        <v>2</v>
      </c>
      <c r="AG63"/>
    </row>
    <row r="64" spans="1:33" x14ac:dyDescent="0.25">
      <c r="A64" s="2"/>
      <c r="B64" s="2" t="s">
        <v>33</v>
      </c>
      <c r="C64" s="2" t="s">
        <v>94</v>
      </c>
      <c r="D64" s="2" t="s">
        <v>89</v>
      </c>
      <c r="E64" s="13">
        <v>0.875</v>
      </c>
      <c r="F64" s="2">
        <v>4.2999999999999997E-2</v>
      </c>
      <c r="G64" s="3">
        <v>0.42299999999999999</v>
      </c>
      <c r="H64" s="3"/>
      <c r="I64" s="2">
        <v>0</v>
      </c>
      <c r="J64" s="2">
        <v>1200</v>
      </c>
      <c r="K64" s="2"/>
      <c r="L64" s="2"/>
      <c r="M64" s="2"/>
      <c r="N64" s="2"/>
      <c r="O64" s="8">
        <f t="shared" si="0"/>
        <v>1200</v>
      </c>
      <c r="P64" s="19"/>
      <c r="Q64" s="19"/>
      <c r="R64" s="19"/>
      <c r="S64" s="2"/>
      <c r="T64" s="19"/>
      <c r="U64" s="2"/>
      <c r="V64" s="19"/>
      <c r="W64" s="19"/>
      <c r="X64" s="19"/>
      <c r="Y64" s="19"/>
      <c r="Z64" s="2"/>
      <c r="AA64" s="7">
        <f t="shared" si="1"/>
        <v>507.59999999999997</v>
      </c>
      <c r="AB64" s="8" t="s">
        <v>97</v>
      </c>
      <c r="AC64" s="8" t="str">
        <f>VLOOKUP(D64,'[1]Estándar de Emp Ind Daiki'!$O:$P,2,0)</f>
        <v>INDIVIDUALES</v>
      </c>
      <c r="AD64" s="8">
        <v>500</v>
      </c>
      <c r="AE64" s="8" t="s">
        <v>102</v>
      </c>
      <c r="AF64" s="8">
        <f t="shared" si="2"/>
        <v>2.4</v>
      </c>
      <c r="AG64"/>
    </row>
    <row r="65" spans="1:33" x14ac:dyDescent="0.25">
      <c r="A65" s="2"/>
      <c r="B65" s="2" t="s">
        <v>33</v>
      </c>
      <c r="C65" s="2" t="s">
        <v>94</v>
      </c>
      <c r="D65" s="2" t="s">
        <v>90</v>
      </c>
      <c r="E65" s="13">
        <v>0.875</v>
      </c>
      <c r="F65" s="2">
        <v>4.2999999999999997E-2</v>
      </c>
      <c r="G65" s="3">
        <v>0.34799999999999998</v>
      </c>
      <c r="H65" s="3"/>
      <c r="I65" s="2">
        <v>0</v>
      </c>
      <c r="J65" s="2">
        <v>1400</v>
      </c>
      <c r="K65" s="2"/>
      <c r="L65" s="2"/>
      <c r="M65" s="2"/>
      <c r="N65" s="2"/>
      <c r="O65" s="8">
        <f t="shared" si="0"/>
        <v>1400</v>
      </c>
      <c r="P65" s="19"/>
      <c r="Q65" s="19"/>
      <c r="R65" s="19"/>
      <c r="S65" s="2"/>
      <c r="T65" s="19"/>
      <c r="U65" s="2"/>
      <c r="V65" s="19"/>
      <c r="W65" s="19"/>
      <c r="X65" s="19"/>
      <c r="Y65" s="19"/>
      <c r="Z65" s="2"/>
      <c r="AA65" s="7">
        <f t="shared" si="1"/>
        <v>487.2</v>
      </c>
      <c r="AB65" s="8" t="s">
        <v>97</v>
      </c>
      <c r="AC65" s="8" t="str">
        <f>VLOOKUP(D65,'[1]Estándar de Emp Ind Daiki'!$O:$P,2,0)</f>
        <v>INDIVIDUALES</v>
      </c>
      <c r="AD65" s="8">
        <v>500</v>
      </c>
      <c r="AE65" s="8" t="s">
        <v>102</v>
      </c>
      <c r="AF65" s="8">
        <f t="shared" si="2"/>
        <v>2.8</v>
      </c>
      <c r="AG65"/>
    </row>
    <row r="66" spans="1:33" hidden="1" x14ac:dyDescent="0.25">
      <c r="A66" s="2"/>
      <c r="B66" s="2" t="s">
        <v>33</v>
      </c>
      <c r="C66" s="2" t="s">
        <v>94</v>
      </c>
      <c r="D66" s="2" t="s">
        <v>91</v>
      </c>
      <c r="E66" s="13" t="s">
        <v>57</v>
      </c>
      <c r="F66" s="2">
        <v>2.4E-2</v>
      </c>
      <c r="G66" s="3">
        <v>3.1E-2</v>
      </c>
      <c r="H66" s="3"/>
      <c r="I66" s="2">
        <v>0</v>
      </c>
      <c r="J66" s="2">
        <v>0</v>
      </c>
      <c r="K66" s="2"/>
      <c r="L66" s="2"/>
      <c r="M66" s="2"/>
      <c r="N66" s="2"/>
      <c r="O66" s="8">
        <f t="shared" si="0"/>
        <v>0</v>
      </c>
      <c r="P66" s="19"/>
      <c r="Q66" s="19"/>
      <c r="R66" s="19"/>
      <c r="S66" s="2"/>
      <c r="T66" s="19"/>
      <c r="U66" s="2"/>
      <c r="V66" s="19"/>
      <c r="W66" s="19"/>
      <c r="X66" s="19"/>
      <c r="Y66" s="19"/>
      <c r="Z66" s="2"/>
      <c r="AA66" s="7">
        <f t="shared" si="1"/>
        <v>0</v>
      </c>
      <c r="AB66" s="8" t="s">
        <v>26</v>
      </c>
      <c r="AC66" s="8" t="str">
        <f>VLOOKUP(D66,'[1]Estándar de Emp Ind Daiki'!$O:$P,2,0)</f>
        <v>HEADERS</v>
      </c>
      <c r="AD66" s="8">
        <v>250</v>
      </c>
      <c r="AE66" s="8" t="s">
        <v>102</v>
      </c>
      <c r="AF66" s="8">
        <f t="shared" si="2"/>
        <v>0</v>
      </c>
      <c r="AG66"/>
    </row>
    <row r="67" spans="1:33" hidden="1" x14ac:dyDescent="0.25">
      <c r="A67" s="2"/>
      <c r="B67" s="2" t="s">
        <v>33</v>
      </c>
      <c r="C67" s="2" t="s">
        <v>94</v>
      </c>
      <c r="D67" s="2" t="s">
        <v>92</v>
      </c>
      <c r="E67" s="13" t="s">
        <v>57</v>
      </c>
      <c r="F67" s="2">
        <v>2.4E-2</v>
      </c>
      <c r="G67" s="3">
        <v>2.3E-2</v>
      </c>
      <c r="H67" s="3"/>
      <c r="I67" s="2">
        <v>0</v>
      </c>
      <c r="J67" s="2">
        <v>0</v>
      </c>
      <c r="K67" s="2"/>
      <c r="L67" s="2"/>
      <c r="M67" s="2"/>
      <c r="N67" s="2"/>
      <c r="O67" s="8">
        <f t="shared" si="0"/>
        <v>0</v>
      </c>
      <c r="P67" s="19"/>
      <c r="Q67" s="19"/>
      <c r="R67" s="19"/>
      <c r="S67" s="2"/>
      <c r="T67" s="19"/>
      <c r="U67" s="2"/>
      <c r="V67" s="19"/>
      <c r="W67" s="19"/>
      <c r="X67" s="19"/>
      <c r="Y67" s="19"/>
      <c r="Z67" s="2"/>
      <c r="AA67" s="7">
        <f t="shared" si="1"/>
        <v>0</v>
      </c>
      <c r="AB67" s="8" t="s">
        <v>26</v>
      </c>
      <c r="AC67" s="8" t="str">
        <f>VLOOKUP(D67,'[1]Estándar de Emp Ind Daiki'!$O:$P,2,0)</f>
        <v>INDIVIDUALES</v>
      </c>
      <c r="AD67" s="8">
        <v>300</v>
      </c>
      <c r="AE67" s="8" t="s">
        <v>102</v>
      </c>
      <c r="AF67" s="8">
        <f t="shared" si="2"/>
        <v>0</v>
      </c>
      <c r="AG67"/>
    </row>
    <row r="68" spans="1:33" hidden="1" x14ac:dyDescent="0.25">
      <c r="A68" s="2"/>
      <c r="B68" s="2" t="s">
        <v>33</v>
      </c>
      <c r="C68" s="2" t="s">
        <v>94</v>
      </c>
      <c r="D68" s="2" t="s">
        <v>93</v>
      </c>
      <c r="E68" s="13" t="s">
        <v>57</v>
      </c>
      <c r="F68" s="2">
        <v>2.4E-2</v>
      </c>
      <c r="G68" s="3">
        <v>2.7E-2</v>
      </c>
      <c r="H68" s="3"/>
      <c r="I68" s="2">
        <v>0</v>
      </c>
      <c r="J68" s="2">
        <v>0</v>
      </c>
      <c r="K68" s="2"/>
      <c r="L68" s="2"/>
      <c r="M68" s="2"/>
      <c r="N68" s="2"/>
      <c r="O68" s="8">
        <f t="shared" si="0"/>
        <v>0</v>
      </c>
      <c r="P68" s="19"/>
      <c r="Q68" s="19"/>
      <c r="R68" s="19"/>
      <c r="S68" s="2"/>
      <c r="T68" s="19"/>
      <c r="U68" s="2"/>
      <c r="V68" s="19"/>
      <c r="W68" s="19"/>
      <c r="X68" s="19"/>
      <c r="Y68" s="19"/>
      <c r="Z68" s="2"/>
      <c r="AA68" s="7">
        <f t="shared" si="1"/>
        <v>0</v>
      </c>
      <c r="AB68" s="8" t="s">
        <v>26</v>
      </c>
      <c r="AC68" s="8" t="str">
        <f>VLOOKUP(D68,'[1]Estándar de Emp Ind Daiki'!$O:$P,2,0)</f>
        <v>INDIVIDUALES</v>
      </c>
      <c r="AD68" s="8">
        <v>250</v>
      </c>
      <c r="AE68" s="8" t="s">
        <v>102</v>
      </c>
      <c r="AF68" s="8">
        <f t="shared" si="2"/>
        <v>0</v>
      </c>
      <c r="AG68"/>
    </row>
    <row r="69" spans="1:33" x14ac:dyDescent="0.25">
      <c r="H69" s="4" t="s">
        <v>19</v>
      </c>
      <c r="I69" s="9">
        <f t="shared" ref="I69:AA69" si="3">SUM(I11:I68)</f>
        <v>4728</v>
      </c>
      <c r="J69" s="9">
        <f t="shared" si="3"/>
        <v>10450</v>
      </c>
      <c r="K69" s="9">
        <f t="shared" si="3"/>
        <v>0</v>
      </c>
      <c r="L69" s="9">
        <f t="shared" si="3"/>
        <v>0</v>
      </c>
      <c r="M69" s="9">
        <f t="shared" si="3"/>
        <v>0</v>
      </c>
      <c r="N69" s="9">
        <f t="shared" si="3"/>
        <v>0</v>
      </c>
      <c r="O69" s="11">
        <f t="shared" si="3"/>
        <v>8864</v>
      </c>
      <c r="P69" s="20">
        <f t="shared" si="3"/>
        <v>0</v>
      </c>
      <c r="Q69" s="20">
        <f t="shared" si="3"/>
        <v>0</v>
      </c>
      <c r="R69" s="20">
        <f t="shared" si="3"/>
        <v>1050</v>
      </c>
      <c r="S69" s="9">
        <f t="shared" si="3"/>
        <v>0</v>
      </c>
      <c r="T69" s="20">
        <f t="shared" si="3"/>
        <v>300</v>
      </c>
      <c r="U69" s="9">
        <f t="shared" si="3"/>
        <v>300</v>
      </c>
      <c r="V69" s="20">
        <f t="shared" si="3"/>
        <v>600</v>
      </c>
      <c r="W69" s="20">
        <f t="shared" si="3"/>
        <v>0</v>
      </c>
      <c r="X69" s="20">
        <f t="shared" si="3"/>
        <v>2400</v>
      </c>
      <c r="Y69" s="20">
        <f t="shared" si="3"/>
        <v>176</v>
      </c>
      <c r="Z69" s="9">
        <f t="shared" si="3"/>
        <v>1488</v>
      </c>
      <c r="AA69" s="9">
        <f t="shared" si="3"/>
        <v>2731.172</v>
      </c>
      <c r="AF69" s="12">
        <f>SUM(AF11:AF68)</f>
        <v>139.50357142857146</v>
      </c>
    </row>
    <row r="70" spans="1:33" hidden="1" x14ac:dyDescent="0.25">
      <c r="H70" s="4" t="s">
        <v>21</v>
      </c>
      <c r="I70" s="56">
        <f>+I69+J69+K69+L69+M69+N69</f>
        <v>15178</v>
      </c>
      <c r="J70" s="56"/>
      <c r="K70" s="56"/>
      <c r="L70" s="56"/>
      <c r="M70" s="56"/>
      <c r="N70" s="56"/>
      <c r="P70" s="57">
        <f>+P69+Q69</f>
        <v>0</v>
      </c>
      <c r="Q70" s="54"/>
      <c r="R70" s="57">
        <f>+R69+S69</f>
        <v>1050</v>
      </c>
      <c r="S70" s="54"/>
      <c r="T70" s="57">
        <f>+T69+U69</f>
        <v>600</v>
      </c>
      <c r="U70" s="54"/>
      <c r="V70" s="57">
        <f t="shared" ref="V70" si="4">+V69+W69</f>
        <v>600</v>
      </c>
      <c r="W70" s="54"/>
      <c r="X70" s="57">
        <f t="shared" ref="X70" si="5">+X69+Y69</f>
        <v>2576</v>
      </c>
      <c r="Y70" s="54"/>
      <c r="Z70" s="10">
        <f>+Z69</f>
        <v>1488</v>
      </c>
    </row>
    <row r="71" spans="1:33" x14ac:dyDescent="0.25">
      <c r="I71" s="1">
        <v>0</v>
      </c>
      <c r="J71" s="25">
        <f>+J69</f>
        <v>10450</v>
      </c>
      <c r="K71" s="25">
        <f t="shared" ref="K71:N71" si="6">+K69</f>
        <v>0</v>
      </c>
      <c r="L71" s="25">
        <f t="shared" si="6"/>
        <v>0</v>
      </c>
      <c r="M71" s="25">
        <f t="shared" si="6"/>
        <v>0</v>
      </c>
      <c r="N71" s="25">
        <f t="shared" si="6"/>
        <v>0</v>
      </c>
      <c r="P71" s="17"/>
      <c r="Q71" s="17"/>
      <c r="R71" s="17"/>
      <c r="T71" s="17"/>
      <c r="V71" s="17"/>
      <c r="W71" s="17"/>
      <c r="X71" s="17"/>
      <c r="Y71" s="17"/>
    </row>
    <row r="72" spans="1:33" x14ac:dyDescent="0.25">
      <c r="P72" s="17"/>
      <c r="Q72" s="17"/>
      <c r="R72" s="17"/>
      <c r="T72" s="17"/>
      <c r="V72" s="17"/>
      <c r="W72" s="17"/>
      <c r="X72" s="17"/>
      <c r="Y72" s="17"/>
    </row>
    <row r="73" spans="1:33" x14ac:dyDescent="0.25">
      <c r="C73" s="2" t="s">
        <v>111</v>
      </c>
      <c r="D73" s="2" t="s">
        <v>112</v>
      </c>
      <c r="E73" s="2" t="s">
        <v>113</v>
      </c>
      <c r="P73" s="19" t="s">
        <v>15</v>
      </c>
      <c r="Q73" s="19" t="s">
        <v>16</v>
      </c>
      <c r="R73" s="19" t="s">
        <v>15</v>
      </c>
      <c r="S73" s="19" t="s">
        <v>16</v>
      </c>
      <c r="T73" s="19" t="s">
        <v>15</v>
      </c>
      <c r="U73" s="19" t="s">
        <v>16</v>
      </c>
      <c r="V73" s="19" t="s">
        <v>15</v>
      </c>
      <c r="W73" s="19" t="s">
        <v>16</v>
      </c>
      <c r="X73" s="19" t="s">
        <v>15</v>
      </c>
      <c r="Y73" s="19" t="s">
        <v>16</v>
      </c>
      <c r="Z73" s="19"/>
    </row>
    <row r="74" spans="1:33" x14ac:dyDescent="0.25">
      <c r="B74" s="2" t="s">
        <v>114</v>
      </c>
      <c r="C74" s="8">
        <v>14328</v>
      </c>
      <c r="D74" s="2">
        <f>+C74/5</f>
        <v>2865.6</v>
      </c>
      <c r="E74" s="2">
        <f>+D74/2</f>
        <v>1432.8</v>
      </c>
      <c r="H74" s="23"/>
      <c r="P74" s="40">
        <f>+P69/$E$74</f>
        <v>0</v>
      </c>
      <c r="Q74" s="40">
        <f t="shared" ref="Q74:Y74" si="7">+Q69/$E$74</f>
        <v>0</v>
      </c>
      <c r="R74" s="40">
        <f t="shared" si="7"/>
        <v>0.73283082077051931</v>
      </c>
      <c r="S74" s="40">
        <f t="shared" si="7"/>
        <v>0</v>
      </c>
      <c r="T74" s="40">
        <f t="shared" si="7"/>
        <v>0.20938023450586266</v>
      </c>
      <c r="U74" s="40">
        <f t="shared" si="7"/>
        <v>0.20938023450586266</v>
      </c>
      <c r="V74" s="40">
        <f t="shared" si="7"/>
        <v>0.41876046901172531</v>
      </c>
      <c r="W74" s="40">
        <f t="shared" si="7"/>
        <v>0</v>
      </c>
      <c r="X74" s="40">
        <f t="shared" si="7"/>
        <v>1.6750418760469012</v>
      </c>
      <c r="Y74" s="40">
        <f t="shared" si="7"/>
        <v>0.12283640424343942</v>
      </c>
      <c r="Z74" s="19"/>
    </row>
    <row r="75" spans="1:33" x14ac:dyDescent="0.25">
      <c r="B75" s="2" t="s">
        <v>115</v>
      </c>
      <c r="C75" s="8">
        <v>9684</v>
      </c>
      <c r="D75" s="2">
        <f>+C75/5</f>
        <v>1936.8</v>
      </c>
      <c r="E75" s="2">
        <f>+D75/2</f>
        <v>968.4</v>
      </c>
      <c r="H75" s="23"/>
    </row>
    <row r="76" spans="1:33" x14ac:dyDescent="0.25">
      <c r="B76" s="2" t="s">
        <v>116</v>
      </c>
      <c r="C76" s="2">
        <f>+C74-C75</f>
        <v>4644</v>
      </c>
    </row>
    <row r="77" spans="1:33" x14ac:dyDescent="0.25">
      <c r="B77" s="2" t="s">
        <v>117</v>
      </c>
      <c r="C77" s="24">
        <f>+C76/C74</f>
        <v>0.32412060301507539</v>
      </c>
      <c r="H77" s="23"/>
    </row>
    <row r="78" spans="1:33" x14ac:dyDescent="0.25">
      <c r="B78" s="2" t="s">
        <v>118</v>
      </c>
      <c r="C78" s="24">
        <f>+C75/C74</f>
        <v>0.67587939698492461</v>
      </c>
    </row>
    <row r="80" spans="1:33" x14ac:dyDescent="0.25">
      <c r="A80" s="51" t="s">
        <v>136</v>
      </c>
      <c r="B80" s="52"/>
      <c r="C80" s="52"/>
      <c r="D80" s="52"/>
      <c r="E80" s="52"/>
      <c r="F80" s="53"/>
    </row>
    <row r="81" spans="1:15" x14ac:dyDescent="0.25">
      <c r="A81" s="54" t="s">
        <v>162</v>
      </c>
      <c r="B81" s="37">
        <v>46286</v>
      </c>
      <c r="C81" s="37">
        <v>46287</v>
      </c>
      <c r="D81" s="37">
        <v>46288</v>
      </c>
      <c r="E81" s="37">
        <v>46289</v>
      </c>
      <c r="F81" s="37">
        <v>46290</v>
      </c>
    </row>
    <row r="82" spans="1:15" x14ac:dyDescent="0.25">
      <c r="A82" s="54"/>
      <c r="B82" s="38" t="s">
        <v>122</v>
      </c>
      <c r="C82" s="4" t="s">
        <v>123</v>
      </c>
      <c r="D82" s="4" t="s">
        <v>124</v>
      </c>
      <c r="E82" s="4" t="s">
        <v>125</v>
      </c>
      <c r="F82" s="4" t="s">
        <v>128</v>
      </c>
    </row>
    <row r="83" spans="1:15" x14ac:dyDescent="0.25">
      <c r="A83" s="12" t="s">
        <v>134</v>
      </c>
      <c r="B83" s="26" t="s">
        <v>163</v>
      </c>
      <c r="C83" s="26"/>
      <c r="D83" s="26"/>
      <c r="E83" s="26"/>
      <c r="F83" s="26"/>
    </row>
    <row r="84" spans="1:15" x14ac:dyDescent="0.25">
      <c r="A84" s="12" t="s">
        <v>135</v>
      </c>
      <c r="B84" s="26" t="s">
        <v>163</v>
      </c>
      <c r="C84" s="26"/>
      <c r="D84" s="26"/>
      <c r="E84" s="26"/>
      <c r="F84" s="26"/>
    </row>
    <row r="86" spans="1:15" x14ac:dyDescent="0.25">
      <c r="O86" s="50" t="s">
        <v>165</v>
      </c>
    </row>
    <row r="87" spans="1:15" x14ac:dyDescent="0.25">
      <c r="B87" s="1" t="s">
        <v>145</v>
      </c>
    </row>
    <row r="88" spans="1:15" x14ac:dyDescent="0.25">
      <c r="B88" s="1" t="s">
        <v>146</v>
      </c>
    </row>
    <row r="91" spans="1:15" x14ac:dyDescent="0.25">
      <c r="B91" s="1" t="s">
        <v>147</v>
      </c>
    </row>
    <row r="93" spans="1:15" x14ac:dyDescent="0.25">
      <c r="B93" s="1" t="s">
        <v>148</v>
      </c>
    </row>
    <row r="97" spans="2:2" x14ac:dyDescent="0.25">
      <c r="B97" s="1" t="s">
        <v>149</v>
      </c>
    </row>
    <row r="98" spans="2:2" x14ac:dyDescent="0.25">
      <c r="B98" s="1" t="s">
        <v>150</v>
      </c>
    </row>
    <row r="99" spans="2:2" x14ac:dyDescent="0.25">
      <c r="B99" s="1" t="s">
        <v>151</v>
      </c>
    </row>
    <row r="100" spans="2:2" x14ac:dyDescent="0.25">
      <c r="B100" s="1" t="s">
        <v>152</v>
      </c>
    </row>
    <row r="102" spans="2:2" x14ac:dyDescent="0.25">
      <c r="B102" s="1" t="s">
        <v>153</v>
      </c>
    </row>
    <row r="103" spans="2:2" x14ac:dyDescent="0.25">
      <c r="B103" s="1" t="s">
        <v>154</v>
      </c>
    </row>
    <row r="104" spans="2:2" x14ac:dyDescent="0.25">
      <c r="B104" s="1" t="s">
        <v>155</v>
      </c>
    </row>
    <row r="105" spans="2:2" x14ac:dyDescent="0.25">
      <c r="B105" s="1" t="s">
        <v>156</v>
      </c>
    </row>
    <row r="106" spans="2:2" x14ac:dyDescent="0.25">
      <c r="B106" s="1" t="s">
        <v>157</v>
      </c>
    </row>
  </sheetData>
  <autoFilter ref="B10:AF70" xr:uid="{00000000-0009-0000-0000-00000C000000}">
    <filterColumn colId="13">
      <customFilters>
        <customFilter operator="greaterThan" val="1"/>
      </customFilters>
    </filterColumn>
  </autoFilter>
  <mergeCells count="16">
    <mergeCell ref="C7:D7"/>
    <mergeCell ref="B8:B9"/>
    <mergeCell ref="J9:N9"/>
    <mergeCell ref="P9:Q9"/>
    <mergeCell ref="R9:S9"/>
    <mergeCell ref="A80:F80"/>
    <mergeCell ref="A81:A82"/>
    <mergeCell ref="V9:W9"/>
    <mergeCell ref="X9:Y9"/>
    <mergeCell ref="I70:N70"/>
    <mergeCell ref="P70:Q70"/>
    <mergeCell ref="R70:S70"/>
    <mergeCell ref="T70:U70"/>
    <mergeCell ref="V70:W70"/>
    <mergeCell ref="X70:Y70"/>
    <mergeCell ref="T9:U9"/>
  </mergeCells>
  <conditionalFormatting sqref="P74:Y74">
    <cfRule type="cellIs" dxfId="8" priority="1" operator="between">
      <formula>1</formula>
      <formula>5</formula>
    </cfRule>
    <cfRule type="cellIs" dxfId="7" priority="2" operator="between">
      <formula>0.85</formula>
      <formula>0.99</formula>
    </cfRule>
    <cfRule type="cellIs" dxfId="6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landscape" r:id="rId2"/>
  <colBreaks count="1" manualBreakCount="1">
    <brk id="15" min="5" max="37" man="1"/>
  </colBreaks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1EF3-8673-4E61-8549-BBA5EA1A1709}">
  <sheetPr filterMode="1">
    <pageSetUpPr fitToPage="1"/>
  </sheetPr>
  <dimension ref="A1:BD106"/>
  <sheetViews>
    <sheetView zoomScale="70" zoomScaleNormal="70" zoomScaleSheetLayoutView="115" workbookViewId="0">
      <pane xSplit="15" topLeftCell="AE1" activePane="topRight" state="frozen"/>
      <selection activeCell="K20" sqref="K20"/>
      <selection pane="topRight" activeCell="AS10" sqref="AS10"/>
    </sheetView>
  </sheetViews>
  <sheetFormatPr baseColWidth="10" defaultColWidth="8.7109375" defaultRowHeight="15" x14ac:dyDescent="0.25"/>
  <cols>
    <col min="1" max="1" width="10.140625" style="1" bestFit="1" customWidth="1"/>
    <col min="2" max="2" width="33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2.42578125" style="1" bestFit="1" customWidth="1"/>
    <col min="7" max="7" width="10.5703125" style="1" customWidth="1"/>
    <col min="8" max="8" width="15.42578125" style="1" hidden="1" customWidth="1"/>
    <col min="9" max="9" width="15.42578125" style="1" bestFit="1" customWidth="1"/>
    <col min="10" max="10" width="16" style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customWidth="1"/>
    <col min="18" max="25" width="8.7109375" style="1" customWidth="1"/>
    <col min="26" max="45" width="9.5703125" style="1" customWidth="1"/>
    <col min="46" max="46" width="8.7109375" style="1" customWidth="1"/>
    <col min="47" max="47" width="8.7109375" style="1"/>
    <col min="48" max="48" width="16.85546875" style="1" bestFit="1" customWidth="1"/>
    <col min="49" max="49" width="16.5703125" style="1" bestFit="1" customWidth="1"/>
    <col min="50" max="50" width="13" style="1" customWidth="1"/>
    <col min="51" max="51" width="11.5703125" style="1" bestFit="1" customWidth="1"/>
    <col min="52" max="52" width="12.140625" style="1" bestFit="1" customWidth="1"/>
    <col min="53" max="53" width="8.7109375" style="1"/>
    <col min="54" max="54" width="16.28515625" style="1" customWidth="1"/>
    <col min="55" max="55" width="19.7109375" style="1" bestFit="1" customWidth="1"/>
    <col min="56" max="16384" width="8.7109375" style="1"/>
  </cols>
  <sheetData>
    <row r="1" spans="1:56" s="42" customFormat="1" x14ac:dyDescent="0.25">
      <c r="H1" s="1"/>
      <c r="K1" s="1"/>
      <c r="L1" s="1"/>
      <c r="M1" s="1"/>
      <c r="N1" s="1"/>
    </row>
    <row r="2" spans="1:56" s="42" customFormat="1" x14ac:dyDescent="0.25">
      <c r="H2" s="1"/>
      <c r="K2" s="1"/>
      <c r="L2" s="1"/>
      <c r="M2" s="1"/>
      <c r="N2" s="1"/>
    </row>
    <row r="3" spans="1:56" s="42" customFormat="1" x14ac:dyDescent="0.25">
      <c r="H3" s="1"/>
      <c r="K3" s="1"/>
      <c r="L3" s="1"/>
      <c r="M3" s="1"/>
      <c r="N3" s="1"/>
    </row>
    <row r="4" spans="1:56" s="42" customFormat="1" x14ac:dyDescent="0.25">
      <c r="H4" s="1"/>
      <c r="K4" s="1"/>
      <c r="L4" s="1"/>
      <c r="M4" s="1"/>
      <c r="N4" s="1"/>
    </row>
    <row r="5" spans="1:56" s="42" customFormat="1" x14ac:dyDescent="0.25">
      <c r="H5" s="1"/>
      <c r="K5" s="1"/>
      <c r="L5" s="1"/>
      <c r="M5" s="1"/>
      <c r="N5" s="1"/>
    </row>
    <row r="6" spans="1:56" x14ac:dyDescent="0.25">
      <c r="P6" s="17"/>
      <c r="Q6" s="17"/>
      <c r="R6" s="17"/>
      <c r="T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</row>
    <row r="7" spans="1:56" x14ac:dyDescent="0.25">
      <c r="B7" s="4" t="s">
        <v>17</v>
      </c>
      <c r="C7" s="58" t="s">
        <v>18</v>
      </c>
      <c r="D7" s="58"/>
      <c r="P7" s="17"/>
      <c r="Q7" s="17"/>
      <c r="R7" s="17"/>
      <c r="T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</row>
    <row r="8" spans="1:56" x14ac:dyDescent="0.25">
      <c r="B8" s="59">
        <f ca="1">TODAY()</f>
        <v>46309</v>
      </c>
      <c r="C8" s="4" t="s">
        <v>15</v>
      </c>
      <c r="D8" s="2" t="s">
        <v>103</v>
      </c>
      <c r="I8" s="4" t="s">
        <v>4</v>
      </c>
      <c r="P8" s="17"/>
      <c r="Q8" s="17"/>
      <c r="R8" s="17"/>
      <c r="T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56" x14ac:dyDescent="0.25">
      <c r="B9" s="59"/>
      <c r="C9" s="4" t="s">
        <v>16</v>
      </c>
      <c r="D9" s="2"/>
      <c r="I9" s="4" t="s">
        <v>5</v>
      </c>
      <c r="J9" s="60" t="s">
        <v>119</v>
      </c>
      <c r="K9" s="60"/>
      <c r="L9" s="60"/>
      <c r="M9" s="60"/>
      <c r="N9" s="60"/>
      <c r="P9" s="55">
        <v>46286</v>
      </c>
      <c r="Q9" s="55"/>
      <c r="R9" s="55">
        <v>46287</v>
      </c>
      <c r="S9" s="55"/>
      <c r="T9" s="55">
        <v>46288</v>
      </c>
      <c r="U9" s="55"/>
      <c r="V9" s="55">
        <v>46289</v>
      </c>
      <c r="W9" s="55"/>
      <c r="X9" s="55">
        <v>46290</v>
      </c>
      <c r="Y9" s="55"/>
      <c r="Z9" s="55">
        <v>46293</v>
      </c>
      <c r="AA9" s="55"/>
      <c r="AB9" s="55">
        <f>+Z9+1</f>
        <v>46294</v>
      </c>
      <c r="AC9" s="55"/>
      <c r="AD9" s="55">
        <f>+AB9+1</f>
        <v>46295</v>
      </c>
      <c r="AE9" s="55"/>
      <c r="AF9" s="55">
        <f t="shared" ref="AF9" si="0">+AD9+1</f>
        <v>46296</v>
      </c>
      <c r="AG9" s="55"/>
      <c r="AH9" s="55">
        <f t="shared" ref="AH9" si="1">+AF9+1</f>
        <v>46297</v>
      </c>
      <c r="AI9" s="55"/>
      <c r="AJ9" s="78">
        <v>46300</v>
      </c>
      <c r="AK9" s="79"/>
      <c r="AL9" s="78">
        <v>46301</v>
      </c>
      <c r="AM9" s="79"/>
      <c r="AN9" s="78">
        <v>46302</v>
      </c>
      <c r="AO9" s="79"/>
      <c r="AP9" s="78">
        <v>46303</v>
      </c>
      <c r="AQ9" s="79"/>
      <c r="AR9" s="78">
        <v>46304</v>
      </c>
      <c r="AS9" s="79"/>
      <c r="AT9" s="6" t="s">
        <v>10</v>
      </c>
    </row>
    <row r="10" spans="1:56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32</v>
      </c>
      <c r="I10" s="5">
        <v>39</v>
      </c>
      <c r="J10" s="4" t="s">
        <v>164</v>
      </c>
      <c r="K10" s="4" t="s">
        <v>9</v>
      </c>
      <c r="L10" s="4" t="s">
        <v>11</v>
      </c>
      <c r="M10" s="4" t="s">
        <v>12</v>
      </c>
      <c r="N10" s="4" t="s">
        <v>13</v>
      </c>
      <c r="O10" s="4" t="s">
        <v>14</v>
      </c>
      <c r="P10" s="18" t="s">
        <v>15</v>
      </c>
      <c r="Q10" s="18" t="s">
        <v>16</v>
      </c>
      <c r="R10" s="18" t="s">
        <v>15</v>
      </c>
      <c r="S10" s="4" t="s">
        <v>16</v>
      </c>
      <c r="T10" s="18" t="s">
        <v>15</v>
      </c>
      <c r="U10" s="4" t="s">
        <v>16</v>
      </c>
      <c r="V10" s="18" t="s">
        <v>15</v>
      </c>
      <c r="W10" s="18" t="s">
        <v>16</v>
      </c>
      <c r="X10" s="18" t="s">
        <v>15</v>
      </c>
      <c r="Y10" s="18" t="s">
        <v>16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4" t="s">
        <v>20</v>
      </c>
      <c r="AU10" s="4" t="s">
        <v>8</v>
      </c>
      <c r="AV10" s="4" t="s">
        <v>22</v>
      </c>
      <c r="AW10" s="4" t="s">
        <v>100</v>
      </c>
      <c r="AX10" s="4" t="s">
        <v>24</v>
      </c>
      <c r="AY10" s="4" t="s">
        <v>23</v>
      </c>
      <c r="AZ10" s="4" t="s">
        <v>28</v>
      </c>
      <c r="BA10"/>
      <c r="BB10" s="15" t="s">
        <v>29</v>
      </c>
      <c r="BC10" s="15" t="s">
        <v>31</v>
      </c>
      <c r="BD10"/>
    </row>
    <row r="11" spans="1:56" hidden="1" x14ac:dyDescent="0.25">
      <c r="A11" s="2"/>
      <c r="B11" s="2" t="s">
        <v>33</v>
      </c>
      <c r="C11" s="2" t="s">
        <v>34</v>
      </c>
      <c r="D11" s="2" t="s">
        <v>35</v>
      </c>
      <c r="E11" s="13">
        <v>0.25</v>
      </c>
      <c r="F11" s="2">
        <v>3.1E-2</v>
      </c>
      <c r="G11" s="3">
        <v>1.4E-2</v>
      </c>
      <c r="H11" s="3"/>
      <c r="I11" s="2">
        <v>0</v>
      </c>
      <c r="J11" s="2">
        <v>0</v>
      </c>
      <c r="K11" s="2"/>
      <c r="L11" s="2"/>
      <c r="M11" s="2"/>
      <c r="N11" s="2"/>
      <c r="O11" s="8">
        <f t="shared" ref="O11:O68" si="2">+I11+J11+K11+L11+M11+N11-SUM(P11:AT11)</f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2"/>
      <c r="AU11" s="7">
        <f t="shared" ref="AU11:AU68" si="3">+G11*SUM(I11:N11)</f>
        <v>0</v>
      </c>
      <c r="AV11" s="8" t="s">
        <v>26</v>
      </c>
      <c r="AW11" s="8" t="str">
        <f>VLOOKUP(D11,'[1]Estándar de Emp Ind Daiki'!$O:$P,2,0)</f>
        <v>INDIVIDUALES</v>
      </c>
      <c r="AX11" s="8">
        <v>260</v>
      </c>
      <c r="AY11" s="8" t="s">
        <v>101</v>
      </c>
      <c r="AZ11" s="8">
        <f t="shared" ref="AZ11:AZ68" si="4">+SUM(I11:N11)/AX11</f>
        <v>0</v>
      </c>
      <c r="BA11"/>
      <c r="BB11" s="16" t="s">
        <v>26</v>
      </c>
      <c r="BC11" s="15">
        <v>0</v>
      </c>
      <c r="BD11"/>
    </row>
    <row r="12" spans="1:56" hidden="1" x14ac:dyDescent="0.25">
      <c r="A12" s="2"/>
      <c r="B12" s="2" t="s">
        <v>33</v>
      </c>
      <c r="C12" s="2" t="s">
        <v>34</v>
      </c>
      <c r="D12" s="2" t="s">
        <v>36</v>
      </c>
      <c r="E12" s="13">
        <v>0.375</v>
      </c>
      <c r="F12" s="2">
        <v>2.8000000000000001E-2</v>
      </c>
      <c r="G12" s="3">
        <v>0.10199999999999999</v>
      </c>
      <c r="H12" s="3"/>
      <c r="I12" s="2">
        <v>0</v>
      </c>
      <c r="J12" s="2">
        <v>0</v>
      </c>
      <c r="K12" s="2"/>
      <c r="L12" s="2"/>
      <c r="M12" s="2"/>
      <c r="N12" s="2"/>
      <c r="O12" s="8">
        <f t="shared" si="2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2"/>
      <c r="AU12" s="7">
        <f t="shared" si="3"/>
        <v>0</v>
      </c>
      <c r="AV12" s="8" t="s">
        <v>95</v>
      </c>
      <c r="AW12" s="8" t="str">
        <f>VLOOKUP(D12,'[1]Estándar de Emp Ind Daiki'!$O:$P,2,0)</f>
        <v>HEADERS</v>
      </c>
      <c r="AX12" s="8">
        <v>70</v>
      </c>
      <c r="AY12" s="8" t="s">
        <v>101</v>
      </c>
      <c r="AZ12" s="8">
        <f t="shared" si="4"/>
        <v>0</v>
      </c>
      <c r="BA12"/>
      <c r="BB12" s="16" t="s">
        <v>95</v>
      </c>
      <c r="BC12" s="15">
        <v>0</v>
      </c>
      <c r="BD12"/>
    </row>
    <row r="13" spans="1:56" x14ac:dyDescent="0.25">
      <c r="A13" s="2"/>
      <c r="B13" s="2" t="s">
        <v>33</v>
      </c>
      <c r="C13" s="2" t="s">
        <v>34</v>
      </c>
      <c r="D13" s="2" t="s">
        <v>37</v>
      </c>
      <c r="E13" s="13">
        <v>0.375</v>
      </c>
      <c r="F13" s="2">
        <v>2.8000000000000001E-2</v>
      </c>
      <c r="G13" s="3">
        <v>0.107</v>
      </c>
      <c r="H13" s="3"/>
      <c r="I13" s="2">
        <v>840</v>
      </c>
      <c r="J13" s="2">
        <v>0</v>
      </c>
      <c r="K13" s="2"/>
      <c r="L13" s="2"/>
      <c r="M13" s="2"/>
      <c r="N13" s="2"/>
      <c r="O13" s="8">
        <f t="shared" si="2"/>
        <v>840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"/>
      <c r="AU13" s="7">
        <f t="shared" si="3"/>
        <v>89.88</v>
      </c>
      <c r="AV13" s="8" t="s">
        <v>95</v>
      </c>
      <c r="AW13" s="8" t="str">
        <f>VLOOKUP(D13,'[1]Estándar de Emp Ind Daiki'!$O:$P,2,0)</f>
        <v>HEADERS</v>
      </c>
      <c r="AX13" s="8">
        <v>70</v>
      </c>
      <c r="AY13" s="8" t="s">
        <v>101</v>
      </c>
      <c r="AZ13" s="8">
        <f t="shared" si="4"/>
        <v>12</v>
      </c>
      <c r="BA13"/>
      <c r="BB13" s="16" t="s">
        <v>27</v>
      </c>
      <c r="BC13" s="15">
        <v>0</v>
      </c>
      <c r="BD13"/>
    </row>
    <row r="14" spans="1:56" hidden="1" x14ac:dyDescent="0.25">
      <c r="A14" s="2"/>
      <c r="B14" s="2" t="s">
        <v>33</v>
      </c>
      <c r="C14" s="2" t="s">
        <v>34</v>
      </c>
      <c r="D14" s="2" t="s">
        <v>38</v>
      </c>
      <c r="E14" s="13">
        <v>0.375</v>
      </c>
      <c r="F14" s="2">
        <v>3.1E-2</v>
      </c>
      <c r="G14" s="3">
        <v>6.4000000000000001E-2</v>
      </c>
      <c r="H14" s="3"/>
      <c r="I14" s="2">
        <v>0</v>
      </c>
      <c r="J14" s="2">
        <v>0</v>
      </c>
      <c r="K14" s="2"/>
      <c r="L14" s="2"/>
      <c r="M14" s="2"/>
      <c r="N14" s="2"/>
      <c r="O14" s="8">
        <f t="shared" si="2"/>
        <v>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2"/>
      <c r="AU14" s="7">
        <f t="shared" si="3"/>
        <v>0</v>
      </c>
      <c r="AV14" s="8" t="s">
        <v>26</v>
      </c>
      <c r="AW14" s="8" t="str">
        <f>VLOOKUP(D14,'[1]Estándar de Emp Ind Daiki'!$O:$P,2,0)</f>
        <v>INDIVIDUALES</v>
      </c>
      <c r="AX14" s="8">
        <v>70</v>
      </c>
      <c r="AY14" s="8" t="s">
        <v>101</v>
      </c>
      <c r="AZ14" s="8">
        <f t="shared" si="4"/>
        <v>0</v>
      </c>
      <c r="BA14"/>
      <c r="BB14" s="16" t="s">
        <v>96</v>
      </c>
      <c r="BC14" s="15">
        <v>0</v>
      </c>
      <c r="BD14"/>
    </row>
    <row r="15" spans="1:56" hidden="1" x14ac:dyDescent="0.25">
      <c r="A15" s="2"/>
      <c r="B15" s="2" t="s">
        <v>33</v>
      </c>
      <c r="C15" s="2" t="s">
        <v>34</v>
      </c>
      <c r="D15" s="2" t="s">
        <v>39</v>
      </c>
      <c r="E15" s="13">
        <v>0.375</v>
      </c>
      <c r="F15" s="2">
        <v>2.8000000000000001E-2</v>
      </c>
      <c r="G15" s="3">
        <v>0.11700000000000001</v>
      </c>
      <c r="H15" s="3"/>
      <c r="I15" s="2">
        <v>0</v>
      </c>
      <c r="J15" s="2">
        <v>0</v>
      </c>
      <c r="K15" s="2"/>
      <c r="L15" s="2"/>
      <c r="M15" s="2"/>
      <c r="N15" s="2"/>
      <c r="O15" s="8">
        <f t="shared" si="2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2"/>
      <c r="AU15" s="7">
        <f t="shared" si="3"/>
        <v>0</v>
      </c>
      <c r="AV15" s="8" t="s">
        <v>95</v>
      </c>
      <c r="AW15" s="8" t="str">
        <f>VLOOKUP(D15,'[1]Estándar de Emp Ind Daiki'!$O:$P,2,0)</f>
        <v>HEADERS</v>
      </c>
      <c r="AX15" s="8">
        <v>70</v>
      </c>
      <c r="AY15" s="8" t="s">
        <v>101</v>
      </c>
      <c r="AZ15" s="8">
        <f t="shared" si="4"/>
        <v>0</v>
      </c>
      <c r="BA15"/>
      <c r="BB15" s="16" t="s">
        <v>97</v>
      </c>
      <c r="BC15" s="15">
        <v>0</v>
      </c>
      <c r="BD15"/>
    </row>
    <row r="16" spans="1:56" hidden="1" x14ac:dyDescent="0.25">
      <c r="A16" s="2"/>
      <c r="B16" s="2" t="s">
        <v>33</v>
      </c>
      <c r="C16" s="2" t="s">
        <v>34</v>
      </c>
      <c r="D16" s="2" t="s">
        <v>40</v>
      </c>
      <c r="E16" s="13">
        <v>0.375</v>
      </c>
      <c r="F16" s="2">
        <v>3.1E-2</v>
      </c>
      <c r="G16" s="3">
        <v>6.2E-2</v>
      </c>
      <c r="H16" s="3"/>
      <c r="I16" s="2">
        <v>0</v>
      </c>
      <c r="J16" s="2">
        <v>0</v>
      </c>
      <c r="K16" s="2"/>
      <c r="L16" s="2"/>
      <c r="M16" s="2"/>
      <c r="N16" s="2"/>
      <c r="O16" s="8">
        <f t="shared" si="2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2"/>
      <c r="AU16" s="7">
        <f t="shared" si="3"/>
        <v>0</v>
      </c>
      <c r="AV16" s="8" t="s">
        <v>26</v>
      </c>
      <c r="AW16" s="8" t="str">
        <f>VLOOKUP(D16,'[1]Estándar de Emp Ind Daiki'!$O:$P,2,0)</f>
        <v>INDIVIDUALES</v>
      </c>
      <c r="AX16" s="8">
        <v>160</v>
      </c>
      <c r="AY16" s="8" t="s">
        <v>101</v>
      </c>
      <c r="AZ16" s="8">
        <f t="shared" si="4"/>
        <v>0</v>
      </c>
      <c r="BA16"/>
      <c r="BB16" s="16" t="s">
        <v>30</v>
      </c>
      <c r="BC16" s="15">
        <v>0</v>
      </c>
      <c r="BD16"/>
    </row>
    <row r="17" spans="1:56" hidden="1" x14ac:dyDescent="0.25">
      <c r="A17" s="2"/>
      <c r="B17" s="2" t="s">
        <v>33</v>
      </c>
      <c r="C17" s="2" t="s">
        <v>34</v>
      </c>
      <c r="D17" s="2" t="s">
        <v>41</v>
      </c>
      <c r="E17" s="13">
        <v>0.375</v>
      </c>
      <c r="F17" s="2">
        <v>2.8000000000000001E-2</v>
      </c>
      <c r="G17" s="3">
        <v>7.8E-2</v>
      </c>
      <c r="H17" s="3"/>
      <c r="I17" s="2">
        <v>0</v>
      </c>
      <c r="J17" s="2">
        <v>0</v>
      </c>
      <c r="K17" s="2"/>
      <c r="L17" s="2"/>
      <c r="M17" s="2"/>
      <c r="N17" s="2"/>
      <c r="O17" s="8">
        <f t="shared" si="2"/>
        <v>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2"/>
      <c r="AU17" s="7">
        <f t="shared" si="3"/>
        <v>0</v>
      </c>
      <c r="AV17" s="8" t="s">
        <v>95</v>
      </c>
      <c r="AW17" s="8" t="str">
        <f>VLOOKUP(D17,'[1]Estándar de Emp Ind Daiki'!$O:$P,2,0)</f>
        <v>HEADERS</v>
      </c>
      <c r="AX17" s="8">
        <v>200</v>
      </c>
      <c r="AY17" s="8" t="s">
        <v>101</v>
      </c>
      <c r="AZ17" s="8">
        <f t="shared" si="4"/>
        <v>0</v>
      </c>
      <c r="BA17"/>
      <c r="BB17"/>
      <c r="BC17"/>
      <c r="BD17"/>
    </row>
    <row r="18" spans="1:56" hidden="1" x14ac:dyDescent="0.25">
      <c r="A18" s="2"/>
      <c r="B18" s="2" t="s">
        <v>33</v>
      </c>
      <c r="C18" s="2" t="s">
        <v>34</v>
      </c>
      <c r="D18" s="2" t="s">
        <v>42</v>
      </c>
      <c r="E18" s="13">
        <v>0.375</v>
      </c>
      <c r="F18" s="2">
        <v>2.8000000000000001E-2</v>
      </c>
      <c r="G18" s="3">
        <v>4.7E-2</v>
      </c>
      <c r="H18" s="3"/>
      <c r="I18" s="2">
        <v>0</v>
      </c>
      <c r="J18" s="2">
        <v>0</v>
      </c>
      <c r="K18" s="2"/>
      <c r="L18" s="2"/>
      <c r="M18" s="2"/>
      <c r="N18" s="2"/>
      <c r="O18" s="8">
        <f t="shared" si="2"/>
        <v>0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2"/>
      <c r="AU18" s="7">
        <f t="shared" si="3"/>
        <v>0</v>
      </c>
      <c r="AV18" s="8" t="s">
        <v>95</v>
      </c>
      <c r="AW18" s="8" t="str">
        <f>VLOOKUP(D18,'[1]Estándar de Emp Ind Daiki'!$O:$P,2,0)</f>
        <v>HEADERS</v>
      </c>
      <c r="AX18" s="8">
        <v>280</v>
      </c>
      <c r="AY18" s="8" t="s">
        <v>101</v>
      </c>
      <c r="AZ18" s="8">
        <f t="shared" si="4"/>
        <v>0</v>
      </c>
      <c r="BA18"/>
      <c r="BB18"/>
      <c r="BC18"/>
      <c r="BD18"/>
    </row>
    <row r="19" spans="1:56" hidden="1" x14ac:dyDescent="0.25">
      <c r="A19" s="2"/>
      <c r="B19" s="2" t="s">
        <v>33</v>
      </c>
      <c r="C19" s="2" t="s">
        <v>34</v>
      </c>
      <c r="D19" s="2" t="s">
        <v>43</v>
      </c>
      <c r="E19" s="13">
        <v>0.375</v>
      </c>
      <c r="F19" s="2">
        <v>2.8000000000000001E-2</v>
      </c>
      <c r="G19" s="3">
        <v>1.9E-2</v>
      </c>
      <c r="H19" s="3"/>
      <c r="I19" s="2">
        <v>0</v>
      </c>
      <c r="J19" s="2">
        <v>0</v>
      </c>
      <c r="K19" s="2"/>
      <c r="L19" s="2"/>
      <c r="M19" s="2"/>
      <c r="N19" s="2"/>
      <c r="O19" s="8">
        <f t="shared" si="2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2"/>
      <c r="AU19" s="7">
        <f t="shared" si="3"/>
        <v>0</v>
      </c>
      <c r="AV19" s="8" t="s">
        <v>26</v>
      </c>
      <c r="AW19" s="8" t="str">
        <f>VLOOKUP(D19,'[1]Estándar de Emp Ind Daiki'!$O:$P,2,0)</f>
        <v>INDIVIDUALES</v>
      </c>
      <c r="AX19" s="8">
        <v>260</v>
      </c>
      <c r="AY19" s="8" t="s">
        <v>101</v>
      </c>
      <c r="AZ19" s="8">
        <f t="shared" si="4"/>
        <v>0</v>
      </c>
      <c r="BA19"/>
      <c r="BB19"/>
      <c r="BC19"/>
      <c r="BD19"/>
    </row>
    <row r="20" spans="1:56" hidden="1" x14ac:dyDescent="0.25">
      <c r="A20" s="2"/>
      <c r="B20" s="2" t="s">
        <v>33</v>
      </c>
      <c r="C20" s="2" t="s">
        <v>34</v>
      </c>
      <c r="D20" s="2" t="s">
        <v>44</v>
      </c>
      <c r="E20" s="13">
        <v>0.375</v>
      </c>
      <c r="F20" s="2">
        <v>2.8000000000000001E-2</v>
      </c>
      <c r="G20" s="3">
        <v>1.0999999999999999E-2</v>
      </c>
      <c r="H20" s="3"/>
      <c r="I20" s="2">
        <v>0</v>
      </c>
      <c r="J20" s="2">
        <v>0</v>
      </c>
      <c r="K20" s="2"/>
      <c r="L20" s="2"/>
      <c r="M20" s="2"/>
      <c r="N20" s="2"/>
      <c r="O20" s="8">
        <f t="shared" si="2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2"/>
      <c r="AU20" s="7">
        <f t="shared" si="3"/>
        <v>0</v>
      </c>
      <c r="AV20" s="8" t="s">
        <v>26</v>
      </c>
      <c r="AW20" s="8" t="str">
        <f>VLOOKUP(D20,'[1]Estándar de Emp Ind Daiki'!$O:$P,2,0)</f>
        <v>INDIVIDUALES</v>
      </c>
      <c r="AX20" s="8">
        <v>520</v>
      </c>
      <c r="AY20" s="8" t="s">
        <v>101</v>
      </c>
      <c r="AZ20" s="8">
        <f t="shared" si="4"/>
        <v>0</v>
      </c>
      <c r="BA20"/>
      <c r="BB20"/>
      <c r="BC20"/>
      <c r="BD20"/>
    </row>
    <row r="21" spans="1:56" hidden="1" x14ac:dyDescent="0.25">
      <c r="A21" s="2"/>
      <c r="B21" s="2" t="s">
        <v>33</v>
      </c>
      <c r="C21" s="2" t="s">
        <v>34</v>
      </c>
      <c r="D21" s="2" t="s">
        <v>45</v>
      </c>
      <c r="E21" s="13">
        <v>0.5</v>
      </c>
      <c r="F21" s="2">
        <v>3.1E-2</v>
      </c>
      <c r="G21" s="3">
        <v>0.14599999999999999</v>
      </c>
      <c r="H21" s="3"/>
      <c r="I21" s="2">
        <v>0</v>
      </c>
      <c r="J21" s="2">
        <v>0</v>
      </c>
      <c r="K21" s="2"/>
      <c r="L21" s="2"/>
      <c r="M21" s="2"/>
      <c r="N21" s="2"/>
      <c r="O21" s="8">
        <f t="shared" si="2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2"/>
      <c r="AU21" s="7">
        <f t="shared" si="3"/>
        <v>0</v>
      </c>
      <c r="AV21" s="8" t="s">
        <v>27</v>
      </c>
      <c r="AW21" s="8" t="str">
        <f>VLOOKUP(D21,'[1]Estándar de Emp Ind Daiki'!$O:$P,2,0)</f>
        <v>INDIVIDUALES</v>
      </c>
      <c r="AX21" s="8">
        <v>150</v>
      </c>
      <c r="AY21" s="8" t="s">
        <v>101</v>
      </c>
      <c r="AZ21" s="8">
        <f t="shared" si="4"/>
        <v>0</v>
      </c>
      <c r="BA21"/>
      <c r="BB21"/>
      <c r="BC21"/>
      <c r="BD21"/>
    </row>
    <row r="22" spans="1:56" hidden="1" x14ac:dyDescent="0.25">
      <c r="A22" s="2"/>
      <c r="B22" s="2" t="s">
        <v>33</v>
      </c>
      <c r="C22" s="2" t="s">
        <v>34</v>
      </c>
      <c r="D22" s="2" t="s">
        <v>46</v>
      </c>
      <c r="E22" s="13">
        <v>0.5</v>
      </c>
      <c r="F22" s="2">
        <v>3.5000000000000003E-2</v>
      </c>
      <c r="G22" s="3">
        <v>0.217</v>
      </c>
      <c r="H22" s="3"/>
      <c r="I22" s="2">
        <v>0</v>
      </c>
      <c r="J22" s="2">
        <v>0</v>
      </c>
      <c r="K22" s="2"/>
      <c r="L22" s="2"/>
      <c r="M22" s="2"/>
      <c r="N22" s="2"/>
      <c r="O22" s="8">
        <f t="shared" si="2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2"/>
      <c r="AU22" s="7">
        <f t="shared" si="3"/>
        <v>0</v>
      </c>
      <c r="AV22" s="8" t="s">
        <v>96</v>
      </c>
      <c r="AW22" s="8" t="str">
        <f>VLOOKUP(D22,'[1]Estándar de Emp Ind Daiki'!$O:$P,2,0)</f>
        <v>INDIVIDUALES</v>
      </c>
      <c r="AX22" s="8">
        <v>400</v>
      </c>
      <c r="AY22" s="8" t="s">
        <v>101</v>
      </c>
      <c r="AZ22" s="8">
        <f t="shared" si="4"/>
        <v>0</v>
      </c>
      <c r="BA22"/>
      <c r="BB22"/>
      <c r="BC22"/>
      <c r="BD22"/>
    </row>
    <row r="23" spans="1:56" hidden="1" x14ac:dyDescent="0.25">
      <c r="A23" s="2"/>
      <c r="B23" s="2" t="s">
        <v>33</v>
      </c>
      <c r="C23" s="2" t="s">
        <v>34</v>
      </c>
      <c r="D23" s="2" t="s">
        <v>47</v>
      </c>
      <c r="E23" s="13">
        <v>0.5</v>
      </c>
      <c r="F23" s="2">
        <v>3.1E-2</v>
      </c>
      <c r="G23" s="3">
        <v>0.106</v>
      </c>
      <c r="H23" s="3"/>
      <c r="I23" s="2">
        <v>1200</v>
      </c>
      <c r="J23" s="2">
        <v>0</v>
      </c>
      <c r="K23" s="2"/>
      <c r="L23" s="2"/>
      <c r="M23" s="2"/>
      <c r="N23" s="2"/>
      <c r="O23" s="8">
        <f t="shared" si="2"/>
        <v>0</v>
      </c>
      <c r="P23" s="19"/>
      <c r="Q23" s="43"/>
      <c r="R23" s="19"/>
      <c r="S23" s="2"/>
      <c r="T23" s="19">
        <v>300</v>
      </c>
      <c r="U23" s="2">
        <v>300</v>
      </c>
      <c r="V23" s="19">
        <v>600</v>
      </c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2"/>
      <c r="AU23" s="7">
        <f t="shared" si="3"/>
        <v>127.2</v>
      </c>
      <c r="AV23" s="8" t="s">
        <v>27</v>
      </c>
      <c r="AW23" s="8" t="str">
        <f>VLOOKUP(D23,'[1]Estándar de Emp Ind Daiki'!$O:$P,2,0)</f>
        <v>INDIVIDUALES</v>
      </c>
      <c r="AX23" s="8">
        <v>150</v>
      </c>
      <c r="AY23" s="8" t="s">
        <v>101</v>
      </c>
      <c r="AZ23" s="8">
        <f t="shared" si="4"/>
        <v>8</v>
      </c>
      <c r="BA23"/>
      <c r="BB23"/>
      <c r="BC23"/>
      <c r="BD23"/>
    </row>
    <row r="24" spans="1:56" x14ac:dyDescent="0.25">
      <c r="A24" s="2"/>
      <c r="B24" s="2" t="s">
        <v>33</v>
      </c>
      <c r="C24" s="2" t="s">
        <v>34</v>
      </c>
      <c r="D24" s="2" t="s">
        <v>48</v>
      </c>
      <c r="E24" s="13">
        <v>0.5</v>
      </c>
      <c r="F24" s="2">
        <v>3.5000000000000003E-2</v>
      </c>
      <c r="G24" s="3">
        <v>0.17699999999999999</v>
      </c>
      <c r="H24" s="3"/>
      <c r="I24" s="2">
        <v>1200</v>
      </c>
      <c r="J24" s="2">
        <v>0</v>
      </c>
      <c r="K24" s="2"/>
      <c r="L24" s="2"/>
      <c r="M24" s="2"/>
      <c r="N24" s="2"/>
      <c r="O24" s="8">
        <f t="shared" si="2"/>
        <v>670</v>
      </c>
      <c r="P24" s="19"/>
      <c r="Q24" s="19"/>
      <c r="R24" s="19">
        <v>530</v>
      </c>
      <c r="S24" s="2"/>
      <c r="T24" s="19"/>
      <c r="U24" s="2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2"/>
      <c r="AU24" s="7">
        <f t="shared" si="3"/>
        <v>212.39999999999998</v>
      </c>
      <c r="AV24" s="8" t="s">
        <v>96</v>
      </c>
      <c r="AW24" s="8" t="str">
        <f>VLOOKUP(D24,'[1]Estándar de Emp Ind Daiki'!$O:$P,2,0)</f>
        <v>INDIVIDUALES</v>
      </c>
      <c r="AX24" s="8">
        <v>420</v>
      </c>
      <c r="AY24" s="8" t="s">
        <v>101</v>
      </c>
      <c r="AZ24" s="8">
        <f t="shared" si="4"/>
        <v>2.8571428571428572</v>
      </c>
      <c r="BA24"/>
      <c r="BB24"/>
      <c r="BC24"/>
      <c r="BD24"/>
    </row>
    <row r="25" spans="1:56" hidden="1" x14ac:dyDescent="0.25">
      <c r="A25" s="2"/>
      <c r="B25" s="2" t="s">
        <v>33</v>
      </c>
      <c r="C25" s="2" t="s">
        <v>34</v>
      </c>
      <c r="D25" s="2" t="s">
        <v>49</v>
      </c>
      <c r="E25" s="13">
        <v>0.625</v>
      </c>
      <c r="F25" s="2">
        <v>3.6999999999999998E-2</v>
      </c>
      <c r="G25" s="3">
        <v>0.20799999999999999</v>
      </c>
      <c r="H25" s="3"/>
      <c r="I25" s="2">
        <v>0</v>
      </c>
      <c r="J25" s="2">
        <v>0</v>
      </c>
      <c r="K25" s="2"/>
      <c r="L25" s="2"/>
      <c r="M25" s="2"/>
      <c r="N25" s="2"/>
      <c r="O25" s="8">
        <f t="shared" si="2"/>
        <v>0</v>
      </c>
      <c r="P25" s="19"/>
      <c r="Q25" s="19"/>
      <c r="R25" s="19"/>
      <c r="S25" s="2"/>
      <c r="T25" s="19"/>
      <c r="U25" s="2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2"/>
      <c r="AU25" s="7">
        <f t="shared" si="3"/>
        <v>0</v>
      </c>
      <c r="AV25" s="8" t="s">
        <v>95</v>
      </c>
      <c r="AW25" s="8" t="str">
        <f>VLOOKUP(D25,'[1]Estándar de Emp Ind Daiki'!$O:$P,2,0)</f>
        <v>HEADERS</v>
      </c>
      <c r="AX25" s="8">
        <v>64</v>
      </c>
      <c r="AY25" s="8" t="s">
        <v>101</v>
      </c>
      <c r="AZ25" s="8">
        <f t="shared" si="4"/>
        <v>0</v>
      </c>
      <c r="BA25"/>
      <c r="BB25"/>
      <c r="BC25"/>
      <c r="BD25"/>
    </row>
    <row r="26" spans="1:56" hidden="1" x14ac:dyDescent="0.25">
      <c r="A26" s="2"/>
      <c r="B26" s="2" t="s">
        <v>33</v>
      </c>
      <c r="C26" s="2" t="s">
        <v>34</v>
      </c>
      <c r="D26" s="2" t="s">
        <v>50</v>
      </c>
      <c r="E26" s="13">
        <v>0.625</v>
      </c>
      <c r="F26" s="2">
        <v>3.6999999999999998E-2</v>
      </c>
      <c r="G26" s="3">
        <v>0.14499999999999999</v>
      </c>
      <c r="H26" s="3"/>
      <c r="I26" s="2">
        <v>0</v>
      </c>
      <c r="J26" s="2">
        <v>0</v>
      </c>
      <c r="K26" s="2"/>
      <c r="L26" s="2"/>
      <c r="M26" s="2"/>
      <c r="N26" s="2"/>
      <c r="O26" s="8">
        <f t="shared" si="2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2"/>
      <c r="AU26" s="7">
        <f t="shared" si="3"/>
        <v>0</v>
      </c>
      <c r="AV26" s="8" t="s">
        <v>27</v>
      </c>
      <c r="AW26" s="8" t="str">
        <f>VLOOKUP(D26,'[1]Estándar de Emp Ind Daiki'!$O:$P,2,0)</f>
        <v>INDIVIDUALES</v>
      </c>
      <c r="AX26" s="8">
        <v>92</v>
      </c>
      <c r="AY26" s="8" t="s">
        <v>101</v>
      </c>
      <c r="AZ26" s="8">
        <f t="shared" si="4"/>
        <v>0</v>
      </c>
      <c r="BA26"/>
      <c r="BB26"/>
      <c r="BC26"/>
      <c r="BD26"/>
    </row>
    <row r="27" spans="1:56" hidden="1" x14ac:dyDescent="0.25">
      <c r="A27" s="2"/>
      <c r="B27" s="2" t="s">
        <v>33</v>
      </c>
      <c r="C27" s="2" t="s">
        <v>34</v>
      </c>
      <c r="D27" s="2" t="s">
        <v>51</v>
      </c>
      <c r="E27" s="13">
        <v>0.625</v>
      </c>
      <c r="F27" s="2">
        <v>3.6999999999999998E-2</v>
      </c>
      <c r="G27" s="3">
        <v>0.46800000000000003</v>
      </c>
      <c r="H27" s="3"/>
      <c r="I27" s="2">
        <v>0</v>
      </c>
      <c r="J27" s="2">
        <v>0</v>
      </c>
      <c r="K27" s="2"/>
      <c r="L27" s="2"/>
      <c r="M27" s="2"/>
      <c r="N27" s="2"/>
      <c r="O27" s="8">
        <f t="shared" si="2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2"/>
      <c r="AU27" s="7">
        <f t="shared" si="3"/>
        <v>0</v>
      </c>
      <c r="AV27" s="8" t="s">
        <v>97</v>
      </c>
      <c r="AW27" s="8" t="str">
        <f>VLOOKUP(D27,'[1]Estándar de Emp Ind Daiki'!$O:$P,2,0)</f>
        <v>HEADERS</v>
      </c>
      <c r="AX27" s="8">
        <v>200</v>
      </c>
      <c r="AY27" s="8" t="s">
        <v>101</v>
      </c>
      <c r="AZ27" s="8">
        <f t="shared" si="4"/>
        <v>0</v>
      </c>
      <c r="BA27"/>
      <c r="BB27"/>
      <c r="BC27"/>
      <c r="BD27"/>
    </row>
    <row r="28" spans="1:56" hidden="1" x14ac:dyDescent="0.25">
      <c r="A28" s="2"/>
      <c r="B28" s="2" t="s">
        <v>33</v>
      </c>
      <c r="C28" s="2" t="s">
        <v>34</v>
      </c>
      <c r="D28" s="2" t="s">
        <v>52</v>
      </c>
      <c r="E28" s="13">
        <v>0.625</v>
      </c>
      <c r="F28" s="2">
        <v>3.6999999999999998E-2</v>
      </c>
      <c r="G28" s="3">
        <v>0.31900000000000001</v>
      </c>
      <c r="H28" s="3"/>
      <c r="I28" s="2">
        <v>0</v>
      </c>
      <c r="J28" s="2">
        <v>0</v>
      </c>
      <c r="K28" s="2"/>
      <c r="L28" s="2"/>
      <c r="M28" s="2"/>
      <c r="N28" s="2"/>
      <c r="O28" s="8">
        <f t="shared" si="2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2"/>
      <c r="AU28" s="7">
        <f t="shared" si="3"/>
        <v>0</v>
      </c>
      <c r="AV28" s="8" t="s">
        <v>97</v>
      </c>
      <c r="AW28" s="8" t="str">
        <f>VLOOKUP(D28,'[1]Estándar de Emp Ind Daiki'!$O:$P,2,0)</f>
        <v>INDIVIDUALES</v>
      </c>
      <c r="AX28" s="8">
        <v>260</v>
      </c>
      <c r="AY28" s="8" t="s">
        <v>101</v>
      </c>
      <c r="AZ28" s="8">
        <f t="shared" si="4"/>
        <v>0</v>
      </c>
      <c r="BA28"/>
    </row>
    <row r="29" spans="1:56" hidden="1" x14ac:dyDescent="0.25">
      <c r="A29" s="2"/>
      <c r="B29" s="2" t="s">
        <v>33</v>
      </c>
      <c r="C29" s="2" t="s">
        <v>34</v>
      </c>
      <c r="D29" s="2" t="s">
        <v>53</v>
      </c>
      <c r="E29" s="13">
        <v>0.625</v>
      </c>
      <c r="F29" s="2">
        <v>3.6999999999999998E-2</v>
      </c>
      <c r="G29" s="3">
        <v>0.15</v>
      </c>
      <c r="H29" s="3"/>
      <c r="I29" s="2">
        <v>0</v>
      </c>
      <c r="J29" s="2">
        <v>0</v>
      </c>
      <c r="K29" s="2"/>
      <c r="L29" s="2"/>
      <c r="M29" s="2"/>
      <c r="N29" s="2"/>
      <c r="O29" s="8">
        <f t="shared" si="2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2"/>
      <c r="AU29" s="7">
        <f t="shared" si="3"/>
        <v>0</v>
      </c>
      <c r="AV29" s="8" t="s">
        <v>27</v>
      </c>
      <c r="AW29" s="8" t="str">
        <f>VLOOKUP(D29,'[1]Estándar de Emp Ind Daiki'!$O:$P,2,0)</f>
        <v>INDIVIDUALES</v>
      </c>
      <c r="AX29" s="8">
        <v>100</v>
      </c>
      <c r="AY29" s="8" t="s">
        <v>101</v>
      </c>
      <c r="AZ29" s="8">
        <f t="shared" si="4"/>
        <v>0</v>
      </c>
      <c r="BA29"/>
    </row>
    <row r="30" spans="1:56" s="49" customFormat="1" x14ac:dyDescent="0.25">
      <c r="A30" s="44"/>
      <c r="B30" s="44" t="s">
        <v>33</v>
      </c>
      <c r="C30" s="44" t="s">
        <v>34</v>
      </c>
      <c r="D30" s="44" t="s">
        <v>54</v>
      </c>
      <c r="E30" s="45">
        <v>0.625</v>
      </c>
      <c r="F30" s="44">
        <v>3.6999999999999998E-2</v>
      </c>
      <c r="G30" s="46">
        <v>0.159</v>
      </c>
      <c r="H30" s="3"/>
      <c r="I30" s="44">
        <v>1088</v>
      </c>
      <c r="J30" s="44">
        <v>2000</v>
      </c>
      <c r="K30" s="2"/>
      <c r="L30" s="2"/>
      <c r="M30" s="2"/>
      <c r="N30" s="2"/>
      <c r="O30" s="44">
        <f>+I30+J30+K30+L30+M30+N30-SUM(P30:AT30)</f>
        <v>1360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>
        <v>384</v>
      </c>
      <c r="AK30" s="44"/>
      <c r="AL30" s="44"/>
      <c r="AM30" s="44"/>
      <c r="AN30" s="44"/>
      <c r="AO30" s="44">
        <v>256</v>
      </c>
      <c r="AP30" s="44"/>
      <c r="AQ30" s="44"/>
      <c r="AR30" s="44"/>
      <c r="AS30" s="44"/>
      <c r="AT30" s="44">
        <v>1088</v>
      </c>
      <c r="AU30" s="47">
        <f t="shared" si="3"/>
        <v>490.99200000000002</v>
      </c>
      <c r="AV30" s="44" t="s">
        <v>95</v>
      </c>
      <c r="AW30" s="44" t="str">
        <f>VLOOKUP(D30,'[1]Estándar de Emp Ind Daiki'!$O:$P,2,0)</f>
        <v>HEADERS</v>
      </c>
      <c r="AX30" s="44">
        <v>64</v>
      </c>
      <c r="AY30" s="44" t="s">
        <v>101</v>
      </c>
      <c r="AZ30" s="44">
        <f t="shared" si="4"/>
        <v>48.25</v>
      </c>
      <c r="BA30" s="48"/>
    </row>
    <row r="31" spans="1:56" hidden="1" x14ac:dyDescent="0.25">
      <c r="A31" s="2"/>
      <c r="B31" s="2" t="s">
        <v>33</v>
      </c>
      <c r="C31" s="2" t="s">
        <v>34</v>
      </c>
      <c r="D31" s="2" t="s">
        <v>55</v>
      </c>
      <c r="E31" s="13" t="s">
        <v>57</v>
      </c>
      <c r="F31" s="2">
        <v>2.8000000000000001E-2</v>
      </c>
      <c r="G31" s="3">
        <v>0.02</v>
      </c>
      <c r="H31" s="3"/>
      <c r="I31" s="2">
        <v>0</v>
      </c>
      <c r="J31" s="2">
        <v>0</v>
      </c>
      <c r="K31" s="2"/>
      <c r="L31" s="2"/>
      <c r="M31" s="2"/>
      <c r="N31" s="2"/>
      <c r="O31" s="8">
        <f t="shared" si="2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2"/>
      <c r="AU31" s="7">
        <f t="shared" si="3"/>
        <v>0</v>
      </c>
      <c r="AV31" s="8" t="s">
        <v>26</v>
      </c>
      <c r="AW31" s="8" t="str">
        <f>VLOOKUP(D31,'[1]Estándar de Emp Ind Daiki'!$O:$P,2,0)</f>
        <v>INDIVIDUALES</v>
      </c>
      <c r="AX31" s="8">
        <v>200</v>
      </c>
      <c r="AY31" s="8" t="s">
        <v>101</v>
      </c>
      <c r="AZ31" s="8">
        <f t="shared" si="4"/>
        <v>0</v>
      </c>
      <c r="BA31"/>
    </row>
    <row r="32" spans="1:56" hidden="1" x14ac:dyDescent="0.25">
      <c r="A32" s="2"/>
      <c r="B32" s="2" t="s">
        <v>33</v>
      </c>
      <c r="C32" s="2" t="s">
        <v>34</v>
      </c>
      <c r="D32" s="2" t="s">
        <v>56</v>
      </c>
      <c r="E32" s="13" t="s">
        <v>57</v>
      </c>
      <c r="F32" s="2">
        <v>2.8000000000000001E-2</v>
      </c>
      <c r="G32" s="3">
        <v>1.2E-2</v>
      </c>
      <c r="H32" s="3"/>
      <c r="I32" s="2">
        <v>0</v>
      </c>
      <c r="J32" s="2">
        <v>0</v>
      </c>
      <c r="K32" s="2"/>
      <c r="L32" s="2"/>
      <c r="M32" s="2"/>
      <c r="N32" s="2"/>
      <c r="O32" s="8">
        <f t="shared" si="2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2"/>
      <c r="AU32" s="7">
        <f t="shared" si="3"/>
        <v>0</v>
      </c>
      <c r="AV32" s="8" t="s">
        <v>26</v>
      </c>
      <c r="AW32" s="8" t="str">
        <f>VLOOKUP(D32,'[1]Estándar de Emp Ind Daiki'!$O:$P,2,0)</f>
        <v>INDIVIDUALES</v>
      </c>
      <c r="AX32" s="8">
        <v>200</v>
      </c>
      <c r="AY32" s="8" t="s">
        <v>101</v>
      </c>
      <c r="AZ32" s="8">
        <f t="shared" si="4"/>
        <v>0</v>
      </c>
      <c r="BA32"/>
    </row>
    <row r="33" spans="1:53" hidden="1" x14ac:dyDescent="0.25">
      <c r="A33" s="2"/>
      <c r="B33" s="2" t="s">
        <v>33</v>
      </c>
      <c r="C33" s="2" t="s">
        <v>94</v>
      </c>
      <c r="D33" s="2" t="s">
        <v>58</v>
      </c>
      <c r="E33" s="13">
        <v>0.25</v>
      </c>
      <c r="F33" s="2">
        <v>2.8000000000000001E-2</v>
      </c>
      <c r="G33" s="3">
        <v>1.0999999999999999E-2</v>
      </c>
      <c r="H33" s="3"/>
      <c r="I33" s="2">
        <v>0</v>
      </c>
      <c r="J33" s="2">
        <v>0</v>
      </c>
      <c r="K33" s="2"/>
      <c r="L33" s="2"/>
      <c r="M33" s="2"/>
      <c r="N33" s="2"/>
      <c r="O33" s="8">
        <f t="shared" si="2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2"/>
      <c r="AU33" s="7">
        <f t="shared" si="3"/>
        <v>0</v>
      </c>
      <c r="AV33" s="8" t="s">
        <v>26</v>
      </c>
      <c r="AW33" s="8" t="str">
        <f>VLOOKUP(D33,'[1]Estándar de Emp Ind Daiki'!$O:$P,2,0)</f>
        <v>INDIVIDUALES</v>
      </c>
      <c r="AX33" s="8">
        <v>500</v>
      </c>
      <c r="AY33" s="8" t="s">
        <v>102</v>
      </c>
      <c r="AZ33" s="8">
        <f t="shared" si="4"/>
        <v>0</v>
      </c>
      <c r="BA33"/>
    </row>
    <row r="34" spans="1:53" hidden="1" x14ac:dyDescent="0.25">
      <c r="A34" s="2"/>
      <c r="B34" s="2" t="s">
        <v>33</v>
      </c>
      <c r="C34" s="2" t="s">
        <v>94</v>
      </c>
      <c r="D34" s="2" t="s">
        <v>59</v>
      </c>
      <c r="E34" s="13">
        <v>0.25</v>
      </c>
      <c r="F34" s="2">
        <v>3.1E-2</v>
      </c>
      <c r="G34" s="3">
        <v>1.7000000000000001E-2</v>
      </c>
      <c r="H34" s="3"/>
      <c r="I34" s="2">
        <v>0</v>
      </c>
      <c r="J34" s="2">
        <v>1000</v>
      </c>
      <c r="K34" s="2"/>
      <c r="L34" s="2"/>
      <c r="M34" s="2"/>
      <c r="N34" s="2"/>
      <c r="O34" s="8">
        <f t="shared" si="2"/>
        <v>-1000</v>
      </c>
      <c r="P34" s="19"/>
      <c r="Q34" s="19"/>
      <c r="R34" s="19"/>
      <c r="S34" s="2"/>
      <c r="T34" s="19"/>
      <c r="U34" s="2"/>
      <c r="V34" s="19"/>
      <c r="W34" s="19"/>
      <c r="X34" s="19">
        <v>1600</v>
      </c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>
        <v>400</v>
      </c>
      <c r="AM34" s="19"/>
      <c r="AN34" s="19"/>
      <c r="AO34" s="19"/>
      <c r="AP34" s="19"/>
      <c r="AQ34" s="19"/>
      <c r="AR34" s="19"/>
      <c r="AS34" s="19"/>
      <c r="AT34" s="2"/>
      <c r="AU34" s="7">
        <f t="shared" si="3"/>
        <v>17</v>
      </c>
      <c r="AV34" s="8" t="s">
        <v>26</v>
      </c>
      <c r="AW34" s="8" t="str">
        <f>VLOOKUP(D34,'[1]Estándar de Emp Ind Daiki'!$O:$P,2,0)</f>
        <v>INDIVIDUALES</v>
      </c>
      <c r="AX34" s="8">
        <v>200</v>
      </c>
      <c r="AY34" s="8" t="s">
        <v>102</v>
      </c>
      <c r="AZ34" s="8">
        <f t="shared" si="4"/>
        <v>5</v>
      </c>
      <c r="BA34"/>
    </row>
    <row r="35" spans="1:53" x14ac:dyDescent="0.25">
      <c r="A35" s="2"/>
      <c r="B35" s="2" t="s">
        <v>33</v>
      </c>
      <c r="C35" s="2" t="s">
        <v>94</v>
      </c>
      <c r="D35" s="2" t="s">
        <v>60</v>
      </c>
      <c r="E35" s="13">
        <v>0.25</v>
      </c>
      <c r="F35" s="2">
        <v>3.1E-2</v>
      </c>
      <c r="G35" s="3">
        <v>4.2000000000000003E-2</v>
      </c>
      <c r="H35" s="3"/>
      <c r="I35" s="2">
        <v>0</v>
      </c>
      <c r="J35" s="2">
        <v>1000</v>
      </c>
      <c r="K35" s="2"/>
      <c r="L35" s="2"/>
      <c r="M35" s="2"/>
      <c r="N35" s="2"/>
      <c r="O35" s="8">
        <f t="shared" si="2"/>
        <v>1000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7">
        <f t="shared" si="3"/>
        <v>42</v>
      </c>
      <c r="AV35" s="8" t="s">
        <v>26</v>
      </c>
      <c r="AW35" s="8" t="str">
        <f>VLOOKUP(D35,'[1]Estándar de Emp Ind Daiki'!$O:$P,2,0)</f>
        <v>INDIVIDUALES</v>
      </c>
      <c r="AX35" s="8">
        <v>200</v>
      </c>
      <c r="AY35" s="8" t="s">
        <v>102</v>
      </c>
      <c r="AZ35" s="8">
        <f t="shared" si="4"/>
        <v>5</v>
      </c>
      <c r="BA35"/>
    </row>
    <row r="36" spans="1:53" x14ac:dyDescent="0.25">
      <c r="A36" s="2"/>
      <c r="B36" s="2" t="s">
        <v>33</v>
      </c>
      <c r="C36" s="2" t="s">
        <v>94</v>
      </c>
      <c r="D36" s="2" t="s">
        <v>61</v>
      </c>
      <c r="E36" s="13">
        <v>0.25</v>
      </c>
      <c r="F36" s="2">
        <v>3.1E-2</v>
      </c>
      <c r="G36" s="3">
        <v>2.8000000000000001E-2</v>
      </c>
      <c r="H36" s="3"/>
      <c r="I36" s="2">
        <v>0</v>
      </c>
      <c r="J36" s="2">
        <v>900</v>
      </c>
      <c r="K36" s="2"/>
      <c r="L36" s="2"/>
      <c r="M36" s="2"/>
      <c r="N36" s="2"/>
      <c r="O36" s="8">
        <f t="shared" si="2"/>
        <v>900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19"/>
      <c r="AO36" s="19"/>
      <c r="AP36" s="19"/>
      <c r="AQ36" s="19"/>
      <c r="AR36" s="19"/>
      <c r="AS36" s="19"/>
      <c r="AT36" s="19"/>
      <c r="AU36" s="7">
        <f t="shared" si="3"/>
        <v>25.2</v>
      </c>
      <c r="AV36" s="8" t="s">
        <v>26</v>
      </c>
      <c r="AW36" s="8" t="str">
        <f>VLOOKUP(D36,'[1]Estándar de Emp Ind Daiki'!$O:$P,2,0)</f>
        <v>INDIVIDUALES</v>
      </c>
      <c r="AX36" s="8">
        <v>100</v>
      </c>
      <c r="AY36" s="8" t="s">
        <v>102</v>
      </c>
      <c r="AZ36" s="8">
        <f t="shared" si="4"/>
        <v>9</v>
      </c>
      <c r="BA36"/>
    </row>
    <row r="37" spans="1:53" hidden="1" x14ac:dyDescent="0.25">
      <c r="A37" s="2"/>
      <c r="B37" s="2" t="s">
        <v>33</v>
      </c>
      <c r="C37" s="2" t="s">
        <v>94</v>
      </c>
      <c r="D37" s="2" t="s">
        <v>62</v>
      </c>
      <c r="E37" s="13">
        <v>0.375</v>
      </c>
      <c r="F37" s="2">
        <v>2.8000000000000001E-2</v>
      </c>
      <c r="G37" s="3">
        <v>0.128</v>
      </c>
      <c r="H37" s="3"/>
      <c r="I37" s="2">
        <v>0</v>
      </c>
      <c r="J37" s="2">
        <v>0</v>
      </c>
      <c r="K37" s="2"/>
      <c r="L37" s="2"/>
      <c r="M37" s="2"/>
      <c r="N37" s="2"/>
      <c r="O37" s="8">
        <f t="shared" si="2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2"/>
      <c r="AU37" s="7">
        <f t="shared" si="3"/>
        <v>0</v>
      </c>
      <c r="AV37" s="8" t="s">
        <v>97</v>
      </c>
      <c r="AW37" s="8" t="str">
        <f>VLOOKUP(D37,'[1]Estándar de Emp Ind Daiki'!$O:$P,2,0)</f>
        <v>HEADERS</v>
      </c>
      <c r="AX37" s="8">
        <v>400</v>
      </c>
      <c r="AY37" s="8" t="s">
        <v>102</v>
      </c>
      <c r="AZ37" s="8">
        <f t="shared" si="4"/>
        <v>0</v>
      </c>
      <c r="BA37"/>
    </row>
    <row r="38" spans="1:53" hidden="1" x14ac:dyDescent="0.25">
      <c r="A38" s="2"/>
      <c r="B38" s="2" t="s">
        <v>33</v>
      </c>
      <c r="C38" s="2" t="s">
        <v>94</v>
      </c>
      <c r="D38" s="2" t="s">
        <v>63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>
        <v>0</v>
      </c>
      <c r="K38" s="2"/>
      <c r="L38" s="2"/>
      <c r="M38" s="2"/>
      <c r="N38" s="2"/>
      <c r="O38" s="8">
        <f t="shared" si="2"/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2"/>
      <c r="AU38" s="7">
        <f t="shared" si="3"/>
        <v>0</v>
      </c>
      <c r="AV38" s="8" t="s">
        <v>26</v>
      </c>
      <c r="AW38" s="8" t="str">
        <f>VLOOKUP(D38,'[1]Estándar de Emp Ind Daiki'!$O:$P,2,0)</f>
        <v>HEADERS</v>
      </c>
      <c r="AX38" s="8">
        <v>250</v>
      </c>
      <c r="AY38" s="8" t="s">
        <v>102</v>
      </c>
      <c r="AZ38" s="8">
        <f t="shared" si="4"/>
        <v>0</v>
      </c>
      <c r="BA38"/>
    </row>
    <row r="39" spans="1:53" hidden="1" x14ac:dyDescent="0.25">
      <c r="A39" s="2"/>
      <c r="B39" s="2" t="s">
        <v>33</v>
      </c>
      <c r="C39" s="2" t="s">
        <v>94</v>
      </c>
      <c r="D39" s="2" t="s">
        <v>64</v>
      </c>
      <c r="E39" s="13">
        <v>0.375</v>
      </c>
      <c r="F39" s="2">
        <v>3.1E-2</v>
      </c>
      <c r="G39" s="3">
        <v>3.4000000000000002E-2</v>
      </c>
      <c r="H39" s="3"/>
      <c r="I39" s="2">
        <v>0</v>
      </c>
      <c r="J39" s="2">
        <v>0</v>
      </c>
      <c r="K39" s="2"/>
      <c r="L39" s="2"/>
      <c r="M39" s="2"/>
      <c r="N39" s="2"/>
      <c r="O39" s="8">
        <f t="shared" si="2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2"/>
      <c r="AU39" s="7">
        <f t="shared" si="3"/>
        <v>0</v>
      </c>
      <c r="AV39" s="8" t="s">
        <v>26</v>
      </c>
      <c r="AW39" s="8" t="str">
        <f>VLOOKUP(D39,'[1]Estándar de Emp Ind Daiki'!$O:$P,2,0)</f>
        <v>HEADERS</v>
      </c>
      <c r="AX39" s="8">
        <v>300</v>
      </c>
      <c r="AY39" s="8" t="s">
        <v>102</v>
      </c>
      <c r="AZ39" s="8">
        <f t="shared" si="4"/>
        <v>0</v>
      </c>
      <c r="BA39"/>
    </row>
    <row r="40" spans="1:53" hidden="1" x14ac:dyDescent="0.25">
      <c r="A40" s="2"/>
      <c r="B40" s="2" t="s">
        <v>33</v>
      </c>
      <c r="C40" s="2" t="s">
        <v>94</v>
      </c>
      <c r="D40" s="2" t="s">
        <v>65</v>
      </c>
      <c r="E40" s="13">
        <v>0.375</v>
      </c>
      <c r="F40" s="2">
        <v>2.8000000000000001E-2</v>
      </c>
      <c r="G40" s="3">
        <v>2.9000000000000001E-2</v>
      </c>
      <c r="H40" s="3"/>
      <c r="I40" s="2">
        <v>0</v>
      </c>
      <c r="J40" s="2">
        <v>0</v>
      </c>
      <c r="K40" s="2"/>
      <c r="L40" s="2"/>
      <c r="M40" s="2"/>
      <c r="N40" s="2"/>
      <c r="O40" s="8">
        <f t="shared" si="2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2"/>
      <c r="AU40" s="7">
        <f t="shared" si="3"/>
        <v>0</v>
      </c>
      <c r="AV40" s="8" t="s">
        <v>26</v>
      </c>
      <c r="AW40" s="8" t="str">
        <f>VLOOKUP(D40,'[1]Estándar de Emp Ind Daiki'!$O:$P,2,0)</f>
        <v>HEADERS</v>
      </c>
      <c r="AX40" s="8">
        <v>300</v>
      </c>
      <c r="AY40" s="8" t="s">
        <v>102</v>
      </c>
      <c r="AZ40" s="8">
        <f t="shared" si="4"/>
        <v>0</v>
      </c>
      <c r="BA40"/>
    </row>
    <row r="41" spans="1:53" hidden="1" x14ac:dyDescent="0.25">
      <c r="A41" s="2"/>
      <c r="B41" s="2" t="s">
        <v>33</v>
      </c>
      <c r="C41" s="2" t="s">
        <v>94</v>
      </c>
      <c r="D41" s="2" t="s">
        <v>66</v>
      </c>
      <c r="E41" s="13">
        <v>0.375</v>
      </c>
      <c r="F41" s="2">
        <v>2.8000000000000001E-2</v>
      </c>
      <c r="G41" s="3">
        <v>0.20499999999999999</v>
      </c>
      <c r="H41" s="3"/>
      <c r="I41" s="2">
        <v>0</v>
      </c>
      <c r="J41" s="2">
        <v>0</v>
      </c>
      <c r="K41" s="2"/>
      <c r="L41" s="2"/>
      <c r="M41" s="2"/>
      <c r="N41" s="2"/>
      <c r="O41" s="8">
        <f t="shared" si="2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2"/>
      <c r="AU41" s="7">
        <f t="shared" si="3"/>
        <v>0</v>
      </c>
      <c r="AV41" s="8" t="s">
        <v>97</v>
      </c>
      <c r="AW41" s="8" t="str">
        <f>VLOOKUP(D41,'[1]Estándar de Emp Ind Daiki'!$O:$P,2,0)</f>
        <v>HEADERS</v>
      </c>
      <c r="AX41" s="8">
        <v>250</v>
      </c>
      <c r="AY41" s="8" t="s">
        <v>102</v>
      </c>
      <c r="AZ41" s="8">
        <f t="shared" si="4"/>
        <v>0</v>
      </c>
      <c r="BA41"/>
    </row>
    <row r="42" spans="1:53" hidden="1" x14ac:dyDescent="0.25">
      <c r="A42" s="2"/>
      <c r="B42" s="2" t="s">
        <v>33</v>
      </c>
      <c r="C42" s="2" t="s">
        <v>94</v>
      </c>
      <c r="D42" s="2" t="s">
        <v>67</v>
      </c>
      <c r="E42" s="13">
        <v>0.375</v>
      </c>
      <c r="F42" s="2">
        <v>3.1E-2</v>
      </c>
      <c r="G42" s="3">
        <v>4.8000000000000001E-2</v>
      </c>
      <c r="H42" s="3"/>
      <c r="I42" s="2">
        <v>0</v>
      </c>
      <c r="J42" s="2">
        <v>0</v>
      </c>
      <c r="K42" s="2"/>
      <c r="L42" s="2"/>
      <c r="M42" s="2"/>
      <c r="N42" s="2"/>
      <c r="O42" s="8">
        <f t="shared" si="2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2"/>
      <c r="AU42" s="7">
        <f t="shared" si="3"/>
        <v>0</v>
      </c>
      <c r="AV42" s="8" t="s">
        <v>26</v>
      </c>
      <c r="AW42" s="8" t="str">
        <f>VLOOKUP(D42,'[1]Estándar de Emp Ind Daiki'!$O:$P,2,0)</f>
        <v>INDIVIDUALES</v>
      </c>
      <c r="AX42" s="8">
        <v>100</v>
      </c>
      <c r="AY42" s="8" t="s">
        <v>102</v>
      </c>
      <c r="AZ42" s="8">
        <f t="shared" si="4"/>
        <v>0</v>
      </c>
      <c r="BA42"/>
    </row>
    <row r="43" spans="1:53" hidden="1" x14ac:dyDescent="0.25">
      <c r="A43" s="2"/>
      <c r="B43" s="2" t="s">
        <v>33</v>
      </c>
      <c r="C43" s="2" t="s">
        <v>94</v>
      </c>
      <c r="D43" s="2" t="s">
        <v>68</v>
      </c>
      <c r="E43" s="13">
        <v>0.375</v>
      </c>
      <c r="F43" s="2">
        <v>3.1E-2</v>
      </c>
      <c r="G43" s="3">
        <v>4.4999999999999998E-2</v>
      </c>
      <c r="H43" s="3"/>
      <c r="I43" s="2">
        <v>0</v>
      </c>
      <c r="J43" s="2">
        <v>0</v>
      </c>
      <c r="K43" s="2"/>
      <c r="L43" s="2"/>
      <c r="M43" s="2"/>
      <c r="N43" s="2"/>
      <c r="O43" s="8">
        <f t="shared" si="2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2"/>
      <c r="AU43" s="7">
        <f t="shared" si="3"/>
        <v>0</v>
      </c>
      <c r="AV43" s="8" t="s">
        <v>26</v>
      </c>
      <c r="AW43" s="8" t="str">
        <f>VLOOKUP(D43,'[1]Estándar de Emp Ind Daiki'!$O:$P,2,0)</f>
        <v>INDIVIDUALES</v>
      </c>
      <c r="AX43" s="8">
        <v>100</v>
      </c>
      <c r="AY43" s="8" t="s">
        <v>102</v>
      </c>
      <c r="AZ43" s="8">
        <f t="shared" si="4"/>
        <v>0</v>
      </c>
      <c r="BA43"/>
    </row>
    <row r="44" spans="1:53" hidden="1" x14ac:dyDescent="0.25">
      <c r="A44" s="2"/>
      <c r="B44" s="2" t="s">
        <v>33</v>
      </c>
      <c r="C44" s="2" t="s">
        <v>94</v>
      </c>
      <c r="D44" s="2" t="s">
        <v>69</v>
      </c>
      <c r="E44" s="13">
        <v>0.375</v>
      </c>
      <c r="F44" s="2">
        <v>2.8000000000000001E-2</v>
      </c>
      <c r="G44" s="3">
        <v>3.1E-2</v>
      </c>
      <c r="H44" s="3"/>
      <c r="I44" s="2">
        <v>0</v>
      </c>
      <c r="J44" s="2">
        <v>0</v>
      </c>
      <c r="K44" s="2"/>
      <c r="L44" s="2"/>
      <c r="M44" s="2"/>
      <c r="N44" s="2"/>
      <c r="O44" s="8">
        <f t="shared" si="2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2"/>
      <c r="AU44" s="7">
        <f t="shared" si="3"/>
        <v>0</v>
      </c>
      <c r="AV44" s="8" t="s">
        <v>26</v>
      </c>
      <c r="AW44" s="8" t="str">
        <f>VLOOKUP(D44,'[1]Estándar de Emp Ind Daiki'!$O:$P,2,0)</f>
        <v>INDIVIDUALES</v>
      </c>
      <c r="AX44" s="8">
        <v>300</v>
      </c>
      <c r="AY44" s="8" t="s">
        <v>102</v>
      </c>
      <c r="AZ44" s="8">
        <f t="shared" si="4"/>
        <v>0</v>
      </c>
      <c r="BA44"/>
    </row>
    <row r="45" spans="1:53" hidden="1" x14ac:dyDescent="0.25">
      <c r="A45" s="2"/>
      <c r="B45" s="2" t="s">
        <v>33</v>
      </c>
      <c r="C45" s="2" t="s">
        <v>94</v>
      </c>
      <c r="D45" s="2" t="s">
        <v>70</v>
      </c>
      <c r="E45" s="13">
        <v>0.375</v>
      </c>
      <c r="F45" s="2">
        <v>2.8000000000000001E-2</v>
      </c>
      <c r="G45" s="3">
        <v>2.7E-2</v>
      </c>
      <c r="H45" s="3"/>
      <c r="I45" s="2">
        <v>0</v>
      </c>
      <c r="J45" s="2">
        <v>0</v>
      </c>
      <c r="K45" s="2"/>
      <c r="L45" s="2"/>
      <c r="M45" s="2"/>
      <c r="N45" s="2"/>
      <c r="O45" s="8">
        <f t="shared" si="2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2"/>
      <c r="AU45" s="7">
        <f t="shared" si="3"/>
        <v>0</v>
      </c>
      <c r="AV45" s="8" t="s">
        <v>26</v>
      </c>
      <c r="AW45" s="8" t="str">
        <f>VLOOKUP(D45,'[1]Estándar de Emp Ind Daiki'!$O:$P,2,0)</f>
        <v>INDIVIDUALES</v>
      </c>
      <c r="AX45" s="8">
        <v>200</v>
      </c>
      <c r="AY45" s="8" t="s">
        <v>102</v>
      </c>
      <c r="AZ45" s="8">
        <f t="shared" si="4"/>
        <v>0</v>
      </c>
      <c r="BA45"/>
    </row>
    <row r="46" spans="1:53" hidden="1" x14ac:dyDescent="0.25">
      <c r="A46" s="2"/>
      <c r="B46" s="2" t="s">
        <v>33</v>
      </c>
      <c r="C46" s="2" t="s">
        <v>94</v>
      </c>
      <c r="D46" s="2" t="s">
        <v>71</v>
      </c>
      <c r="E46" s="13">
        <v>0.375</v>
      </c>
      <c r="F46" s="2">
        <v>2.8000000000000001E-2</v>
      </c>
      <c r="G46" s="3">
        <v>4.8000000000000001E-2</v>
      </c>
      <c r="H46" s="3"/>
      <c r="I46" s="2">
        <v>0</v>
      </c>
      <c r="J46" s="2">
        <v>0</v>
      </c>
      <c r="K46" s="2"/>
      <c r="L46" s="2"/>
      <c r="M46" s="2"/>
      <c r="N46" s="2"/>
      <c r="O46" s="8">
        <f t="shared" si="2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2"/>
      <c r="AU46" s="7">
        <f t="shared" si="3"/>
        <v>0</v>
      </c>
      <c r="AV46" s="8" t="s">
        <v>26</v>
      </c>
      <c r="AW46" s="8" t="str">
        <f>VLOOKUP(D46,'[1]Estándar de Emp Ind Daiki'!$O:$P,2,0)</f>
        <v>INDIVIDUALES</v>
      </c>
      <c r="AX46" s="8">
        <v>100</v>
      </c>
      <c r="AY46" s="8" t="s">
        <v>102</v>
      </c>
      <c r="AZ46" s="8">
        <f t="shared" si="4"/>
        <v>0</v>
      </c>
      <c r="BA46"/>
    </row>
    <row r="47" spans="1:53" hidden="1" x14ac:dyDescent="0.25">
      <c r="A47" s="2"/>
      <c r="B47" s="2" t="s">
        <v>33</v>
      </c>
      <c r="C47" s="2" t="s">
        <v>94</v>
      </c>
      <c r="D47" s="2" t="s">
        <v>72</v>
      </c>
      <c r="E47" s="13">
        <v>0.375</v>
      </c>
      <c r="F47" s="2">
        <v>3.1E-2</v>
      </c>
      <c r="G47" s="3">
        <v>3.5999999999999999E-3</v>
      </c>
      <c r="H47" s="3"/>
      <c r="I47" s="2">
        <v>0</v>
      </c>
      <c r="J47" s="2">
        <v>0</v>
      </c>
      <c r="K47" s="2"/>
      <c r="L47" s="2"/>
      <c r="M47" s="2"/>
      <c r="N47" s="2"/>
      <c r="O47" s="8">
        <f t="shared" si="2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2"/>
      <c r="AU47" s="7">
        <f t="shared" si="3"/>
        <v>0</v>
      </c>
      <c r="AV47" s="8" t="s">
        <v>26</v>
      </c>
      <c r="AW47" s="8" t="str">
        <f>VLOOKUP(D47,'[1]Estándar de Emp Ind Daiki'!$O:$P,2,0)</f>
        <v>INDIVIDUALES</v>
      </c>
      <c r="AX47" s="8">
        <v>300</v>
      </c>
      <c r="AY47" s="8" t="s">
        <v>102</v>
      </c>
      <c r="AZ47" s="8">
        <f t="shared" si="4"/>
        <v>0</v>
      </c>
      <c r="BA47"/>
    </row>
    <row r="48" spans="1:53" hidden="1" x14ac:dyDescent="0.25">
      <c r="A48" s="2"/>
      <c r="B48" s="2" t="s">
        <v>33</v>
      </c>
      <c r="C48" s="2" t="s">
        <v>94</v>
      </c>
      <c r="D48" s="2" t="s">
        <v>73</v>
      </c>
      <c r="E48" s="13">
        <v>0.375</v>
      </c>
      <c r="F48" s="2">
        <v>2.8000000000000001E-2</v>
      </c>
      <c r="G48" s="3">
        <v>1.2999999999999999E-2</v>
      </c>
      <c r="H48" s="3"/>
      <c r="I48" s="2">
        <v>0</v>
      </c>
      <c r="J48" s="2">
        <v>0</v>
      </c>
      <c r="K48" s="2"/>
      <c r="L48" s="2"/>
      <c r="M48" s="2"/>
      <c r="N48" s="2"/>
      <c r="O48" s="8">
        <f t="shared" si="2"/>
        <v>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2"/>
      <c r="AU48" s="7">
        <f t="shared" si="3"/>
        <v>0</v>
      </c>
      <c r="AV48" s="8" t="s">
        <v>26</v>
      </c>
      <c r="AW48" s="8" t="str">
        <f>VLOOKUP(D48,'[1]Estándar de Emp Ind Daiki'!$O:$P,2,0)</f>
        <v>INDIVIDUALES</v>
      </c>
      <c r="AX48" s="8">
        <v>260</v>
      </c>
      <c r="AY48" s="8" t="s">
        <v>102</v>
      </c>
      <c r="AZ48" s="8">
        <f t="shared" si="4"/>
        <v>0</v>
      </c>
      <c r="BA48"/>
    </row>
    <row r="49" spans="1:53" hidden="1" x14ac:dyDescent="0.25">
      <c r="A49" s="2"/>
      <c r="B49" s="2" t="s">
        <v>33</v>
      </c>
      <c r="C49" s="2" t="s">
        <v>94</v>
      </c>
      <c r="D49" s="2" t="s">
        <v>74</v>
      </c>
      <c r="E49" s="13">
        <v>0.375</v>
      </c>
      <c r="F49" s="2">
        <v>2.8000000000000001E-2</v>
      </c>
      <c r="G49" s="3">
        <v>1.2E-2</v>
      </c>
      <c r="H49" s="3"/>
      <c r="I49" s="2">
        <v>0</v>
      </c>
      <c r="J49" s="2">
        <v>0</v>
      </c>
      <c r="K49" s="2"/>
      <c r="L49" s="2"/>
      <c r="M49" s="2"/>
      <c r="N49" s="2"/>
      <c r="O49" s="8">
        <f t="shared" si="2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2"/>
      <c r="AU49" s="7">
        <f t="shared" si="3"/>
        <v>0</v>
      </c>
      <c r="AV49" s="8" t="s">
        <v>26</v>
      </c>
      <c r="AW49" s="8" t="str">
        <f>VLOOKUP(D49,'[1]Estándar de Emp Ind Daiki'!$O:$P,2,0)</f>
        <v>INDIVIDUALES</v>
      </c>
      <c r="AX49" s="8">
        <v>500</v>
      </c>
      <c r="AY49" s="8" t="s">
        <v>102</v>
      </c>
      <c r="AZ49" s="8">
        <f t="shared" si="4"/>
        <v>0</v>
      </c>
      <c r="BA49"/>
    </row>
    <row r="50" spans="1:53" hidden="1" x14ac:dyDescent="0.25">
      <c r="A50" s="2"/>
      <c r="B50" s="2" t="s">
        <v>33</v>
      </c>
      <c r="C50" s="2" t="s">
        <v>94</v>
      </c>
      <c r="D50" s="2" t="s">
        <v>75</v>
      </c>
      <c r="E50" s="13">
        <v>0.5</v>
      </c>
      <c r="F50" s="2">
        <v>3.5000000000000003E-2</v>
      </c>
      <c r="G50" s="3">
        <v>0.183</v>
      </c>
      <c r="H50" s="3"/>
      <c r="I50" s="2">
        <v>0</v>
      </c>
      <c r="J50" s="2">
        <v>0</v>
      </c>
      <c r="K50" s="2"/>
      <c r="L50" s="2"/>
      <c r="M50" s="2"/>
      <c r="N50" s="2"/>
      <c r="O50" s="8">
        <f t="shared" si="2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2"/>
      <c r="AU50" s="7">
        <f t="shared" si="3"/>
        <v>0</v>
      </c>
      <c r="AV50" s="8" t="s">
        <v>95</v>
      </c>
      <c r="AW50" s="8" t="str">
        <f>VLOOKUP(D50,'[1]Estándar de Emp Ind Daiki'!$O:$P,2,0)</f>
        <v>HEADERS</v>
      </c>
      <c r="AX50" s="8">
        <v>50</v>
      </c>
      <c r="AY50" s="8" t="s">
        <v>102</v>
      </c>
      <c r="AZ50" s="8">
        <f t="shared" si="4"/>
        <v>0</v>
      </c>
      <c r="BA50"/>
    </row>
    <row r="51" spans="1:53" hidden="1" x14ac:dyDescent="0.25">
      <c r="A51" s="2"/>
      <c r="B51" s="2" t="s">
        <v>33</v>
      </c>
      <c r="C51" s="2" t="s">
        <v>94</v>
      </c>
      <c r="D51" s="2" t="s">
        <v>76</v>
      </c>
      <c r="E51" s="13">
        <v>0.5</v>
      </c>
      <c r="F51" s="2">
        <v>3.5000000000000003E-2</v>
      </c>
      <c r="G51" s="3">
        <v>0.19700000000000001</v>
      </c>
      <c r="H51" s="3"/>
      <c r="I51" s="2">
        <v>0</v>
      </c>
      <c r="J51" s="2">
        <v>0</v>
      </c>
      <c r="K51" s="2"/>
      <c r="L51" s="2"/>
      <c r="M51" s="2"/>
      <c r="N51" s="2"/>
      <c r="O51" s="8">
        <f t="shared" si="2"/>
        <v>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2"/>
      <c r="AU51" s="7">
        <f t="shared" si="3"/>
        <v>0</v>
      </c>
      <c r="AV51" s="8" t="s">
        <v>95</v>
      </c>
      <c r="AW51" s="8" t="str">
        <f>VLOOKUP(D51,'[1]Estándar de Emp Ind Daiki'!$O:$P,2,0)</f>
        <v>HEADERS</v>
      </c>
      <c r="AX51" s="8">
        <v>50</v>
      </c>
      <c r="AY51" s="8" t="s">
        <v>102</v>
      </c>
      <c r="AZ51" s="8">
        <f t="shared" si="4"/>
        <v>0</v>
      </c>
      <c r="BA51"/>
    </row>
    <row r="52" spans="1:53" hidden="1" x14ac:dyDescent="0.25">
      <c r="A52" s="2"/>
      <c r="B52" s="2" t="s">
        <v>33</v>
      </c>
      <c r="C52" s="2" t="s">
        <v>94</v>
      </c>
      <c r="D52" s="2" t="s">
        <v>77</v>
      </c>
      <c r="E52" s="13">
        <v>0.5</v>
      </c>
      <c r="F52" s="2">
        <v>3.5000000000000003E-2</v>
      </c>
      <c r="G52" s="3">
        <v>0.107</v>
      </c>
      <c r="H52" s="3"/>
      <c r="I52" s="2">
        <v>0</v>
      </c>
      <c r="J52" s="2">
        <v>0</v>
      </c>
      <c r="K52" s="2"/>
      <c r="L52" s="2"/>
      <c r="M52" s="2"/>
      <c r="N52" s="2"/>
      <c r="O52" s="8">
        <f t="shared" si="2"/>
        <v>-100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>
        <v>100</v>
      </c>
      <c r="AL52" s="19"/>
      <c r="AM52" s="19"/>
      <c r="AN52" s="19"/>
      <c r="AO52" s="19"/>
      <c r="AP52" s="19"/>
      <c r="AQ52" s="19"/>
      <c r="AR52" s="19"/>
      <c r="AS52" s="19"/>
      <c r="AT52" s="2"/>
      <c r="AU52" s="7">
        <f t="shared" si="3"/>
        <v>0</v>
      </c>
      <c r="AV52" s="8" t="s">
        <v>95</v>
      </c>
      <c r="AW52" s="8" t="str">
        <f>VLOOKUP(D52,'[1]Estándar de Emp Ind Daiki'!$O:$P,2,0)</f>
        <v>HEADERS</v>
      </c>
      <c r="AX52" s="8">
        <v>50</v>
      </c>
      <c r="AY52" s="8" t="s">
        <v>102</v>
      </c>
      <c r="AZ52" s="8">
        <f t="shared" si="4"/>
        <v>0</v>
      </c>
      <c r="BA52"/>
    </row>
    <row r="53" spans="1:53" x14ac:dyDescent="0.25">
      <c r="A53" s="2" t="s">
        <v>160</v>
      </c>
      <c r="B53" s="2" t="s">
        <v>33</v>
      </c>
      <c r="C53" s="2" t="s">
        <v>94</v>
      </c>
      <c r="D53" s="2" t="s">
        <v>78</v>
      </c>
      <c r="E53" s="13">
        <v>0.5</v>
      </c>
      <c r="F53" s="2">
        <v>3.5000000000000003E-2</v>
      </c>
      <c r="G53" s="3">
        <v>0.122</v>
      </c>
      <c r="H53" s="3"/>
      <c r="I53" s="2">
        <v>0</v>
      </c>
      <c r="J53" s="2">
        <v>1000</v>
      </c>
      <c r="K53" s="2"/>
      <c r="L53" s="2"/>
      <c r="M53" s="2"/>
      <c r="N53" s="2"/>
      <c r="O53" s="8">
        <f t="shared" si="2"/>
        <v>329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36">
        <v>71</v>
      </c>
      <c r="AA53" s="36">
        <v>50</v>
      </c>
      <c r="AB53" s="36">
        <v>550</v>
      </c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19"/>
      <c r="AO53" s="19"/>
      <c r="AP53" s="19"/>
      <c r="AQ53" s="19"/>
      <c r="AR53" s="19"/>
      <c r="AS53" s="19"/>
      <c r="AT53" s="19"/>
      <c r="AU53" s="7">
        <f t="shared" si="3"/>
        <v>122</v>
      </c>
      <c r="AV53" s="8" t="s">
        <v>95</v>
      </c>
      <c r="AW53" s="8" t="str">
        <f>VLOOKUP(D53,'[1]Estándar de Emp Ind Daiki'!$O:$P,2,0)</f>
        <v>HEADERS</v>
      </c>
      <c r="AX53" s="8">
        <v>50</v>
      </c>
      <c r="AY53" s="8" t="s">
        <v>102</v>
      </c>
      <c r="AZ53" s="8">
        <f t="shared" si="4"/>
        <v>20</v>
      </c>
      <c r="BA53"/>
    </row>
    <row r="54" spans="1:53" hidden="1" x14ac:dyDescent="0.25">
      <c r="A54" s="2"/>
      <c r="B54" s="2" t="s">
        <v>33</v>
      </c>
      <c r="C54" s="2" t="s">
        <v>94</v>
      </c>
      <c r="D54" s="2" t="s">
        <v>79</v>
      </c>
      <c r="E54" s="13">
        <v>0.5</v>
      </c>
      <c r="F54" s="2">
        <v>3.5000000000000003E-2</v>
      </c>
      <c r="G54" s="3">
        <v>5.0999999999999997E-2</v>
      </c>
      <c r="H54" s="3"/>
      <c r="I54" s="2">
        <v>0</v>
      </c>
      <c r="J54" s="2">
        <v>0</v>
      </c>
      <c r="K54" s="2"/>
      <c r="L54" s="2"/>
      <c r="M54" s="2"/>
      <c r="N54" s="2"/>
      <c r="O54" s="8">
        <f t="shared" si="2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2"/>
      <c r="AU54" s="7">
        <f t="shared" si="3"/>
        <v>0</v>
      </c>
      <c r="AV54" s="8" t="s">
        <v>26</v>
      </c>
      <c r="AW54" s="8" t="str">
        <f>VLOOKUP(D54,'[1]Estándar de Emp Ind Daiki'!$O:$P,2,0)</f>
        <v>INDIVIDUALES</v>
      </c>
      <c r="AX54" s="8">
        <v>100</v>
      </c>
      <c r="AY54" s="8" t="s">
        <v>102</v>
      </c>
      <c r="AZ54" s="8">
        <f t="shared" si="4"/>
        <v>0</v>
      </c>
      <c r="BA54"/>
    </row>
    <row r="55" spans="1:53" hidden="1" x14ac:dyDescent="0.25">
      <c r="A55" s="2" t="s">
        <v>160</v>
      </c>
      <c r="B55" s="2" t="s">
        <v>33</v>
      </c>
      <c r="C55" s="2" t="s">
        <v>94</v>
      </c>
      <c r="D55" s="2" t="s">
        <v>80</v>
      </c>
      <c r="E55" s="13">
        <v>0.625</v>
      </c>
      <c r="F55" s="2">
        <v>3.6999999999999998E-2</v>
      </c>
      <c r="G55" s="3">
        <v>0.105</v>
      </c>
      <c r="H55" s="3"/>
      <c r="I55" s="2">
        <v>0</v>
      </c>
      <c r="J55" s="2">
        <v>450</v>
      </c>
      <c r="K55" s="2"/>
      <c r="L55" s="2"/>
      <c r="M55" s="2"/>
      <c r="N55" s="2"/>
      <c r="O55" s="8">
        <f t="shared" si="2"/>
        <v>-70</v>
      </c>
      <c r="P55" s="19"/>
      <c r="Q55" s="19"/>
      <c r="R55" s="19">
        <v>520</v>
      </c>
      <c r="S55" s="2"/>
      <c r="T55" s="19"/>
      <c r="U55" s="2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2"/>
      <c r="AU55" s="7">
        <f t="shared" si="3"/>
        <v>47.25</v>
      </c>
      <c r="AV55" s="8" t="s">
        <v>25</v>
      </c>
      <c r="AW55" s="8" t="str">
        <f>VLOOKUP(D55,'[1]Estándar de Emp Ind Daiki'!$O:$P,2,0)</f>
        <v>INDIVIDUALES</v>
      </c>
      <c r="AX55" s="8">
        <v>50</v>
      </c>
      <c r="AY55" s="8" t="s">
        <v>102</v>
      </c>
      <c r="AZ55" s="8">
        <f t="shared" si="4"/>
        <v>9</v>
      </c>
      <c r="BA55"/>
    </row>
    <row r="56" spans="1:53" hidden="1" x14ac:dyDescent="0.25">
      <c r="A56" s="2"/>
      <c r="B56" s="2" t="s">
        <v>33</v>
      </c>
      <c r="C56" s="2" t="s">
        <v>94</v>
      </c>
      <c r="D56" s="2" t="s">
        <v>81</v>
      </c>
      <c r="E56" s="13">
        <v>0.75</v>
      </c>
      <c r="F56" s="2">
        <v>3.1E-2</v>
      </c>
      <c r="G56" s="3">
        <v>0.26500000000000001</v>
      </c>
      <c r="H56" s="3"/>
      <c r="I56" s="2">
        <v>0</v>
      </c>
      <c r="J56" s="2">
        <v>0</v>
      </c>
      <c r="K56" s="2"/>
      <c r="L56" s="2"/>
      <c r="M56" s="2"/>
      <c r="N56" s="2"/>
      <c r="O56" s="8">
        <f t="shared" si="2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2"/>
      <c r="AU56" s="7">
        <f t="shared" si="3"/>
        <v>0</v>
      </c>
      <c r="AV56" s="8" t="s">
        <v>97</v>
      </c>
      <c r="AW56" s="8" t="str">
        <f>VLOOKUP(D56,'[1]Estándar de Emp Ind Daiki'!$O:$P,2,0)</f>
        <v>INDIVIDUALES</v>
      </c>
      <c r="AX56" s="8">
        <v>400</v>
      </c>
      <c r="AY56" s="8" t="s">
        <v>102</v>
      </c>
      <c r="AZ56" s="8">
        <f t="shared" si="4"/>
        <v>0</v>
      </c>
      <c r="BA56"/>
    </row>
    <row r="57" spans="1:53" hidden="1" x14ac:dyDescent="0.25">
      <c r="A57" s="2"/>
      <c r="B57" s="2" t="s">
        <v>33</v>
      </c>
      <c r="C57" s="2" t="s">
        <v>94</v>
      </c>
      <c r="D57" s="2" t="s">
        <v>82</v>
      </c>
      <c r="E57" s="13">
        <v>0.75</v>
      </c>
      <c r="F57" s="2">
        <v>3.1E-2</v>
      </c>
      <c r="G57" s="3">
        <v>0.13600000000000001</v>
      </c>
      <c r="H57" s="3"/>
      <c r="I57" s="2">
        <v>0</v>
      </c>
      <c r="J57" s="2">
        <v>400</v>
      </c>
      <c r="K57" s="2"/>
      <c r="L57" s="2"/>
      <c r="M57" s="2"/>
      <c r="N57" s="2"/>
      <c r="O57" s="8">
        <f t="shared" si="2"/>
        <v>0</v>
      </c>
      <c r="P57" s="19"/>
      <c r="Q57" s="19"/>
      <c r="R57" s="19"/>
      <c r="S57" s="2"/>
      <c r="T57" s="19"/>
      <c r="U57" s="2"/>
      <c r="V57" s="19"/>
      <c r="W57" s="19"/>
      <c r="X57" s="19">
        <v>400</v>
      </c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2"/>
      <c r="AU57" s="7">
        <f t="shared" si="3"/>
        <v>54.400000000000006</v>
      </c>
      <c r="AV57" s="8" t="s">
        <v>27</v>
      </c>
      <c r="AW57" s="8" t="str">
        <f>VLOOKUP(D57,'[1]Estándar de Emp Ind Daiki'!$O:$P,2,0)</f>
        <v>INDIVIDUALES</v>
      </c>
      <c r="AX57" s="8">
        <v>50</v>
      </c>
      <c r="AY57" s="8" t="s">
        <v>102</v>
      </c>
      <c r="AZ57" s="8">
        <f t="shared" si="4"/>
        <v>8</v>
      </c>
      <c r="BA57"/>
    </row>
    <row r="58" spans="1:53" hidden="1" x14ac:dyDescent="0.25">
      <c r="A58" s="2"/>
      <c r="B58" s="2" t="s">
        <v>33</v>
      </c>
      <c r="C58" s="2" t="s">
        <v>94</v>
      </c>
      <c r="D58" s="2" t="s">
        <v>83</v>
      </c>
      <c r="E58" s="13">
        <v>0.75</v>
      </c>
      <c r="F58" s="2">
        <v>3.1E-2</v>
      </c>
      <c r="G58" s="3">
        <v>0.29899999999999999</v>
      </c>
      <c r="H58" s="3"/>
      <c r="I58" s="2">
        <v>0</v>
      </c>
      <c r="J58" s="2">
        <v>250</v>
      </c>
      <c r="K58" s="2"/>
      <c r="L58" s="2"/>
      <c r="M58" s="2"/>
      <c r="N58" s="2"/>
      <c r="O58" s="8">
        <f t="shared" si="2"/>
        <v>-150</v>
      </c>
      <c r="P58" s="19"/>
      <c r="Q58" s="19"/>
      <c r="R58" s="19"/>
      <c r="S58" s="2"/>
      <c r="T58" s="19"/>
      <c r="U58" s="2"/>
      <c r="V58" s="19"/>
      <c r="W58" s="19"/>
      <c r="X58" s="19">
        <v>400</v>
      </c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2"/>
      <c r="AU58" s="7">
        <f t="shared" si="3"/>
        <v>74.75</v>
      </c>
      <c r="AV58" s="8" t="s">
        <v>97</v>
      </c>
      <c r="AW58" s="8" t="str">
        <f>VLOOKUP(D58,'[1]Estándar de Emp Ind Daiki'!$O:$P,2,0)</f>
        <v>INDIVIDUALES</v>
      </c>
      <c r="AX58" s="8">
        <v>400</v>
      </c>
      <c r="AY58" s="8" t="s">
        <v>102</v>
      </c>
      <c r="AZ58" s="8">
        <f t="shared" si="4"/>
        <v>0.625</v>
      </c>
      <c r="BA58"/>
    </row>
    <row r="59" spans="1:53" hidden="1" x14ac:dyDescent="0.25">
      <c r="A59" s="2"/>
      <c r="B59" s="2" t="s">
        <v>33</v>
      </c>
      <c r="C59" s="2" t="s">
        <v>94</v>
      </c>
      <c r="D59" s="2" t="s">
        <v>84</v>
      </c>
      <c r="E59" s="13">
        <v>0.75</v>
      </c>
      <c r="F59" s="2">
        <v>3.1E-2</v>
      </c>
      <c r="G59" s="3">
        <v>0.26500000000000001</v>
      </c>
      <c r="H59" s="3"/>
      <c r="I59" s="2">
        <v>0</v>
      </c>
      <c r="J59" s="2">
        <v>0</v>
      </c>
      <c r="K59" s="2"/>
      <c r="L59" s="2"/>
      <c r="M59" s="2"/>
      <c r="N59" s="2"/>
      <c r="O59" s="8">
        <f t="shared" si="2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2"/>
      <c r="AU59" s="7">
        <f t="shared" si="3"/>
        <v>0</v>
      </c>
      <c r="AV59" s="8" t="s">
        <v>97</v>
      </c>
      <c r="AW59" s="8" t="str">
        <f>VLOOKUP(D59,'[1]Estándar de Emp Ind Daiki'!$O:$P,2,0)</f>
        <v>INDIVIDUALES</v>
      </c>
      <c r="AX59" s="8">
        <v>400</v>
      </c>
      <c r="AY59" s="8" t="s">
        <v>102</v>
      </c>
      <c r="AZ59" s="8">
        <f t="shared" si="4"/>
        <v>0</v>
      </c>
      <c r="BA59"/>
    </row>
    <row r="60" spans="1:53" hidden="1" x14ac:dyDescent="0.25">
      <c r="A60" s="2"/>
      <c r="B60" s="2" t="s">
        <v>33</v>
      </c>
      <c r="C60" s="2" t="s">
        <v>94</v>
      </c>
      <c r="D60" s="2" t="s">
        <v>85</v>
      </c>
      <c r="E60" s="13">
        <v>0.75</v>
      </c>
      <c r="F60" s="2">
        <v>3.1E-2</v>
      </c>
      <c r="G60" s="3">
        <v>0.19700000000000001</v>
      </c>
      <c r="H60" s="3"/>
      <c r="I60" s="2">
        <v>0</v>
      </c>
      <c r="J60" s="2">
        <v>0</v>
      </c>
      <c r="K60" s="2"/>
      <c r="L60" s="2"/>
      <c r="M60" s="2"/>
      <c r="N60" s="2"/>
      <c r="O60" s="8">
        <f t="shared" si="2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2"/>
      <c r="AU60" s="7">
        <f t="shared" si="3"/>
        <v>0</v>
      </c>
      <c r="AV60" s="8" t="s">
        <v>27</v>
      </c>
      <c r="AW60" s="8" t="str">
        <f>VLOOKUP(D60,'[1]Estándar de Emp Ind Daiki'!$O:$P,2,0)</f>
        <v>INDIVIDUALES</v>
      </c>
      <c r="AX60" s="8">
        <v>60</v>
      </c>
      <c r="AY60" s="8" t="s">
        <v>102</v>
      </c>
      <c r="AZ60" s="8">
        <f t="shared" si="4"/>
        <v>0</v>
      </c>
      <c r="BA60"/>
    </row>
    <row r="61" spans="1:53" hidden="1" x14ac:dyDescent="0.25">
      <c r="A61" s="2"/>
      <c r="B61" s="2" t="s">
        <v>33</v>
      </c>
      <c r="C61" s="2" t="s">
        <v>94</v>
      </c>
      <c r="D61" s="2" t="s">
        <v>86</v>
      </c>
      <c r="E61" s="13">
        <v>0.75</v>
      </c>
      <c r="F61" s="2">
        <v>3.1E-2</v>
      </c>
      <c r="G61" s="3">
        <v>0.158</v>
      </c>
      <c r="H61" s="3"/>
      <c r="I61" s="2">
        <v>0</v>
      </c>
      <c r="J61" s="2">
        <v>250</v>
      </c>
      <c r="K61" s="2"/>
      <c r="L61" s="2"/>
      <c r="M61" s="2"/>
      <c r="N61" s="2"/>
      <c r="O61" s="8">
        <f t="shared" si="2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>
        <v>176</v>
      </c>
      <c r="Z61" s="36">
        <v>70</v>
      </c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2">
        <v>4</v>
      </c>
      <c r="AU61" s="7">
        <f t="shared" si="3"/>
        <v>39.5</v>
      </c>
      <c r="AV61" s="8" t="s">
        <v>27</v>
      </c>
      <c r="AW61" s="8" t="str">
        <f>VLOOKUP(D61,'[1]Estándar de Emp Ind Daiki'!$O:$P,2,0)</f>
        <v>INDIVIDUALES</v>
      </c>
      <c r="AX61" s="8">
        <v>70</v>
      </c>
      <c r="AY61" s="8" t="s">
        <v>102</v>
      </c>
      <c r="AZ61" s="8">
        <f t="shared" si="4"/>
        <v>3.5714285714285716</v>
      </c>
      <c r="BA61"/>
    </row>
    <row r="62" spans="1:53" hidden="1" x14ac:dyDescent="0.25">
      <c r="A62" s="2" t="s">
        <v>160</v>
      </c>
      <c r="B62" s="2" t="s">
        <v>33</v>
      </c>
      <c r="C62" s="2" t="s">
        <v>94</v>
      </c>
      <c r="D62" s="2" t="s">
        <v>87</v>
      </c>
      <c r="E62" s="13">
        <v>0.75</v>
      </c>
      <c r="F62" s="2">
        <v>3.1E-2</v>
      </c>
      <c r="G62" s="3">
        <v>0.26300000000000001</v>
      </c>
      <c r="H62" s="3"/>
      <c r="I62" s="2">
        <v>400</v>
      </c>
      <c r="J62" s="2">
        <v>0</v>
      </c>
      <c r="K62" s="2"/>
      <c r="L62" s="2"/>
      <c r="M62" s="2"/>
      <c r="N62" s="2"/>
      <c r="O62" s="8">
        <f t="shared" si="2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2">
        <v>400</v>
      </c>
      <c r="AU62" s="7">
        <f t="shared" si="3"/>
        <v>105.2</v>
      </c>
      <c r="AV62" s="8" t="s">
        <v>97</v>
      </c>
      <c r="AW62" s="8" t="str">
        <f>VLOOKUP(D62,'[1]Estándar de Emp Ind Daiki'!$O:$P,2,0)</f>
        <v>INDIVIDUALES</v>
      </c>
      <c r="AX62" s="8">
        <v>400</v>
      </c>
      <c r="AY62" s="8" t="s">
        <v>102</v>
      </c>
      <c r="AZ62" s="8">
        <f t="shared" si="4"/>
        <v>1</v>
      </c>
      <c r="BA62"/>
    </row>
    <row r="63" spans="1:53" x14ac:dyDescent="0.25">
      <c r="A63" s="2" t="s">
        <v>160</v>
      </c>
      <c r="B63" s="2" t="s">
        <v>33</v>
      </c>
      <c r="C63" s="2" t="s">
        <v>94</v>
      </c>
      <c r="D63" s="2" t="s">
        <v>88</v>
      </c>
      <c r="E63" s="13">
        <v>0.875</v>
      </c>
      <c r="F63" s="2">
        <v>4.2999999999999997E-2</v>
      </c>
      <c r="G63" s="3">
        <v>0.48099999999999998</v>
      </c>
      <c r="H63" s="3"/>
      <c r="I63" s="2">
        <v>0</v>
      </c>
      <c r="J63" s="2">
        <v>600</v>
      </c>
      <c r="K63" s="2"/>
      <c r="L63" s="2"/>
      <c r="M63" s="2"/>
      <c r="N63" s="2"/>
      <c r="O63" s="8">
        <f t="shared" si="2"/>
        <v>300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>
        <v>300</v>
      </c>
      <c r="AN63" s="19"/>
      <c r="AO63" s="19"/>
      <c r="AP63" s="19"/>
      <c r="AQ63" s="19"/>
      <c r="AR63" s="19"/>
      <c r="AS63" s="19"/>
      <c r="AT63" s="19"/>
      <c r="AU63" s="7">
        <f t="shared" si="3"/>
        <v>288.59999999999997</v>
      </c>
      <c r="AV63" s="8" t="s">
        <v>97</v>
      </c>
      <c r="AW63" s="8" t="str">
        <f>VLOOKUP(D63,'[1]Estándar de Emp Ind Daiki'!$O:$P,2,0)</f>
        <v>INDIVIDUALES</v>
      </c>
      <c r="AX63" s="8">
        <v>300</v>
      </c>
      <c r="AY63" s="8" t="s">
        <v>102</v>
      </c>
      <c r="AZ63" s="8">
        <f t="shared" si="4"/>
        <v>2</v>
      </c>
      <c r="BA63"/>
    </row>
    <row r="64" spans="1:53" hidden="1" x14ac:dyDescent="0.25">
      <c r="A64" s="2"/>
      <c r="B64" s="2" t="s">
        <v>33</v>
      </c>
      <c r="C64" s="2" t="s">
        <v>94</v>
      </c>
      <c r="D64" s="2" t="s">
        <v>89</v>
      </c>
      <c r="E64" s="13">
        <v>0.875</v>
      </c>
      <c r="F64" s="2">
        <v>4.2999999999999997E-2</v>
      </c>
      <c r="G64" s="3">
        <v>0.42299999999999999</v>
      </c>
      <c r="H64" s="3"/>
      <c r="I64" s="2">
        <v>0</v>
      </c>
      <c r="J64" s="2">
        <v>1200</v>
      </c>
      <c r="K64" s="2"/>
      <c r="L64" s="2"/>
      <c r="M64" s="2"/>
      <c r="N64" s="2"/>
      <c r="O64" s="8">
        <f t="shared" si="2"/>
        <v>0</v>
      </c>
      <c r="P64" s="19"/>
      <c r="Q64" s="19"/>
      <c r="R64" s="19"/>
      <c r="S64" s="2"/>
      <c r="T64" s="19"/>
      <c r="U64" s="2"/>
      <c r="V64" s="19"/>
      <c r="W64" s="19"/>
      <c r="X64" s="19"/>
      <c r="Y64" s="19"/>
      <c r="Z64" s="36"/>
      <c r="AA64" s="36">
        <v>1000</v>
      </c>
      <c r="AB64" s="36">
        <v>179</v>
      </c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2">
        <v>21</v>
      </c>
      <c r="AU64" s="7">
        <f t="shared" si="3"/>
        <v>507.59999999999997</v>
      </c>
      <c r="AV64" s="8" t="s">
        <v>97</v>
      </c>
      <c r="AW64" s="8" t="str">
        <f>VLOOKUP(D64,'[1]Estándar de Emp Ind Daiki'!$O:$P,2,0)</f>
        <v>INDIVIDUALES</v>
      </c>
      <c r="AX64" s="8">
        <v>500</v>
      </c>
      <c r="AY64" s="8" t="s">
        <v>102</v>
      </c>
      <c r="AZ64" s="8">
        <f t="shared" si="4"/>
        <v>2.4</v>
      </c>
      <c r="BA64"/>
    </row>
    <row r="65" spans="1:53" x14ac:dyDescent="0.25">
      <c r="A65" s="2"/>
      <c r="B65" s="2" t="s">
        <v>33</v>
      </c>
      <c r="C65" s="2" t="s">
        <v>94</v>
      </c>
      <c r="D65" s="2" t="s">
        <v>90</v>
      </c>
      <c r="E65" s="13">
        <v>0.875</v>
      </c>
      <c r="F65" s="2">
        <v>4.2999999999999997E-2</v>
      </c>
      <c r="G65" s="3">
        <v>0.34799999999999998</v>
      </c>
      <c r="H65" s="3"/>
      <c r="I65" s="2">
        <v>0</v>
      </c>
      <c r="J65" s="2">
        <v>1400</v>
      </c>
      <c r="K65" s="2"/>
      <c r="L65" s="2"/>
      <c r="M65" s="2"/>
      <c r="N65" s="2"/>
      <c r="O65" s="8">
        <f t="shared" si="2"/>
        <v>400</v>
      </c>
      <c r="P65" s="19"/>
      <c r="Q65" s="19"/>
      <c r="R65" s="19"/>
      <c r="S65" s="2"/>
      <c r="T65" s="19"/>
      <c r="U65" s="2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>
        <v>500</v>
      </c>
      <c r="AM65" s="19">
        <v>0</v>
      </c>
      <c r="AN65" s="19"/>
      <c r="AO65" s="19">
        <v>210</v>
      </c>
      <c r="AP65" s="19">
        <v>290</v>
      </c>
      <c r="AQ65" s="19"/>
      <c r="AR65" s="19"/>
      <c r="AS65" s="19"/>
      <c r="AT65" s="19"/>
      <c r="AU65" s="7">
        <f t="shared" si="3"/>
        <v>487.2</v>
      </c>
      <c r="AV65" s="8" t="s">
        <v>97</v>
      </c>
      <c r="AW65" s="8" t="str">
        <f>VLOOKUP(D65,'[1]Estándar de Emp Ind Daiki'!$O:$P,2,0)</f>
        <v>INDIVIDUALES</v>
      </c>
      <c r="AX65" s="8">
        <v>500</v>
      </c>
      <c r="AY65" s="8" t="s">
        <v>102</v>
      </c>
      <c r="AZ65" s="8">
        <f t="shared" si="4"/>
        <v>2.8</v>
      </c>
      <c r="BA65"/>
    </row>
    <row r="66" spans="1:53" hidden="1" x14ac:dyDescent="0.25">
      <c r="A66" s="2"/>
      <c r="B66" s="2" t="s">
        <v>33</v>
      </c>
      <c r="C66" s="2" t="s">
        <v>94</v>
      </c>
      <c r="D66" s="2" t="s">
        <v>91</v>
      </c>
      <c r="E66" s="13" t="s">
        <v>57</v>
      </c>
      <c r="F66" s="2">
        <v>2.4E-2</v>
      </c>
      <c r="G66" s="3">
        <v>3.1E-2</v>
      </c>
      <c r="H66" s="3"/>
      <c r="I66" s="2">
        <v>0</v>
      </c>
      <c r="J66" s="2">
        <v>0</v>
      </c>
      <c r="K66" s="2"/>
      <c r="L66" s="2"/>
      <c r="M66" s="2"/>
      <c r="N66" s="2"/>
      <c r="O66" s="8">
        <f t="shared" si="2"/>
        <v>0</v>
      </c>
      <c r="P66" s="19"/>
      <c r="Q66" s="19"/>
      <c r="R66" s="19"/>
      <c r="S66" s="2"/>
      <c r="T66" s="19"/>
      <c r="U66" s="2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2"/>
      <c r="AU66" s="7">
        <f t="shared" si="3"/>
        <v>0</v>
      </c>
      <c r="AV66" s="8" t="s">
        <v>26</v>
      </c>
      <c r="AW66" s="8" t="str">
        <f>VLOOKUP(D66,'[1]Estándar de Emp Ind Daiki'!$O:$P,2,0)</f>
        <v>HEADERS</v>
      </c>
      <c r="AX66" s="8">
        <v>250</v>
      </c>
      <c r="AY66" s="8" t="s">
        <v>102</v>
      </c>
      <c r="AZ66" s="8">
        <f t="shared" si="4"/>
        <v>0</v>
      </c>
      <c r="BA66"/>
    </row>
    <row r="67" spans="1:53" hidden="1" x14ac:dyDescent="0.25">
      <c r="A67" s="2"/>
      <c r="B67" s="2" t="s">
        <v>33</v>
      </c>
      <c r="C67" s="2" t="s">
        <v>94</v>
      </c>
      <c r="D67" s="2" t="s">
        <v>92</v>
      </c>
      <c r="E67" s="13" t="s">
        <v>57</v>
      </c>
      <c r="F67" s="2">
        <v>2.4E-2</v>
      </c>
      <c r="G67" s="3">
        <v>2.3E-2</v>
      </c>
      <c r="H67" s="3"/>
      <c r="I67" s="2">
        <v>0</v>
      </c>
      <c r="J67" s="2">
        <v>0</v>
      </c>
      <c r="K67" s="2"/>
      <c r="L67" s="2"/>
      <c r="M67" s="2"/>
      <c r="N67" s="2"/>
      <c r="O67" s="8">
        <f t="shared" si="2"/>
        <v>0</v>
      </c>
      <c r="P67" s="19"/>
      <c r="Q67" s="19"/>
      <c r="R67" s="19"/>
      <c r="S67" s="2"/>
      <c r="T67" s="19"/>
      <c r="U67" s="2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2"/>
      <c r="AU67" s="7">
        <f t="shared" si="3"/>
        <v>0</v>
      </c>
      <c r="AV67" s="8" t="s">
        <v>26</v>
      </c>
      <c r="AW67" s="8" t="str">
        <f>VLOOKUP(D67,'[1]Estándar de Emp Ind Daiki'!$O:$P,2,0)</f>
        <v>INDIVIDUALES</v>
      </c>
      <c r="AX67" s="8">
        <v>300</v>
      </c>
      <c r="AY67" s="8" t="s">
        <v>102</v>
      </c>
      <c r="AZ67" s="8">
        <f t="shared" si="4"/>
        <v>0</v>
      </c>
      <c r="BA67"/>
    </row>
    <row r="68" spans="1:53" hidden="1" x14ac:dyDescent="0.25">
      <c r="A68" s="2"/>
      <c r="B68" s="2" t="s">
        <v>33</v>
      </c>
      <c r="C68" s="2" t="s">
        <v>94</v>
      </c>
      <c r="D68" s="2" t="s">
        <v>93</v>
      </c>
      <c r="E68" s="13" t="s">
        <v>57</v>
      </c>
      <c r="F68" s="2">
        <v>2.4E-2</v>
      </c>
      <c r="G68" s="3">
        <v>2.7E-2</v>
      </c>
      <c r="H68" s="3"/>
      <c r="I68" s="2">
        <v>0</v>
      </c>
      <c r="J68" s="2">
        <v>0</v>
      </c>
      <c r="K68" s="2"/>
      <c r="L68" s="2"/>
      <c r="M68" s="2"/>
      <c r="N68" s="2"/>
      <c r="O68" s="8">
        <f t="shared" si="2"/>
        <v>0</v>
      </c>
      <c r="P68" s="19"/>
      <c r="Q68" s="19"/>
      <c r="R68" s="19"/>
      <c r="S68" s="2"/>
      <c r="T68" s="19"/>
      <c r="U68" s="2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2"/>
      <c r="AU68" s="7">
        <f t="shared" si="3"/>
        <v>0</v>
      </c>
      <c r="AV68" s="8" t="s">
        <v>26</v>
      </c>
      <c r="AW68" s="8" t="str">
        <f>VLOOKUP(D68,'[1]Estándar de Emp Ind Daiki'!$O:$P,2,0)</f>
        <v>INDIVIDUALES</v>
      </c>
      <c r="AX68" s="8">
        <v>250</v>
      </c>
      <c r="AY68" s="8" t="s">
        <v>102</v>
      </c>
      <c r="AZ68" s="8">
        <f t="shared" si="4"/>
        <v>0</v>
      </c>
      <c r="BA68"/>
    </row>
    <row r="69" spans="1:53" x14ac:dyDescent="0.25">
      <c r="H69" s="4" t="s">
        <v>19</v>
      </c>
      <c r="I69" s="9">
        <f t="shared" ref="I69:AU69" si="5">SUM(I11:I68)</f>
        <v>4728</v>
      </c>
      <c r="J69" s="9">
        <f t="shared" si="5"/>
        <v>10450</v>
      </c>
      <c r="K69" s="9">
        <f t="shared" si="5"/>
        <v>0</v>
      </c>
      <c r="L69" s="9">
        <f t="shared" si="5"/>
        <v>0</v>
      </c>
      <c r="M69" s="9">
        <f t="shared" si="5"/>
        <v>0</v>
      </c>
      <c r="N69" s="9">
        <f t="shared" si="5"/>
        <v>0</v>
      </c>
      <c r="O69" s="11">
        <f t="shared" si="5"/>
        <v>4479</v>
      </c>
      <c r="P69" s="20">
        <f t="shared" si="5"/>
        <v>0</v>
      </c>
      <c r="Q69" s="20">
        <f t="shared" si="5"/>
        <v>0</v>
      </c>
      <c r="R69" s="20">
        <f t="shared" si="5"/>
        <v>1050</v>
      </c>
      <c r="S69" s="9">
        <f t="shared" si="5"/>
        <v>0</v>
      </c>
      <c r="T69" s="20">
        <f t="shared" si="5"/>
        <v>300</v>
      </c>
      <c r="U69" s="9">
        <f t="shared" si="5"/>
        <v>300</v>
      </c>
      <c r="V69" s="20">
        <f t="shared" si="5"/>
        <v>600</v>
      </c>
      <c r="W69" s="20">
        <f t="shared" si="5"/>
        <v>0</v>
      </c>
      <c r="X69" s="20">
        <f t="shared" si="5"/>
        <v>2400</v>
      </c>
      <c r="Y69" s="20">
        <f t="shared" si="5"/>
        <v>176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9">
        <f t="shared" si="5"/>
        <v>1513</v>
      </c>
      <c r="AU69" s="9">
        <f t="shared" si="5"/>
        <v>2731.172</v>
      </c>
      <c r="AZ69" s="12">
        <f>SUM(AZ11:AZ68)</f>
        <v>139.50357142857146</v>
      </c>
    </row>
    <row r="70" spans="1:53" hidden="1" x14ac:dyDescent="0.25">
      <c r="H70" s="4" t="s">
        <v>21</v>
      </c>
      <c r="I70" s="56">
        <f>+I69+J69+K69+L69+M69+N69</f>
        <v>15178</v>
      </c>
      <c r="J70" s="56"/>
      <c r="K70" s="56"/>
      <c r="L70" s="56"/>
      <c r="M70" s="56"/>
      <c r="N70" s="56"/>
      <c r="P70" s="57">
        <f>+P69+Q69</f>
        <v>0</v>
      </c>
      <c r="Q70" s="54"/>
      <c r="R70" s="57">
        <f>+R69+S69</f>
        <v>1050</v>
      </c>
      <c r="S70" s="54"/>
      <c r="T70" s="57">
        <f>+T69+U69</f>
        <v>600</v>
      </c>
      <c r="U70" s="54"/>
      <c r="V70" s="57">
        <f t="shared" ref="V70" si="6">+V69+W69</f>
        <v>600</v>
      </c>
      <c r="W70" s="54"/>
      <c r="X70" s="57">
        <f t="shared" ref="X70" si="7">+X69+Y69</f>
        <v>2576</v>
      </c>
      <c r="Y70" s="54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0">
        <f>+AT69</f>
        <v>1513</v>
      </c>
    </row>
    <row r="71" spans="1:53" x14ac:dyDescent="0.25">
      <c r="I71" s="1">
        <v>0</v>
      </c>
      <c r="J71" s="25">
        <f>+J69</f>
        <v>10450</v>
      </c>
      <c r="K71" s="25">
        <f t="shared" ref="K71:N71" si="8">+K69</f>
        <v>0</v>
      </c>
      <c r="L71" s="25">
        <f t="shared" si="8"/>
        <v>0</v>
      </c>
      <c r="M71" s="25">
        <f t="shared" si="8"/>
        <v>0</v>
      </c>
      <c r="N71" s="25">
        <f t="shared" si="8"/>
        <v>0</v>
      </c>
      <c r="P71" s="17"/>
      <c r="Q71" s="17"/>
      <c r="R71" s="17"/>
      <c r="T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1:53" x14ac:dyDescent="0.25">
      <c r="P72" s="17"/>
      <c r="Q72" s="17"/>
      <c r="R72" s="17"/>
      <c r="T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1:53" x14ac:dyDescent="0.25">
      <c r="C73" s="2" t="s">
        <v>111</v>
      </c>
      <c r="D73" s="2" t="s">
        <v>112</v>
      </c>
      <c r="E73" s="2" t="s">
        <v>113</v>
      </c>
      <c r="P73" s="19" t="s">
        <v>15</v>
      </c>
      <c r="Q73" s="19" t="s">
        <v>16</v>
      </c>
      <c r="R73" s="19" t="s">
        <v>15</v>
      </c>
      <c r="S73" s="19" t="s">
        <v>16</v>
      </c>
      <c r="T73" s="19" t="s">
        <v>15</v>
      </c>
      <c r="U73" s="19" t="s">
        <v>16</v>
      </c>
      <c r="V73" s="19" t="s">
        <v>15</v>
      </c>
      <c r="W73" s="19" t="s">
        <v>16</v>
      </c>
      <c r="X73" s="19" t="s">
        <v>15</v>
      </c>
      <c r="Y73" s="19" t="s">
        <v>16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</row>
    <row r="74" spans="1:53" x14ac:dyDescent="0.25">
      <c r="B74" s="2" t="s">
        <v>114</v>
      </c>
      <c r="C74" s="8">
        <v>14328</v>
      </c>
      <c r="D74" s="2">
        <f>+C74/5</f>
        <v>2865.6</v>
      </c>
      <c r="E74" s="2">
        <f>+D74/2</f>
        <v>1432.8</v>
      </c>
      <c r="H74" s="23"/>
      <c r="P74" s="40">
        <f>+P69/$E$74</f>
        <v>0</v>
      </c>
      <c r="Q74" s="40">
        <f t="shared" ref="Q74:Y74" si="9">+Q69/$E$74</f>
        <v>0</v>
      </c>
      <c r="R74" s="40">
        <f t="shared" si="9"/>
        <v>0.73283082077051931</v>
      </c>
      <c r="S74" s="40">
        <f t="shared" si="9"/>
        <v>0</v>
      </c>
      <c r="T74" s="40">
        <f t="shared" si="9"/>
        <v>0.20938023450586266</v>
      </c>
      <c r="U74" s="40">
        <f t="shared" si="9"/>
        <v>0.20938023450586266</v>
      </c>
      <c r="V74" s="40">
        <f t="shared" si="9"/>
        <v>0.41876046901172531</v>
      </c>
      <c r="W74" s="40">
        <f t="shared" si="9"/>
        <v>0</v>
      </c>
      <c r="X74" s="40">
        <f t="shared" si="9"/>
        <v>1.6750418760469012</v>
      </c>
      <c r="Y74" s="40">
        <f t="shared" si="9"/>
        <v>0.12283640424343942</v>
      </c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19"/>
    </row>
    <row r="75" spans="1:53" x14ac:dyDescent="0.25">
      <c r="B75" s="2" t="s">
        <v>115</v>
      </c>
      <c r="C75" s="8">
        <v>6231</v>
      </c>
      <c r="D75" s="2">
        <f>+C75/5</f>
        <v>1246.2</v>
      </c>
      <c r="E75" s="2">
        <f>+D75/2</f>
        <v>623.1</v>
      </c>
      <c r="H75" s="23"/>
    </row>
    <row r="76" spans="1:53" x14ac:dyDescent="0.25">
      <c r="B76" s="2" t="s">
        <v>116</v>
      </c>
      <c r="C76" s="2">
        <f>+C74-C75</f>
        <v>8097</v>
      </c>
    </row>
    <row r="77" spans="1:53" x14ac:dyDescent="0.25">
      <c r="B77" s="2" t="s">
        <v>117</v>
      </c>
      <c r="C77" s="24">
        <f>+C76/C74</f>
        <v>0.56511725293132331</v>
      </c>
      <c r="H77" s="23"/>
    </row>
    <row r="78" spans="1:53" x14ac:dyDescent="0.25">
      <c r="B78" s="2" t="s">
        <v>118</v>
      </c>
      <c r="C78" s="24">
        <f>+C75/C74</f>
        <v>0.43488274706867669</v>
      </c>
    </row>
    <row r="80" spans="1:53" x14ac:dyDescent="0.25">
      <c r="A80" s="51" t="s">
        <v>136</v>
      </c>
      <c r="B80" s="52"/>
      <c r="C80" s="52"/>
      <c r="D80" s="52"/>
      <c r="E80" s="52"/>
      <c r="F80" s="53"/>
    </row>
    <row r="81" spans="1:15" x14ac:dyDescent="0.25">
      <c r="A81" s="54" t="s">
        <v>162</v>
      </c>
      <c r="B81" s="37">
        <v>46293</v>
      </c>
      <c r="C81" s="37">
        <v>46294</v>
      </c>
      <c r="D81" s="37">
        <v>46295</v>
      </c>
      <c r="E81" s="37">
        <v>46296</v>
      </c>
      <c r="F81" s="37">
        <v>46297</v>
      </c>
    </row>
    <row r="82" spans="1:15" x14ac:dyDescent="0.25">
      <c r="A82" s="54"/>
      <c r="B82" s="38" t="s">
        <v>122</v>
      </c>
      <c r="C82" s="4" t="s">
        <v>123</v>
      </c>
      <c r="D82" s="4" t="s">
        <v>124</v>
      </c>
      <c r="E82" s="4" t="s">
        <v>125</v>
      </c>
      <c r="F82" s="4" t="s">
        <v>128</v>
      </c>
    </row>
    <row r="83" spans="1:15" x14ac:dyDescent="0.25">
      <c r="A83" s="12" t="s">
        <v>134</v>
      </c>
      <c r="B83" s="26"/>
      <c r="C83" s="26">
        <v>0.56999999999999995</v>
      </c>
      <c r="D83" s="26"/>
      <c r="E83" s="26"/>
      <c r="F83" s="26"/>
    </row>
    <row r="84" spans="1:15" x14ac:dyDescent="0.25">
      <c r="A84" s="12" t="s">
        <v>135</v>
      </c>
      <c r="B84" s="26"/>
      <c r="C84" s="26">
        <v>0.43</v>
      </c>
      <c r="D84" s="26"/>
      <c r="E84" s="26"/>
      <c r="F84" s="26"/>
    </row>
    <row r="86" spans="1:15" x14ac:dyDescent="0.25">
      <c r="O86" s="50" t="s">
        <v>165</v>
      </c>
    </row>
    <row r="87" spans="1:15" x14ac:dyDescent="0.25">
      <c r="B87" s="1" t="s">
        <v>145</v>
      </c>
    </row>
    <row r="88" spans="1:15" x14ac:dyDescent="0.25">
      <c r="B88" s="1" t="s">
        <v>146</v>
      </c>
    </row>
    <row r="91" spans="1:15" x14ac:dyDescent="0.25">
      <c r="B91" s="1" t="s">
        <v>147</v>
      </c>
    </row>
    <row r="93" spans="1:15" x14ac:dyDescent="0.25">
      <c r="B93" s="1" t="s">
        <v>148</v>
      </c>
    </row>
    <row r="97" spans="2:2" x14ac:dyDescent="0.25">
      <c r="B97" s="1" t="s">
        <v>149</v>
      </c>
    </row>
    <row r="98" spans="2:2" x14ac:dyDescent="0.25">
      <c r="B98" s="1" t="s">
        <v>150</v>
      </c>
    </row>
    <row r="99" spans="2:2" x14ac:dyDescent="0.25">
      <c r="B99" s="1" t="s">
        <v>151</v>
      </c>
    </row>
    <row r="100" spans="2:2" x14ac:dyDescent="0.25">
      <c r="B100" s="1" t="s">
        <v>152</v>
      </c>
    </row>
    <row r="102" spans="2:2" x14ac:dyDescent="0.25">
      <c r="B102" s="1" t="s">
        <v>153</v>
      </c>
    </row>
    <row r="103" spans="2:2" x14ac:dyDescent="0.25">
      <c r="B103" s="1" t="s">
        <v>154</v>
      </c>
    </row>
    <row r="104" spans="2:2" x14ac:dyDescent="0.25">
      <c r="B104" s="1" t="s">
        <v>155</v>
      </c>
    </row>
    <row r="105" spans="2:2" x14ac:dyDescent="0.25">
      <c r="B105" s="1" t="s">
        <v>156</v>
      </c>
    </row>
    <row r="106" spans="2:2" x14ac:dyDescent="0.25">
      <c r="B106" s="1" t="s">
        <v>157</v>
      </c>
    </row>
  </sheetData>
  <autoFilter ref="B10:AZ70" xr:uid="{00000000-0009-0000-0000-00000C000000}">
    <filterColumn colId="13">
      <customFilters>
        <customFilter operator="greaterThan" val="1"/>
      </customFilters>
    </filterColumn>
  </autoFilter>
  <mergeCells count="26">
    <mergeCell ref="AF9:AG9"/>
    <mergeCell ref="AH9:AI9"/>
    <mergeCell ref="Z9:AA9"/>
    <mergeCell ref="AB9:AC9"/>
    <mergeCell ref="AD9:AE9"/>
    <mergeCell ref="A80:F80"/>
    <mergeCell ref="A81:A82"/>
    <mergeCell ref="V9:W9"/>
    <mergeCell ref="X9:Y9"/>
    <mergeCell ref="I70:N70"/>
    <mergeCell ref="P70:Q70"/>
    <mergeCell ref="R70:S70"/>
    <mergeCell ref="T70:U70"/>
    <mergeCell ref="V70:W70"/>
    <mergeCell ref="X70:Y70"/>
    <mergeCell ref="T9:U9"/>
    <mergeCell ref="C7:D7"/>
    <mergeCell ref="B8:B9"/>
    <mergeCell ref="J9:N9"/>
    <mergeCell ref="P9:Q9"/>
    <mergeCell ref="R9:S9"/>
    <mergeCell ref="AJ9:AK9"/>
    <mergeCell ref="AL9:AM9"/>
    <mergeCell ref="AN9:AO9"/>
    <mergeCell ref="AP9:AQ9"/>
    <mergeCell ref="AR9:AS9"/>
  </mergeCells>
  <conditionalFormatting sqref="P74:AS74">
    <cfRule type="cellIs" dxfId="5" priority="1" operator="between">
      <formula>1</formula>
      <formula>5</formula>
    </cfRule>
    <cfRule type="cellIs" dxfId="4" priority="2" operator="between">
      <formula>0.85</formula>
      <formula>0.99</formula>
    </cfRule>
    <cfRule type="cellIs" dxfId="3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85" orientation="landscape" r:id="rId2"/>
  <colBreaks count="1" manualBreakCount="1">
    <brk id="15" min="5" max="37" man="1"/>
  </colBreaks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9320-3AFE-4C46-BB2E-F5EF7B710487}">
  <sheetPr filterMode="1">
    <pageSetUpPr fitToPage="1"/>
  </sheetPr>
  <dimension ref="A1:BN108"/>
  <sheetViews>
    <sheetView tabSelected="1" zoomScale="70" zoomScaleNormal="70" zoomScaleSheetLayoutView="115" workbookViewId="0">
      <pane xSplit="15" topLeftCell="P1" activePane="topRight" state="frozen"/>
      <selection activeCell="K20" sqref="K20"/>
      <selection pane="topRight" activeCell="BI36" sqref="BI36"/>
    </sheetView>
  </sheetViews>
  <sheetFormatPr baseColWidth="10" defaultColWidth="8.7109375" defaultRowHeight="15" x14ac:dyDescent="0.25"/>
  <cols>
    <col min="1" max="1" width="10.140625" style="1" bestFit="1" customWidth="1"/>
    <col min="2" max="2" width="33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6.28515625" style="1" bestFit="1" customWidth="1"/>
    <col min="7" max="7" width="10.5703125" style="1" customWidth="1"/>
    <col min="8" max="8" width="15.42578125" style="1" hidden="1" customWidth="1"/>
    <col min="9" max="9" width="15.42578125" style="1" bestFit="1" customWidth="1"/>
    <col min="10" max="10" width="16" style="1" customWidth="1"/>
    <col min="11" max="11" width="7.5703125" style="1" hidden="1" customWidth="1"/>
    <col min="12" max="14" width="5" style="1" hidden="1" customWidth="1"/>
    <col min="15" max="15" width="10.140625" style="1" customWidth="1"/>
    <col min="16" max="17" width="9.140625" style="1" hidden="1" customWidth="1"/>
    <col min="18" max="25" width="8.7109375" style="1" hidden="1" customWidth="1"/>
    <col min="26" max="45" width="9.5703125" style="1" hidden="1" customWidth="1"/>
    <col min="46" max="47" width="9.5703125" style="1" customWidth="1"/>
    <col min="48" max="48" width="9.5703125" style="17" customWidth="1"/>
    <col min="49" max="55" width="9.5703125" style="1" customWidth="1"/>
    <col min="56" max="56" width="8.7109375" style="1" customWidth="1"/>
    <col min="57" max="57" width="8.7109375" style="1"/>
    <col min="58" max="58" width="16.85546875" style="1" bestFit="1" customWidth="1"/>
    <col min="59" max="59" width="16.5703125" style="1" bestFit="1" customWidth="1"/>
    <col min="60" max="60" width="13" style="1" customWidth="1"/>
    <col min="61" max="61" width="11.5703125" style="1" bestFit="1" customWidth="1"/>
    <col min="62" max="62" width="12.140625" style="1" bestFit="1" customWidth="1"/>
    <col min="63" max="63" width="8.7109375" style="1"/>
    <col min="64" max="64" width="16.28515625" style="1" customWidth="1"/>
    <col min="65" max="65" width="19.7109375" style="1" bestFit="1" customWidth="1"/>
    <col min="66" max="16384" width="8.7109375" style="1"/>
  </cols>
  <sheetData>
    <row r="1" spans="1:66" s="42" customFormat="1" x14ac:dyDescent="0.25">
      <c r="H1" s="1"/>
      <c r="K1" s="1"/>
      <c r="L1" s="1"/>
      <c r="M1" s="1"/>
      <c r="N1" s="1"/>
    </row>
    <row r="2" spans="1:66" s="42" customFormat="1" x14ac:dyDescent="0.25">
      <c r="H2" s="1"/>
      <c r="K2" s="1"/>
      <c r="L2" s="1"/>
      <c r="M2" s="1"/>
      <c r="N2" s="1"/>
    </row>
    <row r="3" spans="1:66" s="42" customFormat="1" x14ac:dyDescent="0.25">
      <c r="H3" s="1"/>
      <c r="K3" s="1"/>
      <c r="L3" s="1"/>
      <c r="M3" s="1"/>
      <c r="N3" s="1"/>
    </row>
    <row r="4" spans="1:66" s="42" customFormat="1" x14ac:dyDescent="0.25">
      <c r="H4" s="1"/>
      <c r="K4" s="1"/>
      <c r="L4" s="1"/>
      <c r="M4" s="1"/>
      <c r="N4" s="1"/>
    </row>
    <row r="5" spans="1:66" s="42" customFormat="1" x14ac:dyDescent="0.25">
      <c r="H5" s="1"/>
      <c r="K5" s="1"/>
      <c r="L5" s="1"/>
      <c r="M5" s="1"/>
      <c r="N5" s="1"/>
    </row>
    <row r="6" spans="1:66" x14ac:dyDescent="0.25">
      <c r="P6" s="17"/>
      <c r="Q6" s="17"/>
      <c r="R6" s="17"/>
      <c r="T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W6" s="17"/>
      <c r="AX6" s="17"/>
      <c r="AY6" s="17"/>
      <c r="AZ6" s="17"/>
      <c r="BA6" s="17"/>
      <c r="BB6" s="17"/>
      <c r="BC6" s="17"/>
    </row>
    <row r="7" spans="1:66" x14ac:dyDescent="0.25">
      <c r="B7" s="4" t="s">
        <v>17</v>
      </c>
      <c r="C7" s="58" t="s">
        <v>18</v>
      </c>
      <c r="D7" s="58"/>
      <c r="P7" s="17"/>
      <c r="Q7" s="17"/>
      <c r="R7" s="17"/>
      <c r="T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W7" s="17"/>
      <c r="AX7" s="17"/>
      <c r="AY7" s="17"/>
      <c r="AZ7" s="17"/>
      <c r="BA7" s="17"/>
      <c r="BB7" s="17"/>
      <c r="BC7" s="17"/>
    </row>
    <row r="8" spans="1:66" x14ac:dyDescent="0.25">
      <c r="B8" s="59">
        <f ca="1">TODAY()</f>
        <v>46309</v>
      </c>
      <c r="C8" s="4" t="s">
        <v>15</v>
      </c>
      <c r="D8" s="2" t="s">
        <v>103</v>
      </c>
      <c r="I8" s="4" t="s">
        <v>4</v>
      </c>
      <c r="P8" s="17"/>
      <c r="Q8" s="17"/>
      <c r="R8" s="17"/>
      <c r="T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W8" s="17"/>
      <c r="AX8" s="17"/>
      <c r="AY8" s="17"/>
      <c r="AZ8" s="17"/>
      <c r="BA8" s="17"/>
      <c r="BB8" s="17"/>
      <c r="BC8" s="17"/>
    </row>
    <row r="9" spans="1:66" x14ac:dyDescent="0.25">
      <c r="B9" s="59"/>
      <c r="C9" s="4" t="s">
        <v>16</v>
      </c>
      <c r="D9" s="2"/>
      <c r="I9" s="4" t="s">
        <v>5</v>
      </c>
      <c r="J9" s="60" t="s">
        <v>119</v>
      </c>
      <c r="K9" s="60"/>
      <c r="L9" s="60"/>
      <c r="M9" s="60"/>
      <c r="N9" s="60"/>
      <c r="P9" s="55">
        <v>46286</v>
      </c>
      <c r="Q9" s="55"/>
      <c r="R9" s="55">
        <v>46287</v>
      </c>
      <c r="S9" s="55"/>
      <c r="T9" s="55">
        <v>46288</v>
      </c>
      <c r="U9" s="55"/>
      <c r="V9" s="55">
        <v>46289</v>
      </c>
      <c r="W9" s="55"/>
      <c r="X9" s="55">
        <v>46290</v>
      </c>
      <c r="Y9" s="55"/>
      <c r="Z9" s="55">
        <v>46293</v>
      </c>
      <c r="AA9" s="55"/>
      <c r="AB9" s="55">
        <f>+Z9+1</f>
        <v>46294</v>
      </c>
      <c r="AC9" s="55"/>
      <c r="AD9" s="55">
        <f>+AB9+1</f>
        <v>46295</v>
      </c>
      <c r="AE9" s="55"/>
      <c r="AF9" s="55">
        <f t="shared" ref="AF9" si="0">+AD9+1</f>
        <v>46296</v>
      </c>
      <c r="AG9" s="55"/>
      <c r="AH9" s="55">
        <f t="shared" ref="AH9" si="1">+AF9+1</f>
        <v>46297</v>
      </c>
      <c r="AI9" s="55"/>
      <c r="AJ9" s="78">
        <v>46300</v>
      </c>
      <c r="AK9" s="79"/>
      <c r="AL9" s="78">
        <v>46301</v>
      </c>
      <c r="AM9" s="79"/>
      <c r="AN9" s="78">
        <v>46302</v>
      </c>
      <c r="AO9" s="79"/>
      <c r="AP9" s="78">
        <v>46303</v>
      </c>
      <c r="AQ9" s="79"/>
      <c r="AR9" s="78">
        <v>46304</v>
      </c>
      <c r="AS9" s="79"/>
      <c r="AT9" s="78">
        <v>46307</v>
      </c>
      <c r="AU9" s="79"/>
      <c r="AV9" s="78">
        <v>46308</v>
      </c>
      <c r="AW9" s="79"/>
      <c r="AX9" s="78">
        <v>46309</v>
      </c>
      <c r="AY9" s="79"/>
      <c r="AZ9" s="78">
        <v>46310</v>
      </c>
      <c r="BA9" s="79"/>
      <c r="BB9" s="78">
        <v>46311</v>
      </c>
      <c r="BC9" s="79"/>
      <c r="BD9" s="6" t="s">
        <v>10</v>
      </c>
    </row>
    <row r="10" spans="1:66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32</v>
      </c>
      <c r="I10" s="5">
        <v>39</v>
      </c>
      <c r="J10" s="4" t="s">
        <v>164</v>
      </c>
      <c r="K10" s="4" t="s">
        <v>9</v>
      </c>
      <c r="L10" s="4" t="s">
        <v>11</v>
      </c>
      <c r="M10" s="4" t="s">
        <v>12</v>
      </c>
      <c r="N10" s="4" t="s">
        <v>13</v>
      </c>
      <c r="O10" s="4" t="s">
        <v>14</v>
      </c>
      <c r="P10" s="18" t="s">
        <v>15</v>
      </c>
      <c r="Q10" s="18" t="s">
        <v>16</v>
      </c>
      <c r="R10" s="18" t="s">
        <v>15</v>
      </c>
      <c r="S10" s="4" t="s">
        <v>16</v>
      </c>
      <c r="T10" s="18" t="s">
        <v>15</v>
      </c>
      <c r="U10" s="4" t="s">
        <v>16</v>
      </c>
      <c r="V10" s="18" t="s">
        <v>15</v>
      </c>
      <c r="W10" s="18" t="s">
        <v>16</v>
      </c>
      <c r="X10" s="18" t="s">
        <v>15</v>
      </c>
      <c r="Y10" s="18" t="s">
        <v>16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4" t="s">
        <v>20</v>
      </c>
      <c r="BE10" s="4" t="s">
        <v>8</v>
      </c>
      <c r="BF10" s="4" t="s">
        <v>22</v>
      </c>
      <c r="BG10" s="4" t="s">
        <v>100</v>
      </c>
      <c r="BH10" s="4" t="s">
        <v>24</v>
      </c>
      <c r="BI10" s="4" t="s">
        <v>23</v>
      </c>
      <c r="BJ10" s="4" t="s">
        <v>28</v>
      </c>
      <c r="BK10"/>
      <c r="BL10" s="15" t="s">
        <v>29</v>
      </c>
      <c r="BM10" s="15" t="s">
        <v>31</v>
      </c>
      <c r="BN10"/>
    </row>
    <row r="11" spans="1:66" hidden="1" x14ac:dyDescent="0.25">
      <c r="A11" s="2"/>
      <c r="B11" s="2" t="s">
        <v>33</v>
      </c>
      <c r="C11" s="2" t="s">
        <v>34</v>
      </c>
      <c r="D11" s="2" t="s">
        <v>35</v>
      </c>
      <c r="E11" s="13">
        <v>0.25</v>
      </c>
      <c r="F11" s="2">
        <v>3.1E-2</v>
      </c>
      <c r="G11" s="3">
        <v>1.4E-2</v>
      </c>
      <c r="H11" s="3"/>
      <c r="I11" s="2">
        <v>0</v>
      </c>
      <c r="J11" s="2">
        <v>0</v>
      </c>
      <c r="K11" s="2"/>
      <c r="L11" s="2"/>
      <c r="M11" s="2"/>
      <c r="N11" s="2"/>
      <c r="O11" s="8">
        <f t="shared" ref="O11:O68" si="2">+I11+J11+K11+L11+M11+N11-SUM(P11:BD11)</f>
        <v>0</v>
      </c>
      <c r="P11" s="19"/>
      <c r="Q11" s="19"/>
      <c r="R11" s="19"/>
      <c r="S11" s="2"/>
      <c r="T11" s="19"/>
      <c r="U11" s="2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"/>
      <c r="BE11" s="7">
        <f t="shared" ref="BE11:BE68" si="3">+G11*SUM(I11:N11)</f>
        <v>0</v>
      </c>
      <c r="BF11" s="8" t="s">
        <v>26</v>
      </c>
      <c r="BG11" s="8" t="str">
        <f>VLOOKUP(D11,'[1]Estándar de Emp Ind Daiki'!$O:$P,2,0)</f>
        <v>INDIVIDUALES</v>
      </c>
      <c r="BH11" s="8">
        <v>260</v>
      </c>
      <c r="BI11" s="8" t="s">
        <v>101</v>
      </c>
      <c r="BJ11" s="8">
        <f t="shared" ref="BJ11:BJ68" si="4">+SUM(I11:N11)/BH11</f>
        <v>0</v>
      </c>
      <c r="BK11"/>
      <c r="BL11" s="16" t="s">
        <v>26</v>
      </c>
      <c r="BM11" s="15">
        <v>0</v>
      </c>
      <c r="BN11"/>
    </row>
    <row r="12" spans="1:66" hidden="1" x14ac:dyDescent="0.25">
      <c r="A12" s="2"/>
      <c r="B12" s="2" t="s">
        <v>33</v>
      </c>
      <c r="C12" s="2" t="s">
        <v>34</v>
      </c>
      <c r="D12" s="2" t="s">
        <v>36</v>
      </c>
      <c r="E12" s="13">
        <v>0.375</v>
      </c>
      <c r="F12" s="2">
        <v>2.8000000000000001E-2</v>
      </c>
      <c r="G12" s="3">
        <v>0.10199999999999999</v>
      </c>
      <c r="H12" s="3"/>
      <c r="I12" s="2">
        <v>0</v>
      </c>
      <c r="J12" s="2">
        <v>0</v>
      </c>
      <c r="K12" s="2"/>
      <c r="L12" s="2"/>
      <c r="M12" s="2"/>
      <c r="N12" s="2"/>
      <c r="O12" s="8">
        <f t="shared" si="2"/>
        <v>0</v>
      </c>
      <c r="P12" s="19"/>
      <c r="Q12" s="19"/>
      <c r="R12" s="19"/>
      <c r="S12" s="2"/>
      <c r="T12" s="19"/>
      <c r="U12" s="2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2"/>
      <c r="BE12" s="7">
        <f t="shared" si="3"/>
        <v>0</v>
      </c>
      <c r="BF12" s="8" t="s">
        <v>95</v>
      </c>
      <c r="BG12" s="8" t="str">
        <f>VLOOKUP(D12,'[1]Estándar de Emp Ind Daiki'!$O:$P,2,0)</f>
        <v>HEADERS</v>
      </c>
      <c r="BH12" s="8">
        <v>70</v>
      </c>
      <c r="BI12" s="8" t="s">
        <v>101</v>
      </c>
      <c r="BJ12" s="8">
        <f t="shared" si="4"/>
        <v>0</v>
      </c>
      <c r="BK12"/>
      <c r="BL12" s="16" t="s">
        <v>95</v>
      </c>
      <c r="BM12" s="15">
        <v>0</v>
      </c>
      <c r="BN12"/>
    </row>
    <row r="13" spans="1:66" x14ac:dyDescent="0.25">
      <c r="A13" s="2"/>
      <c r="B13" s="2" t="s">
        <v>33</v>
      </c>
      <c r="C13" s="2" t="s">
        <v>34</v>
      </c>
      <c r="D13" s="2" t="s">
        <v>37</v>
      </c>
      <c r="E13" s="13">
        <v>0.375</v>
      </c>
      <c r="F13" s="2">
        <v>2.8000000000000001E-2</v>
      </c>
      <c r="G13" s="3">
        <v>0.107</v>
      </c>
      <c r="H13" s="3"/>
      <c r="I13" s="2">
        <v>840</v>
      </c>
      <c r="J13" s="2">
        <v>0</v>
      </c>
      <c r="K13" s="2"/>
      <c r="L13" s="2"/>
      <c r="M13" s="2"/>
      <c r="N13" s="2"/>
      <c r="O13" s="8">
        <f t="shared" si="2"/>
        <v>840</v>
      </c>
      <c r="P13" s="19"/>
      <c r="Q13" s="19"/>
      <c r="R13" s="19"/>
      <c r="S13" s="2"/>
      <c r="T13" s="19"/>
      <c r="U13" s="2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2"/>
      <c r="BE13" s="7">
        <f t="shared" si="3"/>
        <v>89.88</v>
      </c>
      <c r="BF13" s="8" t="s">
        <v>95</v>
      </c>
      <c r="BG13" s="8" t="str">
        <f>VLOOKUP(D13,'[1]Estándar de Emp Ind Daiki'!$O:$P,2,0)</f>
        <v>HEADERS</v>
      </c>
      <c r="BH13" s="8">
        <v>70</v>
      </c>
      <c r="BI13" s="8" t="s">
        <v>101</v>
      </c>
      <c r="BJ13" s="8">
        <f t="shared" si="4"/>
        <v>12</v>
      </c>
      <c r="BK13"/>
      <c r="BL13" s="16" t="s">
        <v>27</v>
      </c>
      <c r="BM13" s="15">
        <v>0</v>
      </c>
      <c r="BN13"/>
    </row>
    <row r="14" spans="1:66" hidden="1" x14ac:dyDescent="0.25">
      <c r="A14" s="2"/>
      <c r="B14" s="2" t="s">
        <v>33</v>
      </c>
      <c r="C14" s="2" t="s">
        <v>34</v>
      </c>
      <c r="D14" s="2" t="s">
        <v>38</v>
      </c>
      <c r="E14" s="13">
        <v>0.375</v>
      </c>
      <c r="F14" s="2">
        <v>3.1E-2</v>
      </c>
      <c r="G14" s="3">
        <v>6.4000000000000001E-2</v>
      </c>
      <c r="H14" s="3"/>
      <c r="I14" s="2">
        <v>0</v>
      </c>
      <c r="J14" s="2">
        <v>0</v>
      </c>
      <c r="K14" s="2"/>
      <c r="L14" s="2"/>
      <c r="M14" s="2"/>
      <c r="N14" s="2"/>
      <c r="O14" s="8">
        <f t="shared" si="2"/>
        <v>0</v>
      </c>
      <c r="P14" s="19"/>
      <c r="Q14" s="19"/>
      <c r="R14" s="19"/>
      <c r="S14" s="2"/>
      <c r="T14" s="19"/>
      <c r="U14" s="2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2"/>
      <c r="BE14" s="7">
        <f t="shared" si="3"/>
        <v>0</v>
      </c>
      <c r="BF14" s="8" t="s">
        <v>26</v>
      </c>
      <c r="BG14" s="8" t="str">
        <f>VLOOKUP(D14,'[1]Estándar de Emp Ind Daiki'!$O:$P,2,0)</f>
        <v>INDIVIDUALES</v>
      </c>
      <c r="BH14" s="8">
        <v>70</v>
      </c>
      <c r="BI14" s="8" t="s">
        <v>101</v>
      </c>
      <c r="BJ14" s="8">
        <f t="shared" si="4"/>
        <v>0</v>
      </c>
      <c r="BK14"/>
      <c r="BL14" s="16" t="s">
        <v>96</v>
      </c>
      <c r="BM14" s="15">
        <v>0</v>
      </c>
      <c r="BN14"/>
    </row>
    <row r="15" spans="1:66" hidden="1" x14ac:dyDescent="0.25">
      <c r="A15" s="2"/>
      <c r="B15" s="2" t="s">
        <v>33</v>
      </c>
      <c r="C15" s="2" t="s">
        <v>34</v>
      </c>
      <c r="D15" s="2" t="s">
        <v>39</v>
      </c>
      <c r="E15" s="13">
        <v>0.375</v>
      </c>
      <c r="F15" s="2">
        <v>2.8000000000000001E-2</v>
      </c>
      <c r="G15" s="3">
        <v>0.11700000000000001</v>
      </c>
      <c r="H15" s="3"/>
      <c r="I15" s="2">
        <v>0</v>
      </c>
      <c r="J15" s="2">
        <v>0</v>
      </c>
      <c r="K15" s="2"/>
      <c r="L15" s="2"/>
      <c r="M15" s="2"/>
      <c r="N15" s="2"/>
      <c r="O15" s="8">
        <f t="shared" si="2"/>
        <v>0</v>
      </c>
      <c r="P15" s="19"/>
      <c r="Q15" s="19"/>
      <c r="R15" s="19"/>
      <c r="S15" s="2"/>
      <c r="T15" s="19"/>
      <c r="U15" s="2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2"/>
      <c r="BE15" s="7">
        <f t="shared" si="3"/>
        <v>0</v>
      </c>
      <c r="BF15" s="8" t="s">
        <v>95</v>
      </c>
      <c r="BG15" s="8" t="str">
        <f>VLOOKUP(D15,'[1]Estándar de Emp Ind Daiki'!$O:$P,2,0)</f>
        <v>HEADERS</v>
      </c>
      <c r="BH15" s="8">
        <v>70</v>
      </c>
      <c r="BI15" s="8" t="s">
        <v>101</v>
      </c>
      <c r="BJ15" s="8">
        <f t="shared" si="4"/>
        <v>0</v>
      </c>
      <c r="BK15"/>
      <c r="BL15" s="16" t="s">
        <v>97</v>
      </c>
      <c r="BM15" s="15">
        <v>0</v>
      </c>
      <c r="BN15"/>
    </row>
    <row r="16" spans="1:66" hidden="1" x14ac:dyDescent="0.25">
      <c r="A16" s="2"/>
      <c r="B16" s="2" t="s">
        <v>33</v>
      </c>
      <c r="C16" s="2" t="s">
        <v>34</v>
      </c>
      <c r="D16" s="2" t="s">
        <v>40</v>
      </c>
      <c r="E16" s="13">
        <v>0.375</v>
      </c>
      <c r="F16" s="2">
        <v>3.1E-2</v>
      </c>
      <c r="G16" s="3">
        <v>6.2E-2</v>
      </c>
      <c r="H16" s="3"/>
      <c r="I16" s="2">
        <v>0</v>
      </c>
      <c r="J16" s="2">
        <v>0</v>
      </c>
      <c r="K16" s="2"/>
      <c r="L16" s="2"/>
      <c r="M16" s="2"/>
      <c r="N16" s="2"/>
      <c r="O16" s="8">
        <f t="shared" si="2"/>
        <v>0</v>
      </c>
      <c r="P16" s="19"/>
      <c r="Q16" s="19"/>
      <c r="R16" s="19"/>
      <c r="S16" s="2"/>
      <c r="T16" s="19"/>
      <c r="U16" s="2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"/>
      <c r="BE16" s="7">
        <f t="shared" si="3"/>
        <v>0</v>
      </c>
      <c r="BF16" s="8" t="s">
        <v>26</v>
      </c>
      <c r="BG16" s="8" t="str">
        <f>VLOOKUP(D16,'[1]Estándar de Emp Ind Daiki'!$O:$P,2,0)</f>
        <v>INDIVIDUALES</v>
      </c>
      <c r="BH16" s="8">
        <v>160</v>
      </c>
      <c r="BI16" s="8" t="s">
        <v>101</v>
      </c>
      <c r="BJ16" s="8">
        <f t="shared" si="4"/>
        <v>0</v>
      </c>
      <c r="BK16"/>
      <c r="BL16" s="16" t="s">
        <v>30</v>
      </c>
      <c r="BM16" s="15">
        <v>0</v>
      </c>
      <c r="BN16"/>
    </row>
    <row r="17" spans="1:66" hidden="1" x14ac:dyDescent="0.25">
      <c r="A17" s="2"/>
      <c r="B17" s="2" t="s">
        <v>33</v>
      </c>
      <c r="C17" s="2" t="s">
        <v>34</v>
      </c>
      <c r="D17" s="2" t="s">
        <v>41</v>
      </c>
      <c r="E17" s="13">
        <v>0.375</v>
      </c>
      <c r="F17" s="2">
        <v>2.8000000000000001E-2</v>
      </c>
      <c r="G17" s="3">
        <v>7.8E-2</v>
      </c>
      <c r="H17" s="3"/>
      <c r="I17" s="2">
        <v>0</v>
      </c>
      <c r="J17" s="2">
        <v>0</v>
      </c>
      <c r="K17" s="2"/>
      <c r="L17" s="2"/>
      <c r="M17" s="2"/>
      <c r="N17" s="2"/>
      <c r="O17" s="8">
        <f t="shared" si="2"/>
        <v>0</v>
      </c>
      <c r="P17" s="19"/>
      <c r="Q17" s="19"/>
      <c r="R17" s="19"/>
      <c r="S17" s="2"/>
      <c r="T17" s="19"/>
      <c r="U17" s="2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"/>
      <c r="BE17" s="7">
        <f t="shared" si="3"/>
        <v>0</v>
      </c>
      <c r="BF17" s="8" t="s">
        <v>95</v>
      </c>
      <c r="BG17" s="8" t="str">
        <f>VLOOKUP(D17,'[1]Estándar de Emp Ind Daiki'!$O:$P,2,0)</f>
        <v>HEADERS</v>
      </c>
      <c r="BH17" s="8">
        <v>200</v>
      </c>
      <c r="BI17" s="8" t="s">
        <v>101</v>
      </c>
      <c r="BJ17" s="8">
        <f t="shared" si="4"/>
        <v>0</v>
      </c>
      <c r="BK17"/>
      <c r="BL17"/>
      <c r="BM17"/>
      <c r="BN17"/>
    </row>
    <row r="18" spans="1:66" hidden="1" x14ac:dyDescent="0.25">
      <c r="A18" s="2"/>
      <c r="B18" s="2" t="s">
        <v>33</v>
      </c>
      <c r="C18" s="2" t="s">
        <v>34</v>
      </c>
      <c r="D18" s="2" t="s">
        <v>42</v>
      </c>
      <c r="E18" s="13">
        <v>0.375</v>
      </c>
      <c r="F18" s="2">
        <v>2.8000000000000001E-2</v>
      </c>
      <c r="G18" s="3">
        <v>4.7E-2</v>
      </c>
      <c r="H18" s="3"/>
      <c r="I18" s="2">
        <v>0</v>
      </c>
      <c r="J18" s="2">
        <v>0</v>
      </c>
      <c r="K18" s="2"/>
      <c r="L18" s="2"/>
      <c r="M18" s="2"/>
      <c r="N18" s="2"/>
      <c r="O18" s="8">
        <f t="shared" si="2"/>
        <v>0</v>
      </c>
      <c r="P18" s="19"/>
      <c r="Q18" s="19"/>
      <c r="R18" s="19"/>
      <c r="S18" s="2"/>
      <c r="T18" s="19"/>
      <c r="U18" s="2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"/>
      <c r="BE18" s="7">
        <f t="shared" si="3"/>
        <v>0</v>
      </c>
      <c r="BF18" s="8" t="s">
        <v>95</v>
      </c>
      <c r="BG18" s="8" t="str">
        <f>VLOOKUP(D18,'[1]Estándar de Emp Ind Daiki'!$O:$P,2,0)</f>
        <v>HEADERS</v>
      </c>
      <c r="BH18" s="8">
        <v>280</v>
      </c>
      <c r="BI18" s="8" t="s">
        <v>101</v>
      </c>
      <c r="BJ18" s="8">
        <f t="shared" si="4"/>
        <v>0</v>
      </c>
      <c r="BK18"/>
      <c r="BL18"/>
      <c r="BM18"/>
      <c r="BN18"/>
    </row>
    <row r="19" spans="1:66" hidden="1" x14ac:dyDescent="0.25">
      <c r="A19" s="2"/>
      <c r="B19" s="2" t="s">
        <v>33</v>
      </c>
      <c r="C19" s="2" t="s">
        <v>34</v>
      </c>
      <c r="D19" s="2" t="s">
        <v>43</v>
      </c>
      <c r="E19" s="13">
        <v>0.375</v>
      </c>
      <c r="F19" s="2">
        <v>2.8000000000000001E-2</v>
      </c>
      <c r="G19" s="3">
        <v>1.9E-2</v>
      </c>
      <c r="H19" s="3"/>
      <c r="I19" s="2">
        <v>0</v>
      </c>
      <c r="J19" s="2">
        <v>0</v>
      </c>
      <c r="K19" s="2"/>
      <c r="L19" s="2"/>
      <c r="M19" s="2"/>
      <c r="N19" s="2"/>
      <c r="O19" s="8">
        <f t="shared" si="2"/>
        <v>0</v>
      </c>
      <c r="P19" s="19"/>
      <c r="Q19" s="19"/>
      <c r="R19" s="19"/>
      <c r="S19" s="2"/>
      <c r="T19" s="19"/>
      <c r="U19" s="2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2"/>
      <c r="BE19" s="7">
        <f t="shared" si="3"/>
        <v>0</v>
      </c>
      <c r="BF19" s="8" t="s">
        <v>26</v>
      </c>
      <c r="BG19" s="8" t="str">
        <f>VLOOKUP(D19,'[1]Estándar de Emp Ind Daiki'!$O:$P,2,0)</f>
        <v>INDIVIDUALES</v>
      </c>
      <c r="BH19" s="8">
        <v>260</v>
      </c>
      <c r="BI19" s="8" t="s">
        <v>101</v>
      </c>
      <c r="BJ19" s="8">
        <f t="shared" si="4"/>
        <v>0</v>
      </c>
      <c r="BK19"/>
      <c r="BL19"/>
      <c r="BM19"/>
      <c r="BN19"/>
    </row>
    <row r="20" spans="1:66" hidden="1" x14ac:dyDescent="0.25">
      <c r="A20" s="2"/>
      <c r="B20" s="2" t="s">
        <v>33</v>
      </c>
      <c r="C20" s="2" t="s">
        <v>34</v>
      </c>
      <c r="D20" s="2" t="s">
        <v>44</v>
      </c>
      <c r="E20" s="13">
        <v>0.375</v>
      </c>
      <c r="F20" s="2">
        <v>2.8000000000000001E-2</v>
      </c>
      <c r="G20" s="3">
        <v>1.0999999999999999E-2</v>
      </c>
      <c r="H20" s="3"/>
      <c r="I20" s="2">
        <v>0</v>
      </c>
      <c r="J20" s="2">
        <v>0</v>
      </c>
      <c r="K20" s="2"/>
      <c r="L20" s="2"/>
      <c r="M20" s="2"/>
      <c r="N20" s="2"/>
      <c r="O20" s="8">
        <f t="shared" si="2"/>
        <v>0</v>
      </c>
      <c r="P20" s="19"/>
      <c r="Q20" s="19"/>
      <c r="R20" s="19"/>
      <c r="S20" s="2"/>
      <c r="T20" s="19"/>
      <c r="U20" s="2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2"/>
      <c r="BE20" s="7">
        <f t="shared" si="3"/>
        <v>0</v>
      </c>
      <c r="BF20" s="8" t="s">
        <v>26</v>
      </c>
      <c r="BG20" s="8" t="str">
        <f>VLOOKUP(D20,'[1]Estándar de Emp Ind Daiki'!$O:$P,2,0)</f>
        <v>INDIVIDUALES</v>
      </c>
      <c r="BH20" s="8">
        <v>520</v>
      </c>
      <c r="BI20" s="8" t="s">
        <v>101</v>
      </c>
      <c r="BJ20" s="8">
        <f t="shared" si="4"/>
        <v>0</v>
      </c>
      <c r="BK20"/>
      <c r="BL20"/>
      <c r="BM20"/>
      <c r="BN20"/>
    </row>
    <row r="21" spans="1:66" hidden="1" x14ac:dyDescent="0.25">
      <c r="A21" s="2"/>
      <c r="B21" s="2" t="s">
        <v>33</v>
      </c>
      <c r="C21" s="2" t="s">
        <v>34</v>
      </c>
      <c r="D21" s="2" t="s">
        <v>45</v>
      </c>
      <c r="E21" s="13">
        <v>0.5</v>
      </c>
      <c r="F21" s="2">
        <v>3.1E-2</v>
      </c>
      <c r="G21" s="3">
        <v>0.14599999999999999</v>
      </c>
      <c r="H21" s="3"/>
      <c r="I21" s="2">
        <v>0</v>
      </c>
      <c r="J21" s="2">
        <v>0</v>
      </c>
      <c r="K21" s="2"/>
      <c r="L21" s="2"/>
      <c r="M21" s="2"/>
      <c r="N21" s="2"/>
      <c r="O21" s="8">
        <f t="shared" si="2"/>
        <v>0</v>
      </c>
      <c r="P21" s="19"/>
      <c r="Q21" s="19"/>
      <c r="R21" s="19"/>
      <c r="S21" s="2"/>
      <c r="T21" s="19"/>
      <c r="U21" s="2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2"/>
      <c r="BE21" s="7">
        <f t="shared" si="3"/>
        <v>0</v>
      </c>
      <c r="BF21" s="8" t="s">
        <v>27</v>
      </c>
      <c r="BG21" s="8" t="str">
        <f>VLOOKUP(D21,'[1]Estándar de Emp Ind Daiki'!$O:$P,2,0)</f>
        <v>INDIVIDUALES</v>
      </c>
      <c r="BH21" s="8">
        <v>150</v>
      </c>
      <c r="BI21" s="8" t="s">
        <v>101</v>
      </c>
      <c r="BJ21" s="8">
        <f t="shared" si="4"/>
        <v>0</v>
      </c>
      <c r="BK21"/>
      <c r="BL21"/>
      <c r="BM21"/>
      <c r="BN21"/>
    </row>
    <row r="22" spans="1:66" hidden="1" x14ac:dyDescent="0.25">
      <c r="A22" s="2"/>
      <c r="B22" s="2" t="s">
        <v>33</v>
      </c>
      <c r="C22" s="2" t="s">
        <v>34</v>
      </c>
      <c r="D22" s="2" t="s">
        <v>46</v>
      </c>
      <c r="E22" s="13">
        <v>0.5</v>
      </c>
      <c r="F22" s="2">
        <v>3.5000000000000003E-2</v>
      </c>
      <c r="G22" s="3">
        <v>0.217</v>
      </c>
      <c r="H22" s="3"/>
      <c r="I22" s="2">
        <v>0</v>
      </c>
      <c r="J22" s="2">
        <v>0</v>
      </c>
      <c r="K22" s="2"/>
      <c r="L22" s="2"/>
      <c r="M22" s="2"/>
      <c r="N22" s="2"/>
      <c r="O22" s="8">
        <f t="shared" si="2"/>
        <v>0</v>
      </c>
      <c r="P22" s="19"/>
      <c r="Q22" s="19"/>
      <c r="R22" s="19"/>
      <c r="S22" s="2"/>
      <c r="T22" s="19"/>
      <c r="U22" s="2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2"/>
      <c r="BE22" s="7">
        <f t="shared" si="3"/>
        <v>0</v>
      </c>
      <c r="BF22" s="8" t="s">
        <v>96</v>
      </c>
      <c r="BG22" s="8" t="str">
        <f>VLOOKUP(D22,'[1]Estándar de Emp Ind Daiki'!$O:$P,2,0)</f>
        <v>INDIVIDUALES</v>
      </c>
      <c r="BH22" s="8">
        <v>400</v>
      </c>
      <c r="BI22" s="8" t="s">
        <v>101</v>
      </c>
      <c r="BJ22" s="8">
        <f t="shared" si="4"/>
        <v>0</v>
      </c>
      <c r="BK22"/>
      <c r="BL22"/>
      <c r="BM22"/>
      <c r="BN22"/>
    </row>
    <row r="23" spans="1:66" hidden="1" x14ac:dyDescent="0.25">
      <c r="A23" s="2"/>
      <c r="B23" s="2" t="s">
        <v>33</v>
      </c>
      <c r="C23" s="2" t="s">
        <v>34</v>
      </c>
      <c r="D23" s="2" t="s">
        <v>47</v>
      </c>
      <c r="E23" s="13">
        <v>0.5</v>
      </c>
      <c r="F23" s="2">
        <v>3.1E-2</v>
      </c>
      <c r="G23" s="3">
        <v>0.106</v>
      </c>
      <c r="H23" s="3"/>
      <c r="I23" s="2">
        <v>1200</v>
      </c>
      <c r="J23" s="2">
        <v>0</v>
      </c>
      <c r="K23" s="2"/>
      <c r="L23" s="2"/>
      <c r="M23" s="2"/>
      <c r="N23" s="2"/>
      <c r="O23" s="8">
        <f t="shared" si="2"/>
        <v>0</v>
      </c>
      <c r="P23" s="19"/>
      <c r="Q23" s="43"/>
      <c r="R23" s="19"/>
      <c r="S23" s="2"/>
      <c r="T23" s="19">
        <v>300</v>
      </c>
      <c r="U23" s="2">
        <v>300</v>
      </c>
      <c r="V23" s="19">
        <v>600</v>
      </c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2"/>
      <c r="BE23" s="7">
        <f t="shared" si="3"/>
        <v>127.2</v>
      </c>
      <c r="BF23" s="8" t="s">
        <v>27</v>
      </c>
      <c r="BG23" s="8" t="str">
        <f>VLOOKUP(D23,'[1]Estándar de Emp Ind Daiki'!$O:$P,2,0)</f>
        <v>INDIVIDUALES</v>
      </c>
      <c r="BH23" s="8">
        <v>150</v>
      </c>
      <c r="BI23" s="8" t="s">
        <v>101</v>
      </c>
      <c r="BJ23" s="8">
        <f t="shared" si="4"/>
        <v>8</v>
      </c>
      <c r="BK23"/>
      <c r="BL23"/>
      <c r="BM23"/>
      <c r="BN23"/>
    </row>
    <row r="24" spans="1:66" x14ac:dyDescent="0.25">
      <c r="A24" s="2"/>
      <c r="B24" s="2" t="s">
        <v>33</v>
      </c>
      <c r="C24" s="2" t="s">
        <v>34</v>
      </c>
      <c r="D24" s="2" t="s">
        <v>48</v>
      </c>
      <c r="E24" s="13">
        <v>0.5</v>
      </c>
      <c r="F24" s="2">
        <v>3.5000000000000003E-2</v>
      </c>
      <c r="G24" s="3">
        <v>0.17699999999999999</v>
      </c>
      <c r="H24" s="3"/>
      <c r="I24" s="2">
        <v>1200</v>
      </c>
      <c r="J24" s="2">
        <v>0</v>
      </c>
      <c r="K24" s="2"/>
      <c r="L24" s="2"/>
      <c r="M24" s="2"/>
      <c r="N24" s="2"/>
      <c r="O24" s="8">
        <f t="shared" si="2"/>
        <v>670</v>
      </c>
      <c r="P24" s="19"/>
      <c r="Q24" s="19"/>
      <c r="R24" s="19">
        <v>530</v>
      </c>
      <c r="S24" s="2"/>
      <c r="T24" s="19"/>
      <c r="U24" s="2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2"/>
      <c r="BE24" s="7">
        <f t="shared" si="3"/>
        <v>212.39999999999998</v>
      </c>
      <c r="BF24" s="8" t="s">
        <v>96</v>
      </c>
      <c r="BG24" s="8" t="str">
        <f>VLOOKUP(D24,'[1]Estándar de Emp Ind Daiki'!$O:$P,2,0)</f>
        <v>INDIVIDUALES</v>
      </c>
      <c r="BH24" s="8">
        <v>420</v>
      </c>
      <c r="BI24" s="8" t="s">
        <v>101</v>
      </c>
      <c r="BJ24" s="8">
        <f t="shared" si="4"/>
        <v>2.8571428571428572</v>
      </c>
      <c r="BK24"/>
      <c r="BL24"/>
      <c r="BM24"/>
      <c r="BN24"/>
    </row>
    <row r="25" spans="1:66" hidden="1" x14ac:dyDescent="0.25">
      <c r="A25" s="2"/>
      <c r="B25" s="2" t="s">
        <v>33</v>
      </c>
      <c r="C25" s="2" t="s">
        <v>34</v>
      </c>
      <c r="D25" s="2" t="s">
        <v>49</v>
      </c>
      <c r="E25" s="13">
        <v>0.625</v>
      </c>
      <c r="F25" s="2">
        <v>3.6999999999999998E-2</v>
      </c>
      <c r="G25" s="3">
        <v>0.20799999999999999</v>
      </c>
      <c r="H25" s="3"/>
      <c r="I25" s="2">
        <v>0</v>
      </c>
      <c r="J25" s="2">
        <v>0</v>
      </c>
      <c r="K25" s="2"/>
      <c r="L25" s="2"/>
      <c r="M25" s="2"/>
      <c r="N25" s="2"/>
      <c r="O25" s="8">
        <f t="shared" si="2"/>
        <v>0</v>
      </c>
      <c r="P25" s="19"/>
      <c r="Q25" s="19"/>
      <c r="R25" s="19"/>
      <c r="S25" s="2"/>
      <c r="T25" s="19"/>
      <c r="U25" s="2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2"/>
      <c r="BE25" s="7">
        <f t="shared" si="3"/>
        <v>0</v>
      </c>
      <c r="BF25" s="8" t="s">
        <v>95</v>
      </c>
      <c r="BG25" s="8" t="str">
        <f>VLOOKUP(D25,'[1]Estándar de Emp Ind Daiki'!$O:$P,2,0)</f>
        <v>HEADERS</v>
      </c>
      <c r="BH25" s="8">
        <v>64</v>
      </c>
      <c r="BI25" s="8" t="s">
        <v>101</v>
      </c>
      <c r="BJ25" s="8">
        <f t="shared" si="4"/>
        <v>0</v>
      </c>
      <c r="BK25"/>
      <c r="BL25"/>
      <c r="BM25"/>
      <c r="BN25"/>
    </row>
    <row r="26" spans="1:66" hidden="1" x14ac:dyDescent="0.25">
      <c r="A26" s="2"/>
      <c r="B26" s="2" t="s">
        <v>33</v>
      </c>
      <c r="C26" s="2" t="s">
        <v>34</v>
      </c>
      <c r="D26" s="2" t="s">
        <v>50</v>
      </c>
      <c r="E26" s="13">
        <v>0.625</v>
      </c>
      <c r="F26" s="2">
        <v>3.6999999999999998E-2</v>
      </c>
      <c r="G26" s="3">
        <v>0.14499999999999999</v>
      </c>
      <c r="H26" s="3"/>
      <c r="I26" s="2">
        <v>0</v>
      </c>
      <c r="J26" s="2">
        <v>0</v>
      </c>
      <c r="K26" s="2"/>
      <c r="L26" s="2"/>
      <c r="M26" s="2"/>
      <c r="N26" s="2"/>
      <c r="O26" s="8">
        <f t="shared" si="2"/>
        <v>0</v>
      </c>
      <c r="P26" s="19"/>
      <c r="Q26" s="19"/>
      <c r="R26" s="19"/>
      <c r="S26" s="2"/>
      <c r="T26" s="19"/>
      <c r="U26" s="2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2"/>
      <c r="BE26" s="7">
        <f t="shared" si="3"/>
        <v>0</v>
      </c>
      <c r="BF26" s="8" t="s">
        <v>27</v>
      </c>
      <c r="BG26" s="8" t="str">
        <f>VLOOKUP(D26,'[1]Estándar de Emp Ind Daiki'!$O:$P,2,0)</f>
        <v>INDIVIDUALES</v>
      </c>
      <c r="BH26" s="8">
        <v>92</v>
      </c>
      <c r="BI26" s="8" t="s">
        <v>101</v>
      </c>
      <c r="BJ26" s="8">
        <f t="shared" si="4"/>
        <v>0</v>
      </c>
      <c r="BK26"/>
      <c r="BL26"/>
      <c r="BM26"/>
      <c r="BN26"/>
    </row>
    <row r="27" spans="1:66" hidden="1" x14ac:dyDescent="0.25">
      <c r="A27" s="2"/>
      <c r="B27" s="2" t="s">
        <v>33</v>
      </c>
      <c r="C27" s="2" t="s">
        <v>34</v>
      </c>
      <c r="D27" s="2" t="s">
        <v>51</v>
      </c>
      <c r="E27" s="13">
        <v>0.625</v>
      </c>
      <c r="F27" s="2">
        <v>3.6999999999999998E-2</v>
      </c>
      <c r="G27" s="3">
        <v>0.46800000000000003</v>
      </c>
      <c r="H27" s="3"/>
      <c r="I27" s="2">
        <v>0</v>
      </c>
      <c r="J27" s="2">
        <v>0</v>
      </c>
      <c r="K27" s="2"/>
      <c r="L27" s="2"/>
      <c r="M27" s="2"/>
      <c r="N27" s="2"/>
      <c r="O27" s="8">
        <f t="shared" si="2"/>
        <v>0</v>
      </c>
      <c r="P27" s="19"/>
      <c r="Q27" s="19"/>
      <c r="R27" s="19"/>
      <c r="S27" s="2"/>
      <c r="T27" s="19"/>
      <c r="U27" s="2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2"/>
      <c r="BE27" s="7">
        <f t="shared" si="3"/>
        <v>0</v>
      </c>
      <c r="BF27" s="8" t="s">
        <v>97</v>
      </c>
      <c r="BG27" s="8" t="str">
        <f>VLOOKUP(D27,'[1]Estándar de Emp Ind Daiki'!$O:$P,2,0)</f>
        <v>HEADERS</v>
      </c>
      <c r="BH27" s="8">
        <v>200</v>
      </c>
      <c r="BI27" s="8" t="s">
        <v>101</v>
      </c>
      <c r="BJ27" s="8">
        <f t="shared" si="4"/>
        <v>0</v>
      </c>
      <c r="BK27"/>
      <c r="BL27"/>
      <c r="BM27"/>
      <c r="BN27"/>
    </row>
    <row r="28" spans="1:66" hidden="1" x14ac:dyDescent="0.25">
      <c r="A28" s="2"/>
      <c r="B28" s="2" t="s">
        <v>33</v>
      </c>
      <c r="C28" s="2" t="s">
        <v>34</v>
      </c>
      <c r="D28" s="2" t="s">
        <v>52</v>
      </c>
      <c r="E28" s="13">
        <v>0.625</v>
      </c>
      <c r="F28" s="2">
        <v>3.6999999999999998E-2</v>
      </c>
      <c r="G28" s="3">
        <v>0.31900000000000001</v>
      </c>
      <c r="H28" s="3"/>
      <c r="I28" s="2">
        <v>0</v>
      </c>
      <c r="J28" s="2">
        <v>0</v>
      </c>
      <c r="K28" s="2"/>
      <c r="L28" s="2"/>
      <c r="M28" s="2"/>
      <c r="N28" s="2"/>
      <c r="O28" s="8">
        <f t="shared" si="2"/>
        <v>0</v>
      </c>
      <c r="P28" s="19"/>
      <c r="Q28" s="19"/>
      <c r="R28" s="19"/>
      <c r="S28" s="2"/>
      <c r="T28" s="19"/>
      <c r="U28" s="2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"/>
      <c r="BE28" s="7">
        <f t="shared" si="3"/>
        <v>0</v>
      </c>
      <c r="BF28" s="8" t="s">
        <v>97</v>
      </c>
      <c r="BG28" s="8" t="str">
        <f>VLOOKUP(D28,'[1]Estándar de Emp Ind Daiki'!$O:$P,2,0)</f>
        <v>INDIVIDUALES</v>
      </c>
      <c r="BH28" s="8">
        <v>260</v>
      </c>
      <c r="BI28" s="8" t="s">
        <v>101</v>
      </c>
      <c r="BJ28" s="8">
        <f t="shared" si="4"/>
        <v>0</v>
      </c>
      <c r="BK28"/>
    </row>
    <row r="29" spans="1:66" hidden="1" x14ac:dyDescent="0.25">
      <c r="A29" s="2"/>
      <c r="B29" s="2" t="s">
        <v>33</v>
      </c>
      <c r="C29" s="2" t="s">
        <v>34</v>
      </c>
      <c r="D29" s="2" t="s">
        <v>53</v>
      </c>
      <c r="E29" s="13">
        <v>0.625</v>
      </c>
      <c r="F29" s="2">
        <v>3.6999999999999998E-2</v>
      </c>
      <c r="G29" s="3">
        <v>0.15</v>
      </c>
      <c r="H29" s="3"/>
      <c r="I29" s="2">
        <v>0</v>
      </c>
      <c r="J29" s="2">
        <v>0</v>
      </c>
      <c r="K29" s="2"/>
      <c r="L29" s="2"/>
      <c r="M29" s="2"/>
      <c r="N29" s="2"/>
      <c r="O29" s="8">
        <f t="shared" si="2"/>
        <v>0</v>
      </c>
      <c r="P29" s="19"/>
      <c r="Q29" s="19"/>
      <c r="R29" s="19"/>
      <c r="S29" s="2"/>
      <c r="T29" s="19"/>
      <c r="U29" s="2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2"/>
      <c r="BE29" s="7">
        <f t="shared" si="3"/>
        <v>0</v>
      </c>
      <c r="BF29" s="8" t="s">
        <v>27</v>
      </c>
      <c r="BG29" s="8" t="str">
        <f>VLOOKUP(D29,'[1]Estándar de Emp Ind Daiki'!$O:$P,2,0)</f>
        <v>INDIVIDUALES</v>
      </c>
      <c r="BH29" s="8">
        <v>100</v>
      </c>
      <c r="BI29" s="8" t="s">
        <v>101</v>
      </c>
      <c r="BJ29" s="8">
        <f t="shared" si="4"/>
        <v>0</v>
      </c>
      <c r="BK29"/>
    </row>
    <row r="30" spans="1:66" s="85" customFormat="1" x14ac:dyDescent="0.25">
      <c r="A30" s="80"/>
      <c r="B30" s="80" t="s">
        <v>33</v>
      </c>
      <c r="C30" s="80" t="s">
        <v>34</v>
      </c>
      <c r="D30" s="80" t="s">
        <v>54</v>
      </c>
      <c r="E30" s="81">
        <v>0.625</v>
      </c>
      <c r="F30" s="80">
        <v>3.6999999999999998E-2</v>
      </c>
      <c r="G30" s="82">
        <v>0.159</v>
      </c>
      <c r="H30" s="83"/>
      <c r="I30" s="80">
        <v>1088</v>
      </c>
      <c r="J30" s="80">
        <v>2000</v>
      </c>
      <c r="K30" s="19"/>
      <c r="L30" s="19"/>
      <c r="M30" s="19"/>
      <c r="N30" s="19"/>
      <c r="O30" s="8">
        <f>+I30+J30+K30+L30+M30+N30-SUM(P30:BD30)</f>
        <v>1360</v>
      </c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>
        <v>384</v>
      </c>
      <c r="AK30" s="80"/>
      <c r="AL30" s="80"/>
      <c r="AM30" s="80"/>
      <c r="AN30" s="80"/>
      <c r="AO30" s="80">
        <v>256</v>
      </c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>
        <v>1088</v>
      </c>
      <c r="BE30" s="8">
        <f t="shared" si="3"/>
        <v>490.99200000000002</v>
      </c>
      <c r="BF30" s="8" t="s">
        <v>95</v>
      </c>
      <c r="BG30" s="8" t="str">
        <f>VLOOKUP(D30,'[1]Estándar de Emp Ind Daiki'!$O:$P,2,0)</f>
        <v>HEADERS</v>
      </c>
      <c r="BH30" s="8">
        <v>64</v>
      </c>
      <c r="BI30" s="8" t="s">
        <v>101</v>
      </c>
      <c r="BJ30" s="8">
        <f t="shared" si="4"/>
        <v>48.25</v>
      </c>
      <c r="BK30" s="84"/>
    </row>
    <row r="31" spans="1:66" hidden="1" x14ac:dyDescent="0.25">
      <c r="A31" s="2"/>
      <c r="B31" s="2" t="s">
        <v>33</v>
      </c>
      <c r="C31" s="2" t="s">
        <v>34</v>
      </c>
      <c r="D31" s="2" t="s">
        <v>55</v>
      </c>
      <c r="E31" s="13" t="s">
        <v>57</v>
      </c>
      <c r="F31" s="2">
        <v>2.8000000000000001E-2</v>
      </c>
      <c r="G31" s="3">
        <v>0.02</v>
      </c>
      <c r="H31" s="3"/>
      <c r="I31" s="2">
        <v>0</v>
      </c>
      <c r="J31" s="2">
        <v>0</v>
      </c>
      <c r="K31" s="2"/>
      <c r="L31" s="2"/>
      <c r="M31" s="2"/>
      <c r="N31" s="2"/>
      <c r="O31" s="8">
        <f t="shared" si="2"/>
        <v>0</v>
      </c>
      <c r="P31" s="19"/>
      <c r="Q31" s="19"/>
      <c r="R31" s="19"/>
      <c r="S31" s="2"/>
      <c r="T31" s="19"/>
      <c r="U31" s="2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"/>
      <c r="BE31" s="7">
        <f t="shared" si="3"/>
        <v>0</v>
      </c>
      <c r="BF31" s="8" t="s">
        <v>26</v>
      </c>
      <c r="BG31" s="8" t="str">
        <f>VLOOKUP(D31,'[1]Estándar de Emp Ind Daiki'!$O:$P,2,0)</f>
        <v>INDIVIDUALES</v>
      </c>
      <c r="BH31" s="8">
        <v>200</v>
      </c>
      <c r="BI31" s="8" t="s">
        <v>101</v>
      </c>
      <c r="BJ31" s="8">
        <f t="shared" si="4"/>
        <v>0</v>
      </c>
      <c r="BK31"/>
    </row>
    <row r="32" spans="1:66" hidden="1" x14ac:dyDescent="0.25">
      <c r="A32" s="2"/>
      <c r="B32" s="2" t="s">
        <v>33</v>
      </c>
      <c r="C32" s="2" t="s">
        <v>34</v>
      </c>
      <c r="D32" s="2" t="s">
        <v>56</v>
      </c>
      <c r="E32" s="13" t="s">
        <v>57</v>
      </c>
      <c r="F32" s="2">
        <v>2.8000000000000001E-2</v>
      </c>
      <c r="G32" s="3">
        <v>1.2E-2</v>
      </c>
      <c r="H32" s="3"/>
      <c r="I32" s="2">
        <v>0</v>
      </c>
      <c r="J32" s="2">
        <v>0</v>
      </c>
      <c r="K32" s="2"/>
      <c r="L32" s="2"/>
      <c r="M32" s="2"/>
      <c r="N32" s="2"/>
      <c r="O32" s="8">
        <f t="shared" si="2"/>
        <v>0</v>
      </c>
      <c r="P32" s="19"/>
      <c r="Q32" s="19"/>
      <c r="R32" s="19"/>
      <c r="S32" s="2"/>
      <c r="T32" s="19"/>
      <c r="U32" s="2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2"/>
      <c r="BE32" s="7">
        <f t="shared" si="3"/>
        <v>0</v>
      </c>
      <c r="BF32" s="8" t="s">
        <v>26</v>
      </c>
      <c r="BG32" s="8" t="str">
        <f>VLOOKUP(D32,'[1]Estándar de Emp Ind Daiki'!$O:$P,2,0)</f>
        <v>INDIVIDUALES</v>
      </c>
      <c r="BH32" s="8">
        <v>200</v>
      </c>
      <c r="BI32" s="8" t="s">
        <v>101</v>
      </c>
      <c r="BJ32" s="8">
        <f t="shared" si="4"/>
        <v>0</v>
      </c>
      <c r="BK32"/>
    </row>
    <row r="33" spans="1:63" hidden="1" x14ac:dyDescent="0.25">
      <c r="A33" s="2"/>
      <c r="B33" s="2" t="s">
        <v>33</v>
      </c>
      <c r="C33" s="2" t="s">
        <v>94</v>
      </c>
      <c r="D33" s="2" t="s">
        <v>58</v>
      </c>
      <c r="E33" s="13">
        <v>0.25</v>
      </c>
      <c r="F33" s="2">
        <v>2.8000000000000001E-2</v>
      </c>
      <c r="G33" s="3">
        <v>1.0999999999999999E-2</v>
      </c>
      <c r="H33" s="3"/>
      <c r="I33" s="2">
        <v>0</v>
      </c>
      <c r="J33" s="2">
        <v>0</v>
      </c>
      <c r="K33" s="2"/>
      <c r="L33" s="2"/>
      <c r="M33" s="2"/>
      <c r="N33" s="2"/>
      <c r="O33" s="8">
        <f t="shared" si="2"/>
        <v>0</v>
      </c>
      <c r="P33" s="19"/>
      <c r="Q33" s="19"/>
      <c r="R33" s="19"/>
      <c r="S33" s="2"/>
      <c r="T33" s="19"/>
      <c r="U33" s="2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2"/>
      <c r="BE33" s="7">
        <f t="shared" si="3"/>
        <v>0</v>
      </c>
      <c r="BF33" s="8" t="s">
        <v>26</v>
      </c>
      <c r="BG33" s="8" t="str">
        <f>VLOOKUP(D33,'[1]Estándar de Emp Ind Daiki'!$O:$P,2,0)</f>
        <v>INDIVIDUALES</v>
      </c>
      <c r="BH33" s="8">
        <v>500</v>
      </c>
      <c r="BI33" s="8" t="s">
        <v>102</v>
      </c>
      <c r="BJ33" s="8">
        <f t="shared" si="4"/>
        <v>0</v>
      </c>
      <c r="BK33"/>
    </row>
    <row r="34" spans="1:63" hidden="1" x14ac:dyDescent="0.25">
      <c r="A34" s="2"/>
      <c r="B34" s="2" t="s">
        <v>33</v>
      </c>
      <c r="C34" s="2" t="s">
        <v>94</v>
      </c>
      <c r="D34" s="2" t="s">
        <v>59</v>
      </c>
      <c r="E34" s="13">
        <v>0.25</v>
      </c>
      <c r="F34" s="2">
        <v>3.1E-2</v>
      </c>
      <c r="G34" s="3">
        <v>1.7000000000000001E-2</v>
      </c>
      <c r="H34" s="3"/>
      <c r="I34" s="2">
        <v>0</v>
      </c>
      <c r="J34" s="2">
        <v>1000</v>
      </c>
      <c r="K34" s="2"/>
      <c r="L34" s="2"/>
      <c r="M34" s="2"/>
      <c r="N34" s="2"/>
      <c r="O34" s="8">
        <f t="shared" si="2"/>
        <v>-1000</v>
      </c>
      <c r="P34" s="19"/>
      <c r="Q34" s="19"/>
      <c r="R34" s="19"/>
      <c r="S34" s="2"/>
      <c r="T34" s="19"/>
      <c r="U34" s="2"/>
      <c r="V34" s="19"/>
      <c r="W34" s="19"/>
      <c r="X34" s="19">
        <v>1600</v>
      </c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>
        <v>400</v>
      </c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2"/>
      <c r="BE34" s="7">
        <f t="shared" si="3"/>
        <v>17</v>
      </c>
      <c r="BF34" s="8" t="s">
        <v>26</v>
      </c>
      <c r="BG34" s="8" t="str">
        <f>VLOOKUP(D34,'[1]Estándar de Emp Ind Daiki'!$O:$P,2,0)</f>
        <v>INDIVIDUALES</v>
      </c>
      <c r="BH34" s="8">
        <v>200</v>
      </c>
      <c r="BI34" s="8" t="s">
        <v>102</v>
      </c>
      <c r="BJ34" s="8">
        <f t="shared" si="4"/>
        <v>5</v>
      </c>
      <c r="BK34"/>
    </row>
    <row r="35" spans="1:63" x14ac:dyDescent="0.25">
      <c r="A35" s="2"/>
      <c r="B35" s="2" t="s">
        <v>33</v>
      </c>
      <c r="C35" s="2" t="s">
        <v>94</v>
      </c>
      <c r="D35" s="2" t="s">
        <v>60</v>
      </c>
      <c r="E35" s="13">
        <v>0.25</v>
      </c>
      <c r="F35" s="2">
        <v>3.1E-2</v>
      </c>
      <c r="G35" s="3">
        <v>4.2000000000000003E-2</v>
      </c>
      <c r="H35" s="3"/>
      <c r="I35" s="2">
        <v>0</v>
      </c>
      <c r="J35" s="2">
        <v>1000</v>
      </c>
      <c r="K35" s="2"/>
      <c r="L35" s="2"/>
      <c r="M35" s="2"/>
      <c r="N35" s="2"/>
      <c r="O35" s="8">
        <f t="shared" si="2"/>
        <v>1000</v>
      </c>
      <c r="P35" s="19"/>
      <c r="Q35" s="19"/>
      <c r="R35" s="19"/>
      <c r="S35" s="2"/>
      <c r="T35" s="19"/>
      <c r="U35" s="2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7">
        <f t="shared" si="3"/>
        <v>42</v>
      </c>
      <c r="BF35" s="8" t="s">
        <v>26</v>
      </c>
      <c r="BG35" s="8" t="str">
        <f>VLOOKUP(D35,'[1]Estándar de Emp Ind Daiki'!$O:$P,2,0)</f>
        <v>INDIVIDUALES</v>
      </c>
      <c r="BH35" s="8">
        <v>200</v>
      </c>
      <c r="BI35" s="8" t="s">
        <v>102</v>
      </c>
      <c r="BJ35" s="8">
        <f t="shared" si="4"/>
        <v>5</v>
      </c>
      <c r="BK35"/>
    </row>
    <row r="36" spans="1:63" x14ac:dyDescent="0.25">
      <c r="A36" s="2"/>
      <c r="B36" s="2" t="s">
        <v>33</v>
      </c>
      <c r="C36" s="2" t="s">
        <v>94</v>
      </c>
      <c r="D36" s="2" t="s">
        <v>61</v>
      </c>
      <c r="E36" s="13">
        <v>0.25</v>
      </c>
      <c r="F36" s="2">
        <v>3.1E-2</v>
      </c>
      <c r="G36" s="3">
        <v>2.8000000000000001E-2</v>
      </c>
      <c r="H36" s="3"/>
      <c r="I36" s="2">
        <v>0</v>
      </c>
      <c r="J36" s="2">
        <v>900</v>
      </c>
      <c r="K36" s="2"/>
      <c r="L36" s="2"/>
      <c r="M36" s="2"/>
      <c r="N36" s="2"/>
      <c r="O36" s="8">
        <f t="shared" si="2"/>
        <v>900</v>
      </c>
      <c r="P36" s="19"/>
      <c r="Q36" s="19"/>
      <c r="R36" s="19"/>
      <c r="S36" s="2"/>
      <c r="T36" s="19"/>
      <c r="U36" s="2"/>
      <c r="V36" s="19"/>
      <c r="W36" s="19"/>
      <c r="X36" s="19"/>
      <c r="Y36" s="19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7">
        <f t="shared" si="3"/>
        <v>25.2</v>
      </c>
      <c r="BF36" s="8" t="s">
        <v>26</v>
      </c>
      <c r="BG36" s="8" t="str">
        <f>VLOOKUP(D36,'[1]Estándar de Emp Ind Daiki'!$O:$P,2,0)</f>
        <v>INDIVIDUALES</v>
      </c>
      <c r="BH36" s="8">
        <v>100</v>
      </c>
      <c r="BI36" s="8" t="s">
        <v>102</v>
      </c>
      <c r="BJ36" s="8">
        <f t="shared" si="4"/>
        <v>9</v>
      </c>
      <c r="BK36"/>
    </row>
    <row r="37" spans="1:63" hidden="1" x14ac:dyDescent="0.25">
      <c r="A37" s="2"/>
      <c r="B37" s="2" t="s">
        <v>33</v>
      </c>
      <c r="C37" s="2" t="s">
        <v>94</v>
      </c>
      <c r="D37" s="2" t="s">
        <v>62</v>
      </c>
      <c r="E37" s="13">
        <v>0.375</v>
      </c>
      <c r="F37" s="2">
        <v>2.8000000000000001E-2</v>
      </c>
      <c r="G37" s="3">
        <v>0.128</v>
      </c>
      <c r="H37" s="3"/>
      <c r="I37" s="2">
        <v>0</v>
      </c>
      <c r="J37" s="2">
        <v>0</v>
      </c>
      <c r="K37" s="2"/>
      <c r="L37" s="2"/>
      <c r="M37" s="2"/>
      <c r="N37" s="2"/>
      <c r="O37" s="8">
        <f t="shared" si="2"/>
        <v>0</v>
      </c>
      <c r="P37" s="19"/>
      <c r="Q37" s="19"/>
      <c r="R37" s="19"/>
      <c r="S37" s="2"/>
      <c r="T37" s="19"/>
      <c r="U37" s="2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2"/>
      <c r="BE37" s="7">
        <f t="shared" si="3"/>
        <v>0</v>
      </c>
      <c r="BF37" s="8" t="s">
        <v>97</v>
      </c>
      <c r="BG37" s="8" t="str">
        <f>VLOOKUP(D37,'[1]Estándar de Emp Ind Daiki'!$O:$P,2,0)</f>
        <v>HEADERS</v>
      </c>
      <c r="BH37" s="8">
        <v>400</v>
      </c>
      <c r="BI37" s="8" t="s">
        <v>102</v>
      </c>
      <c r="BJ37" s="8">
        <f t="shared" si="4"/>
        <v>0</v>
      </c>
      <c r="BK37"/>
    </row>
    <row r="38" spans="1:63" hidden="1" x14ac:dyDescent="0.25">
      <c r="A38" s="2"/>
      <c r="B38" s="2" t="s">
        <v>33</v>
      </c>
      <c r="C38" s="2" t="s">
        <v>94</v>
      </c>
      <c r="D38" s="2" t="s">
        <v>63</v>
      </c>
      <c r="E38" s="13">
        <v>0.375</v>
      </c>
      <c r="F38" s="2">
        <v>3.1E-2</v>
      </c>
      <c r="G38" s="3">
        <v>4.4999999999999998E-2</v>
      </c>
      <c r="H38" s="3"/>
      <c r="I38" s="2">
        <v>0</v>
      </c>
      <c r="J38" s="2">
        <v>0</v>
      </c>
      <c r="K38" s="2"/>
      <c r="L38" s="2"/>
      <c r="M38" s="2"/>
      <c r="N38" s="2"/>
      <c r="O38" s="8">
        <f t="shared" si="2"/>
        <v>0</v>
      </c>
      <c r="P38" s="19"/>
      <c r="Q38" s="19"/>
      <c r="R38" s="19"/>
      <c r="S38" s="2"/>
      <c r="T38" s="19"/>
      <c r="U38" s="2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"/>
      <c r="BE38" s="7">
        <f t="shared" si="3"/>
        <v>0</v>
      </c>
      <c r="BF38" s="8" t="s">
        <v>26</v>
      </c>
      <c r="BG38" s="8" t="str">
        <f>VLOOKUP(D38,'[1]Estándar de Emp Ind Daiki'!$O:$P,2,0)</f>
        <v>HEADERS</v>
      </c>
      <c r="BH38" s="8">
        <v>250</v>
      </c>
      <c r="BI38" s="8" t="s">
        <v>102</v>
      </c>
      <c r="BJ38" s="8">
        <f t="shared" si="4"/>
        <v>0</v>
      </c>
      <c r="BK38"/>
    </row>
    <row r="39" spans="1:63" hidden="1" x14ac:dyDescent="0.25">
      <c r="A39" s="2"/>
      <c r="B39" s="2" t="s">
        <v>33</v>
      </c>
      <c r="C39" s="2" t="s">
        <v>94</v>
      </c>
      <c r="D39" s="2" t="s">
        <v>64</v>
      </c>
      <c r="E39" s="13">
        <v>0.375</v>
      </c>
      <c r="F39" s="2">
        <v>3.1E-2</v>
      </c>
      <c r="G39" s="3">
        <v>3.4000000000000002E-2</v>
      </c>
      <c r="H39" s="3"/>
      <c r="I39" s="2">
        <v>0</v>
      </c>
      <c r="J39" s="2">
        <v>0</v>
      </c>
      <c r="K39" s="2"/>
      <c r="L39" s="2"/>
      <c r="M39" s="2"/>
      <c r="N39" s="2"/>
      <c r="O39" s="8">
        <f t="shared" si="2"/>
        <v>0</v>
      </c>
      <c r="P39" s="19"/>
      <c r="Q39" s="19"/>
      <c r="R39" s="19"/>
      <c r="S39" s="2"/>
      <c r="T39" s="19"/>
      <c r="U39" s="2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"/>
      <c r="BE39" s="7">
        <f t="shared" si="3"/>
        <v>0</v>
      </c>
      <c r="BF39" s="8" t="s">
        <v>26</v>
      </c>
      <c r="BG39" s="8" t="str">
        <f>VLOOKUP(D39,'[1]Estándar de Emp Ind Daiki'!$O:$P,2,0)</f>
        <v>HEADERS</v>
      </c>
      <c r="BH39" s="8">
        <v>300</v>
      </c>
      <c r="BI39" s="8" t="s">
        <v>102</v>
      </c>
      <c r="BJ39" s="8">
        <f t="shared" si="4"/>
        <v>0</v>
      </c>
      <c r="BK39"/>
    </row>
    <row r="40" spans="1:63" hidden="1" x14ac:dyDescent="0.25">
      <c r="A40" s="2"/>
      <c r="B40" s="2" t="s">
        <v>33</v>
      </c>
      <c r="C40" s="2" t="s">
        <v>94</v>
      </c>
      <c r="D40" s="2" t="s">
        <v>65</v>
      </c>
      <c r="E40" s="13">
        <v>0.375</v>
      </c>
      <c r="F40" s="2">
        <v>2.8000000000000001E-2</v>
      </c>
      <c r="G40" s="3">
        <v>2.9000000000000001E-2</v>
      </c>
      <c r="H40" s="3"/>
      <c r="I40" s="2">
        <v>0</v>
      </c>
      <c r="J40" s="2">
        <v>0</v>
      </c>
      <c r="K40" s="2"/>
      <c r="L40" s="2"/>
      <c r="M40" s="2"/>
      <c r="N40" s="2"/>
      <c r="O40" s="8">
        <f t="shared" si="2"/>
        <v>0</v>
      </c>
      <c r="P40" s="19"/>
      <c r="Q40" s="19"/>
      <c r="R40" s="19"/>
      <c r="S40" s="2"/>
      <c r="T40" s="19"/>
      <c r="U40" s="2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"/>
      <c r="BE40" s="7">
        <f t="shared" si="3"/>
        <v>0</v>
      </c>
      <c r="BF40" s="8" t="s">
        <v>26</v>
      </c>
      <c r="BG40" s="8" t="str">
        <f>VLOOKUP(D40,'[1]Estándar de Emp Ind Daiki'!$O:$P,2,0)</f>
        <v>HEADERS</v>
      </c>
      <c r="BH40" s="8">
        <v>300</v>
      </c>
      <c r="BI40" s="8" t="s">
        <v>102</v>
      </c>
      <c r="BJ40" s="8">
        <f t="shared" si="4"/>
        <v>0</v>
      </c>
      <c r="BK40"/>
    </row>
    <row r="41" spans="1:63" hidden="1" x14ac:dyDescent="0.25">
      <c r="A41" s="2"/>
      <c r="B41" s="2" t="s">
        <v>33</v>
      </c>
      <c r="C41" s="2" t="s">
        <v>94</v>
      </c>
      <c r="D41" s="2" t="s">
        <v>66</v>
      </c>
      <c r="E41" s="13">
        <v>0.375</v>
      </c>
      <c r="F41" s="2">
        <v>2.8000000000000001E-2</v>
      </c>
      <c r="G41" s="3">
        <v>0.20499999999999999</v>
      </c>
      <c r="H41" s="3"/>
      <c r="I41" s="2">
        <v>0</v>
      </c>
      <c r="J41" s="2">
        <v>0</v>
      </c>
      <c r="K41" s="2"/>
      <c r="L41" s="2"/>
      <c r="M41" s="2"/>
      <c r="N41" s="2"/>
      <c r="O41" s="8">
        <f t="shared" si="2"/>
        <v>0</v>
      </c>
      <c r="P41" s="19"/>
      <c r="Q41" s="19"/>
      <c r="R41" s="19"/>
      <c r="S41" s="2"/>
      <c r="T41" s="19"/>
      <c r="U41" s="2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2"/>
      <c r="BE41" s="7">
        <f t="shared" si="3"/>
        <v>0</v>
      </c>
      <c r="BF41" s="8" t="s">
        <v>97</v>
      </c>
      <c r="BG41" s="8" t="str">
        <f>VLOOKUP(D41,'[1]Estándar de Emp Ind Daiki'!$O:$P,2,0)</f>
        <v>HEADERS</v>
      </c>
      <c r="BH41" s="8">
        <v>250</v>
      </c>
      <c r="BI41" s="8" t="s">
        <v>102</v>
      </c>
      <c r="BJ41" s="8">
        <f t="shared" si="4"/>
        <v>0</v>
      </c>
      <c r="BK41"/>
    </row>
    <row r="42" spans="1:63" hidden="1" x14ac:dyDescent="0.25">
      <c r="A42" s="2"/>
      <c r="B42" s="2" t="s">
        <v>33</v>
      </c>
      <c r="C42" s="2" t="s">
        <v>94</v>
      </c>
      <c r="D42" s="2" t="s">
        <v>67</v>
      </c>
      <c r="E42" s="13">
        <v>0.375</v>
      </c>
      <c r="F42" s="2">
        <v>3.1E-2</v>
      </c>
      <c r="G42" s="3">
        <v>4.8000000000000001E-2</v>
      </c>
      <c r="H42" s="3"/>
      <c r="I42" s="2">
        <v>0</v>
      </c>
      <c r="J42" s="2">
        <v>0</v>
      </c>
      <c r="K42" s="2"/>
      <c r="L42" s="2"/>
      <c r="M42" s="2"/>
      <c r="N42" s="2"/>
      <c r="O42" s="8">
        <f t="shared" si="2"/>
        <v>0</v>
      </c>
      <c r="P42" s="19"/>
      <c r="Q42" s="19"/>
      <c r="R42" s="19"/>
      <c r="S42" s="2"/>
      <c r="T42" s="19"/>
      <c r="U42" s="2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2"/>
      <c r="BE42" s="7">
        <f t="shared" si="3"/>
        <v>0</v>
      </c>
      <c r="BF42" s="8" t="s">
        <v>26</v>
      </c>
      <c r="BG42" s="8" t="str">
        <f>VLOOKUP(D42,'[1]Estándar de Emp Ind Daiki'!$O:$P,2,0)</f>
        <v>INDIVIDUALES</v>
      </c>
      <c r="BH42" s="8">
        <v>100</v>
      </c>
      <c r="BI42" s="8" t="s">
        <v>102</v>
      </c>
      <c r="BJ42" s="8">
        <f t="shared" si="4"/>
        <v>0</v>
      </c>
      <c r="BK42"/>
    </row>
    <row r="43" spans="1:63" hidden="1" x14ac:dyDescent="0.25">
      <c r="A43" s="2"/>
      <c r="B43" s="2" t="s">
        <v>33</v>
      </c>
      <c r="C43" s="2" t="s">
        <v>94</v>
      </c>
      <c r="D43" s="2" t="s">
        <v>68</v>
      </c>
      <c r="E43" s="13">
        <v>0.375</v>
      </c>
      <c r="F43" s="2">
        <v>3.1E-2</v>
      </c>
      <c r="G43" s="3">
        <v>4.4999999999999998E-2</v>
      </c>
      <c r="H43" s="3"/>
      <c r="I43" s="2">
        <v>0</v>
      </c>
      <c r="J43" s="2">
        <v>0</v>
      </c>
      <c r="K43" s="2"/>
      <c r="L43" s="2"/>
      <c r="M43" s="2"/>
      <c r="N43" s="2"/>
      <c r="O43" s="8">
        <f t="shared" si="2"/>
        <v>0</v>
      </c>
      <c r="P43" s="19"/>
      <c r="Q43" s="19"/>
      <c r="R43" s="19"/>
      <c r="S43" s="2"/>
      <c r="T43" s="19"/>
      <c r="U43" s="2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"/>
      <c r="BE43" s="7">
        <f t="shared" si="3"/>
        <v>0</v>
      </c>
      <c r="BF43" s="8" t="s">
        <v>26</v>
      </c>
      <c r="BG43" s="8" t="str">
        <f>VLOOKUP(D43,'[1]Estándar de Emp Ind Daiki'!$O:$P,2,0)</f>
        <v>INDIVIDUALES</v>
      </c>
      <c r="BH43" s="8">
        <v>100</v>
      </c>
      <c r="BI43" s="8" t="s">
        <v>102</v>
      </c>
      <c r="BJ43" s="8">
        <f t="shared" si="4"/>
        <v>0</v>
      </c>
      <c r="BK43"/>
    </row>
    <row r="44" spans="1:63" hidden="1" x14ac:dyDescent="0.25">
      <c r="A44" s="2"/>
      <c r="B44" s="2" t="s">
        <v>33</v>
      </c>
      <c r="C44" s="2" t="s">
        <v>94</v>
      </c>
      <c r="D44" s="2" t="s">
        <v>69</v>
      </c>
      <c r="E44" s="13">
        <v>0.375</v>
      </c>
      <c r="F44" s="2">
        <v>2.8000000000000001E-2</v>
      </c>
      <c r="G44" s="3">
        <v>3.1E-2</v>
      </c>
      <c r="H44" s="3"/>
      <c r="I44" s="2">
        <v>0</v>
      </c>
      <c r="J44" s="2">
        <v>0</v>
      </c>
      <c r="K44" s="2"/>
      <c r="L44" s="2"/>
      <c r="M44" s="2"/>
      <c r="N44" s="2"/>
      <c r="O44" s="8">
        <f t="shared" si="2"/>
        <v>0</v>
      </c>
      <c r="P44" s="19"/>
      <c r="Q44" s="19"/>
      <c r="R44" s="19"/>
      <c r="S44" s="2"/>
      <c r="T44" s="19"/>
      <c r="U44" s="2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2"/>
      <c r="BE44" s="7">
        <f t="shared" si="3"/>
        <v>0</v>
      </c>
      <c r="BF44" s="8" t="s">
        <v>26</v>
      </c>
      <c r="BG44" s="8" t="str">
        <f>VLOOKUP(D44,'[1]Estándar de Emp Ind Daiki'!$O:$P,2,0)</f>
        <v>INDIVIDUALES</v>
      </c>
      <c r="BH44" s="8">
        <v>300</v>
      </c>
      <c r="BI44" s="8" t="s">
        <v>102</v>
      </c>
      <c r="BJ44" s="8">
        <f t="shared" si="4"/>
        <v>0</v>
      </c>
      <c r="BK44"/>
    </row>
    <row r="45" spans="1:63" hidden="1" x14ac:dyDescent="0.25">
      <c r="A45" s="2"/>
      <c r="B45" s="2" t="s">
        <v>33</v>
      </c>
      <c r="C45" s="2" t="s">
        <v>94</v>
      </c>
      <c r="D45" s="2" t="s">
        <v>70</v>
      </c>
      <c r="E45" s="13">
        <v>0.375</v>
      </c>
      <c r="F45" s="2">
        <v>2.8000000000000001E-2</v>
      </c>
      <c r="G45" s="3">
        <v>2.7E-2</v>
      </c>
      <c r="H45" s="3"/>
      <c r="I45" s="2">
        <v>0</v>
      </c>
      <c r="J45" s="2">
        <v>0</v>
      </c>
      <c r="K45" s="2"/>
      <c r="L45" s="2"/>
      <c r="M45" s="2"/>
      <c r="N45" s="2"/>
      <c r="O45" s="8">
        <f t="shared" si="2"/>
        <v>0</v>
      </c>
      <c r="P45" s="19"/>
      <c r="Q45" s="19"/>
      <c r="R45" s="19"/>
      <c r="S45" s="2"/>
      <c r="T45" s="19"/>
      <c r="U45" s="2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2"/>
      <c r="BE45" s="7">
        <f t="shared" si="3"/>
        <v>0</v>
      </c>
      <c r="BF45" s="8" t="s">
        <v>26</v>
      </c>
      <c r="BG45" s="8" t="str">
        <f>VLOOKUP(D45,'[1]Estándar de Emp Ind Daiki'!$O:$P,2,0)</f>
        <v>INDIVIDUALES</v>
      </c>
      <c r="BH45" s="8">
        <v>200</v>
      </c>
      <c r="BI45" s="8" t="s">
        <v>102</v>
      </c>
      <c r="BJ45" s="8">
        <f t="shared" si="4"/>
        <v>0</v>
      </c>
      <c r="BK45"/>
    </row>
    <row r="46" spans="1:63" hidden="1" x14ac:dyDescent="0.25">
      <c r="A46" s="2"/>
      <c r="B46" s="2" t="s">
        <v>33</v>
      </c>
      <c r="C46" s="2" t="s">
        <v>94</v>
      </c>
      <c r="D46" s="2" t="s">
        <v>71</v>
      </c>
      <c r="E46" s="13">
        <v>0.375</v>
      </c>
      <c r="F46" s="2">
        <v>2.8000000000000001E-2</v>
      </c>
      <c r="G46" s="3">
        <v>4.8000000000000001E-2</v>
      </c>
      <c r="H46" s="3"/>
      <c r="I46" s="2">
        <v>0</v>
      </c>
      <c r="J46" s="2">
        <v>0</v>
      </c>
      <c r="K46" s="2"/>
      <c r="L46" s="2"/>
      <c r="M46" s="2"/>
      <c r="N46" s="2"/>
      <c r="O46" s="8">
        <f t="shared" si="2"/>
        <v>0</v>
      </c>
      <c r="P46" s="19"/>
      <c r="Q46" s="19"/>
      <c r="R46" s="19"/>
      <c r="S46" s="2"/>
      <c r="T46" s="19"/>
      <c r="U46" s="2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2"/>
      <c r="BE46" s="7">
        <f t="shared" si="3"/>
        <v>0</v>
      </c>
      <c r="BF46" s="8" t="s">
        <v>26</v>
      </c>
      <c r="BG46" s="8" t="str">
        <f>VLOOKUP(D46,'[1]Estándar de Emp Ind Daiki'!$O:$P,2,0)</f>
        <v>INDIVIDUALES</v>
      </c>
      <c r="BH46" s="8">
        <v>100</v>
      </c>
      <c r="BI46" s="8" t="s">
        <v>102</v>
      </c>
      <c r="BJ46" s="8">
        <f t="shared" si="4"/>
        <v>0</v>
      </c>
      <c r="BK46"/>
    </row>
    <row r="47" spans="1:63" hidden="1" x14ac:dyDescent="0.25">
      <c r="A47" s="2"/>
      <c r="B47" s="2" t="s">
        <v>33</v>
      </c>
      <c r="C47" s="2" t="s">
        <v>94</v>
      </c>
      <c r="D47" s="2" t="s">
        <v>72</v>
      </c>
      <c r="E47" s="13">
        <v>0.375</v>
      </c>
      <c r="F47" s="2">
        <v>3.1E-2</v>
      </c>
      <c r="G47" s="3">
        <v>3.5999999999999999E-3</v>
      </c>
      <c r="H47" s="3"/>
      <c r="I47" s="2">
        <v>0</v>
      </c>
      <c r="J47" s="2">
        <v>0</v>
      </c>
      <c r="K47" s="2"/>
      <c r="L47" s="2"/>
      <c r="M47" s="2"/>
      <c r="N47" s="2"/>
      <c r="O47" s="8">
        <f t="shared" si="2"/>
        <v>0</v>
      </c>
      <c r="P47" s="19"/>
      <c r="Q47" s="19"/>
      <c r="R47" s="19"/>
      <c r="S47" s="2"/>
      <c r="T47" s="19"/>
      <c r="U47" s="2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2"/>
      <c r="BE47" s="7">
        <f t="shared" si="3"/>
        <v>0</v>
      </c>
      <c r="BF47" s="8" t="s">
        <v>26</v>
      </c>
      <c r="BG47" s="8" t="str">
        <f>VLOOKUP(D47,'[1]Estándar de Emp Ind Daiki'!$O:$P,2,0)</f>
        <v>INDIVIDUALES</v>
      </c>
      <c r="BH47" s="8">
        <v>300</v>
      </c>
      <c r="BI47" s="8" t="s">
        <v>102</v>
      </c>
      <c r="BJ47" s="8">
        <f t="shared" si="4"/>
        <v>0</v>
      </c>
      <c r="BK47"/>
    </row>
    <row r="48" spans="1:63" hidden="1" x14ac:dyDescent="0.25">
      <c r="A48" s="2"/>
      <c r="B48" s="2" t="s">
        <v>33</v>
      </c>
      <c r="C48" s="2" t="s">
        <v>94</v>
      </c>
      <c r="D48" s="2" t="s">
        <v>73</v>
      </c>
      <c r="E48" s="13">
        <v>0.375</v>
      </c>
      <c r="F48" s="2">
        <v>2.8000000000000001E-2</v>
      </c>
      <c r="G48" s="3">
        <v>1.2999999999999999E-2</v>
      </c>
      <c r="H48" s="3"/>
      <c r="I48" s="2">
        <v>0</v>
      </c>
      <c r="J48" s="2">
        <v>0</v>
      </c>
      <c r="K48" s="2"/>
      <c r="L48" s="2"/>
      <c r="M48" s="2"/>
      <c r="N48" s="2"/>
      <c r="O48" s="8">
        <f t="shared" si="2"/>
        <v>0</v>
      </c>
      <c r="P48" s="19"/>
      <c r="Q48" s="19"/>
      <c r="R48" s="19"/>
      <c r="S48" s="2"/>
      <c r="T48" s="19"/>
      <c r="U48" s="2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2"/>
      <c r="BE48" s="7">
        <f t="shared" si="3"/>
        <v>0</v>
      </c>
      <c r="BF48" s="8" t="s">
        <v>26</v>
      </c>
      <c r="BG48" s="8" t="str">
        <f>VLOOKUP(D48,'[1]Estándar de Emp Ind Daiki'!$O:$P,2,0)</f>
        <v>INDIVIDUALES</v>
      </c>
      <c r="BH48" s="8">
        <v>260</v>
      </c>
      <c r="BI48" s="8" t="s">
        <v>102</v>
      </c>
      <c r="BJ48" s="8">
        <f t="shared" si="4"/>
        <v>0</v>
      </c>
      <c r="BK48"/>
    </row>
    <row r="49" spans="1:63" hidden="1" x14ac:dyDescent="0.25">
      <c r="A49" s="2"/>
      <c r="B49" s="2" t="s">
        <v>33</v>
      </c>
      <c r="C49" s="2" t="s">
        <v>94</v>
      </c>
      <c r="D49" s="2" t="s">
        <v>74</v>
      </c>
      <c r="E49" s="13">
        <v>0.375</v>
      </c>
      <c r="F49" s="2">
        <v>2.8000000000000001E-2</v>
      </c>
      <c r="G49" s="3">
        <v>1.2E-2</v>
      </c>
      <c r="H49" s="3"/>
      <c r="I49" s="2">
        <v>0</v>
      </c>
      <c r="J49" s="2">
        <v>0</v>
      </c>
      <c r="K49" s="2"/>
      <c r="L49" s="2"/>
      <c r="M49" s="2"/>
      <c r="N49" s="2"/>
      <c r="O49" s="8">
        <f t="shared" si="2"/>
        <v>0</v>
      </c>
      <c r="P49" s="19"/>
      <c r="Q49" s="19"/>
      <c r="R49" s="19"/>
      <c r="S49" s="2"/>
      <c r="T49" s="19"/>
      <c r="U49" s="2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2"/>
      <c r="BE49" s="7">
        <f t="shared" si="3"/>
        <v>0</v>
      </c>
      <c r="BF49" s="8" t="s">
        <v>26</v>
      </c>
      <c r="BG49" s="8" t="str">
        <f>VLOOKUP(D49,'[1]Estándar de Emp Ind Daiki'!$O:$P,2,0)</f>
        <v>INDIVIDUALES</v>
      </c>
      <c r="BH49" s="8">
        <v>500</v>
      </c>
      <c r="BI49" s="8" t="s">
        <v>102</v>
      </c>
      <c r="BJ49" s="8">
        <f t="shared" si="4"/>
        <v>0</v>
      </c>
      <c r="BK49"/>
    </row>
    <row r="50" spans="1:63" hidden="1" x14ac:dyDescent="0.25">
      <c r="A50" s="2"/>
      <c r="B50" s="2" t="s">
        <v>33</v>
      </c>
      <c r="C50" s="2" t="s">
        <v>94</v>
      </c>
      <c r="D50" s="2" t="s">
        <v>75</v>
      </c>
      <c r="E50" s="13">
        <v>0.5</v>
      </c>
      <c r="F50" s="2">
        <v>3.5000000000000003E-2</v>
      </c>
      <c r="G50" s="3">
        <v>0.183</v>
      </c>
      <c r="H50" s="3"/>
      <c r="I50" s="2">
        <v>0</v>
      </c>
      <c r="J50" s="2">
        <v>0</v>
      </c>
      <c r="K50" s="2"/>
      <c r="L50" s="2"/>
      <c r="M50" s="2"/>
      <c r="N50" s="2"/>
      <c r="O50" s="8">
        <f t="shared" si="2"/>
        <v>0</v>
      </c>
      <c r="P50" s="19"/>
      <c r="Q50" s="19"/>
      <c r="R50" s="19"/>
      <c r="S50" s="2"/>
      <c r="T50" s="19"/>
      <c r="U50" s="2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2"/>
      <c r="BE50" s="7">
        <f t="shared" si="3"/>
        <v>0</v>
      </c>
      <c r="BF50" s="8" t="s">
        <v>95</v>
      </c>
      <c r="BG50" s="8" t="str">
        <f>VLOOKUP(D50,'[1]Estándar de Emp Ind Daiki'!$O:$P,2,0)</f>
        <v>HEADERS</v>
      </c>
      <c r="BH50" s="8">
        <v>50</v>
      </c>
      <c r="BI50" s="8" t="s">
        <v>102</v>
      </c>
      <c r="BJ50" s="8">
        <f t="shared" si="4"/>
        <v>0</v>
      </c>
      <c r="BK50"/>
    </row>
    <row r="51" spans="1:63" hidden="1" x14ac:dyDescent="0.25">
      <c r="A51" s="2"/>
      <c r="B51" s="2" t="s">
        <v>33</v>
      </c>
      <c r="C51" s="2" t="s">
        <v>94</v>
      </c>
      <c r="D51" s="2" t="s">
        <v>76</v>
      </c>
      <c r="E51" s="13">
        <v>0.5</v>
      </c>
      <c r="F51" s="2">
        <v>3.5000000000000003E-2</v>
      </c>
      <c r="G51" s="3">
        <v>0.19700000000000001</v>
      </c>
      <c r="H51" s="3"/>
      <c r="I51" s="2">
        <v>0</v>
      </c>
      <c r="J51" s="2">
        <v>0</v>
      </c>
      <c r="K51" s="2"/>
      <c r="L51" s="2"/>
      <c r="M51" s="2"/>
      <c r="N51" s="2"/>
      <c r="O51" s="8">
        <f t="shared" si="2"/>
        <v>0</v>
      </c>
      <c r="P51" s="19"/>
      <c r="Q51" s="19"/>
      <c r="R51" s="19"/>
      <c r="S51" s="2"/>
      <c r="T51" s="19"/>
      <c r="U51" s="2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2"/>
      <c r="BE51" s="7">
        <f t="shared" si="3"/>
        <v>0</v>
      </c>
      <c r="BF51" s="8" t="s">
        <v>95</v>
      </c>
      <c r="BG51" s="8" t="str">
        <f>VLOOKUP(D51,'[1]Estándar de Emp Ind Daiki'!$O:$P,2,0)</f>
        <v>HEADERS</v>
      </c>
      <c r="BH51" s="8">
        <v>50</v>
      </c>
      <c r="BI51" s="8" t="s">
        <v>102</v>
      </c>
      <c r="BJ51" s="8">
        <f t="shared" si="4"/>
        <v>0</v>
      </c>
      <c r="BK51"/>
    </row>
    <row r="52" spans="1:63" hidden="1" x14ac:dyDescent="0.25">
      <c r="A52" s="2"/>
      <c r="B52" s="2" t="s">
        <v>33</v>
      </c>
      <c r="C52" s="2" t="s">
        <v>94</v>
      </c>
      <c r="D52" s="2" t="s">
        <v>77</v>
      </c>
      <c r="E52" s="13">
        <v>0.5</v>
      </c>
      <c r="F52" s="2">
        <v>3.5000000000000003E-2</v>
      </c>
      <c r="G52" s="3">
        <v>0.107</v>
      </c>
      <c r="H52" s="3"/>
      <c r="I52" s="2">
        <v>0</v>
      </c>
      <c r="J52" s="2">
        <v>0</v>
      </c>
      <c r="K52" s="2"/>
      <c r="L52" s="2"/>
      <c r="M52" s="2"/>
      <c r="N52" s="2"/>
      <c r="O52" s="8">
        <f t="shared" si="2"/>
        <v>-100</v>
      </c>
      <c r="P52" s="19"/>
      <c r="Q52" s="19"/>
      <c r="R52" s="19"/>
      <c r="S52" s="2"/>
      <c r="T52" s="19"/>
      <c r="U52" s="2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>
        <v>100</v>
      </c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2"/>
      <c r="BE52" s="7">
        <f t="shared" si="3"/>
        <v>0</v>
      </c>
      <c r="BF52" s="8" t="s">
        <v>95</v>
      </c>
      <c r="BG52" s="8" t="str">
        <f>VLOOKUP(D52,'[1]Estándar de Emp Ind Daiki'!$O:$P,2,0)</f>
        <v>HEADERS</v>
      </c>
      <c r="BH52" s="8">
        <v>50</v>
      </c>
      <c r="BI52" s="8" t="s">
        <v>102</v>
      </c>
      <c r="BJ52" s="8">
        <f t="shared" si="4"/>
        <v>0</v>
      </c>
      <c r="BK52"/>
    </row>
    <row r="53" spans="1:63" x14ac:dyDescent="0.25">
      <c r="A53" s="2" t="s">
        <v>160</v>
      </c>
      <c r="B53" s="2" t="s">
        <v>33</v>
      </c>
      <c r="C53" s="2" t="s">
        <v>94</v>
      </c>
      <c r="D53" s="2" t="s">
        <v>78</v>
      </c>
      <c r="E53" s="13">
        <v>0.5</v>
      </c>
      <c r="F53" s="2">
        <v>3.5000000000000003E-2</v>
      </c>
      <c r="G53" s="3">
        <v>0.122</v>
      </c>
      <c r="H53" s="3"/>
      <c r="I53" s="2">
        <v>0</v>
      </c>
      <c r="J53" s="2">
        <v>1000</v>
      </c>
      <c r="K53" s="2"/>
      <c r="L53" s="2"/>
      <c r="M53" s="2"/>
      <c r="N53" s="2"/>
      <c r="O53" s="8">
        <f t="shared" si="2"/>
        <v>279</v>
      </c>
      <c r="P53" s="19"/>
      <c r="Q53" s="19"/>
      <c r="R53" s="19"/>
      <c r="S53" s="2"/>
      <c r="T53" s="19"/>
      <c r="U53" s="2"/>
      <c r="V53" s="19"/>
      <c r="W53" s="19"/>
      <c r="X53" s="19"/>
      <c r="Y53" s="19"/>
      <c r="Z53" s="36">
        <v>71</v>
      </c>
      <c r="AA53" s="36">
        <v>50</v>
      </c>
      <c r="AB53" s="36">
        <v>550</v>
      </c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19"/>
      <c r="AO53" s="19"/>
      <c r="AP53" s="19"/>
      <c r="AQ53" s="19"/>
      <c r="AR53" s="19"/>
      <c r="AS53" s="19"/>
      <c r="AT53" s="19"/>
      <c r="AU53" s="19"/>
      <c r="AV53" s="19">
        <v>50</v>
      </c>
      <c r="AW53" s="19"/>
      <c r="AX53" s="19"/>
      <c r="AY53" s="19"/>
      <c r="AZ53" s="19"/>
      <c r="BA53" s="19"/>
      <c r="BB53" s="19"/>
      <c r="BC53" s="19"/>
      <c r="BD53" s="19"/>
      <c r="BE53" s="7">
        <f t="shared" si="3"/>
        <v>122</v>
      </c>
      <c r="BF53" s="8" t="s">
        <v>95</v>
      </c>
      <c r="BG53" s="8" t="str">
        <f>VLOOKUP(D53,'[1]Estándar de Emp Ind Daiki'!$O:$P,2,0)</f>
        <v>HEADERS</v>
      </c>
      <c r="BH53" s="8">
        <v>50</v>
      </c>
      <c r="BI53" s="8" t="s">
        <v>102</v>
      </c>
      <c r="BJ53" s="8">
        <f t="shared" si="4"/>
        <v>20</v>
      </c>
      <c r="BK53"/>
    </row>
    <row r="54" spans="1:63" hidden="1" x14ac:dyDescent="0.25">
      <c r="A54" s="2"/>
      <c r="B54" s="2" t="s">
        <v>33</v>
      </c>
      <c r="C54" s="2" t="s">
        <v>94</v>
      </c>
      <c r="D54" s="2" t="s">
        <v>79</v>
      </c>
      <c r="E54" s="13">
        <v>0.5</v>
      </c>
      <c r="F54" s="2">
        <v>3.5000000000000003E-2</v>
      </c>
      <c r="G54" s="3">
        <v>5.0999999999999997E-2</v>
      </c>
      <c r="H54" s="3"/>
      <c r="I54" s="2">
        <v>0</v>
      </c>
      <c r="J54" s="2">
        <v>0</v>
      </c>
      <c r="K54" s="2"/>
      <c r="L54" s="2"/>
      <c r="M54" s="2"/>
      <c r="N54" s="2"/>
      <c r="O54" s="8">
        <f t="shared" si="2"/>
        <v>0</v>
      </c>
      <c r="P54" s="19"/>
      <c r="Q54" s="19"/>
      <c r="R54" s="19"/>
      <c r="S54" s="2"/>
      <c r="T54" s="19"/>
      <c r="U54" s="2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2"/>
      <c r="BE54" s="7">
        <f t="shared" si="3"/>
        <v>0</v>
      </c>
      <c r="BF54" s="8" t="s">
        <v>26</v>
      </c>
      <c r="BG54" s="8" t="str">
        <f>VLOOKUP(D54,'[1]Estándar de Emp Ind Daiki'!$O:$P,2,0)</f>
        <v>INDIVIDUALES</v>
      </c>
      <c r="BH54" s="8">
        <v>100</v>
      </c>
      <c r="BI54" s="8" t="s">
        <v>102</v>
      </c>
      <c r="BJ54" s="8">
        <f t="shared" si="4"/>
        <v>0</v>
      </c>
      <c r="BK54"/>
    </row>
    <row r="55" spans="1:63" hidden="1" x14ac:dyDescent="0.25">
      <c r="A55" s="2" t="s">
        <v>160</v>
      </c>
      <c r="B55" s="2" t="s">
        <v>33</v>
      </c>
      <c r="C55" s="2" t="s">
        <v>94</v>
      </c>
      <c r="D55" s="2" t="s">
        <v>80</v>
      </c>
      <c r="E55" s="13">
        <v>0.625</v>
      </c>
      <c r="F55" s="2">
        <v>3.6999999999999998E-2</v>
      </c>
      <c r="G55" s="3">
        <v>0.105</v>
      </c>
      <c r="H55" s="3"/>
      <c r="I55" s="2">
        <v>0</v>
      </c>
      <c r="J55" s="2">
        <v>450</v>
      </c>
      <c r="K55" s="2"/>
      <c r="L55" s="2"/>
      <c r="M55" s="2"/>
      <c r="N55" s="2"/>
      <c r="O55" s="8">
        <f t="shared" si="2"/>
        <v>-70</v>
      </c>
      <c r="P55" s="19"/>
      <c r="Q55" s="19"/>
      <c r="R55" s="19">
        <v>520</v>
      </c>
      <c r="S55" s="2"/>
      <c r="T55" s="19"/>
      <c r="U55" s="2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2"/>
      <c r="BE55" s="7">
        <f t="shared" si="3"/>
        <v>47.25</v>
      </c>
      <c r="BF55" s="8" t="s">
        <v>25</v>
      </c>
      <c r="BG55" s="8" t="str">
        <f>VLOOKUP(D55,'[1]Estándar de Emp Ind Daiki'!$O:$P,2,0)</f>
        <v>INDIVIDUALES</v>
      </c>
      <c r="BH55" s="8">
        <v>50</v>
      </c>
      <c r="BI55" s="8" t="s">
        <v>102</v>
      </c>
      <c r="BJ55" s="8">
        <f t="shared" si="4"/>
        <v>9</v>
      </c>
      <c r="BK55"/>
    </row>
    <row r="56" spans="1:63" hidden="1" x14ac:dyDescent="0.25">
      <c r="A56" s="2"/>
      <c r="B56" s="2" t="s">
        <v>33</v>
      </c>
      <c r="C56" s="2" t="s">
        <v>94</v>
      </c>
      <c r="D56" s="2" t="s">
        <v>81</v>
      </c>
      <c r="E56" s="13">
        <v>0.75</v>
      </c>
      <c r="F56" s="2">
        <v>3.1E-2</v>
      </c>
      <c r="G56" s="3">
        <v>0.26500000000000001</v>
      </c>
      <c r="H56" s="3"/>
      <c r="I56" s="2">
        <v>0</v>
      </c>
      <c r="J56" s="2">
        <v>0</v>
      </c>
      <c r="K56" s="2"/>
      <c r="L56" s="2"/>
      <c r="M56" s="2"/>
      <c r="N56" s="2"/>
      <c r="O56" s="8">
        <f t="shared" si="2"/>
        <v>0</v>
      </c>
      <c r="P56" s="19"/>
      <c r="Q56" s="19"/>
      <c r="R56" s="19"/>
      <c r="S56" s="2"/>
      <c r="T56" s="19"/>
      <c r="U56" s="2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2"/>
      <c r="BE56" s="7">
        <f t="shared" si="3"/>
        <v>0</v>
      </c>
      <c r="BF56" s="8" t="s">
        <v>97</v>
      </c>
      <c r="BG56" s="8" t="str">
        <f>VLOOKUP(D56,'[1]Estándar de Emp Ind Daiki'!$O:$P,2,0)</f>
        <v>INDIVIDUALES</v>
      </c>
      <c r="BH56" s="8">
        <v>400</v>
      </c>
      <c r="BI56" s="8" t="s">
        <v>102</v>
      </c>
      <c r="BJ56" s="8">
        <f t="shared" si="4"/>
        <v>0</v>
      </c>
      <c r="BK56"/>
    </row>
    <row r="57" spans="1:63" hidden="1" x14ac:dyDescent="0.25">
      <c r="A57" s="2"/>
      <c r="B57" s="2" t="s">
        <v>33</v>
      </c>
      <c r="C57" s="2" t="s">
        <v>94</v>
      </c>
      <c r="D57" s="2" t="s">
        <v>82</v>
      </c>
      <c r="E57" s="13">
        <v>0.75</v>
      </c>
      <c r="F57" s="2">
        <v>3.1E-2</v>
      </c>
      <c r="G57" s="3">
        <v>0.13600000000000001</v>
      </c>
      <c r="H57" s="3"/>
      <c r="I57" s="2">
        <v>0</v>
      </c>
      <c r="J57" s="2">
        <v>400</v>
      </c>
      <c r="K57" s="2"/>
      <c r="L57" s="2"/>
      <c r="M57" s="2"/>
      <c r="N57" s="2"/>
      <c r="O57" s="8">
        <f t="shared" si="2"/>
        <v>0</v>
      </c>
      <c r="P57" s="19"/>
      <c r="Q57" s="19"/>
      <c r="R57" s="19"/>
      <c r="S57" s="2"/>
      <c r="T57" s="19"/>
      <c r="U57" s="2"/>
      <c r="V57" s="19"/>
      <c r="W57" s="19"/>
      <c r="X57" s="19">
        <v>400</v>
      </c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2"/>
      <c r="BE57" s="7">
        <f t="shared" si="3"/>
        <v>54.400000000000006</v>
      </c>
      <c r="BF57" s="8" t="s">
        <v>27</v>
      </c>
      <c r="BG57" s="8" t="str">
        <f>VLOOKUP(D57,'[1]Estándar de Emp Ind Daiki'!$O:$P,2,0)</f>
        <v>INDIVIDUALES</v>
      </c>
      <c r="BH57" s="8">
        <v>50</v>
      </c>
      <c r="BI57" s="8" t="s">
        <v>102</v>
      </c>
      <c r="BJ57" s="8">
        <f t="shared" si="4"/>
        <v>8</v>
      </c>
      <c r="BK57"/>
    </row>
    <row r="58" spans="1:63" hidden="1" x14ac:dyDescent="0.25">
      <c r="A58" s="2"/>
      <c r="B58" s="2" t="s">
        <v>33</v>
      </c>
      <c r="C58" s="2" t="s">
        <v>94</v>
      </c>
      <c r="D58" s="2" t="s">
        <v>83</v>
      </c>
      <c r="E58" s="13">
        <v>0.75</v>
      </c>
      <c r="F58" s="2">
        <v>3.1E-2</v>
      </c>
      <c r="G58" s="3">
        <v>0.29899999999999999</v>
      </c>
      <c r="H58" s="3"/>
      <c r="I58" s="2">
        <v>0</v>
      </c>
      <c r="J58" s="2">
        <v>250</v>
      </c>
      <c r="K58" s="2"/>
      <c r="L58" s="2"/>
      <c r="M58" s="2"/>
      <c r="N58" s="2"/>
      <c r="O58" s="8">
        <f t="shared" si="2"/>
        <v>-150</v>
      </c>
      <c r="P58" s="19"/>
      <c r="Q58" s="19"/>
      <c r="R58" s="19"/>
      <c r="S58" s="2"/>
      <c r="T58" s="19"/>
      <c r="U58" s="2"/>
      <c r="V58" s="19"/>
      <c r="W58" s="19"/>
      <c r="X58" s="19">
        <v>400</v>
      </c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2"/>
      <c r="BE58" s="7">
        <f t="shared" si="3"/>
        <v>74.75</v>
      </c>
      <c r="BF58" s="8" t="s">
        <v>97</v>
      </c>
      <c r="BG58" s="8" t="str">
        <f>VLOOKUP(D58,'[1]Estándar de Emp Ind Daiki'!$O:$P,2,0)</f>
        <v>INDIVIDUALES</v>
      </c>
      <c r="BH58" s="8">
        <v>400</v>
      </c>
      <c r="BI58" s="8" t="s">
        <v>102</v>
      </c>
      <c r="BJ58" s="8">
        <f t="shared" si="4"/>
        <v>0.625</v>
      </c>
      <c r="BK58"/>
    </row>
    <row r="59" spans="1:63" hidden="1" x14ac:dyDescent="0.25">
      <c r="A59" s="2"/>
      <c r="B59" s="2" t="s">
        <v>33</v>
      </c>
      <c r="C59" s="2" t="s">
        <v>94</v>
      </c>
      <c r="D59" s="2" t="s">
        <v>84</v>
      </c>
      <c r="E59" s="13">
        <v>0.75</v>
      </c>
      <c r="F59" s="2">
        <v>3.1E-2</v>
      </c>
      <c r="G59" s="3">
        <v>0.26500000000000001</v>
      </c>
      <c r="H59" s="3"/>
      <c r="I59" s="2">
        <v>0</v>
      </c>
      <c r="J59" s="2">
        <v>0</v>
      </c>
      <c r="K59" s="2"/>
      <c r="L59" s="2"/>
      <c r="M59" s="2"/>
      <c r="N59" s="2"/>
      <c r="O59" s="8">
        <f t="shared" si="2"/>
        <v>0</v>
      </c>
      <c r="P59" s="19"/>
      <c r="Q59" s="19"/>
      <c r="R59" s="19"/>
      <c r="S59" s="2"/>
      <c r="T59" s="19"/>
      <c r="U59" s="2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2"/>
      <c r="BE59" s="7">
        <f t="shared" si="3"/>
        <v>0</v>
      </c>
      <c r="BF59" s="8" t="s">
        <v>97</v>
      </c>
      <c r="BG59" s="8" t="str">
        <f>VLOOKUP(D59,'[1]Estándar de Emp Ind Daiki'!$O:$P,2,0)</f>
        <v>INDIVIDUALES</v>
      </c>
      <c r="BH59" s="8">
        <v>400</v>
      </c>
      <c r="BI59" s="8" t="s">
        <v>102</v>
      </c>
      <c r="BJ59" s="8">
        <f t="shared" si="4"/>
        <v>0</v>
      </c>
      <c r="BK59"/>
    </row>
    <row r="60" spans="1:63" hidden="1" x14ac:dyDescent="0.25">
      <c r="A60" s="2"/>
      <c r="B60" s="2" t="s">
        <v>33</v>
      </c>
      <c r="C60" s="2" t="s">
        <v>94</v>
      </c>
      <c r="D60" s="2" t="s">
        <v>85</v>
      </c>
      <c r="E60" s="13">
        <v>0.75</v>
      </c>
      <c r="F60" s="2">
        <v>3.1E-2</v>
      </c>
      <c r="G60" s="3">
        <v>0.19700000000000001</v>
      </c>
      <c r="H60" s="3"/>
      <c r="I60" s="2">
        <v>0</v>
      </c>
      <c r="J60" s="2">
        <v>0</v>
      </c>
      <c r="K60" s="2"/>
      <c r="L60" s="2"/>
      <c r="M60" s="2"/>
      <c r="N60" s="2"/>
      <c r="O60" s="8">
        <f t="shared" si="2"/>
        <v>0</v>
      </c>
      <c r="P60" s="19"/>
      <c r="Q60" s="19"/>
      <c r="R60" s="19"/>
      <c r="S60" s="2"/>
      <c r="T60" s="19"/>
      <c r="U60" s="2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2"/>
      <c r="BE60" s="7">
        <f t="shared" si="3"/>
        <v>0</v>
      </c>
      <c r="BF60" s="8" t="s">
        <v>27</v>
      </c>
      <c r="BG60" s="8" t="str">
        <f>VLOOKUP(D60,'[1]Estándar de Emp Ind Daiki'!$O:$P,2,0)</f>
        <v>INDIVIDUALES</v>
      </c>
      <c r="BH60" s="8">
        <v>60</v>
      </c>
      <c r="BI60" s="8" t="s">
        <v>102</v>
      </c>
      <c r="BJ60" s="8">
        <f t="shared" si="4"/>
        <v>0</v>
      </c>
      <c r="BK60"/>
    </row>
    <row r="61" spans="1:63" hidden="1" x14ac:dyDescent="0.25">
      <c r="A61" s="2"/>
      <c r="B61" s="2" t="s">
        <v>33</v>
      </c>
      <c r="C61" s="2" t="s">
        <v>94</v>
      </c>
      <c r="D61" s="2" t="s">
        <v>86</v>
      </c>
      <c r="E61" s="13">
        <v>0.75</v>
      </c>
      <c r="F61" s="2">
        <v>3.1E-2</v>
      </c>
      <c r="G61" s="3">
        <v>0.158</v>
      </c>
      <c r="H61" s="3"/>
      <c r="I61" s="2">
        <v>0</v>
      </c>
      <c r="J61" s="2">
        <v>250</v>
      </c>
      <c r="K61" s="2"/>
      <c r="L61" s="2"/>
      <c r="M61" s="2"/>
      <c r="N61" s="2"/>
      <c r="O61" s="8">
        <f t="shared" si="2"/>
        <v>0</v>
      </c>
      <c r="P61" s="19"/>
      <c r="Q61" s="19"/>
      <c r="R61" s="19"/>
      <c r="S61" s="2"/>
      <c r="T61" s="19"/>
      <c r="U61" s="2"/>
      <c r="V61" s="19"/>
      <c r="W61" s="19"/>
      <c r="X61" s="19"/>
      <c r="Y61" s="19">
        <v>176</v>
      </c>
      <c r="Z61" s="36">
        <v>70</v>
      </c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19"/>
      <c r="AW61" s="36"/>
      <c r="AX61" s="36"/>
      <c r="AY61" s="36"/>
      <c r="AZ61" s="36"/>
      <c r="BA61" s="36"/>
      <c r="BB61" s="36"/>
      <c r="BC61" s="36"/>
      <c r="BD61" s="2">
        <v>4</v>
      </c>
      <c r="BE61" s="7">
        <f t="shared" si="3"/>
        <v>39.5</v>
      </c>
      <c r="BF61" s="8" t="s">
        <v>27</v>
      </c>
      <c r="BG61" s="8" t="str">
        <f>VLOOKUP(D61,'[1]Estándar de Emp Ind Daiki'!$O:$P,2,0)</f>
        <v>INDIVIDUALES</v>
      </c>
      <c r="BH61" s="8">
        <v>70</v>
      </c>
      <c r="BI61" s="8" t="s">
        <v>102</v>
      </c>
      <c r="BJ61" s="8">
        <f t="shared" si="4"/>
        <v>3.5714285714285716</v>
      </c>
      <c r="BK61"/>
    </row>
    <row r="62" spans="1:63" hidden="1" x14ac:dyDescent="0.25">
      <c r="A62" s="2" t="s">
        <v>160</v>
      </c>
      <c r="B62" s="2" t="s">
        <v>33</v>
      </c>
      <c r="C62" s="2" t="s">
        <v>94</v>
      </c>
      <c r="D62" s="2" t="s">
        <v>87</v>
      </c>
      <c r="E62" s="13">
        <v>0.75</v>
      </c>
      <c r="F62" s="2">
        <v>3.1E-2</v>
      </c>
      <c r="G62" s="3">
        <v>0.26300000000000001</v>
      </c>
      <c r="H62" s="3"/>
      <c r="I62" s="2">
        <v>400</v>
      </c>
      <c r="J62" s="2">
        <v>0</v>
      </c>
      <c r="K62" s="2"/>
      <c r="L62" s="2"/>
      <c r="M62" s="2"/>
      <c r="N62" s="2"/>
      <c r="O62" s="8">
        <f t="shared" si="2"/>
        <v>0</v>
      </c>
      <c r="P62" s="19"/>
      <c r="Q62" s="19"/>
      <c r="R62" s="19"/>
      <c r="S62" s="2"/>
      <c r="T62" s="19"/>
      <c r="U62" s="2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2">
        <v>400</v>
      </c>
      <c r="BE62" s="7">
        <f t="shared" si="3"/>
        <v>105.2</v>
      </c>
      <c r="BF62" s="8" t="s">
        <v>97</v>
      </c>
      <c r="BG62" s="8" t="str">
        <f>VLOOKUP(D62,'[1]Estándar de Emp Ind Daiki'!$O:$P,2,0)</f>
        <v>INDIVIDUALES</v>
      </c>
      <c r="BH62" s="8">
        <v>400</v>
      </c>
      <c r="BI62" s="8" t="s">
        <v>102</v>
      </c>
      <c r="BJ62" s="8">
        <f t="shared" si="4"/>
        <v>1</v>
      </c>
      <c r="BK62"/>
    </row>
    <row r="63" spans="1:63" x14ac:dyDescent="0.25">
      <c r="A63" s="2" t="s">
        <v>160</v>
      </c>
      <c r="B63" s="2" t="s">
        <v>33</v>
      </c>
      <c r="C63" s="2" t="s">
        <v>94</v>
      </c>
      <c r="D63" s="2" t="s">
        <v>88</v>
      </c>
      <c r="E63" s="13">
        <v>0.875</v>
      </c>
      <c r="F63" s="2">
        <v>4.2999999999999997E-2</v>
      </c>
      <c r="G63" s="3">
        <v>0.48099999999999998</v>
      </c>
      <c r="H63" s="3"/>
      <c r="I63" s="2">
        <v>0</v>
      </c>
      <c r="J63" s="2">
        <v>600</v>
      </c>
      <c r="K63" s="2"/>
      <c r="L63" s="2"/>
      <c r="M63" s="2"/>
      <c r="N63" s="2"/>
      <c r="O63" s="8">
        <f t="shared" si="2"/>
        <v>92</v>
      </c>
      <c r="P63" s="19"/>
      <c r="Q63" s="19"/>
      <c r="R63" s="19"/>
      <c r="S63" s="2"/>
      <c r="T63" s="19"/>
      <c r="U63" s="2"/>
      <c r="V63" s="19"/>
      <c r="W63" s="19"/>
      <c r="X63" s="19"/>
      <c r="Y63" s="19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>
        <v>300</v>
      </c>
      <c r="AN63" s="19"/>
      <c r="AO63" s="19"/>
      <c r="AP63" s="19"/>
      <c r="AQ63" s="19"/>
      <c r="AR63" s="19"/>
      <c r="AS63" s="19"/>
      <c r="AT63" s="19"/>
      <c r="AU63" s="19"/>
      <c r="AV63" s="19">
        <v>208</v>
      </c>
      <c r="AW63" s="19"/>
      <c r="AX63" s="19"/>
      <c r="AY63" s="19"/>
      <c r="AZ63" s="19"/>
      <c r="BA63" s="19"/>
      <c r="BB63" s="19"/>
      <c r="BC63" s="19"/>
      <c r="BD63" s="19"/>
      <c r="BE63" s="7">
        <f t="shared" si="3"/>
        <v>288.59999999999997</v>
      </c>
      <c r="BF63" s="8" t="s">
        <v>97</v>
      </c>
      <c r="BG63" s="8" t="str">
        <f>VLOOKUP(D63,'[1]Estándar de Emp Ind Daiki'!$O:$P,2,0)</f>
        <v>INDIVIDUALES</v>
      </c>
      <c r="BH63" s="8">
        <v>300</v>
      </c>
      <c r="BI63" s="8" t="s">
        <v>102</v>
      </c>
      <c r="BJ63" s="8">
        <f t="shared" si="4"/>
        <v>2</v>
      </c>
      <c r="BK63"/>
    </row>
    <row r="64" spans="1:63" hidden="1" x14ac:dyDescent="0.25">
      <c r="A64" s="2"/>
      <c r="B64" s="2" t="s">
        <v>33</v>
      </c>
      <c r="C64" s="2" t="s">
        <v>94</v>
      </c>
      <c r="D64" s="2" t="s">
        <v>89</v>
      </c>
      <c r="E64" s="13">
        <v>0.875</v>
      </c>
      <c r="F64" s="2">
        <v>4.2999999999999997E-2</v>
      </c>
      <c r="G64" s="3">
        <v>0.42299999999999999</v>
      </c>
      <c r="H64" s="3"/>
      <c r="I64" s="2">
        <v>0</v>
      </c>
      <c r="J64" s="2">
        <v>1200</v>
      </c>
      <c r="K64" s="2"/>
      <c r="L64" s="2"/>
      <c r="M64" s="2"/>
      <c r="N64" s="2"/>
      <c r="O64" s="8">
        <f t="shared" si="2"/>
        <v>0</v>
      </c>
      <c r="P64" s="19"/>
      <c r="Q64" s="19"/>
      <c r="R64" s="19"/>
      <c r="S64" s="2"/>
      <c r="T64" s="19"/>
      <c r="U64" s="2"/>
      <c r="V64" s="19"/>
      <c r="W64" s="19"/>
      <c r="X64" s="19"/>
      <c r="Y64" s="19"/>
      <c r="Z64" s="36"/>
      <c r="AA64" s="36">
        <v>1000</v>
      </c>
      <c r="AB64" s="36">
        <v>179</v>
      </c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19"/>
      <c r="AW64" s="36"/>
      <c r="AX64" s="36"/>
      <c r="AY64" s="36"/>
      <c r="AZ64" s="36"/>
      <c r="BA64" s="36"/>
      <c r="BB64" s="36"/>
      <c r="BC64" s="36"/>
      <c r="BD64" s="2">
        <v>21</v>
      </c>
      <c r="BE64" s="7">
        <f t="shared" si="3"/>
        <v>507.59999999999997</v>
      </c>
      <c r="BF64" s="8" t="s">
        <v>97</v>
      </c>
      <c r="BG64" s="8" t="str">
        <f>VLOOKUP(D64,'[1]Estándar de Emp Ind Daiki'!$O:$P,2,0)</f>
        <v>INDIVIDUALES</v>
      </c>
      <c r="BH64" s="8">
        <v>500</v>
      </c>
      <c r="BI64" s="8" t="s">
        <v>102</v>
      </c>
      <c r="BJ64" s="8">
        <f t="shared" si="4"/>
        <v>2.4</v>
      </c>
      <c r="BK64"/>
    </row>
    <row r="65" spans="1:63" x14ac:dyDescent="0.25">
      <c r="A65" s="2"/>
      <c r="B65" s="2" t="s">
        <v>33</v>
      </c>
      <c r="C65" s="2" t="s">
        <v>94</v>
      </c>
      <c r="D65" s="2" t="s">
        <v>90</v>
      </c>
      <c r="E65" s="13">
        <v>0.875</v>
      </c>
      <c r="F65" s="2">
        <v>4.2999999999999997E-2</v>
      </c>
      <c r="G65" s="3">
        <v>0.34799999999999998</v>
      </c>
      <c r="H65" s="3"/>
      <c r="I65" s="2">
        <v>0</v>
      </c>
      <c r="J65" s="2">
        <v>1400</v>
      </c>
      <c r="K65" s="2"/>
      <c r="L65" s="2"/>
      <c r="M65" s="2"/>
      <c r="N65" s="2"/>
      <c r="O65" s="8">
        <f t="shared" si="2"/>
        <v>400</v>
      </c>
      <c r="P65" s="19"/>
      <c r="Q65" s="19"/>
      <c r="R65" s="19"/>
      <c r="S65" s="2"/>
      <c r="T65" s="19"/>
      <c r="U65" s="2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>
        <v>500</v>
      </c>
      <c r="AM65" s="19">
        <v>0</v>
      </c>
      <c r="AN65" s="19"/>
      <c r="AO65" s="19">
        <v>210</v>
      </c>
      <c r="AP65" s="19">
        <v>290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7">
        <f t="shared" si="3"/>
        <v>487.2</v>
      </c>
      <c r="BF65" s="8" t="s">
        <v>97</v>
      </c>
      <c r="BG65" s="8" t="str">
        <f>VLOOKUP(D65,'[1]Estándar de Emp Ind Daiki'!$O:$P,2,0)</f>
        <v>INDIVIDUALES</v>
      </c>
      <c r="BH65" s="8">
        <v>500</v>
      </c>
      <c r="BI65" s="8" t="s">
        <v>102</v>
      </c>
      <c r="BJ65" s="8">
        <f t="shared" si="4"/>
        <v>2.8</v>
      </c>
      <c r="BK65"/>
    </row>
    <row r="66" spans="1:63" hidden="1" x14ac:dyDescent="0.25">
      <c r="A66" s="2"/>
      <c r="B66" s="2" t="s">
        <v>33</v>
      </c>
      <c r="C66" s="2" t="s">
        <v>94</v>
      </c>
      <c r="D66" s="2" t="s">
        <v>91</v>
      </c>
      <c r="E66" s="13" t="s">
        <v>57</v>
      </c>
      <c r="F66" s="2">
        <v>2.4E-2</v>
      </c>
      <c r="G66" s="3">
        <v>3.1E-2</v>
      </c>
      <c r="H66" s="3"/>
      <c r="I66" s="2">
        <v>0</v>
      </c>
      <c r="J66" s="2">
        <v>0</v>
      </c>
      <c r="K66" s="2"/>
      <c r="L66" s="2"/>
      <c r="M66" s="2"/>
      <c r="N66" s="2"/>
      <c r="O66" s="8">
        <f t="shared" si="2"/>
        <v>0</v>
      </c>
      <c r="P66" s="19"/>
      <c r="Q66" s="19"/>
      <c r="R66" s="19"/>
      <c r="S66" s="2"/>
      <c r="T66" s="19"/>
      <c r="U66" s="2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2"/>
      <c r="BE66" s="7">
        <f t="shared" si="3"/>
        <v>0</v>
      </c>
      <c r="BF66" s="8" t="s">
        <v>26</v>
      </c>
      <c r="BG66" s="8" t="str">
        <f>VLOOKUP(D66,'[1]Estándar de Emp Ind Daiki'!$O:$P,2,0)</f>
        <v>HEADERS</v>
      </c>
      <c r="BH66" s="8">
        <v>250</v>
      </c>
      <c r="BI66" s="8" t="s">
        <v>102</v>
      </c>
      <c r="BJ66" s="8">
        <f t="shared" si="4"/>
        <v>0</v>
      </c>
      <c r="BK66"/>
    </row>
    <row r="67" spans="1:63" hidden="1" x14ac:dyDescent="0.25">
      <c r="A67" s="2"/>
      <c r="B67" s="2" t="s">
        <v>33</v>
      </c>
      <c r="C67" s="2" t="s">
        <v>94</v>
      </c>
      <c r="D67" s="2" t="s">
        <v>92</v>
      </c>
      <c r="E67" s="13" t="s">
        <v>57</v>
      </c>
      <c r="F67" s="2">
        <v>2.4E-2</v>
      </c>
      <c r="G67" s="3">
        <v>2.3E-2</v>
      </c>
      <c r="H67" s="3"/>
      <c r="I67" s="2">
        <v>0</v>
      </c>
      <c r="J67" s="2">
        <v>0</v>
      </c>
      <c r="K67" s="2"/>
      <c r="L67" s="2"/>
      <c r="M67" s="2"/>
      <c r="N67" s="2"/>
      <c r="O67" s="8">
        <f t="shared" si="2"/>
        <v>0</v>
      </c>
      <c r="P67" s="19"/>
      <c r="Q67" s="19"/>
      <c r="R67" s="19"/>
      <c r="S67" s="2"/>
      <c r="T67" s="19"/>
      <c r="U67" s="2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2"/>
      <c r="BE67" s="7">
        <f t="shared" si="3"/>
        <v>0</v>
      </c>
      <c r="BF67" s="8" t="s">
        <v>26</v>
      </c>
      <c r="BG67" s="8" t="str">
        <f>VLOOKUP(D67,'[1]Estándar de Emp Ind Daiki'!$O:$P,2,0)</f>
        <v>INDIVIDUALES</v>
      </c>
      <c r="BH67" s="8">
        <v>300</v>
      </c>
      <c r="BI67" s="8" t="s">
        <v>102</v>
      </c>
      <c r="BJ67" s="8">
        <f t="shared" si="4"/>
        <v>0</v>
      </c>
      <c r="BK67"/>
    </row>
    <row r="68" spans="1:63" hidden="1" x14ac:dyDescent="0.25">
      <c r="A68" s="2"/>
      <c r="B68" s="2" t="s">
        <v>33</v>
      </c>
      <c r="C68" s="2" t="s">
        <v>94</v>
      </c>
      <c r="D68" s="2" t="s">
        <v>93</v>
      </c>
      <c r="E68" s="13" t="s">
        <v>57</v>
      </c>
      <c r="F68" s="2">
        <v>2.4E-2</v>
      </c>
      <c r="G68" s="3">
        <v>2.7E-2</v>
      </c>
      <c r="H68" s="3"/>
      <c r="I68" s="2">
        <v>0</v>
      </c>
      <c r="J68" s="2">
        <v>0</v>
      </c>
      <c r="K68" s="2"/>
      <c r="L68" s="2"/>
      <c r="M68" s="2"/>
      <c r="N68" s="2"/>
      <c r="O68" s="8">
        <f t="shared" si="2"/>
        <v>0</v>
      </c>
      <c r="P68" s="19"/>
      <c r="Q68" s="19"/>
      <c r="R68" s="19"/>
      <c r="S68" s="2"/>
      <c r="T68" s="19"/>
      <c r="U68" s="2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2"/>
      <c r="BE68" s="7">
        <f t="shared" si="3"/>
        <v>0</v>
      </c>
      <c r="BF68" s="8" t="s">
        <v>26</v>
      </c>
      <c r="BG68" s="8" t="str">
        <f>VLOOKUP(D68,'[1]Estándar de Emp Ind Daiki'!$O:$P,2,0)</f>
        <v>INDIVIDUALES</v>
      </c>
      <c r="BH68" s="8">
        <v>250</v>
      </c>
      <c r="BI68" s="8" t="s">
        <v>102</v>
      </c>
      <c r="BJ68" s="8">
        <f t="shared" si="4"/>
        <v>0</v>
      </c>
      <c r="BK68"/>
    </row>
    <row r="69" spans="1:63" x14ac:dyDescent="0.25">
      <c r="H69" s="4" t="s">
        <v>19</v>
      </c>
      <c r="I69" s="9">
        <f t="shared" ref="I69:BE69" si="5">SUM(I11:I68)</f>
        <v>4728</v>
      </c>
      <c r="J69" s="9">
        <f t="shared" si="5"/>
        <v>10450</v>
      </c>
      <c r="K69" s="9">
        <f t="shared" si="5"/>
        <v>0</v>
      </c>
      <c r="L69" s="9">
        <f t="shared" si="5"/>
        <v>0</v>
      </c>
      <c r="M69" s="9">
        <f t="shared" si="5"/>
        <v>0</v>
      </c>
      <c r="N69" s="9">
        <f t="shared" si="5"/>
        <v>0</v>
      </c>
      <c r="O69" s="11">
        <f t="shared" si="5"/>
        <v>4221</v>
      </c>
      <c r="P69" s="20">
        <f t="shared" si="5"/>
        <v>0</v>
      </c>
      <c r="Q69" s="20">
        <f t="shared" si="5"/>
        <v>0</v>
      </c>
      <c r="R69" s="20">
        <f t="shared" si="5"/>
        <v>1050</v>
      </c>
      <c r="S69" s="9">
        <f t="shared" si="5"/>
        <v>0</v>
      </c>
      <c r="T69" s="20">
        <f t="shared" si="5"/>
        <v>300</v>
      </c>
      <c r="U69" s="9">
        <f t="shared" si="5"/>
        <v>300</v>
      </c>
      <c r="V69" s="20">
        <f t="shared" si="5"/>
        <v>600</v>
      </c>
      <c r="W69" s="20">
        <f t="shared" si="5"/>
        <v>0</v>
      </c>
      <c r="X69" s="20">
        <f t="shared" si="5"/>
        <v>2400</v>
      </c>
      <c r="Y69" s="20">
        <f t="shared" si="5"/>
        <v>176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9">
        <f t="shared" si="5"/>
        <v>1513</v>
      </c>
      <c r="BE69" s="9">
        <f t="shared" si="5"/>
        <v>2731.172</v>
      </c>
      <c r="BJ69" s="12">
        <f>SUM(BJ11:BJ68)</f>
        <v>139.50357142857146</v>
      </c>
    </row>
    <row r="70" spans="1:63" hidden="1" x14ac:dyDescent="0.25">
      <c r="H70" s="4" t="s">
        <v>21</v>
      </c>
      <c r="I70" s="56">
        <f>+I69+J69+K69+L69+M69+N69</f>
        <v>15178</v>
      </c>
      <c r="J70" s="56"/>
      <c r="K70" s="56"/>
      <c r="L70" s="56"/>
      <c r="M70" s="56"/>
      <c r="N70" s="56"/>
      <c r="P70" s="57">
        <f>+P69+Q69</f>
        <v>0</v>
      </c>
      <c r="Q70" s="54"/>
      <c r="R70" s="57">
        <f>+R69+S69</f>
        <v>1050</v>
      </c>
      <c r="S70" s="54"/>
      <c r="T70" s="57">
        <f>+T69+U69</f>
        <v>600</v>
      </c>
      <c r="U70" s="54"/>
      <c r="V70" s="57">
        <f t="shared" ref="V70" si="6">+V69+W69</f>
        <v>600</v>
      </c>
      <c r="W70" s="54"/>
      <c r="X70" s="57">
        <f t="shared" ref="X70" si="7">+X69+Y69</f>
        <v>2576</v>
      </c>
      <c r="Y70" s="54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8"/>
      <c r="AW70" s="12"/>
      <c r="AX70" s="12"/>
      <c r="AY70" s="12"/>
      <c r="AZ70" s="12"/>
      <c r="BA70" s="12"/>
      <c r="BB70" s="12"/>
      <c r="BC70" s="12"/>
      <c r="BD70" s="10">
        <f>+BD69</f>
        <v>1513</v>
      </c>
    </row>
    <row r="71" spans="1:63" x14ac:dyDescent="0.25">
      <c r="I71" s="1">
        <v>0</v>
      </c>
      <c r="J71" s="25">
        <f>+J69</f>
        <v>10450</v>
      </c>
      <c r="K71" s="25">
        <f t="shared" ref="K71:N71" si="8">+K69</f>
        <v>0</v>
      </c>
      <c r="L71" s="25">
        <f t="shared" si="8"/>
        <v>0</v>
      </c>
      <c r="M71" s="25">
        <f t="shared" si="8"/>
        <v>0</v>
      </c>
      <c r="N71" s="25">
        <f t="shared" si="8"/>
        <v>0</v>
      </c>
      <c r="P71" s="17"/>
      <c r="Q71" s="17"/>
      <c r="R71" s="17"/>
      <c r="T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W71" s="17"/>
      <c r="AX71" s="17"/>
      <c r="AY71" s="17"/>
      <c r="AZ71" s="17"/>
      <c r="BA71" s="17"/>
      <c r="BB71" s="17"/>
      <c r="BC71" s="17"/>
    </row>
    <row r="72" spans="1:63" x14ac:dyDescent="0.25">
      <c r="P72" s="17"/>
      <c r="Q72" s="17"/>
      <c r="R72" s="17"/>
      <c r="T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W72" s="17"/>
      <c r="AX72" s="17"/>
      <c r="AY72" s="17"/>
      <c r="AZ72" s="17"/>
      <c r="BA72" s="17"/>
      <c r="BB72" s="17"/>
      <c r="BC72" s="17"/>
    </row>
    <row r="73" spans="1:63" x14ac:dyDescent="0.25">
      <c r="C73" s="2" t="s">
        <v>111</v>
      </c>
      <c r="D73" s="2" t="s">
        <v>112</v>
      </c>
      <c r="E73" s="2" t="s">
        <v>113</v>
      </c>
      <c r="P73" s="19" t="s">
        <v>15</v>
      </c>
      <c r="Q73" s="19" t="s">
        <v>16</v>
      </c>
      <c r="R73" s="19" t="s">
        <v>15</v>
      </c>
      <c r="S73" s="19" t="s">
        <v>16</v>
      </c>
      <c r="T73" s="19" t="s">
        <v>15</v>
      </c>
      <c r="U73" s="19" t="s">
        <v>16</v>
      </c>
      <c r="V73" s="19" t="s">
        <v>15</v>
      </c>
      <c r="W73" s="19" t="s">
        <v>16</v>
      </c>
      <c r="X73" s="19" t="s">
        <v>15</v>
      </c>
      <c r="Y73" s="19" t="s">
        <v>16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</row>
    <row r="74" spans="1:63" x14ac:dyDescent="0.25">
      <c r="B74" s="2" t="s">
        <v>114</v>
      </c>
      <c r="C74" s="8">
        <v>14328</v>
      </c>
      <c r="D74" s="2">
        <f>+C74/5</f>
        <v>2865.6</v>
      </c>
      <c r="E74" s="2">
        <f>+D74/2</f>
        <v>1432.8</v>
      </c>
      <c r="H74" s="23"/>
      <c r="P74" s="40">
        <f>+P69/$E$74</f>
        <v>0</v>
      </c>
      <c r="Q74" s="40">
        <f t="shared" ref="Q74:Y74" si="9">+Q69/$E$74</f>
        <v>0</v>
      </c>
      <c r="R74" s="40">
        <f t="shared" si="9"/>
        <v>0.73283082077051931</v>
      </c>
      <c r="S74" s="40">
        <f t="shared" si="9"/>
        <v>0</v>
      </c>
      <c r="T74" s="40">
        <f t="shared" si="9"/>
        <v>0.20938023450586266</v>
      </c>
      <c r="U74" s="40">
        <f t="shared" si="9"/>
        <v>0.20938023450586266</v>
      </c>
      <c r="V74" s="40">
        <f t="shared" si="9"/>
        <v>0.41876046901172531</v>
      </c>
      <c r="W74" s="40">
        <f t="shared" si="9"/>
        <v>0</v>
      </c>
      <c r="X74" s="40">
        <f t="shared" si="9"/>
        <v>1.6750418760469012</v>
      </c>
      <c r="Y74" s="40">
        <f t="shared" si="9"/>
        <v>0.12283640424343942</v>
      </c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19"/>
    </row>
    <row r="75" spans="1:63" x14ac:dyDescent="0.25">
      <c r="B75" s="2" t="s">
        <v>115</v>
      </c>
      <c r="C75" s="8">
        <v>5541</v>
      </c>
      <c r="D75" s="2">
        <f>+C75/5</f>
        <v>1108.2</v>
      </c>
      <c r="E75" s="2">
        <f>+D75/2</f>
        <v>554.1</v>
      </c>
      <c r="H75" s="23"/>
    </row>
    <row r="76" spans="1:63" x14ac:dyDescent="0.25">
      <c r="B76" s="2" t="s">
        <v>116</v>
      </c>
      <c r="C76" s="2">
        <f>+C74-C75</f>
        <v>8787</v>
      </c>
    </row>
    <row r="77" spans="1:63" x14ac:dyDescent="0.25">
      <c r="B77" s="2" t="s">
        <v>117</v>
      </c>
      <c r="C77" s="24">
        <f>+C76/C74</f>
        <v>0.61327470686767172</v>
      </c>
      <c r="H77" s="23"/>
    </row>
    <row r="78" spans="1:63" x14ac:dyDescent="0.25">
      <c r="B78" s="2" t="s">
        <v>118</v>
      </c>
      <c r="C78" s="24">
        <f>+C75/C74</f>
        <v>0.38672529313232828</v>
      </c>
    </row>
    <row r="80" spans="1:63" x14ac:dyDescent="0.25">
      <c r="A80" s="51" t="s">
        <v>136</v>
      </c>
      <c r="B80" s="52"/>
      <c r="C80" s="52"/>
      <c r="D80" s="52"/>
      <c r="E80" s="52"/>
      <c r="F80" s="53"/>
    </row>
    <row r="81" spans="1:15" x14ac:dyDescent="0.25">
      <c r="A81" s="54" t="s">
        <v>166</v>
      </c>
      <c r="B81" s="37">
        <v>46293</v>
      </c>
      <c r="C81" s="37">
        <v>46294</v>
      </c>
      <c r="D81" s="37">
        <v>46295</v>
      </c>
      <c r="E81" s="37">
        <v>46296</v>
      </c>
      <c r="F81" s="37">
        <v>46297</v>
      </c>
    </row>
    <row r="82" spans="1:15" x14ac:dyDescent="0.25">
      <c r="A82" s="54"/>
      <c r="B82" s="38" t="s">
        <v>122</v>
      </c>
      <c r="C82" s="4" t="s">
        <v>123</v>
      </c>
      <c r="D82" s="4" t="s">
        <v>124</v>
      </c>
      <c r="E82" s="4" t="s">
        <v>125</v>
      </c>
      <c r="F82" s="4" t="s">
        <v>128</v>
      </c>
    </row>
    <row r="83" spans="1:15" x14ac:dyDescent="0.25">
      <c r="A83" s="12" t="s">
        <v>134</v>
      </c>
      <c r="B83" s="26"/>
      <c r="C83" s="26">
        <v>0.61</v>
      </c>
      <c r="D83" s="26"/>
      <c r="E83" s="26"/>
      <c r="F83" s="26"/>
    </row>
    <row r="84" spans="1:15" x14ac:dyDescent="0.25">
      <c r="A84" s="12" t="s">
        <v>135</v>
      </c>
      <c r="B84" s="26"/>
      <c r="C84" s="26">
        <v>0.39</v>
      </c>
      <c r="D84" s="26"/>
      <c r="E84" s="26"/>
      <c r="F84" s="26"/>
    </row>
    <row r="88" spans="1:15" x14ac:dyDescent="0.25">
      <c r="O88" s="50" t="s">
        <v>165</v>
      </c>
    </row>
    <row r="89" spans="1:15" x14ac:dyDescent="0.25">
      <c r="B89" s="1" t="s">
        <v>145</v>
      </c>
    </row>
    <row r="90" spans="1:15" x14ac:dyDescent="0.25">
      <c r="B90" s="1" t="s">
        <v>146</v>
      </c>
    </row>
    <row r="93" spans="1:15" x14ac:dyDescent="0.25">
      <c r="B93" s="1" t="s">
        <v>147</v>
      </c>
    </row>
    <row r="95" spans="1:15" x14ac:dyDescent="0.25">
      <c r="B95" s="1" t="s">
        <v>148</v>
      </c>
    </row>
    <row r="99" spans="2:2" x14ac:dyDescent="0.25">
      <c r="B99" s="1" t="s">
        <v>149</v>
      </c>
    </row>
    <row r="100" spans="2:2" x14ac:dyDescent="0.25">
      <c r="B100" s="1" t="s">
        <v>150</v>
      </c>
    </row>
    <row r="101" spans="2:2" x14ac:dyDescent="0.25">
      <c r="B101" s="1" t="s">
        <v>151</v>
      </c>
    </row>
    <row r="102" spans="2:2" x14ac:dyDescent="0.25">
      <c r="B102" s="1" t="s">
        <v>152</v>
      </c>
    </row>
    <row r="104" spans="2:2" x14ac:dyDescent="0.25">
      <c r="B104" s="1" t="s">
        <v>153</v>
      </c>
    </row>
    <row r="105" spans="2:2" x14ac:dyDescent="0.25">
      <c r="B105" s="1" t="s">
        <v>154</v>
      </c>
    </row>
    <row r="106" spans="2:2" x14ac:dyDescent="0.25">
      <c r="B106" s="1" t="s">
        <v>155</v>
      </c>
    </row>
    <row r="107" spans="2:2" x14ac:dyDescent="0.25">
      <c r="B107" s="1" t="s">
        <v>156</v>
      </c>
    </row>
    <row r="108" spans="2:2" x14ac:dyDescent="0.25">
      <c r="B108" s="1" t="s">
        <v>157</v>
      </c>
    </row>
  </sheetData>
  <autoFilter ref="B10:BJ70" xr:uid="{00000000-0009-0000-0000-00000C000000}">
    <filterColumn colId="13">
      <customFilters>
        <customFilter operator="greaterThan" val="1"/>
      </customFilters>
    </filterColumn>
  </autoFilter>
  <mergeCells count="31">
    <mergeCell ref="BB9:BC9"/>
    <mergeCell ref="A80:F80"/>
    <mergeCell ref="A81:A82"/>
    <mergeCell ref="AT9:AU9"/>
    <mergeCell ref="AV9:AW9"/>
    <mergeCell ref="AX9:AY9"/>
    <mergeCell ref="AZ9:BA9"/>
    <mergeCell ref="I70:N70"/>
    <mergeCell ref="P70:Q70"/>
    <mergeCell ref="R70:S70"/>
    <mergeCell ref="T70:U70"/>
    <mergeCell ref="V70:W70"/>
    <mergeCell ref="X70:Y70"/>
    <mergeCell ref="AH9:AI9"/>
    <mergeCell ref="AJ9:AK9"/>
    <mergeCell ref="AL9:AM9"/>
    <mergeCell ref="AN9:AO9"/>
    <mergeCell ref="AP9:AQ9"/>
    <mergeCell ref="AR9:AS9"/>
    <mergeCell ref="V9:W9"/>
    <mergeCell ref="X9:Y9"/>
    <mergeCell ref="Z9:AA9"/>
    <mergeCell ref="AB9:AC9"/>
    <mergeCell ref="AD9:AE9"/>
    <mergeCell ref="AF9:AG9"/>
    <mergeCell ref="C7:D7"/>
    <mergeCell ref="B8:B9"/>
    <mergeCell ref="J9:N9"/>
    <mergeCell ref="P9:Q9"/>
    <mergeCell ref="R9:S9"/>
    <mergeCell ref="T9:U9"/>
  </mergeCells>
  <conditionalFormatting sqref="P74:BC74">
    <cfRule type="cellIs" dxfId="2" priority="1" operator="between">
      <formula>1</formula>
      <formula>5</formula>
    </cfRule>
    <cfRule type="cellIs" dxfId="1" priority="2" operator="between">
      <formula>0.85</formula>
      <formula>0.99</formula>
    </cfRule>
    <cfRule type="cellIs" dxfId="0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83" orientation="landscape" r:id="rId2"/>
  <colBreaks count="1" manualBreakCount="1">
    <brk id="15" min="5" max="37" man="1"/>
  </colBreak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14</vt:i4>
      </vt:variant>
    </vt:vector>
  </HeadingPairs>
  <TitlesOfParts>
    <vt:vector size="29" baseType="lpstr">
      <vt:lpstr>EMPAQUE</vt:lpstr>
      <vt:lpstr>HELIAN</vt:lpstr>
      <vt:lpstr>SEMANA 28</vt:lpstr>
      <vt:lpstr>SEMANA 30</vt:lpstr>
      <vt:lpstr>SEMANA 31</vt:lpstr>
      <vt:lpstr>SEMANA 32</vt:lpstr>
      <vt:lpstr>SEMANA 33</vt:lpstr>
      <vt:lpstr>SEMANA 34</vt:lpstr>
      <vt:lpstr>SEMANA 35</vt:lpstr>
      <vt:lpstr>SEMANA 36</vt:lpstr>
      <vt:lpstr>SEMANA 37</vt:lpstr>
      <vt:lpstr>SEMANA 38</vt:lpstr>
      <vt:lpstr>SEMANA 39</vt:lpstr>
      <vt:lpstr>SEMANA 40</vt:lpstr>
      <vt:lpstr>SEMANA 42</vt:lpstr>
      <vt:lpstr>EMPAQUE!Área_de_impresión</vt:lpstr>
      <vt:lpstr>HELIAN!Área_de_impresión</vt:lpstr>
      <vt:lpstr>'SEMANA 30'!Área_de_impresión</vt:lpstr>
      <vt:lpstr>'SEMANA 31'!Área_de_impresión</vt:lpstr>
      <vt:lpstr>'SEMANA 32'!Área_de_impresión</vt:lpstr>
      <vt:lpstr>'SEMANA 33'!Área_de_impresión</vt:lpstr>
      <vt:lpstr>'SEMANA 34'!Área_de_impresión</vt:lpstr>
      <vt:lpstr>'SEMANA 35'!Área_de_impresión</vt:lpstr>
      <vt:lpstr>'SEMANA 36'!Área_de_impresión</vt:lpstr>
      <vt:lpstr>'SEMANA 37'!Área_de_impresión</vt:lpstr>
      <vt:lpstr>'SEMANA 38'!Área_de_impresión</vt:lpstr>
      <vt:lpstr>'SEMANA 39'!Área_de_impresión</vt:lpstr>
      <vt:lpstr>'SEMANA 40'!Área_de_impresión</vt:lpstr>
      <vt:lpstr>'SEMANA 42'!Área_de_impresión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Martinez</dc:creator>
  <cp:lastModifiedBy>Juan Cabello</cp:lastModifiedBy>
  <cp:lastPrinted>2026-10-14T15:43:31Z</cp:lastPrinted>
  <dcterms:created xsi:type="dcterms:W3CDTF">2026-07-15T02:40:42Z</dcterms:created>
  <dcterms:modified xsi:type="dcterms:W3CDTF">2026-10-14T15:44:14Z</dcterms:modified>
</cp:coreProperties>
</file>