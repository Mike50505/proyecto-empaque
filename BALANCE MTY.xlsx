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2.xml" ContentType="application/vnd.openxmlformats-officedocument.spreadsheetml.comments+xml"/>
  <Override PartName="/xl/pivotTables/pivotTable6.xml" ContentType="application/vnd.openxmlformats-officedocument.spreadsheetml.pivotTable+xml"/>
  <Override PartName="/xl/comments3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4.xml" ContentType="application/vnd.openxmlformats-officedocument.spreadsheetml.comments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pivotTables/pivotTable14.xml" ContentType="application/vnd.openxmlformats-officedocument.spreadsheetml.pivotTable+xml"/>
  <Override PartName="/xl/drawings/drawing5.xml" ContentType="application/vnd.openxmlformats-officedocument.drawing+xml"/>
  <Override PartName="/xl/pivotTables/pivotTable15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\\192.168.25.54\Mesa Ramos\PLANEACIÓN\BALANCES Fco\EMPAQUE\"/>
    </mc:Choice>
  </mc:AlternateContent>
  <xr:revisionPtr revIDLastSave="0" documentId="13_ncr:1_{D14189C2-0B78-4ADA-A79F-9D27C56CE42E}" xr6:coauthVersionLast="47" xr6:coauthVersionMax="47" xr10:uidLastSave="{00000000-0000-0000-0000-000000000000}"/>
  <bookViews>
    <workbookView xWindow="-120" yWindow="-120" windowWidth="29040" windowHeight="15720" firstSheet="9" activeTab="17" xr2:uid="{00000000-000D-0000-FFFF-FFFF00000000}"/>
  </bookViews>
  <sheets>
    <sheet name="EMPAQUE" sheetId="2" r:id="rId1"/>
    <sheet name="HELIAN " sheetId="5" r:id="rId2"/>
    <sheet name="." sheetId="4" r:id="rId3"/>
    <sheet name="SEMANA 28" sheetId="1" r:id="rId4"/>
    <sheet name="SEMANA 30" sheetId="6" r:id="rId5"/>
    <sheet name="SEMANA 31" sheetId="7" r:id="rId6"/>
    <sheet name="SEMANA 32" sheetId="8" r:id="rId7"/>
    <sheet name="SEMANA 33" sheetId="9" r:id="rId8"/>
    <sheet name="SEMANA 34" sheetId="13" r:id="rId9"/>
    <sheet name="SEMANA 35" sheetId="11" r:id="rId10"/>
    <sheet name="SEMANA 36" sheetId="12" r:id="rId11"/>
    <sheet name="SEMANA 37" sheetId="14" r:id="rId12"/>
    <sheet name="SEMANA 38" sheetId="15" r:id="rId13"/>
    <sheet name="SEMANA 39" sheetId="16" r:id="rId14"/>
    <sheet name="SEMANA 40" sheetId="17" r:id="rId15"/>
    <sheet name="SEMANA 41  " sheetId="20" r:id="rId16"/>
    <sheet name="SEMANA 42" sheetId="19" r:id="rId17"/>
    <sheet name="SEMANA 42 (2)" sheetId="21" r:id="rId18"/>
  </sheets>
  <definedNames>
    <definedName name="_xlnm._FilterDatabase" localSheetId="3" hidden="1">'SEMANA 28'!$B$5:$AO$38</definedName>
    <definedName name="_xlnm._FilterDatabase" localSheetId="4" hidden="1">'SEMANA 30'!$B$5:$AO$38</definedName>
    <definedName name="_xlnm._FilterDatabase" localSheetId="5" hidden="1">'SEMANA 31'!$B$5:$AE$38</definedName>
    <definedName name="_xlnm._FilterDatabase" localSheetId="6" hidden="1">'SEMANA 32'!$B$5:$AE$38</definedName>
    <definedName name="_xlnm._FilterDatabase" localSheetId="7" hidden="1">'SEMANA 33'!$B$5:$AE$38</definedName>
    <definedName name="_xlnm._FilterDatabase" localSheetId="8" hidden="1">'SEMANA 34'!$B$5:$AE$38</definedName>
    <definedName name="_xlnm._FilterDatabase" localSheetId="9" hidden="1">'SEMANA 35'!$C$5:$AF$38</definedName>
    <definedName name="_xlnm._FilterDatabase" localSheetId="10" hidden="1">'SEMANA 36'!$B$5:$AE$38</definedName>
    <definedName name="_xlnm._FilterDatabase" localSheetId="11" hidden="1">'SEMANA 37'!$B$5:$AE$38</definedName>
    <definedName name="_xlnm._FilterDatabase" localSheetId="12" hidden="1">'SEMANA 38'!$B$10:$AE$43</definedName>
    <definedName name="_xlnm._FilterDatabase" localSheetId="13" hidden="1">'SEMANA 39'!$B$10:$AE$43</definedName>
    <definedName name="_xlnm._FilterDatabase" localSheetId="14" hidden="1">'SEMANA 40'!$B$10:$AO$43</definedName>
    <definedName name="_xlnm._FilterDatabase" localSheetId="15" hidden="1">'SEMANA 41  '!$B$10:$AO$43</definedName>
    <definedName name="_xlnm._FilterDatabase" localSheetId="16" hidden="1">'SEMANA 42'!$B$10:$AO$43</definedName>
    <definedName name="_xlnm._FilterDatabase" localSheetId="17" hidden="1">'SEMANA 42 (2)'!$B$10:$AO$43</definedName>
    <definedName name="_xlnm.Print_Area" localSheetId="0">EMPAQUE!$E$1:$O$32</definedName>
    <definedName name="_xlnm.Print_Area" localSheetId="1">'HELIAN '!$E$1:$O$32</definedName>
    <definedName name="_xlnm.Print_Area" localSheetId="7">'SEMANA 33'!$B$1:$O$32</definedName>
    <definedName name="_xlnm.Print_Area" localSheetId="8">'SEMANA 34'!$B$1:$O$32</definedName>
    <definedName name="_xlnm.Print_Area" localSheetId="9">'SEMANA 35'!$B$1:$P$54</definedName>
    <definedName name="_xlnm.Print_Area" localSheetId="10">'SEMANA 36'!$B$1:$O$17</definedName>
    <definedName name="_xlnm.Print_Area" localSheetId="11">'SEMANA 37'!$A$1:$O$51</definedName>
    <definedName name="_xlnm.Print_Area" localSheetId="12">'SEMANA 38'!$A$6:$O$56</definedName>
    <definedName name="_xlnm.Print_Area" localSheetId="13">'SEMANA 39'!$A$6:$AI$56</definedName>
    <definedName name="_xlnm.Print_Area" localSheetId="14">'SEMANA 40'!$A$6:$O$57</definedName>
    <definedName name="_xlnm.Print_Area" localSheetId="15">'SEMANA 41  '!$A$6:$O$57</definedName>
    <definedName name="_xlnm.Print_Area" localSheetId="16">'SEMANA 42'!$A$6:$O$57</definedName>
    <definedName name="_xlnm.Print_Area" localSheetId="17">'SEMANA 42 (2)'!$A$6:$O$57</definedName>
  </definedNames>
  <calcPr calcId="191029"/>
  <pivotCaches>
    <pivotCache cacheId="0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21" l="1"/>
  <c r="B48" i="21"/>
  <c r="B49" i="21" s="1"/>
  <c r="AJ42" i="21"/>
  <c r="AJ43" i="21" s="1"/>
  <c r="Y42" i="21"/>
  <c r="X42" i="21"/>
  <c r="X43" i="21" s="1"/>
  <c r="W42" i="21"/>
  <c r="V42" i="21"/>
  <c r="V43" i="21" s="1"/>
  <c r="U42" i="21"/>
  <c r="T42" i="21"/>
  <c r="T43" i="21" s="1"/>
  <c r="S42" i="21"/>
  <c r="R42" i="21"/>
  <c r="R43" i="21" s="1"/>
  <c r="Q42" i="21"/>
  <c r="P42" i="21"/>
  <c r="P43" i="21" s="1"/>
  <c r="N42" i="21"/>
  <c r="M42" i="21"/>
  <c r="L42" i="21"/>
  <c r="K42" i="21"/>
  <c r="J42" i="21"/>
  <c r="I42" i="21"/>
  <c r="I43" i="21" s="1"/>
  <c r="AO41" i="21"/>
  <c r="AK41" i="21"/>
  <c r="O41" i="21"/>
  <c r="AK40" i="21"/>
  <c r="O40" i="21"/>
  <c r="AK39" i="21"/>
  <c r="O39" i="21"/>
  <c r="AK38" i="21"/>
  <c r="O38" i="21"/>
  <c r="AK37" i="21"/>
  <c r="O37" i="21"/>
  <c r="AK36" i="21"/>
  <c r="O36" i="21"/>
  <c r="AK35" i="21"/>
  <c r="O35" i="21"/>
  <c r="AK34" i="21"/>
  <c r="O34" i="21"/>
  <c r="AK33" i="21"/>
  <c r="O33" i="21"/>
  <c r="AK32" i="21"/>
  <c r="O32" i="21"/>
  <c r="AK31" i="21"/>
  <c r="O31" i="21"/>
  <c r="AK30" i="21"/>
  <c r="O30" i="21"/>
  <c r="AK29" i="21"/>
  <c r="O29" i="21"/>
  <c r="AK28" i="21"/>
  <c r="O28" i="21"/>
  <c r="AK27" i="21"/>
  <c r="O27" i="21"/>
  <c r="AO26" i="21"/>
  <c r="AK26" i="21"/>
  <c r="O26" i="21"/>
  <c r="AO25" i="21"/>
  <c r="AK25" i="21"/>
  <c r="O25" i="21"/>
  <c r="AO24" i="21"/>
  <c r="AK24" i="21"/>
  <c r="O24" i="21"/>
  <c r="AO23" i="21"/>
  <c r="AK23" i="21"/>
  <c r="O23" i="21"/>
  <c r="AO22" i="21"/>
  <c r="AK22" i="21"/>
  <c r="O22" i="21"/>
  <c r="AO21" i="21"/>
  <c r="AK21" i="21"/>
  <c r="O21" i="21"/>
  <c r="AO20" i="21"/>
  <c r="AK20" i="21"/>
  <c r="AO19" i="21"/>
  <c r="AK19" i="21"/>
  <c r="AO18" i="21"/>
  <c r="AK18" i="21"/>
  <c r="O18" i="21"/>
  <c r="AO17" i="21"/>
  <c r="AK17" i="21"/>
  <c r="O17" i="21"/>
  <c r="AO16" i="21"/>
  <c r="AK16" i="21"/>
  <c r="O16" i="21"/>
  <c r="AO15" i="21"/>
  <c r="AK15" i="21"/>
  <c r="O15" i="21"/>
  <c r="AO14" i="21"/>
  <c r="AK14" i="21"/>
  <c r="O14" i="21"/>
  <c r="AO13" i="21"/>
  <c r="AK13" i="21"/>
  <c r="O13" i="21"/>
  <c r="AO12" i="21"/>
  <c r="AK12" i="21"/>
  <c r="O12" i="21"/>
  <c r="AO11" i="21"/>
  <c r="AO42" i="21" s="1"/>
  <c r="AK11" i="21"/>
  <c r="O11" i="21"/>
  <c r="B8" i="21"/>
  <c r="O17" i="19"/>
  <c r="B50" i="20"/>
  <c r="B48" i="20"/>
  <c r="B49" i="20" s="1"/>
  <c r="AJ42" i="20"/>
  <c r="AJ43" i="20" s="1"/>
  <c r="Y42" i="20"/>
  <c r="X42" i="20"/>
  <c r="X43" i="20" s="1"/>
  <c r="W42" i="20"/>
  <c r="V42" i="20"/>
  <c r="V43" i="20" s="1"/>
  <c r="U42" i="20"/>
  <c r="T42" i="20"/>
  <c r="T43" i="20" s="1"/>
  <c r="S42" i="20"/>
  <c r="R42" i="20"/>
  <c r="R43" i="20" s="1"/>
  <c r="Q42" i="20"/>
  <c r="P42" i="20"/>
  <c r="P43" i="20" s="1"/>
  <c r="N42" i="20"/>
  <c r="M42" i="20"/>
  <c r="L42" i="20"/>
  <c r="K42" i="20"/>
  <c r="J42" i="20"/>
  <c r="I42" i="20"/>
  <c r="I43" i="20" s="1"/>
  <c r="AO41" i="20"/>
  <c r="AK41" i="20"/>
  <c r="O41" i="20"/>
  <c r="AK40" i="20"/>
  <c r="O40" i="20"/>
  <c r="AK39" i="20"/>
  <c r="O39" i="20"/>
  <c r="AK38" i="20"/>
  <c r="O38" i="20"/>
  <c r="AK37" i="20"/>
  <c r="O37" i="20"/>
  <c r="AK36" i="20"/>
  <c r="O36" i="20"/>
  <c r="AK35" i="20"/>
  <c r="O35" i="20"/>
  <c r="AK34" i="20"/>
  <c r="O34" i="20"/>
  <c r="AK33" i="20"/>
  <c r="O33" i="20"/>
  <c r="AK32" i="20"/>
  <c r="O32" i="20"/>
  <c r="AK31" i="20"/>
  <c r="O31" i="20"/>
  <c r="AK30" i="20"/>
  <c r="O30" i="20"/>
  <c r="AK29" i="20"/>
  <c r="O29" i="20"/>
  <c r="AK28" i="20"/>
  <c r="O28" i="20"/>
  <c r="AK27" i="20"/>
  <c r="O27" i="20"/>
  <c r="AO26" i="20"/>
  <c r="AK26" i="20"/>
  <c r="O26" i="20"/>
  <c r="AO25" i="20"/>
  <c r="AK25" i="20"/>
  <c r="O25" i="20"/>
  <c r="AO24" i="20"/>
  <c r="AK24" i="20"/>
  <c r="O24" i="20"/>
  <c r="AO23" i="20"/>
  <c r="AK23" i="20"/>
  <c r="O23" i="20"/>
  <c r="AO22" i="20"/>
  <c r="AK22" i="20"/>
  <c r="O22" i="20"/>
  <c r="AO21" i="20"/>
  <c r="AK21" i="20"/>
  <c r="O21" i="20"/>
  <c r="AO20" i="20"/>
  <c r="AK20" i="20"/>
  <c r="O20" i="20"/>
  <c r="AO19" i="20"/>
  <c r="AK19" i="20"/>
  <c r="O19" i="20"/>
  <c r="AO18" i="20"/>
  <c r="AK18" i="20"/>
  <c r="O18" i="20"/>
  <c r="AO17" i="20"/>
  <c r="AK17" i="20"/>
  <c r="O17" i="20"/>
  <c r="AO16" i="20"/>
  <c r="AK16" i="20"/>
  <c r="O16" i="20"/>
  <c r="AO15" i="20"/>
  <c r="AK15" i="20"/>
  <c r="O15" i="20"/>
  <c r="AO14" i="20"/>
  <c r="AK14" i="20"/>
  <c r="O14" i="20"/>
  <c r="AO13" i="20"/>
  <c r="AK13" i="20"/>
  <c r="O13" i="20"/>
  <c r="AO12" i="20"/>
  <c r="AK12" i="20"/>
  <c r="O12" i="20"/>
  <c r="AO11" i="20"/>
  <c r="AO42" i="20" s="1"/>
  <c r="AK11" i="20"/>
  <c r="AK42" i="20" s="1"/>
  <c r="O11" i="20"/>
  <c r="B8" i="20"/>
  <c r="O11" i="19"/>
  <c r="B50" i="19"/>
  <c r="B48" i="19"/>
  <c r="B49" i="19" s="1"/>
  <c r="Y42" i="19"/>
  <c r="X42" i="19"/>
  <c r="X43" i="19" s="1"/>
  <c r="W42" i="19"/>
  <c r="V42" i="19"/>
  <c r="U42" i="19"/>
  <c r="T42" i="19"/>
  <c r="S42" i="19"/>
  <c r="R42" i="19"/>
  <c r="Q42" i="19"/>
  <c r="P42" i="19"/>
  <c r="N42" i="19"/>
  <c r="M42" i="19"/>
  <c r="L42" i="19"/>
  <c r="K42" i="19"/>
  <c r="J42" i="19"/>
  <c r="I42" i="19"/>
  <c r="AO41" i="19"/>
  <c r="AK41" i="19"/>
  <c r="O41" i="19"/>
  <c r="AK40" i="19"/>
  <c r="O40" i="19"/>
  <c r="AK39" i="19"/>
  <c r="O39" i="19"/>
  <c r="AK38" i="19"/>
  <c r="O38" i="19"/>
  <c r="AK37" i="19"/>
  <c r="O37" i="19"/>
  <c r="AK36" i="19"/>
  <c r="O36" i="19"/>
  <c r="AK35" i="19"/>
  <c r="O35" i="19"/>
  <c r="AK34" i="19"/>
  <c r="O34" i="19"/>
  <c r="AK33" i="19"/>
  <c r="O33" i="19"/>
  <c r="AK32" i="19"/>
  <c r="O32" i="19"/>
  <c r="AK31" i="19"/>
  <c r="O31" i="19"/>
  <c r="AK30" i="19"/>
  <c r="O30" i="19"/>
  <c r="AK29" i="19"/>
  <c r="O29" i="19"/>
  <c r="AK28" i="19"/>
  <c r="O28" i="19"/>
  <c r="AK27" i="19"/>
  <c r="O27" i="19"/>
  <c r="AO26" i="19"/>
  <c r="AK26" i="19"/>
  <c r="O26" i="19"/>
  <c r="AO25" i="19"/>
  <c r="AK25" i="19"/>
  <c r="O25" i="19"/>
  <c r="AO24" i="19"/>
  <c r="AK24" i="19"/>
  <c r="O24" i="19"/>
  <c r="AO23" i="19"/>
  <c r="AK23" i="19"/>
  <c r="O23" i="19"/>
  <c r="AO22" i="19"/>
  <c r="AK22" i="19"/>
  <c r="O22" i="19"/>
  <c r="AO21" i="19"/>
  <c r="AK21" i="19"/>
  <c r="O21" i="19"/>
  <c r="AO20" i="19"/>
  <c r="AK20" i="19"/>
  <c r="AO19" i="19"/>
  <c r="AK19" i="19"/>
  <c r="AO18" i="19"/>
  <c r="AK18" i="19"/>
  <c r="O18" i="19"/>
  <c r="AO17" i="19"/>
  <c r="AK17" i="19"/>
  <c r="AO16" i="19"/>
  <c r="AK16" i="19"/>
  <c r="O16" i="19"/>
  <c r="AO15" i="19"/>
  <c r="AK15" i="19"/>
  <c r="O15" i="19"/>
  <c r="AO14" i="19"/>
  <c r="AK14" i="19"/>
  <c r="O14" i="19"/>
  <c r="AO13" i="19"/>
  <c r="AK13" i="19"/>
  <c r="O13" i="19"/>
  <c r="AO12" i="19"/>
  <c r="AK12" i="19"/>
  <c r="O12" i="19"/>
  <c r="AO11" i="19"/>
  <c r="AO42" i="19" s="1"/>
  <c r="AK11" i="19"/>
  <c r="AJ42" i="19"/>
  <c r="AJ43" i="19" s="1"/>
  <c r="B8" i="19"/>
  <c r="I42" i="17"/>
  <c r="Q22" i="17"/>
  <c r="B50" i="17"/>
  <c r="B48" i="17"/>
  <c r="B49" i="17" s="1"/>
  <c r="AJ42" i="17"/>
  <c r="AJ43" i="17" s="1"/>
  <c r="Y42" i="17"/>
  <c r="X42" i="17"/>
  <c r="W42" i="17"/>
  <c r="V42" i="17"/>
  <c r="U42" i="17"/>
  <c r="T42" i="17"/>
  <c r="T43" i="17" s="1"/>
  <c r="S42" i="17"/>
  <c r="R42" i="17"/>
  <c r="R43" i="17" s="1"/>
  <c r="Q42" i="17"/>
  <c r="P42" i="17"/>
  <c r="N42" i="17"/>
  <c r="M42" i="17"/>
  <c r="L42" i="17"/>
  <c r="K42" i="17"/>
  <c r="J42" i="17"/>
  <c r="AO41" i="17"/>
  <c r="AK41" i="17"/>
  <c r="O41" i="17"/>
  <c r="AK40" i="17"/>
  <c r="O40" i="17"/>
  <c r="AK39" i="17"/>
  <c r="O39" i="17"/>
  <c r="AK38" i="17"/>
  <c r="O38" i="17"/>
  <c r="AK37" i="17"/>
  <c r="O37" i="17"/>
  <c r="AK36" i="17"/>
  <c r="O36" i="17"/>
  <c r="AK35" i="17"/>
  <c r="O35" i="17"/>
  <c r="AK34" i="17"/>
  <c r="O34" i="17"/>
  <c r="AK33" i="17"/>
  <c r="O33" i="17"/>
  <c r="AK32" i="17"/>
  <c r="O32" i="17"/>
  <c r="AK31" i="17"/>
  <c r="O31" i="17"/>
  <c r="AK30" i="17"/>
  <c r="O30" i="17"/>
  <c r="AK29" i="17"/>
  <c r="O29" i="17"/>
  <c r="AK28" i="17"/>
  <c r="O28" i="17"/>
  <c r="AK27" i="17"/>
  <c r="O27" i="17"/>
  <c r="AO26" i="17"/>
  <c r="AK26" i="17"/>
  <c r="O26" i="17"/>
  <c r="AO25" i="17"/>
  <c r="AK25" i="17"/>
  <c r="O25" i="17"/>
  <c r="AO24" i="17"/>
  <c r="AK24" i="17"/>
  <c r="O24" i="17"/>
  <c r="AO23" i="17"/>
  <c r="AK23" i="17"/>
  <c r="O23" i="17"/>
  <c r="AO22" i="17"/>
  <c r="AK22" i="17"/>
  <c r="O22" i="17"/>
  <c r="AO21" i="17"/>
  <c r="AK21" i="17"/>
  <c r="O21" i="17"/>
  <c r="AO20" i="17"/>
  <c r="AK20" i="17"/>
  <c r="O20" i="17"/>
  <c r="AO19" i="17"/>
  <c r="AK19" i="17"/>
  <c r="O19" i="17"/>
  <c r="AO18" i="17"/>
  <c r="AK18" i="17"/>
  <c r="O18" i="17"/>
  <c r="AO17" i="17"/>
  <c r="AK17" i="17"/>
  <c r="O17" i="17"/>
  <c r="AO16" i="17"/>
  <c r="AK16" i="17"/>
  <c r="O16" i="17"/>
  <c r="AO15" i="17"/>
  <c r="AK15" i="17"/>
  <c r="O15" i="17"/>
  <c r="AO14" i="17"/>
  <c r="AK14" i="17"/>
  <c r="O14" i="17"/>
  <c r="AO13" i="17"/>
  <c r="AK13" i="17"/>
  <c r="O13" i="17"/>
  <c r="AO12" i="17"/>
  <c r="AK12" i="17"/>
  <c r="O12" i="17"/>
  <c r="AO11" i="17"/>
  <c r="AO42" i="17" s="1"/>
  <c r="AK11" i="17"/>
  <c r="O11" i="17"/>
  <c r="B8" i="17"/>
  <c r="B50" i="16"/>
  <c r="B48" i="16"/>
  <c r="B49" i="16" s="1"/>
  <c r="Z42" i="16"/>
  <c r="Z43" i="16" s="1"/>
  <c r="Y42" i="16"/>
  <c r="X42" i="16"/>
  <c r="W42" i="16"/>
  <c r="V42" i="16"/>
  <c r="U42" i="16"/>
  <c r="T42" i="16"/>
  <c r="T43" i="16" s="1"/>
  <c r="S42" i="16"/>
  <c r="R42" i="16"/>
  <c r="R43" i="16" s="1"/>
  <c r="Q42" i="16"/>
  <c r="P42" i="16"/>
  <c r="N42" i="16"/>
  <c r="M42" i="16"/>
  <c r="L42" i="16"/>
  <c r="K42" i="16"/>
  <c r="J42" i="16"/>
  <c r="I42" i="16"/>
  <c r="AE41" i="16"/>
  <c r="AA41" i="16"/>
  <c r="O41" i="16"/>
  <c r="AA40" i="16"/>
  <c r="O40" i="16"/>
  <c r="AA39" i="16"/>
  <c r="O39" i="16"/>
  <c r="AA38" i="16"/>
  <c r="O38" i="16"/>
  <c r="AA37" i="16"/>
  <c r="O37" i="16"/>
  <c r="AA36" i="16"/>
  <c r="O36" i="16"/>
  <c r="AA35" i="16"/>
  <c r="O35" i="16"/>
  <c r="AA34" i="16"/>
  <c r="O34" i="16"/>
  <c r="AA33" i="16"/>
  <c r="O33" i="16"/>
  <c r="AA32" i="16"/>
  <c r="O32" i="16"/>
  <c r="AA31" i="16"/>
  <c r="O31" i="16"/>
  <c r="AA30" i="16"/>
  <c r="O30" i="16"/>
  <c r="AA29" i="16"/>
  <c r="O29" i="16"/>
  <c r="AA28" i="16"/>
  <c r="O28" i="16"/>
  <c r="AA27" i="16"/>
  <c r="O27" i="16"/>
  <c r="AE26" i="16"/>
  <c r="AA26" i="16"/>
  <c r="O26" i="16"/>
  <c r="AE25" i="16"/>
  <c r="AA25" i="16"/>
  <c r="O25" i="16"/>
  <c r="AE24" i="16"/>
  <c r="AA24" i="16"/>
  <c r="O24" i="16"/>
  <c r="AE23" i="16"/>
  <c r="AA23" i="16"/>
  <c r="O23" i="16"/>
  <c r="AE22" i="16"/>
  <c r="AA22" i="16"/>
  <c r="O22" i="16"/>
  <c r="AE21" i="16"/>
  <c r="AA21" i="16"/>
  <c r="O21" i="16"/>
  <c r="AE20" i="16"/>
  <c r="AA20" i="16"/>
  <c r="O20" i="16"/>
  <c r="AE19" i="16"/>
  <c r="AA19" i="16"/>
  <c r="O19" i="16"/>
  <c r="AE18" i="16"/>
  <c r="AA18" i="16"/>
  <c r="O18" i="16"/>
  <c r="AE17" i="16"/>
  <c r="AA17" i="16"/>
  <c r="O17" i="16"/>
  <c r="AE16" i="16"/>
  <c r="AA16" i="16"/>
  <c r="O16" i="16"/>
  <c r="AE15" i="16"/>
  <c r="AA15" i="16"/>
  <c r="O15" i="16"/>
  <c r="AE14" i="16"/>
  <c r="AA14" i="16"/>
  <c r="O14" i="16"/>
  <c r="AE13" i="16"/>
  <c r="AA13" i="16"/>
  <c r="O13" i="16"/>
  <c r="AE12" i="16"/>
  <c r="AA12" i="16"/>
  <c r="O12" i="16"/>
  <c r="AE11" i="16"/>
  <c r="AE42" i="16" s="1"/>
  <c r="AA11" i="16"/>
  <c r="O11" i="16"/>
  <c r="B8" i="16"/>
  <c r="I42" i="15"/>
  <c r="O22" i="15"/>
  <c r="B50" i="15"/>
  <c r="B48" i="15"/>
  <c r="B49" i="15" s="1"/>
  <c r="Z42" i="15"/>
  <c r="Z43" i="15" s="1"/>
  <c r="Y42" i="15"/>
  <c r="X42" i="15"/>
  <c r="W42" i="15"/>
  <c r="V42" i="15"/>
  <c r="U42" i="15"/>
  <c r="T42" i="15"/>
  <c r="T43" i="15" s="1"/>
  <c r="S42" i="15"/>
  <c r="R42" i="15"/>
  <c r="R43" i="15" s="1"/>
  <c r="Q42" i="15"/>
  <c r="P42" i="15"/>
  <c r="P43" i="15" s="1"/>
  <c r="N42" i="15"/>
  <c r="M42" i="15"/>
  <c r="L42" i="15"/>
  <c r="K42" i="15"/>
  <c r="J42" i="15"/>
  <c r="AE41" i="15"/>
  <c r="AA41" i="15"/>
  <c r="O41" i="15"/>
  <c r="AA40" i="15"/>
  <c r="O40" i="15"/>
  <c r="AA39" i="15"/>
  <c r="O39" i="15"/>
  <c r="AA38" i="15"/>
  <c r="O38" i="15"/>
  <c r="AA37" i="15"/>
  <c r="O37" i="15"/>
  <c r="AA36" i="15"/>
  <c r="O36" i="15"/>
  <c r="AA35" i="15"/>
  <c r="O35" i="15"/>
  <c r="AA34" i="15"/>
  <c r="O34" i="15"/>
  <c r="AA33" i="15"/>
  <c r="O33" i="15"/>
  <c r="AA32" i="15"/>
  <c r="O32" i="15"/>
  <c r="AA31" i="15"/>
  <c r="O31" i="15"/>
  <c r="AA30" i="15"/>
  <c r="O30" i="15"/>
  <c r="AA29" i="15"/>
  <c r="O29" i="15"/>
  <c r="AA28" i="15"/>
  <c r="O28" i="15"/>
  <c r="AA27" i="15"/>
  <c r="O27" i="15"/>
  <c r="AE26" i="15"/>
  <c r="AA26" i="15"/>
  <c r="O26" i="15"/>
  <c r="AE25" i="15"/>
  <c r="AA25" i="15"/>
  <c r="O25" i="15"/>
  <c r="AE24" i="15"/>
  <c r="AA24" i="15"/>
  <c r="O24" i="15"/>
  <c r="AE23" i="15"/>
  <c r="AA23" i="15"/>
  <c r="O23" i="15"/>
  <c r="AE22" i="15"/>
  <c r="AA22" i="15"/>
  <c r="AE21" i="15"/>
  <c r="AA21" i="15"/>
  <c r="O21" i="15"/>
  <c r="AE20" i="15"/>
  <c r="AA20" i="15"/>
  <c r="O20" i="15"/>
  <c r="AE19" i="15"/>
  <c r="AA19" i="15"/>
  <c r="O19" i="15"/>
  <c r="AE18" i="15"/>
  <c r="AA18" i="15"/>
  <c r="O18" i="15"/>
  <c r="AE17" i="15"/>
  <c r="AA17" i="15"/>
  <c r="O17" i="15"/>
  <c r="AE16" i="15"/>
  <c r="AA16" i="15"/>
  <c r="O16" i="15"/>
  <c r="AE15" i="15"/>
  <c r="AA15" i="15"/>
  <c r="O15" i="15"/>
  <c r="AE14" i="15"/>
  <c r="AA14" i="15"/>
  <c r="O14" i="15"/>
  <c r="AE13" i="15"/>
  <c r="AA13" i="15"/>
  <c r="O13" i="15"/>
  <c r="AE12" i="15"/>
  <c r="AA12" i="15"/>
  <c r="O12" i="15"/>
  <c r="AE11" i="15"/>
  <c r="AE42" i="15" s="1"/>
  <c r="AA11" i="15"/>
  <c r="O11" i="15"/>
  <c r="B8" i="15"/>
  <c r="B43" i="14"/>
  <c r="B44" i="14" s="1"/>
  <c r="B45" i="14"/>
  <c r="I37" i="14"/>
  <c r="O8" i="14"/>
  <c r="AA17" i="14"/>
  <c r="AE16" i="14"/>
  <c r="Z37" i="14"/>
  <c r="Z38" i="14" s="1"/>
  <c r="Y37" i="14"/>
  <c r="X37" i="14"/>
  <c r="W37" i="14"/>
  <c r="V37" i="14"/>
  <c r="U37" i="14"/>
  <c r="T37" i="14"/>
  <c r="S37" i="14"/>
  <c r="R37" i="14"/>
  <c r="Q37" i="14"/>
  <c r="P37" i="14"/>
  <c r="N37" i="14"/>
  <c r="M37" i="14"/>
  <c r="L37" i="14"/>
  <c r="K37" i="14"/>
  <c r="J37" i="14"/>
  <c r="AE36" i="14"/>
  <c r="AA36" i="14"/>
  <c r="O36" i="14"/>
  <c r="AA35" i="14"/>
  <c r="O35" i="14"/>
  <c r="AA34" i="14"/>
  <c r="O34" i="14"/>
  <c r="AA33" i="14"/>
  <c r="O33" i="14"/>
  <c r="AA32" i="14"/>
  <c r="O32" i="14"/>
  <c r="AA31" i="14"/>
  <c r="O31" i="14"/>
  <c r="AA30" i="14"/>
  <c r="O30" i="14"/>
  <c r="AA29" i="14"/>
  <c r="O29" i="14"/>
  <c r="AA28" i="14"/>
  <c r="O28" i="14"/>
  <c r="AA27" i="14"/>
  <c r="O27" i="14"/>
  <c r="AA26" i="14"/>
  <c r="O26" i="14"/>
  <c r="AA25" i="14"/>
  <c r="O25" i="14"/>
  <c r="AA24" i="14"/>
  <c r="O24" i="14"/>
  <c r="AA23" i="14"/>
  <c r="O23" i="14"/>
  <c r="AA22" i="14"/>
  <c r="O22" i="14"/>
  <c r="AE21" i="14"/>
  <c r="AA21" i="14"/>
  <c r="O21" i="14"/>
  <c r="AE20" i="14"/>
  <c r="AA20" i="14"/>
  <c r="O20" i="14"/>
  <c r="AE19" i="14"/>
  <c r="AA19" i="14"/>
  <c r="O19" i="14"/>
  <c r="AE18" i="14"/>
  <c r="AA18" i="14"/>
  <c r="O18" i="14"/>
  <c r="AE15" i="14"/>
  <c r="AA15" i="14"/>
  <c r="O15" i="14"/>
  <c r="AE14" i="14"/>
  <c r="AA14" i="14"/>
  <c r="O14" i="14"/>
  <c r="AE13" i="14"/>
  <c r="AA13" i="14"/>
  <c r="O13" i="14"/>
  <c r="AE12" i="14"/>
  <c r="AA12" i="14"/>
  <c r="O12" i="14"/>
  <c r="AE11" i="14"/>
  <c r="AA11" i="14"/>
  <c r="O11" i="14"/>
  <c r="AE10" i="14"/>
  <c r="AA10" i="14"/>
  <c r="O10" i="14"/>
  <c r="AE9" i="14"/>
  <c r="AA9" i="14"/>
  <c r="O9" i="14"/>
  <c r="AE8" i="14"/>
  <c r="AA8" i="14"/>
  <c r="AE7" i="14"/>
  <c r="AA7" i="14"/>
  <c r="O7" i="14"/>
  <c r="AE6" i="14"/>
  <c r="AE37" i="14" s="1"/>
  <c r="AA6" i="14"/>
  <c r="O6" i="14"/>
  <c r="B3" i="14"/>
  <c r="Z37" i="12"/>
  <c r="Z38" i="12" s="1"/>
  <c r="Y37" i="12"/>
  <c r="X37" i="12"/>
  <c r="X38" i="12" s="1"/>
  <c r="W37" i="12"/>
  <c r="V37" i="12"/>
  <c r="V38" i="12" s="1"/>
  <c r="U37" i="12"/>
  <c r="T37" i="12"/>
  <c r="T38" i="12" s="1"/>
  <c r="S37" i="12"/>
  <c r="R37" i="12"/>
  <c r="R38" i="12" s="1"/>
  <c r="Q37" i="12"/>
  <c r="P37" i="12"/>
  <c r="P38" i="12" s="1"/>
  <c r="N37" i="12"/>
  <c r="M37" i="12"/>
  <c r="L37" i="12"/>
  <c r="K37" i="12"/>
  <c r="J37" i="12"/>
  <c r="I37" i="12"/>
  <c r="AE36" i="12"/>
  <c r="AA36" i="12"/>
  <c r="O36" i="12"/>
  <c r="AA35" i="12"/>
  <c r="O35" i="12"/>
  <c r="AA34" i="12"/>
  <c r="O34" i="12"/>
  <c r="AA33" i="12"/>
  <c r="O33" i="12"/>
  <c r="AA32" i="12"/>
  <c r="O32" i="12"/>
  <c r="AA31" i="12"/>
  <c r="O31" i="12"/>
  <c r="AA30" i="12"/>
  <c r="O30" i="12"/>
  <c r="AA29" i="12"/>
  <c r="O29" i="12"/>
  <c r="AA28" i="12"/>
  <c r="O28" i="12"/>
  <c r="AA27" i="12"/>
  <c r="O27" i="12"/>
  <c r="AA26" i="12"/>
  <c r="O26" i="12"/>
  <c r="AA25" i="12"/>
  <c r="O25" i="12"/>
  <c r="AA24" i="12"/>
  <c r="O24" i="12"/>
  <c r="AA23" i="12"/>
  <c r="O23" i="12"/>
  <c r="AA22" i="12"/>
  <c r="O22" i="12"/>
  <c r="AE21" i="12"/>
  <c r="AA21" i="12"/>
  <c r="O21" i="12"/>
  <c r="AE20" i="12"/>
  <c r="AA20" i="12"/>
  <c r="O20" i="12"/>
  <c r="AE19" i="12"/>
  <c r="AA19" i="12"/>
  <c r="O19" i="12"/>
  <c r="AE18" i="12"/>
  <c r="AA18" i="12"/>
  <c r="O18" i="12"/>
  <c r="AE17" i="12"/>
  <c r="AA17" i="12"/>
  <c r="O17" i="12"/>
  <c r="AE16" i="12"/>
  <c r="AA16" i="12"/>
  <c r="O16" i="12"/>
  <c r="AE15" i="12"/>
  <c r="AA15" i="12"/>
  <c r="O15" i="12"/>
  <c r="AE14" i="12"/>
  <c r="AA14" i="12"/>
  <c r="O14" i="12"/>
  <c r="AE13" i="12"/>
  <c r="AA13" i="12"/>
  <c r="O13" i="12"/>
  <c r="AE12" i="12"/>
  <c r="AA12" i="12"/>
  <c r="O12" i="12"/>
  <c r="AE11" i="12"/>
  <c r="AA11" i="12"/>
  <c r="O11" i="12"/>
  <c r="AE10" i="12"/>
  <c r="AA10" i="12"/>
  <c r="O10" i="12"/>
  <c r="AE9" i="12"/>
  <c r="AA9" i="12"/>
  <c r="O9" i="12"/>
  <c r="AE8" i="12"/>
  <c r="AA8" i="12"/>
  <c r="O8" i="12"/>
  <c r="AE7" i="12"/>
  <c r="AA7" i="12"/>
  <c r="O7" i="12"/>
  <c r="AE6" i="12"/>
  <c r="AE37" i="12" s="1"/>
  <c r="AA6" i="12"/>
  <c r="O6" i="12"/>
  <c r="B3" i="12"/>
  <c r="C48" i="11"/>
  <c r="C46" i="11"/>
  <c r="C47" i="11" s="1"/>
  <c r="AF37" i="11"/>
  <c r="AB37" i="11"/>
  <c r="AA37" i="11"/>
  <c r="AA38" i="11" s="1"/>
  <c r="Z37" i="11"/>
  <c r="Y37" i="11"/>
  <c r="Y38" i="11" s="1"/>
  <c r="X37" i="11"/>
  <c r="W37" i="11"/>
  <c r="W38" i="11" s="1"/>
  <c r="V37" i="11"/>
  <c r="U37" i="11"/>
  <c r="U38" i="11" s="1"/>
  <c r="T37" i="11"/>
  <c r="S37" i="11"/>
  <c r="S38" i="11" s="1"/>
  <c r="R37" i="11"/>
  <c r="Q37" i="11"/>
  <c r="Q38" i="11" s="1"/>
  <c r="P37" i="11"/>
  <c r="O37" i="11"/>
  <c r="N37" i="11"/>
  <c r="M37" i="11"/>
  <c r="L37" i="11"/>
  <c r="K37" i="11"/>
  <c r="J37" i="11"/>
  <c r="J38" i="11" s="1"/>
  <c r="AF36" i="11"/>
  <c r="AB36" i="11"/>
  <c r="P36" i="11"/>
  <c r="AB35" i="11"/>
  <c r="P35" i="11"/>
  <c r="AB34" i="11"/>
  <c r="P34" i="11"/>
  <c r="AB33" i="11"/>
  <c r="P33" i="11"/>
  <c r="AB32" i="11"/>
  <c r="P32" i="11"/>
  <c r="AB31" i="11"/>
  <c r="P31" i="11"/>
  <c r="AB30" i="11"/>
  <c r="P30" i="11"/>
  <c r="AB29" i="11"/>
  <c r="P29" i="11"/>
  <c r="AB28" i="11"/>
  <c r="P28" i="11"/>
  <c r="AB27" i="11"/>
  <c r="P27" i="11"/>
  <c r="AB26" i="11"/>
  <c r="P26" i="11"/>
  <c r="AB25" i="11"/>
  <c r="P25" i="11"/>
  <c r="AB24" i="11"/>
  <c r="P24" i="11"/>
  <c r="AB23" i="11"/>
  <c r="P23" i="11"/>
  <c r="AB22" i="11"/>
  <c r="P22" i="11"/>
  <c r="AF21" i="11"/>
  <c r="AB21" i="11"/>
  <c r="P21" i="11"/>
  <c r="AF20" i="11"/>
  <c r="AB20" i="11"/>
  <c r="P20" i="11"/>
  <c r="AF19" i="11"/>
  <c r="AB19" i="11"/>
  <c r="Y19" i="11"/>
  <c r="P19" i="11"/>
  <c r="AF18" i="11"/>
  <c r="AB18" i="11"/>
  <c r="P18" i="11"/>
  <c r="AF17" i="11"/>
  <c r="AB17" i="11"/>
  <c r="P17" i="11"/>
  <c r="AF16" i="11"/>
  <c r="AB16" i="11"/>
  <c r="P16" i="11"/>
  <c r="AF15" i="11"/>
  <c r="AB15" i="11"/>
  <c r="Y15" i="11"/>
  <c r="P15" i="11"/>
  <c r="AF14" i="11"/>
  <c r="AB14" i="11"/>
  <c r="P14" i="11"/>
  <c r="AF13" i="11"/>
  <c r="AB13" i="11"/>
  <c r="P13" i="11"/>
  <c r="AF12" i="11"/>
  <c r="AB12" i="11"/>
  <c r="P12" i="11"/>
  <c r="AF11" i="11"/>
  <c r="AB11" i="11"/>
  <c r="P11" i="11"/>
  <c r="AF10" i="11"/>
  <c r="AB10" i="11"/>
  <c r="P10" i="11"/>
  <c r="AF9" i="11"/>
  <c r="AB9" i="11"/>
  <c r="P9" i="11"/>
  <c r="AF8" i="11"/>
  <c r="AB8" i="11"/>
  <c r="P8" i="11"/>
  <c r="AF7" i="11"/>
  <c r="AB7" i="11"/>
  <c r="P7" i="11"/>
  <c r="AF6" i="11"/>
  <c r="AB6" i="11"/>
  <c r="P6" i="11"/>
  <c r="C3" i="11"/>
  <c r="B46" i="13"/>
  <c r="B44" i="13"/>
  <c r="B45" i="13" s="1"/>
  <c r="AE37" i="13"/>
  <c r="Z37" i="13"/>
  <c r="Z38" i="13" s="1"/>
  <c r="Y37" i="13"/>
  <c r="X37" i="13"/>
  <c r="X38" i="13" s="1"/>
  <c r="W37" i="13"/>
  <c r="V37" i="13"/>
  <c r="V38" i="13" s="1"/>
  <c r="U37" i="13"/>
  <c r="T37" i="13"/>
  <c r="T38" i="13" s="1"/>
  <c r="S37" i="13"/>
  <c r="R37" i="13"/>
  <c r="R38" i="13" s="1"/>
  <c r="Q37" i="13"/>
  <c r="P37" i="13"/>
  <c r="P38" i="13" s="1"/>
  <c r="N37" i="13"/>
  <c r="M37" i="13"/>
  <c r="L37" i="13"/>
  <c r="K37" i="13"/>
  <c r="J37" i="13"/>
  <c r="I37" i="13"/>
  <c r="I38" i="13" s="1"/>
  <c r="AE36" i="13"/>
  <c r="AA36" i="13"/>
  <c r="O36" i="13"/>
  <c r="AA35" i="13"/>
  <c r="O35" i="13"/>
  <c r="AA34" i="13"/>
  <c r="O34" i="13"/>
  <c r="AA33" i="13"/>
  <c r="O33" i="13"/>
  <c r="AA32" i="13"/>
  <c r="O32" i="13"/>
  <c r="AA31" i="13"/>
  <c r="O31" i="13"/>
  <c r="AA30" i="13"/>
  <c r="O30" i="13"/>
  <c r="AA29" i="13"/>
  <c r="O29" i="13"/>
  <c r="AA28" i="13"/>
  <c r="O28" i="13"/>
  <c r="AA27" i="13"/>
  <c r="O27" i="13"/>
  <c r="AA26" i="13"/>
  <c r="O26" i="13"/>
  <c r="AA25" i="13"/>
  <c r="O25" i="13"/>
  <c r="AA24" i="13"/>
  <c r="O24" i="13"/>
  <c r="AA23" i="13"/>
  <c r="O23" i="13"/>
  <c r="AA22" i="13"/>
  <c r="O22" i="13"/>
  <c r="AE21" i="13"/>
  <c r="AA21" i="13"/>
  <c r="O21" i="13"/>
  <c r="AE20" i="13"/>
  <c r="AA20" i="13"/>
  <c r="AA37" i="13" s="1"/>
  <c r="O20" i="13"/>
  <c r="O37" i="13" s="1"/>
  <c r="AE19" i="13"/>
  <c r="AA19" i="13"/>
  <c r="O19" i="13"/>
  <c r="AE18" i="13"/>
  <c r="AA18" i="13"/>
  <c r="O18" i="13"/>
  <c r="AE17" i="13"/>
  <c r="AA17" i="13"/>
  <c r="O17" i="13"/>
  <c r="AE16" i="13"/>
  <c r="AA16" i="13"/>
  <c r="O16" i="13"/>
  <c r="AE15" i="13"/>
  <c r="AA15" i="13"/>
  <c r="O15" i="13"/>
  <c r="AE14" i="13"/>
  <c r="AA14" i="13"/>
  <c r="O14" i="13"/>
  <c r="AE13" i="13"/>
  <c r="AA13" i="13"/>
  <c r="O13" i="13"/>
  <c r="AE12" i="13"/>
  <c r="AA12" i="13"/>
  <c r="O12" i="13"/>
  <c r="AE11" i="13"/>
  <c r="AA11" i="13"/>
  <c r="O11" i="13"/>
  <c r="AE10" i="13"/>
  <c r="AA10" i="13"/>
  <c r="O10" i="13"/>
  <c r="AE9" i="13"/>
  <c r="AA9" i="13"/>
  <c r="O9" i="13"/>
  <c r="AE8" i="13"/>
  <c r="AA8" i="13"/>
  <c r="O8" i="13"/>
  <c r="AE7" i="13"/>
  <c r="AA7" i="13"/>
  <c r="O7" i="13"/>
  <c r="AE6" i="13"/>
  <c r="AA6" i="13"/>
  <c r="O6" i="13"/>
  <c r="B3" i="13"/>
  <c r="B46" i="9"/>
  <c r="B44" i="9"/>
  <c r="B45" i="9" s="1"/>
  <c r="AE37" i="9"/>
  <c r="AA37" i="9"/>
  <c r="Z37" i="9"/>
  <c r="Z38" i="9" s="1"/>
  <c r="Y37" i="9"/>
  <c r="X37" i="9"/>
  <c r="X38" i="9" s="1"/>
  <c r="W37" i="9"/>
  <c r="V37" i="9"/>
  <c r="V38" i="9" s="1"/>
  <c r="U37" i="9"/>
  <c r="T37" i="9"/>
  <c r="T38" i="9" s="1"/>
  <c r="S37" i="9"/>
  <c r="R37" i="9"/>
  <c r="R38" i="9" s="1"/>
  <c r="Q37" i="9"/>
  <c r="P37" i="9"/>
  <c r="P38" i="9" s="1"/>
  <c r="O37" i="9"/>
  <c r="N37" i="9"/>
  <c r="M37" i="9"/>
  <c r="L37" i="9"/>
  <c r="K37" i="9"/>
  <c r="J37" i="9"/>
  <c r="I37" i="9"/>
  <c r="I38" i="9" s="1"/>
  <c r="AE36" i="9"/>
  <c r="AA36" i="9"/>
  <c r="O36" i="9"/>
  <c r="AA35" i="9"/>
  <c r="O35" i="9"/>
  <c r="AA34" i="9"/>
  <c r="O34" i="9"/>
  <c r="AA33" i="9"/>
  <c r="O33" i="9"/>
  <c r="AA32" i="9"/>
  <c r="O32" i="9"/>
  <c r="AA31" i="9"/>
  <c r="O31" i="9"/>
  <c r="AA30" i="9"/>
  <c r="O30" i="9"/>
  <c r="AA29" i="9"/>
  <c r="O29" i="9"/>
  <c r="AA28" i="9"/>
  <c r="O28" i="9"/>
  <c r="AA27" i="9"/>
  <c r="O27" i="9"/>
  <c r="AA26" i="9"/>
  <c r="O26" i="9"/>
  <c r="AA25" i="9"/>
  <c r="O25" i="9"/>
  <c r="AA24" i="9"/>
  <c r="O24" i="9"/>
  <c r="AA23" i="9"/>
  <c r="O23" i="9"/>
  <c r="AA22" i="9"/>
  <c r="O22" i="9"/>
  <c r="AE21" i="9"/>
  <c r="AA21" i="9"/>
  <c r="O21" i="9"/>
  <c r="AE20" i="9"/>
  <c r="AA20" i="9"/>
  <c r="O20" i="9"/>
  <c r="AE19" i="9"/>
  <c r="AA19" i="9"/>
  <c r="O19" i="9"/>
  <c r="AE18" i="9"/>
  <c r="AA18" i="9"/>
  <c r="O18" i="9"/>
  <c r="AE17" i="9"/>
  <c r="AA17" i="9"/>
  <c r="O17" i="9"/>
  <c r="AE16" i="9"/>
  <c r="AA16" i="9"/>
  <c r="O16" i="9"/>
  <c r="AE15" i="9"/>
  <c r="AA15" i="9"/>
  <c r="O15" i="9"/>
  <c r="AE14" i="9"/>
  <c r="AA14" i="9"/>
  <c r="O14" i="9"/>
  <c r="AE13" i="9"/>
  <c r="AA13" i="9"/>
  <c r="O13" i="9"/>
  <c r="AE12" i="9"/>
  <c r="AA12" i="9"/>
  <c r="O12" i="9"/>
  <c r="AE11" i="9"/>
  <c r="AA11" i="9"/>
  <c r="O11" i="9"/>
  <c r="AE10" i="9"/>
  <c r="AA10" i="9"/>
  <c r="O10" i="9"/>
  <c r="AE9" i="9"/>
  <c r="AA9" i="9"/>
  <c r="O9" i="9"/>
  <c r="AE8" i="9"/>
  <c r="AA8" i="9"/>
  <c r="O8" i="9"/>
  <c r="AE7" i="9"/>
  <c r="AA7" i="9"/>
  <c r="O7" i="9"/>
  <c r="AE6" i="9"/>
  <c r="AA6" i="9"/>
  <c r="O6" i="9"/>
  <c r="B3" i="9"/>
  <c r="AE37" i="8"/>
  <c r="Z37" i="8"/>
  <c r="Z38" i="8" s="1"/>
  <c r="Y37" i="8"/>
  <c r="X37" i="8"/>
  <c r="X38" i="8" s="1"/>
  <c r="W37" i="8"/>
  <c r="V37" i="8"/>
  <c r="V38" i="8" s="1"/>
  <c r="U37" i="8"/>
  <c r="T37" i="8"/>
  <c r="T38" i="8" s="1"/>
  <c r="S37" i="8"/>
  <c r="R37" i="8"/>
  <c r="R38" i="8" s="1"/>
  <c r="Q37" i="8"/>
  <c r="P37" i="8"/>
  <c r="P38" i="8" s="1"/>
  <c r="N37" i="8"/>
  <c r="M37" i="8"/>
  <c r="L37" i="8"/>
  <c r="K37" i="8"/>
  <c r="J37" i="8"/>
  <c r="I37" i="8"/>
  <c r="I38" i="8" s="1"/>
  <c r="AE36" i="8"/>
  <c r="AA36" i="8"/>
  <c r="O36" i="8"/>
  <c r="AA35" i="8"/>
  <c r="O35" i="8"/>
  <c r="AA34" i="8"/>
  <c r="O34" i="8"/>
  <c r="AA33" i="8"/>
  <c r="O33" i="8"/>
  <c r="AA32" i="8"/>
  <c r="O32" i="8"/>
  <c r="AA31" i="8"/>
  <c r="O31" i="8"/>
  <c r="AA30" i="8"/>
  <c r="O30" i="8"/>
  <c r="AA29" i="8"/>
  <c r="O29" i="8"/>
  <c r="AA28" i="8"/>
  <c r="O28" i="8"/>
  <c r="AA27" i="8"/>
  <c r="O27" i="8"/>
  <c r="AA26" i="8"/>
  <c r="O26" i="8"/>
  <c r="AA25" i="8"/>
  <c r="O25" i="8"/>
  <c r="AA24" i="8"/>
  <c r="O24" i="8"/>
  <c r="AA23" i="8"/>
  <c r="O23" i="8"/>
  <c r="AA22" i="8"/>
  <c r="O22" i="8"/>
  <c r="AE21" i="8"/>
  <c r="AA21" i="8"/>
  <c r="O21" i="8"/>
  <c r="AE20" i="8"/>
  <c r="AA20" i="8"/>
  <c r="O20" i="8"/>
  <c r="AE19" i="8"/>
  <c r="AA19" i="8"/>
  <c r="AA37" i="8" s="1"/>
  <c r="O19" i="8"/>
  <c r="O37" i="8" s="1"/>
  <c r="AE18" i="8"/>
  <c r="AA18" i="8"/>
  <c r="O18" i="8"/>
  <c r="AE17" i="8"/>
  <c r="AA17" i="8"/>
  <c r="O17" i="8"/>
  <c r="AE16" i="8"/>
  <c r="AA16" i="8"/>
  <c r="O16" i="8"/>
  <c r="AE15" i="8"/>
  <c r="AA15" i="8"/>
  <c r="O15" i="8"/>
  <c r="AE14" i="8"/>
  <c r="AA14" i="8"/>
  <c r="O14" i="8"/>
  <c r="AE13" i="8"/>
  <c r="AA13" i="8"/>
  <c r="O13" i="8"/>
  <c r="AE12" i="8"/>
  <c r="AA12" i="8"/>
  <c r="O12" i="8"/>
  <c r="AE11" i="8"/>
  <c r="AA11" i="8"/>
  <c r="O11" i="8"/>
  <c r="AE10" i="8"/>
  <c r="AA10" i="8"/>
  <c r="O10" i="8"/>
  <c r="AE9" i="8"/>
  <c r="AA9" i="8"/>
  <c r="O9" i="8"/>
  <c r="AE8" i="8"/>
  <c r="AA8" i="8"/>
  <c r="O8" i="8"/>
  <c r="AE7" i="8"/>
  <c r="AA7" i="8"/>
  <c r="O7" i="8"/>
  <c r="AE6" i="8"/>
  <c r="AA6" i="8"/>
  <c r="O6" i="8"/>
  <c r="B3" i="8"/>
  <c r="AE37" i="7"/>
  <c r="Z37" i="7"/>
  <c r="Z38" i="7" s="1"/>
  <c r="Y37" i="7"/>
  <c r="X37" i="7"/>
  <c r="X38" i="7" s="1"/>
  <c r="W37" i="7"/>
  <c r="V37" i="7"/>
  <c r="V38" i="7" s="1"/>
  <c r="U37" i="7"/>
  <c r="T37" i="7"/>
  <c r="T38" i="7" s="1"/>
  <c r="S37" i="7"/>
  <c r="R37" i="7"/>
  <c r="R38" i="7" s="1"/>
  <c r="Q37" i="7"/>
  <c r="P37" i="7"/>
  <c r="P38" i="7" s="1"/>
  <c r="N37" i="7"/>
  <c r="M37" i="7"/>
  <c r="L37" i="7"/>
  <c r="K37" i="7"/>
  <c r="J37" i="7"/>
  <c r="I37" i="7"/>
  <c r="I38" i="7" s="1"/>
  <c r="AE36" i="7"/>
  <c r="AA36" i="7"/>
  <c r="O36" i="7"/>
  <c r="AA35" i="7"/>
  <c r="O35" i="7"/>
  <c r="AA34" i="7"/>
  <c r="O34" i="7"/>
  <c r="O37" i="7" s="1"/>
  <c r="AA33" i="7"/>
  <c r="AA37" i="7" s="1"/>
  <c r="O33" i="7"/>
  <c r="AA32" i="7"/>
  <c r="O32" i="7"/>
  <c r="AA31" i="7"/>
  <c r="O31" i="7"/>
  <c r="AA30" i="7"/>
  <c r="O30" i="7"/>
  <c r="AA29" i="7"/>
  <c r="O29" i="7"/>
  <c r="AA28" i="7"/>
  <c r="O28" i="7"/>
  <c r="AA27" i="7"/>
  <c r="O27" i="7"/>
  <c r="AA26" i="7"/>
  <c r="O26" i="7"/>
  <c r="AA25" i="7"/>
  <c r="O25" i="7"/>
  <c r="AA24" i="7"/>
  <c r="O24" i="7"/>
  <c r="AA23" i="7"/>
  <c r="O23" i="7"/>
  <c r="AA22" i="7"/>
  <c r="O22" i="7"/>
  <c r="AE21" i="7"/>
  <c r="AA21" i="7"/>
  <c r="O21" i="7"/>
  <c r="AE20" i="7"/>
  <c r="AA20" i="7"/>
  <c r="O20" i="7"/>
  <c r="AE19" i="7"/>
  <c r="AA19" i="7"/>
  <c r="O19" i="7"/>
  <c r="AE18" i="7"/>
  <c r="AA18" i="7"/>
  <c r="O18" i="7"/>
  <c r="AE17" i="7"/>
  <c r="AA17" i="7"/>
  <c r="O17" i="7"/>
  <c r="AE16" i="7"/>
  <c r="AA16" i="7"/>
  <c r="O16" i="7"/>
  <c r="AE15" i="7"/>
  <c r="AA15" i="7"/>
  <c r="O15" i="7"/>
  <c r="AE14" i="7"/>
  <c r="AA14" i="7"/>
  <c r="O14" i="7"/>
  <c r="AE13" i="7"/>
  <c r="AA13" i="7"/>
  <c r="O13" i="7"/>
  <c r="AE12" i="7"/>
  <c r="AA12" i="7"/>
  <c r="O12" i="7"/>
  <c r="AE11" i="7"/>
  <c r="AA11" i="7"/>
  <c r="O11" i="7"/>
  <c r="AE10" i="7"/>
  <c r="AA10" i="7"/>
  <c r="O10" i="7"/>
  <c r="AE9" i="7"/>
  <c r="AA9" i="7"/>
  <c r="O9" i="7"/>
  <c r="AE8" i="7"/>
  <c r="AA8" i="7"/>
  <c r="O8" i="7"/>
  <c r="AE7" i="7"/>
  <c r="AA7" i="7"/>
  <c r="O7" i="7"/>
  <c r="AE6" i="7"/>
  <c r="AA6" i="7"/>
  <c r="O6" i="7"/>
  <c r="B3" i="7"/>
  <c r="AJ37" i="6"/>
  <c r="AJ38" i="6" s="1"/>
  <c r="AI37" i="6"/>
  <c r="AH37" i="6"/>
  <c r="AH38" i="6" s="1"/>
  <c r="AG37" i="6"/>
  <c r="AF37" i="6"/>
  <c r="AF38" i="6" s="1"/>
  <c r="AE37" i="6"/>
  <c r="AD37" i="6"/>
  <c r="AD38" i="6" s="1"/>
  <c r="AC37" i="6"/>
  <c r="AB37" i="6"/>
  <c r="AB38" i="6" s="1"/>
  <c r="AA37" i="6"/>
  <c r="Z37" i="6"/>
  <c r="Z38" i="6" s="1"/>
  <c r="Y37" i="6"/>
  <c r="X37" i="6"/>
  <c r="X38" i="6" s="1"/>
  <c r="W37" i="6"/>
  <c r="V37" i="6"/>
  <c r="V38" i="6" s="1"/>
  <c r="U37" i="6"/>
  <c r="T37" i="6"/>
  <c r="T38" i="6" s="1"/>
  <c r="S37" i="6"/>
  <c r="R37" i="6"/>
  <c r="R38" i="6" s="1"/>
  <c r="Q37" i="6"/>
  <c r="P37" i="6"/>
  <c r="P38" i="6" s="1"/>
  <c r="N37" i="6"/>
  <c r="M37" i="6"/>
  <c r="L37" i="6"/>
  <c r="K37" i="6"/>
  <c r="I37" i="6"/>
  <c r="AO36" i="6"/>
  <c r="AK36" i="6"/>
  <c r="O36" i="6"/>
  <c r="AK35" i="6"/>
  <c r="O35" i="6"/>
  <c r="AK34" i="6"/>
  <c r="O34" i="6"/>
  <c r="AK33" i="6"/>
  <c r="O33" i="6"/>
  <c r="AK32" i="6"/>
  <c r="O32" i="6"/>
  <c r="AK31" i="6"/>
  <c r="O31" i="6"/>
  <c r="AK30" i="6"/>
  <c r="O30" i="6"/>
  <c r="AK29" i="6"/>
  <c r="O29" i="6"/>
  <c r="AK28" i="6"/>
  <c r="O28" i="6"/>
  <c r="AK27" i="6"/>
  <c r="O27" i="6"/>
  <c r="AK26" i="6"/>
  <c r="O26" i="6"/>
  <c r="AK25" i="6"/>
  <c r="O25" i="6"/>
  <c r="AK24" i="6"/>
  <c r="O24" i="6"/>
  <c r="AK23" i="6"/>
  <c r="O23" i="6"/>
  <c r="AK22" i="6"/>
  <c r="O22" i="6"/>
  <c r="AO21" i="6"/>
  <c r="AK21" i="6"/>
  <c r="O21" i="6"/>
  <c r="AO20" i="6"/>
  <c r="AK20" i="6"/>
  <c r="O20" i="6"/>
  <c r="AO19" i="6"/>
  <c r="AK19" i="6"/>
  <c r="O19" i="6"/>
  <c r="AO18" i="6"/>
  <c r="AK18" i="6"/>
  <c r="O18" i="6"/>
  <c r="AO17" i="6"/>
  <c r="AK17" i="6"/>
  <c r="O17" i="6"/>
  <c r="AO16" i="6"/>
  <c r="AK16" i="6"/>
  <c r="O16" i="6"/>
  <c r="AO15" i="6"/>
  <c r="AK15" i="6"/>
  <c r="O15" i="6"/>
  <c r="J14" i="6"/>
  <c r="AO13" i="6"/>
  <c r="AK13" i="6"/>
  <c r="O13" i="6"/>
  <c r="AO12" i="6"/>
  <c r="AK12" i="6"/>
  <c r="O12" i="6"/>
  <c r="AO11" i="6"/>
  <c r="AK11" i="6"/>
  <c r="O11" i="6"/>
  <c r="AO10" i="6"/>
  <c r="AK10" i="6"/>
  <c r="O10" i="6"/>
  <c r="AO9" i="6"/>
  <c r="AK9" i="6"/>
  <c r="O9" i="6"/>
  <c r="AO8" i="6"/>
  <c r="AK8" i="6"/>
  <c r="O8" i="6"/>
  <c r="AO7" i="6"/>
  <c r="AK7" i="6"/>
  <c r="O7" i="6"/>
  <c r="AO6" i="6"/>
  <c r="AO37" i="6" s="1"/>
  <c r="AK6" i="6"/>
  <c r="O6" i="6"/>
  <c r="B3" i="6"/>
  <c r="V38" i="1"/>
  <c r="T38" i="1"/>
  <c r="R38" i="1"/>
  <c r="P38" i="1"/>
  <c r="I38" i="1"/>
  <c r="AO37" i="1"/>
  <c r="AK37" i="1"/>
  <c r="AJ37" i="1"/>
  <c r="AJ38" i="1" s="1"/>
  <c r="AI37" i="1"/>
  <c r="AH37" i="1"/>
  <c r="AH38" i="1" s="1"/>
  <c r="AG37" i="1"/>
  <c r="AF37" i="1"/>
  <c r="AF38" i="1" s="1"/>
  <c r="AE37" i="1"/>
  <c r="AD37" i="1"/>
  <c r="AD38" i="1" s="1"/>
  <c r="AC37" i="1"/>
  <c r="AB37" i="1"/>
  <c r="AB38" i="1" s="1"/>
  <c r="AA37" i="1"/>
  <c r="Z37" i="1"/>
  <c r="Z38" i="1" s="1"/>
  <c r="Y37" i="1"/>
  <c r="X38" i="1" s="1"/>
  <c r="X37" i="1"/>
  <c r="W37" i="1"/>
  <c r="V37" i="1"/>
  <c r="U37" i="1"/>
  <c r="T37" i="1"/>
  <c r="S37" i="1"/>
  <c r="R37" i="1"/>
  <c r="Q37" i="1"/>
  <c r="P37" i="1"/>
  <c r="N37" i="1"/>
  <c r="M37" i="1"/>
  <c r="L37" i="1"/>
  <c r="K37" i="1"/>
  <c r="J37" i="1"/>
  <c r="I37" i="1"/>
  <c r="AO36" i="1"/>
  <c r="AK36" i="1"/>
  <c r="O36" i="1"/>
  <c r="AK35" i="1"/>
  <c r="O35" i="1"/>
  <c r="AK34" i="1"/>
  <c r="O34" i="1"/>
  <c r="AK33" i="1"/>
  <c r="O33" i="1"/>
  <c r="AK32" i="1"/>
  <c r="O32" i="1"/>
  <c r="AK31" i="1"/>
  <c r="O31" i="1"/>
  <c r="AK30" i="1"/>
  <c r="O30" i="1"/>
  <c r="AK29" i="1"/>
  <c r="O29" i="1"/>
  <c r="AK28" i="1"/>
  <c r="O28" i="1"/>
  <c r="AK27" i="1"/>
  <c r="O27" i="1"/>
  <c r="AK26" i="1"/>
  <c r="O26" i="1"/>
  <c r="AK25" i="1"/>
  <c r="O25" i="1"/>
  <c r="AK24" i="1"/>
  <c r="O24" i="1"/>
  <c r="AK23" i="1"/>
  <c r="O23" i="1"/>
  <c r="AK22" i="1"/>
  <c r="O22" i="1"/>
  <c r="AO21" i="1"/>
  <c r="AK21" i="1"/>
  <c r="O21" i="1"/>
  <c r="AO20" i="1"/>
  <c r="AK20" i="1"/>
  <c r="O20" i="1"/>
  <c r="AO19" i="1"/>
  <c r="AK19" i="1"/>
  <c r="O19" i="1"/>
  <c r="AO18" i="1"/>
  <c r="AK18" i="1"/>
  <c r="O18" i="1"/>
  <c r="AO17" i="1"/>
  <c r="AK17" i="1"/>
  <c r="O17" i="1"/>
  <c r="AO16" i="1"/>
  <c r="AK16" i="1"/>
  <c r="O16" i="1"/>
  <c r="AO15" i="1"/>
  <c r="AK15" i="1"/>
  <c r="O15" i="1"/>
  <c r="AO14" i="1"/>
  <c r="AK14" i="1"/>
  <c r="O14" i="1"/>
  <c r="AO13" i="1"/>
  <c r="AK13" i="1"/>
  <c r="O13" i="1"/>
  <c r="O37" i="1" s="1"/>
  <c r="AO12" i="1"/>
  <c r="AK12" i="1"/>
  <c r="O12" i="1"/>
  <c r="AO11" i="1"/>
  <c r="AK11" i="1"/>
  <c r="O11" i="1"/>
  <c r="AO10" i="1"/>
  <c r="AK10" i="1"/>
  <c r="O10" i="1"/>
  <c r="AO9" i="1"/>
  <c r="AK9" i="1"/>
  <c r="O9" i="1"/>
  <c r="AO8" i="1"/>
  <c r="AK8" i="1"/>
  <c r="O8" i="1"/>
  <c r="AO7" i="1"/>
  <c r="AK7" i="1"/>
  <c r="O7" i="1"/>
  <c r="AO6" i="1"/>
  <c r="AK6" i="1"/>
  <c r="O6" i="1"/>
  <c r="B3" i="1"/>
  <c r="AK42" i="21" l="1"/>
  <c r="V43" i="19"/>
  <c r="T43" i="19"/>
  <c r="R43" i="19"/>
  <c r="P43" i="19"/>
  <c r="AK42" i="19"/>
  <c r="I43" i="19"/>
  <c r="P43" i="17"/>
  <c r="X43" i="17"/>
  <c r="I43" i="17"/>
  <c r="AK42" i="17"/>
  <c r="V43" i="17"/>
  <c r="J37" i="6"/>
  <c r="I38" i="6" s="1"/>
  <c r="AK14" i="6"/>
  <c r="AK37" i="6" s="1"/>
  <c r="AO14" i="6"/>
  <c r="O14" i="6"/>
  <c r="O37" i="6" s="1"/>
  <c r="I43" i="16"/>
  <c r="V43" i="16"/>
  <c r="X43" i="16"/>
  <c r="P43" i="16"/>
  <c r="AA42" i="16"/>
  <c r="X43" i="15"/>
  <c r="I43" i="15"/>
  <c r="V43" i="15"/>
  <c r="AA42" i="15"/>
  <c r="X38" i="14"/>
  <c r="O17" i="14"/>
  <c r="AE17" i="14"/>
  <c r="O16" i="14"/>
  <c r="I38" i="14"/>
  <c r="AA16" i="14"/>
  <c r="AA37" i="14" s="1"/>
  <c r="R38" i="14"/>
  <c r="V38" i="14"/>
  <c r="P38" i="14"/>
  <c r="T38" i="14"/>
  <c r="AA37" i="12"/>
  <c r="O37" i="12"/>
  <c r="I3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AJ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se cuadra balance material ya fue completado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Z3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07/08/2026
Por 2T </t>
        </r>
      </text>
    </comment>
    <comment ref="Z3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07/08/2026
Por 2T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Z3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07/08/2026
Por 2T </t>
        </r>
      </text>
    </comment>
    <comment ref="Z3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 xml:space="preserve">07/08/2026
Por 2T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R1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1915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 xr:uid="{00000000-0006-0000-0B00-000002000000}">
      <text>
        <r>
          <rPr>
            <sz val="9"/>
            <color indexed="81"/>
            <rFont val="Tahoma"/>
            <family val="2"/>
          </rPr>
          <t xml:space="preserve">2000 PZ 
</t>
        </r>
      </text>
    </comment>
    <comment ref="I17" authorId="0" shapeId="0" xr:uid="{00000000-0006-0000-0B00-000003000000}">
      <text>
        <r>
          <rPr>
            <sz val="9"/>
            <color indexed="81"/>
            <rFont val="Tahoma"/>
            <family val="2"/>
          </rPr>
          <t xml:space="preserve">108 PZ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I21" authorId="0" shapeId="0" xr:uid="{00000000-0006-0000-0C00-000001000000}">
      <text>
        <r>
          <rPr>
            <sz val="9"/>
            <color indexed="81"/>
            <rFont val="Tahoma"/>
            <family val="2"/>
          </rPr>
          <t xml:space="preserve">2000 PZ 
</t>
        </r>
      </text>
    </comment>
    <comment ref="I22" authorId="0" shapeId="0" xr:uid="{00000000-0006-0000-0C00-000002000000}">
      <text>
        <r>
          <rPr>
            <sz val="9"/>
            <color indexed="81"/>
            <rFont val="Tahoma"/>
            <family val="2"/>
          </rPr>
          <t xml:space="preserve">108 PZ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Q22" authorId="0" shapeId="0" xr:uid="{DCA697B6-57B7-4E4D-BFBA-15AABF9086F1}">
      <text>
        <r>
          <rPr>
            <b/>
            <sz val="9"/>
            <color indexed="81"/>
            <rFont val="Tahoma"/>
            <family val="2"/>
          </rPr>
          <t xml:space="preserve">4684 
2700 pz  por 2T 
800 de 4684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<sst xmlns="http://schemas.openxmlformats.org/spreadsheetml/2006/main" count="2497" uniqueCount="130">
  <si>
    <t>CLIENTE</t>
  </si>
  <si>
    <t>DIAMETRO</t>
  </si>
  <si>
    <t>PARED</t>
  </si>
  <si>
    <t>PESO</t>
  </si>
  <si>
    <t>PROGRAMA</t>
  </si>
  <si>
    <t>SEMANA</t>
  </si>
  <si>
    <t>DESTINO</t>
  </si>
  <si>
    <t>NÚMERO DE PARTE</t>
  </si>
  <si>
    <t>KG</t>
  </si>
  <si>
    <t>Ag2</t>
  </si>
  <si>
    <t>Ag1</t>
  </si>
  <si>
    <t>Ag3</t>
  </si>
  <si>
    <t>Ag4</t>
  </si>
  <si>
    <t>Ag5</t>
  </si>
  <si>
    <t>BALANCE</t>
  </si>
  <si>
    <t>A</t>
  </si>
  <si>
    <t>B</t>
  </si>
  <si>
    <t>DÍA</t>
  </si>
  <si>
    <t>TURNO</t>
  </si>
  <si>
    <t>TOTAL</t>
  </si>
  <si>
    <t>AYB</t>
  </si>
  <si>
    <t>MAS AGREGADO</t>
  </si>
  <si>
    <t>CAJA</t>
  </si>
  <si>
    <t>HOJA COLOR</t>
  </si>
  <si>
    <t>CANT. X CAJA</t>
  </si>
  <si>
    <t>12.5X12.5X12.5</t>
  </si>
  <si>
    <t>30X20X7</t>
  </si>
  <si>
    <t>44x41x12</t>
  </si>
  <si>
    <t>42X45X20</t>
  </si>
  <si>
    <t>25x20x12.5</t>
  </si>
  <si>
    <t>TOTAL CAJAS</t>
  </si>
  <si>
    <t>Row Labels</t>
  </si>
  <si>
    <t>Grand Total</t>
  </si>
  <si>
    <t>Sum of TOTAL CAJAS</t>
  </si>
  <si>
    <t>PRECIO</t>
  </si>
  <si>
    <t>CANTIDAD</t>
  </si>
  <si>
    <t xml:space="preserve">FECHA: </t>
  </si>
  <si>
    <t>LÍNEA:</t>
  </si>
  <si>
    <t>TURNO:</t>
  </si>
  <si>
    <t>COORDINADOR:</t>
  </si>
  <si>
    <t>REPORTE DE PIEZAS MAQUINAS INTEGRADORAS (HELIAN)</t>
  </si>
  <si>
    <t>MAQUILA MTY</t>
  </si>
  <si>
    <t>REPORTE DE PIEZAS ENTREGADAS MTY (EMPAQUE)</t>
  </si>
  <si>
    <t>X17180736014</t>
  </si>
  <si>
    <t>JUAN CARRANZA</t>
  </si>
  <si>
    <t>MESA MTY / TRANE</t>
  </si>
  <si>
    <t>MESA MTY / CARRIER</t>
  </si>
  <si>
    <t xml:space="preserve">VIRGINIA POSADA </t>
  </si>
  <si>
    <t>340923-401</t>
  </si>
  <si>
    <t>EDUARDO PEREZ</t>
  </si>
  <si>
    <t>50HE002090B</t>
  </si>
  <si>
    <t>50HE002112D</t>
  </si>
  <si>
    <t>50TM001578G</t>
  </si>
  <si>
    <t>50TM001452G</t>
  </si>
  <si>
    <t>50HE002263E</t>
  </si>
  <si>
    <t>MESA MTY / CARRIER D</t>
  </si>
  <si>
    <t>48TM004285B</t>
  </si>
  <si>
    <t>48TM004286B</t>
  </si>
  <si>
    <t>48TM004684B</t>
  </si>
  <si>
    <t>48TM004686B</t>
  </si>
  <si>
    <t>48TM004687B</t>
  </si>
  <si>
    <t>334052-403</t>
  </si>
  <si>
    <t>332867-403</t>
  </si>
  <si>
    <t>MESA MTY / CARRIER A</t>
  </si>
  <si>
    <t>73406B</t>
  </si>
  <si>
    <t>73406C</t>
  </si>
  <si>
    <t>MESA MTY / BRAZEWAY</t>
  </si>
  <si>
    <t>MESA MTY / LENNOX 2</t>
  </si>
  <si>
    <t>ARMANDO MARTINEZ</t>
  </si>
  <si>
    <t>629056-01</t>
  </si>
  <si>
    <t>626977-01</t>
  </si>
  <si>
    <t>626975-01</t>
  </si>
  <si>
    <t>626970-01</t>
  </si>
  <si>
    <t>626973-01</t>
  </si>
  <si>
    <t>629243-01</t>
  </si>
  <si>
    <t>630064-01</t>
  </si>
  <si>
    <t>626971-01</t>
  </si>
  <si>
    <t>629226-01</t>
  </si>
  <si>
    <t>626979-01</t>
  </si>
  <si>
    <t>48TM005431C</t>
  </si>
  <si>
    <r>
      <t xml:space="preserve">MESA MTY / </t>
    </r>
    <r>
      <rPr>
        <b/>
        <sz val="11"/>
        <color theme="1"/>
        <rFont val="Calibri"/>
        <family val="2"/>
        <scheme val="minor"/>
      </rPr>
      <t>TRANE</t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</si>
  <si>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CARRIER</t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</si>
  <si>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CARRIER D</t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</si>
  <si>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CARRIER A</t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</si>
  <si>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LENNOX</t>
    </r>
    <r>
      <rPr>
        <sz val="11"/>
        <color theme="1"/>
        <rFont val="Calibri"/>
        <family val="2"/>
        <scheme val="minor"/>
      </rPr>
      <t xml:space="preserve"> 2</t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</si>
  <si>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LENNOX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</si>
  <si>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 xml:space="preserve">MESA MTY / </t>
    </r>
    <r>
      <rPr>
        <b/>
        <sz val="11"/>
        <color theme="1"/>
        <rFont val="Calibri"/>
        <family val="2"/>
        <scheme val="minor"/>
      </rPr>
      <t>BRAZEWAY</t>
    </r>
  </si>
  <si>
    <t xml:space="preserve">LENNOX </t>
  </si>
  <si>
    <t xml:space="preserve">BRAZEWAY </t>
  </si>
  <si>
    <t xml:space="preserve">TRANE </t>
  </si>
  <si>
    <t>CARRIER</t>
  </si>
  <si>
    <t>REPORTE DE PIEZAS - MÁQUINAS INTEGRADORAS (HELIAN)</t>
  </si>
  <si>
    <t>50HE002090</t>
  </si>
  <si>
    <t>50HE002112</t>
  </si>
  <si>
    <t>50TM001578</t>
  </si>
  <si>
    <t>50TM001452</t>
  </si>
  <si>
    <t>50HE002263</t>
  </si>
  <si>
    <t>48TM004285</t>
  </si>
  <si>
    <t>48TM004286</t>
  </si>
  <si>
    <t>48TM004684</t>
  </si>
  <si>
    <t>48TM004686</t>
  </si>
  <si>
    <t>48TM004687</t>
  </si>
  <si>
    <t>48TM005431</t>
  </si>
  <si>
    <t>48TM003414</t>
  </si>
  <si>
    <t>Convertirlo a horas</t>
  </si>
  <si>
    <t>META</t>
  </si>
  <si>
    <t>X DÍA</t>
  </si>
  <si>
    <t>X TURNO</t>
  </si>
  <si>
    <t>programado</t>
  </si>
  <si>
    <t>pendiente / balance</t>
  </si>
  <si>
    <t>entregado</t>
  </si>
  <si>
    <t>avance</t>
  </si>
  <si>
    <t xml:space="preserve">pendiente </t>
  </si>
  <si>
    <t>W31</t>
  </si>
  <si>
    <t xml:space="preserve">Lunes </t>
  </si>
  <si>
    <t xml:space="preserve">Martes </t>
  </si>
  <si>
    <t>Miércoles</t>
  </si>
  <si>
    <t>Jueves</t>
  </si>
  <si>
    <t>Viernes</t>
  </si>
  <si>
    <t>Avance</t>
  </si>
  <si>
    <t xml:space="preserve">Pendiente </t>
  </si>
  <si>
    <t>W33</t>
  </si>
  <si>
    <t>W35</t>
  </si>
  <si>
    <t xml:space="preserve">EMPAQUE </t>
  </si>
  <si>
    <t xml:space="preserve">Paro programado </t>
  </si>
  <si>
    <t>W39</t>
  </si>
  <si>
    <t xml:space="preserve">Viernes </t>
  </si>
  <si>
    <t>W41</t>
  </si>
  <si>
    <t>FO-CP-03</t>
  </si>
  <si>
    <t>W42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</si>
</sst>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-* #,##0_-;\-* #,##0_-;_-* &quot;-&quot;??_-;_-@_-"/>
    <numFmt numFmtId="167" formatCode="dd/mm/yy;@"/>
    <numFmt numFmtId="168" formatCode="#\ ???/???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Tahoma"/>
      <family val="2"/>
    </font>
    <font>
      <sz val="11"/>
      <name val="Calibri"/>
      <family val="2"/>
      <scheme val="minor"/>
    </font>
    <font>
      <sz val="10"/>
      <name val="Tahoma"/>
      <family val="2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FDF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3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3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8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3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3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3" fontId="0" fillId="9" borderId="1" xfId="0" applyNumberForma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4" fontId="13" fillId="7" borderId="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0" fillId="15" borderId="1" xfId="0" applyFont="1" applyFill="1" applyBorder="1" applyAlignment="1">
      <alignment horizontal="center" vertical="center"/>
    </xf>
    <xf numFmtId="167" fontId="2" fillId="0" borderId="18" xfId="0" applyNumberFormat="1" applyFont="1" applyBorder="1" applyAlignment="1">
      <alignment horizontal="center" vertical="center"/>
    </xf>
    <xf numFmtId="167" fontId="2" fillId="0" borderId="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168" fontId="6" fillId="0" borderId="17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2" fontId="0" fillId="0" borderId="15" xfId="2" applyNumberFormat="1" applyFont="1" applyBorder="1" applyAlignment="1">
      <alignment horizontal="center" vertical="center"/>
    </xf>
    <xf numFmtId="12" fontId="0" fillId="0" borderId="14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4">
    <cellStyle name="Millares" xfId="1" builtinId="3"/>
    <cellStyle name="Millares 2" xfId="3" xr:uid="{00000000-0005-0000-0000-000001000000}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DDF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BALANCE%20LENNOX%201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RHEEM%20TRANSFERENCIA,%20FALCON,%20CIP,%20NIPLES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AA3CB7-F7AF-498F-9F36-B0CF15B6B1AC}"/>
            </a:ext>
          </a:extLst>
        </xdr:cNvPr>
        <xdr:cNvSpPr/>
      </xdr:nvSpPr>
      <xdr:spPr>
        <a:xfrm>
          <a:off x="7075716" y="149682"/>
          <a:ext cx="2122714" cy="61232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7" name="Rectángulo: esquinas redondeada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DCD47-7C61-4429-A8F9-7B150A6F4CFE}"/>
            </a:ext>
          </a:extLst>
        </xdr:cNvPr>
        <xdr:cNvSpPr/>
      </xdr:nvSpPr>
      <xdr:spPr>
        <a:xfrm>
          <a:off x="2449285" y="163285"/>
          <a:ext cx="2122714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8" name="Rectángulo: esquinas redondeada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A4F0DC-1272-4B80-9D0E-7D55A732B8B7}"/>
            </a:ext>
          </a:extLst>
        </xdr:cNvPr>
        <xdr:cNvSpPr/>
      </xdr:nvSpPr>
      <xdr:spPr>
        <a:xfrm>
          <a:off x="68036" y="166006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99A11D-05C2-4A58-B942-A493E1F7D110}"/>
            </a:ext>
          </a:extLst>
        </xdr:cNvPr>
        <xdr:cNvSpPr/>
      </xdr:nvSpPr>
      <xdr:spPr>
        <a:xfrm>
          <a:off x="4789714" y="176893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C6788-AAA4-44CE-9C27-B6B1394DDF26}"/>
            </a:ext>
          </a:extLst>
        </xdr:cNvPr>
        <xdr:cNvSpPr/>
      </xdr:nvSpPr>
      <xdr:spPr>
        <a:xfrm>
          <a:off x="7077077" y="149682"/>
          <a:ext cx="2113189" cy="612320"/>
        </a:xfrm>
        <a:prstGeom prst="roundRect">
          <a:avLst/>
        </a:prstGeom>
        <a:solidFill>
          <a:schemeClr val="tx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6D216F-60D0-4D10-9008-BB3086D15519}"/>
            </a:ext>
          </a:extLst>
        </xdr:cNvPr>
        <xdr:cNvSpPr/>
      </xdr:nvSpPr>
      <xdr:spPr>
        <a:xfrm>
          <a:off x="2454728" y="163285"/>
          <a:ext cx="211999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EFD566-A399-4932-9279-400D6635758D}"/>
            </a:ext>
          </a:extLst>
        </xdr:cNvPr>
        <xdr:cNvSpPr/>
      </xdr:nvSpPr>
      <xdr:spPr>
        <a:xfrm>
          <a:off x="68036" y="166006"/>
          <a:ext cx="2128157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18B0ED-CC0F-47E1-9F5E-4B542B81E6FF}"/>
            </a:ext>
          </a:extLst>
        </xdr:cNvPr>
        <xdr:cNvSpPr/>
      </xdr:nvSpPr>
      <xdr:spPr>
        <a:xfrm>
          <a:off x="4792435" y="176893"/>
          <a:ext cx="212135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AFA48-7030-4DB5-AA2B-641871320B9D}"/>
            </a:ext>
          </a:extLst>
        </xdr:cNvPr>
        <xdr:cNvSpPr/>
      </xdr:nvSpPr>
      <xdr:spPr>
        <a:xfrm>
          <a:off x="7077077" y="149682"/>
          <a:ext cx="2113189" cy="612320"/>
        </a:xfrm>
        <a:prstGeom prst="roundRect">
          <a:avLst/>
        </a:prstGeom>
        <a:solidFill>
          <a:schemeClr val="tx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7EE0A-FC4F-471A-86E9-26E8228888CD}"/>
            </a:ext>
          </a:extLst>
        </xdr:cNvPr>
        <xdr:cNvSpPr/>
      </xdr:nvSpPr>
      <xdr:spPr>
        <a:xfrm>
          <a:off x="2454728" y="163285"/>
          <a:ext cx="211999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8B66D8-CBF3-4142-A0BD-61DFE35D7BEA}"/>
            </a:ext>
          </a:extLst>
        </xdr:cNvPr>
        <xdr:cNvSpPr/>
      </xdr:nvSpPr>
      <xdr:spPr>
        <a:xfrm>
          <a:off x="68036" y="166006"/>
          <a:ext cx="2128157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EADD30-5324-4060-8EB3-F9AD5E907C96}"/>
            </a:ext>
          </a:extLst>
        </xdr:cNvPr>
        <xdr:cNvSpPr/>
      </xdr:nvSpPr>
      <xdr:spPr>
        <a:xfrm>
          <a:off x="4792435" y="176893"/>
          <a:ext cx="212135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2F8DEE-02BC-4F1D-B361-A6D86FCB4C45}"/>
            </a:ext>
          </a:extLst>
        </xdr:cNvPr>
        <xdr:cNvSpPr/>
      </xdr:nvSpPr>
      <xdr:spPr>
        <a:xfrm>
          <a:off x="7077077" y="149682"/>
          <a:ext cx="723898" cy="612320"/>
        </a:xfrm>
        <a:prstGeom prst="roundRect">
          <a:avLst/>
        </a:prstGeom>
        <a:solidFill>
          <a:schemeClr val="tx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784146-1DE3-4540-8AAE-E077EAE503E0}"/>
            </a:ext>
          </a:extLst>
        </xdr:cNvPr>
        <xdr:cNvSpPr/>
      </xdr:nvSpPr>
      <xdr:spPr>
        <a:xfrm>
          <a:off x="2454728" y="163285"/>
          <a:ext cx="211999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AC5794-07D7-4F2B-843C-A4EE38E5EE27}"/>
            </a:ext>
          </a:extLst>
        </xdr:cNvPr>
        <xdr:cNvSpPr/>
      </xdr:nvSpPr>
      <xdr:spPr>
        <a:xfrm>
          <a:off x="68036" y="166006"/>
          <a:ext cx="2128157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28F7B0-E6F1-42FF-A10D-93AD128D846B}"/>
            </a:ext>
          </a:extLst>
        </xdr:cNvPr>
        <xdr:cNvSpPr/>
      </xdr:nvSpPr>
      <xdr:spPr>
        <a:xfrm>
          <a:off x="4792435" y="176893"/>
          <a:ext cx="212135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4801E-480B-4A29-93BD-4CEB9FC63387}"/>
            </a:ext>
          </a:extLst>
        </xdr:cNvPr>
        <xdr:cNvSpPr/>
      </xdr:nvSpPr>
      <xdr:spPr>
        <a:xfrm>
          <a:off x="7077077" y="149682"/>
          <a:ext cx="723898" cy="612320"/>
        </a:xfrm>
        <a:prstGeom prst="roundRect">
          <a:avLst/>
        </a:prstGeom>
        <a:solidFill>
          <a:schemeClr val="tx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A7FED-900B-4A0C-A982-B1B1382D22CE}"/>
            </a:ext>
          </a:extLst>
        </xdr:cNvPr>
        <xdr:cNvSpPr/>
      </xdr:nvSpPr>
      <xdr:spPr>
        <a:xfrm>
          <a:off x="2454728" y="163285"/>
          <a:ext cx="211999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2076BE-3C0B-4F7F-A2CB-FAE8911D0B6D}"/>
            </a:ext>
          </a:extLst>
        </xdr:cNvPr>
        <xdr:cNvSpPr/>
      </xdr:nvSpPr>
      <xdr:spPr>
        <a:xfrm>
          <a:off x="68036" y="166006"/>
          <a:ext cx="2128157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806305-190B-4A7A-B2F8-C57AC638A5C2}"/>
            </a:ext>
          </a:extLst>
        </xdr:cNvPr>
        <xdr:cNvSpPr/>
      </xdr:nvSpPr>
      <xdr:spPr>
        <a:xfrm>
          <a:off x="4792435" y="176893"/>
          <a:ext cx="212135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190502</xdr:colOff>
      <xdr:row>0</xdr:row>
      <xdr:rowOff>149682</xdr:rowOff>
    </xdr:from>
    <xdr:to>
      <xdr:col>17</xdr:col>
      <xdr:colOff>408216</xdr:colOff>
      <xdr:row>4</xdr:row>
      <xdr:rowOff>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5C7E0-DF47-4866-B08A-6CA7B7290F9C}"/>
            </a:ext>
          </a:extLst>
        </xdr:cNvPr>
        <xdr:cNvSpPr/>
      </xdr:nvSpPr>
      <xdr:spPr>
        <a:xfrm>
          <a:off x="7077077" y="149682"/>
          <a:ext cx="723898" cy="612320"/>
        </a:xfrm>
        <a:prstGeom prst="roundRect">
          <a:avLst/>
        </a:prstGeom>
        <a:solidFill>
          <a:schemeClr val="tx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1</xdr:col>
      <xdr:colOff>1102178</xdr:colOff>
      <xdr:row>0</xdr:row>
      <xdr:rowOff>163285</xdr:rowOff>
    </xdr:from>
    <xdr:to>
      <xdr:col>3</xdr:col>
      <xdr:colOff>517070</xdr:colOff>
      <xdr:row>4</xdr:row>
      <xdr:rowOff>13605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374DE3-BB25-4FB9-81A8-D778D1F31724}"/>
            </a:ext>
          </a:extLst>
        </xdr:cNvPr>
        <xdr:cNvSpPr/>
      </xdr:nvSpPr>
      <xdr:spPr>
        <a:xfrm>
          <a:off x="2454728" y="163285"/>
          <a:ext cx="211999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68036</xdr:colOff>
      <xdr:row>0</xdr:row>
      <xdr:rowOff>166006</xdr:rowOff>
    </xdr:from>
    <xdr:to>
      <xdr:col>1</xdr:col>
      <xdr:colOff>843643</xdr:colOff>
      <xdr:row>4</xdr:row>
      <xdr:rowOff>19047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1309F9-4410-49DF-97D9-68E885CFAF00}"/>
            </a:ext>
          </a:extLst>
        </xdr:cNvPr>
        <xdr:cNvSpPr/>
      </xdr:nvSpPr>
      <xdr:spPr>
        <a:xfrm>
          <a:off x="68036" y="166006"/>
          <a:ext cx="2128157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  <xdr:twoCellAnchor>
    <xdr:from>
      <xdr:col>3</xdr:col>
      <xdr:colOff>734785</xdr:colOff>
      <xdr:row>0</xdr:row>
      <xdr:rowOff>176893</xdr:rowOff>
    </xdr:from>
    <xdr:to>
      <xdr:col>14</xdr:col>
      <xdr:colOff>27214</xdr:colOff>
      <xdr:row>4</xdr:row>
      <xdr:rowOff>29934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EA9FA0-1285-4BD6-9850-72D44094CC0A}"/>
            </a:ext>
          </a:extLst>
        </xdr:cNvPr>
        <xdr:cNvSpPr/>
      </xdr:nvSpPr>
      <xdr:spPr>
        <a:xfrm>
          <a:off x="4792435" y="176893"/>
          <a:ext cx="212135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tinez" refreshedDate="46218.853067708333" createdVersion="5" refreshedVersion="5" minRefreshableVersion="3" recordCount="117" xr:uid="{00000000-000A-0000-FFFF-FFFF04000000}">
  <cacheSource type="worksheet">
    <worksheetSource ref="AL5:AO36" sheet="SEMANA 28"/>
  </cacheSource>
  <cacheFields count="4">
    <cacheField name="CAJA" numFmtId="0">
      <sharedItems containsMixedTypes="1" containsNumber="1" containsInteger="1" minValue="0" maxValue="0" count="6">
        <s v="12.5X12.5X12.5"/>
        <s v="30X20X7"/>
        <s v="44x41x12"/>
        <n v="0"/>
        <s v="42X45X20"/>
        <s v="25x20x12.5"/>
      </sharedItems>
    </cacheField>
    <cacheField name="CANT. X CAJA" numFmtId="0">
      <sharedItems containsSemiMixedTypes="0" containsString="0" containsNumber="1" containsInteger="1" minValue="0" maxValue="2000"/>
    </cacheField>
    <cacheField name="HOJA COLOR" numFmtId="0">
      <sharedItems/>
    </cacheField>
    <cacheField name="TOTAL CAJAS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tinez" refreshedDate="46218.853067708333" createdVersion="5" refreshedVersion="5" minRefreshableVersion="3" recordCount="117" xr:uid="{2C150E77-AC80-4C1B-B506-115A2539B470}">
  <cacheSource type="worksheet">
    <worksheetSource ref="AL5:AO36" sheet="SEMANA 28"/>
  </cacheSource>
  <cacheFields count="4">
    <cacheField name="CAJA" numFmtId="0">
      <sharedItems containsMixedTypes="1" containsNumber="1" containsInteger="1" minValue="0" maxValue="0" count="6">
        <s v="12.5X12.5X12.5"/>
        <s v="30X20X7"/>
        <s v="44x41x12"/>
        <n v="0"/>
        <s v="42X45X20"/>
        <s v="25x20x12.5"/>
      </sharedItems>
    </cacheField>
    <cacheField name="CANT. X CAJA" numFmtId="0">
      <sharedItems containsSemiMixedTypes="0" containsString="0" containsNumber="1" containsInteger="1" minValue="0" maxValue="2000"/>
    </cacheField>
    <cacheField name="HOJA COLOR" numFmtId="0">
      <sharedItems/>
    </cacheField>
    <cacheField name="TOTAL CAJAS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n v="150"/>
    <s v="VERDE"/>
    <n v="0"/>
  </r>
  <r>
    <x v="0"/>
    <n v="200"/>
    <s v="VERDE"/>
    <n v="7"/>
  </r>
  <r>
    <x v="0"/>
    <n v="200"/>
    <s v="VERDE"/>
    <n v="0"/>
  </r>
  <r>
    <x v="0"/>
    <n v="100"/>
    <s v="VERDE"/>
    <n v="0"/>
  </r>
  <r>
    <x v="0"/>
    <n v="150"/>
    <s v="VERDE"/>
    <n v="0"/>
  </r>
  <r>
    <x v="0"/>
    <n v="150"/>
    <s v="VERDE"/>
    <n v="0"/>
  </r>
  <r>
    <x v="0"/>
    <n v="50"/>
    <s v="VERDE"/>
    <n v="22"/>
  </r>
  <r>
    <x v="0"/>
    <n v="100"/>
    <s v="VERDE"/>
    <n v="0"/>
  </r>
  <r>
    <x v="0"/>
    <n v="50"/>
    <s v="VERDE"/>
    <n v="0"/>
  </r>
  <r>
    <x v="1"/>
    <n v="60"/>
    <s v="VERDE"/>
    <n v="0"/>
  </r>
  <r>
    <x v="0"/>
    <n v="100"/>
    <s v="VERDE"/>
    <n v="0"/>
  </r>
  <r>
    <x v="2"/>
    <n v="100"/>
    <s v="VERDE"/>
    <n v="0"/>
  </r>
  <r>
    <x v="2"/>
    <n v="100"/>
    <s v="VERDE"/>
    <n v="4"/>
  </r>
  <r>
    <x v="2"/>
    <n v="100"/>
    <s v="VERDE"/>
    <n v="0"/>
  </r>
  <r>
    <x v="2"/>
    <n v="80"/>
    <s v="VERDE"/>
    <n v="0"/>
  </r>
  <r>
    <x v="2"/>
    <n v="1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2"/>
    <n v="200"/>
    <s v="VERDE"/>
    <n v="0"/>
  </r>
  <r>
    <x v="2"/>
    <n v="100"/>
    <s v="VERDE"/>
    <n v="6"/>
  </r>
  <r>
    <x v="2"/>
    <n v="100"/>
    <s v="VERDE"/>
    <n v="0"/>
  </r>
  <r>
    <x v="4"/>
    <n v="2000"/>
    <s v="VERDE"/>
    <n v="1"/>
  </r>
  <r>
    <x v="4"/>
    <n v="500"/>
    <s v="VERDE"/>
    <n v="0"/>
  </r>
  <r>
    <x v="4"/>
    <n v="250"/>
    <s v="VERDE"/>
    <n v="0"/>
  </r>
  <r>
    <x v="4"/>
    <n v="300"/>
    <s v="VERDE"/>
    <n v="0"/>
  </r>
  <r>
    <x v="4"/>
    <n v="300"/>
    <s v="VERDE"/>
    <n v="0"/>
  </r>
  <r>
    <x v="4"/>
    <n v="2000"/>
    <s v="VERDE"/>
    <n v="0"/>
  </r>
  <r>
    <x v="4"/>
    <n v="10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1000"/>
    <s v="VERDE"/>
    <n v="1"/>
  </r>
  <r>
    <x v="4"/>
    <n v="200"/>
    <s v="VERDE"/>
    <n v="0"/>
  </r>
  <r>
    <x v="4"/>
    <n v="1000"/>
    <s v="VERDE"/>
    <n v="0"/>
  </r>
  <r>
    <x v="4"/>
    <n v="500"/>
    <s v="VERDE"/>
    <n v="0"/>
  </r>
  <r>
    <x v="4"/>
    <n v="1000"/>
    <s v="VERDE"/>
    <n v="0"/>
  </r>
  <r>
    <x v="4"/>
    <n v="200"/>
    <s v="VERDE"/>
    <n v="0"/>
  </r>
  <r>
    <x v="4"/>
    <n v="5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4"/>
    <n v="50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0"/>
    <n v="200"/>
    <s v="NARANJA"/>
    <n v="6"/>
  </r>
  <r>
    <x v="0"/>
    <n v="200"/>
    <s v="NARANJA"/>
    <n v="11"/>
  </r>
  <r>
    <x v="0"/>
    <n v="200"/>
    <s v="NARANJA"/>
    <n v="6"/>
  </r>
  <r>
    <x v="3"/>
    <n v="0"/>
    <s v="NARANJA"/>
    <n v="0"/>
  </r>
  <r>
    <x v="3"/>
    <n v="0"/>
    <s v="NARANJA"/>
    <n v="0"/>
  </r>
  <r>
    <x v="3"/>
    <n v="0"/>
    <s v="NARANJA"/>
    <n v="0"/>
  </r>
  <r>
    <x v="3"/>
    <n v="0"/>
    <s v="NARANJA"/>
    <n v="0"/>
  </r>
  <r>
    <x v="1"/>
    <n v="100"/>
    <s v="NARANJA"/>
    <n v="22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150"/>
    <s v="NARANJA"/>
    <n v="0"/>
  </r>
  <r>
    <x v="1"/>
    <n v="150"/>
    <s v="NARANJA"/>
    <n v="7"/>
  </r>
  <r>
    <x v="1"/>
    <n v="150"/>
    <s v="NARANJA"/>
    <n v="14"/>
  </r>
  <r>
    <x v="1"/>
    <n v="150"/>
    <s v="NARANJA"/>
    <n v="7"/>
  </r>
  <r>
    <x v="1"/>
    <n v="80"/>
    <s v="NARANJA"/>
    <n v="27"/>
  </r>
  <r>
    <x v="1"/>
    <n v="80"/>
    <s v="NARANJA"/>
    <n v="9"/>
  </r>
  <r>
    <x v="1"/>
    <n v="80"/>
    <s v="NARANJA"/>
    <n v="1"/>
  </r>
  <r>
    <x v="1"/>
    <n v="80"/>
    <s v="NARANJA"/>
    <n v="15"/>
  </r>
  <r>
    <x v="1"/>
    <n v="50"/>
    <s v="NARANJA"/>
    <n v="14"/>
  </r>
  <r>
    <x v="5"/>
    <n v="50"/>
    <s v="NARANJA"/>
    <n v="0"/>
  </r>
  <r>
    <x v="5"/>
    <n v="50"/>
    <s v="NARANJA"/>
    <n v="0"/>
  </r>
  <r>
    <x v="0"/>
    <n v="250"/>
    <s v="AZUL"/>
    <n v="0"/>
  </r>
  <r>
    <x v="0"/>
    <n v="250"/>
    <s v="AZUL"/>
    <n v="0"/>
  </r>
  <r>
    <x v="0"/>
    <n v="25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n v="150"/>
    <s v="VERDE"/>
    <n v="0"/>
  </r>
  <r>
    <x v="0"/>
    <n v="200"/>
    <s v="VERDE"/>
    <n v="7"/>
  </r>
  <r>
    <x v="0"/>
    <n v="200"/>
    <s v="VERDE"/>
    <n v="0"/>
  </r>
  <r>
    <x v="0"/>
    <n v="100"/>
    <s v="VERDE"/>
    <n v="0"/>
  </r>
  <r>
    <x v="0"/>
    <n v="150"/>
    <s v="VERDE"/>
    <n v="0"/>
  </r>
  <r>
    <x v="0"/>
    <n v="150"/>
    <s v="VERDE"/>
    <n v="0"/>
  </r>
  <r>
    <x v="0"/>
    <n v="50"/>
    <s v="VERDE"/>
    <n v="22"/>
  </r>
  <r>
    <x v="0"/>
    <n v="100"/>
    <s v="VERDE"/>
    <n v="0"/>
  </r>
  <r>
    <x v="0"/>
    <n v="50"/>
    <s v="VERDE"/>
    <n v="0"/>
  </r>
  <r>
    <x v="1"/>
    <n v="60"/>
    <s v="VERDE"/>
    <n v="0"/>
  </r>
  <r>
    <x v="0"/>
    <n v="100"/>
    <s v="VERDE"/>
    <n v="0"/>
  </r>
  <r>
    <x v="2"/>
    <n v="100"/>
    <s v="VERDE"/>
    <n v="0"/>
  </r>
  <r>
    <x v="2"/>
    <n v="100"/>
    <s v="VERDE"/>
    <n v="4"/>
  </r>
  <r>
    <x v="2"/>
    <n v="100"/>
    <s v="VERDE"/>
    <n v="0"/>
  </r>
  <r>
    <x v="2"/>
    <n v="80"/>
    <s v="VERDE"/>
    <n v="0"/>
  </r>
  <r>
    <x v="2"/>
    <n v="1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2"/>
    <n v="200"/>
    <s v="VERDE"/>
    <n v="0"/>
  </r>
  <r>
    <x v="2"/>
    <n v="100"/>
    <s v="VERDE"/>
    <n v="6"/>
  </r>
  <r>
    <x v="2"/>
    <n v="100"/>
    <s v="VERDE"/>
    <n v="0"/>
  </r>
  <r>
    <x v="4"/>
    <n v="2000"/>
    <s v="VERDE"/>
    <n v="1"/>
  </r>
  <r>
    <x v="4"/>
    <n v="500"/>
    <s v="VERDE"/>
    <n v="0"/>
  </r>
  <r>
    <x v="4"/>
    <n v="250"/>
    <s v="VERDE"/>
    <n v="0"/>
  </r>
  <r>
    <x v="4"/>
    <n v="300"/>
    <s v="VERDE"/>
    <n v="0"/>
  </r>
  <r>
    <x v="4"/>
    <n v="300"/>
    <s v="VERDE"/>
    <n v="0"/>
  </r>
  <r>
    <x v="4"/>
    <n v="2000"/>
    <s v="VERDE"/>
    <n v="0"/>
  </r>
  <r>
    <x v="4"/>
    <n v="10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1000"/>
    <s v="VERDE"/>
    <n v="1"/>
  </r>
  <r>
    <x v="4"/>
    <n v="200"/>
    <s v="VERDE"/>
    <n v="0"/>
  </r>
  <r>
    <x v="4"/>
    <n v="1000"/>
    <s v="VERDE"/>
    <n v="0"/>
  </r>
  <r>
    <x v="4"/>
    <n v="500"/>
    <s v="VERDE"/>
    <n v="0"/>
  </r>
  <r>
    <x v="4"/>
    <n v="1000"/>
    <s v="VERDE"/>
    <n v="0"/>
  </r>
  <r>
    <x v="4"/>
    <n v="200"/>
    <s v="VERDE"/>
    <n v="0"/>
  </r>
  <r>
    <x v="4"/>
    <n v="5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4"/>
    <n v="50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0"/>
    <n v="200"/>
    <s v="NARANJA"/>
    <n v="6"/>
  </r>
  <r>
    <x v="0"/>
    <n v="200"/>
    <s v="NARANJA"/>
    <n v="11"/>
  </r>
  <r>
    <x v="0"/>
    <n v="200"/>
    <s v="NARANJA"/>
    <n v="6"/>
  </r>
  <r>
    <x v="3"/>
    <n v="0"/>
    <s v="NARANJA"/>
    <n v="0"/>
  </r>
  <r>
    <x v="3"/>
    <n v="0"/>
    <s v="NARANJA"/>
    <n v="0"/>
  </r>
  <r>
    <x v="3"/>
    <n v="0"/>
    <s v="NARANJA"/>
    <n v="0"/>
  </r>
  <r>
    <x v="3"/>
    <n v="0"/>
    <s v="NARANJA"/>
    <n v="0"/>
  </r>
  <r>
    <x v="1"/>
    <n v="100"/>
    <s v="NARANJA"/>
    <n v="22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150"/>
    <s v="NARANJA"/>
    <n v="0"/>
  </r>
  <r>
    <x v="1"/>
    <n v="150"/>
    <s v="NARANJA"/>
    <n v="7"/>
  </r>
  <r>
    <x v="1"/>
    <n v="150"/>
    <s v="NARANJA"/>
    <n v="14"/>
  </r>
  <r>
    <x v="1"/>
    <n v="150"/>
    <s v="NARANJA"/>
    <n v="7"/>
  </r>
  <r>
    <x v="1"/>
    <n v="80"/>
    <s v="NARANJA"/>
    <n v="27"/>
  </r>
  <r>
    <x v="1"/>
    <n v="80"/>
    <s v="NARANJA"/>
    <n v="9"/>
  </r>
  <r>
    <x v="1"/>
    <n v="80"/>
    <s v="NARANJA"/>
    <n v="1"/>
  </r>
  <r>
    <x v="1"/>
    <n v="80"/>
    <s v="NARANJA"/>
    <n v="15"/>
  </r>
  <r>
    <x v="1"/>
    <n v="50"/>
    <s v="NARANJA"/>
    <n v="14"/>
  </r>
  <r>
    <x v="5"/>
    <n v="50"/>
    <s v="NARANJA"/>
    <n v="0"/>
  </r>
  <r>
    <x v="5"/>
    <n v="50"/>
    <s v="NARANJA"/>
    <n v="0"/>
  </r>
  <r>
    <x v="0"/>
    <n v="250"/>
    <s v="AZUL"/>
    <n v="0"/>
  </r>
  <r>
    <x v="0"/>
    <n v="250"/>
    <s v="AZUL"/>
    <n v="0"/>
  </r>
  <r>
    <x v="0"/>
    <n v="25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5:AR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5:AR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10:AH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10:AH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4D651-542B-4AB6-9932-53952563DF7E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10:AR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7FF4E-20AE-4F0F-8E21-D735F5161341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10:AR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C8854-A4B3-4934-AD92-07E24775BF0C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10:AR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6F4B5-97EB-4BAD-A654-7AF4305D4EA6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10:AR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0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2.xm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41"/>
  <sheetViews>
    <sheetView view="pageBreakPreview" zoomScaleNormal="100" zoomScaleSheetLayoutView="100" workbookViewId="0">
      <selection activeCell="C20" sqref="C20"/>
    </sheetView>
  </sheetViews>
  <sheetFormatPr baseColWidth="10" defaultColWidth="8.7109375" defaultRowHeight="15" x14ac:dyDescent="0.25"/>
  <cols>
    <col min="1" max="1" width="8.7109375" style="1"/>
    <col min="2" max="2" width="21.85546875" style="1" customWidth="1"/>
    <col min="3" max="3" width="19.42578125" style="1" customWidth="1"/>
    <col min="4" max="4" width="3.7109375" style="1" hidden="1" customWidth="1"/>
    <col min="5" max="5" width="13.140625" style="1" customWidth="1"/>
    <col min="6" max="6" width="17" style="1" customWidth="1"/>
    <col min="7" max="7" width="17.85546875" style="1" customWidth="1"/>
    <col min="8" max="8" width="11.5703125" style="1" customWidth="1"/>
    <col min="9" max="9" width="12.5703125" style="1" bestFit="1" customWidth="1"/>
    <col min="10" max="10" width="17.28515625" style="1" bestFit="1" customWidth="1"/>
    <col min="11" max="11" width="14.42578125" style="1" customWidth="1"/>
    <col min="12" max="12" width="20.140625" style="1" customWidth="1"/>
    <col min="13" max="13" width="19" style="1" customWidth="1"/>
    <col min="14" max="14" width="15" style="1" customWidth="1"/>
    <col min="15" max="15" width="12.5703125" style="1" bestFit="1" customWidth="1"/>
    <col min="16" max="16" width="17.28515625" style="1" bestFit="1" customWidth="1"/>
    <col min="17" max="16384" width="8.7109375" style="1"/>
  </cols>
  <sheetData>
    <row r="2" spans="2:16" ht="14.45" customHeight="1" x14ac:dyDescent="0.25"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ht="14.45" customHeight="1" x14ac:dyDescent="0.25">
      <c r="C3" s="21"/>
      <c r="D3" s="21"/>
      <c r="E3" s="104" t="s">
        <v>41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21"/>
    </row>
    <row r="4" spans="2:16" ht="15" customHeight="1" x14ac:dyDescent="0.25">
      <c r="C4" s="21"/>
      <c r="D4" s="21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21"/>
    </row>
    <row r="6" spans="2:16" ht="42.6" customHeight="1" thickBot="1" x14ac:dyDescent="0.3">
      <c r="B6" s="38"/>
      <c r="C6" s="38"/>
      <c r="D6" s="38"/>
      <c r="E6" s="103" t="s">
        <v>42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38"/>
    </row>
    <row r="8" spans="2:16" x14ac:dyDescent="0.25">
      <c r="E8" s="105" t="s">
        <v>89</v>
      </c>
      <c r="F8" s="105"/>
      <c r="G8" s="105"/>
      <c r="H8" s="105"/>
      <c r="I8" s="105"/>
      <c r="K8" s="109"/>
      <c r="L8" s="109"/>
      <c r="M8" s="109"/>
      <c r="N8" s="109"/>
      <c r="O8" s="109"/>
    </row>
    <row r="9" spans="2:16" x14ac:dyDescent="0.25">
      <c r="E9" s="4" t="s">
        <v>0</v>
      </c>
      <c r="F9" s="4" t="s">
        <v>6</v>
      </c>
      <c r="G9" s="4" t="s">
        <v>7</v>
      </c>
      <c r="H9" s="4" t="s">
        <v>1</v>
      </c>
      <c r="I9" s="4" t="s">
        <v>35</v>
      </c>
      <c r="K9" s="106" t="s">
        <v>87</v>
      </c>
      <c r="L9" s="106"/>
      <c r="M9" s="106"/>
      <c r="N9" s="106"/>
      <c r="O9" s="106"/>
      <c r="P9" s="17"/>
    </row>
    <row r="10" spans="2:16" ht="30" x14ac:dyDescent="0.25">
      <c r="E10" s="24" t="s">
        <v>80</v>
      </c>
      <c r="F10" s="24" t="s">
        <v>44</v>
      </c>
      <c r="G10" s="35" t="s">
        <v>43</v>
      </c>
      <c r="H10" s="16">
        <v>0.375</v>
      </c>
      <c r="I10" s="2"/>
      <c r="K10" s="4" t="s">
        <v>0</v>
      </c>
      <c r="L10" s="4" t="s">
        <v>6</v>
      </c>
      <c r="M10" s="4" t="s">
        <v>7</v>
      </c>
      <c r="N10" s="4" t="s">
        <v>1</v>
      </c>
      <c r="O10" s="4" t="s">
        <v>35</v>
      </c>
    </row>
    <row r="11" spans="2:16" ht="30" customHeight="1" x14ac:dyDescent="0.25">
      <c r="E11" s="31"/>
      <c r="F11" s="32"/>
      <c r="G11" s="39"/>
      <c r="H11" s="34"/>
      <c r="K11" s="110" t="s">
        <v>84</v>
      </c>
      <c r="L11" s="111" t="s">
        <v>68</v>
      </c>
      <c r="M11" s="111" t="s">
        <v>69</v>
      </c>
      <c r="N11" s="113">
        <v>0.75</v>
      </c>
      <c r="O11" s="111"/>
    </row>
    <row r="12" spans="2:16" ht="15.75" customHeight="1" x14ac:dyDescent="0.25">
      <c r="E12" s="108" t="s">
        <v>90</v>
      </c>
      <c r="F12" s="108"/>
      <c r="G12" s="108"/>
      <c r="H12" s="108"/>
      <c r="I12" s="108"/>
      <c r="K12" s="110"/>
      <c r="L12" s="112"/>
      <c r="M12" s="112"/>
      <c r="N12" s="114"/>
      <c r="O12" s="112"/>
    </row>
    <row r="13" spans="2:16" ht="30" x14ac:dyDescent="0.25">
      <c r="E13" s="24" t="s">
        <v>81</v>
      </c>
      <c r="F13" s="24" t="s">
        <v>47</v>
      </c>
      <c r="G13" s="35" t="s">
        <v>48</v>
      </c>
      <c r="H13" s="16">
        <v>0.75</v>
      </c>
      <c r="I13" s="2"/>
      <c r="K13" s="25" t="s">
        <v>84</v>
      </c>
      <c r="L13" s="25" t="s">
        <v>68</v>
      </c>
      <c r="M13" s="40" t="s">
        <v>71</v>
      </c>
      <c r="N13" s="27">
        <v>0.75</v>
      </c>
      <c r="O13" s="26"/>
    </row>
    <row r="14" spans="2:16" ht="30" x14ac:dyDescent="0.25">
      <c r="E14" s="24" t="s">
        <v>82</v>
      </c>
      <c r="F14" s="24" t="s">
        <v>49</v>
      </c>
      <c r="G14" s="35" t="s">
        <v>50</v>
      </c>
      <c r="H14" s="16">
        <v>0.3125</v>
      </c>
      <c r="I14" s="2"/>
      <c r="K14" s="24" t="s">
        <v>85</v>
      </c>
      <c r="L14" s="24" t="s">
        <v>68</v>
      </c>
      <c r="M14" s="35" t="s">
        <v>72</v>
      </c>
      <c r="N14" s="16">
        <v>0.75</v>
      </c>
      <c r="O14" s="2"/>
    </row>
    <row r="15" spans="2:16" ht="30" x14ac:dyDescent="0.25">
      <c r="E15" s="24" t="s">
        <v>82</v>
      </c>
      <c r="F15" s="24" t="s">
        <v>49</v>
      </c>
      <c r="G15" s="35" t="s">
        <v>51</v>
      </c>
      <c r="H15" s="16">
        <v>0.3125</v>
      </c>
      <c r="I15" s="2"/>
      <c r="K15" s="24" t="s">
        <v>85</v>
      </c>
      <c r="L15" s="24" t="s">
        <v>68</v>
      </c>
      <c r="M15" s="35" t="s">
        <v>73</v>
      </c>
      <c r="N15" s="16">
        <v>0.75</v>
      </c>
      <c r="O15" s="2"/>
    </row>
    <row r="16" spans="2:16" ht="30" x14ac:dyDescent="0.25">
      <c r="E16" s="24" t="s">
        <v>82</v>
      </c>
      <c r="F16" s="24" t="s">
        <v>49</v>
      </c>
      <c r="G16" s="35" t="s">
        <v>52</v>
      </c>
      <c r="H16" s="16">
        <v>0.3125</v>
      </c>
      <c r="I16" s="2"/>
      <c r="K16" s="24" t="s">
        <v>85</v>
      </c>
      <c r="L16" s="24" t="s">
        <v>68</v>
      </c>
      <c r="M16" s="35" t="s">
        <v>76</v>
      </c>
      <c r="N16" s="16">
        <v>0.75</v>
      </c>
      <c r="O16" s="2"/>
    </row>
    <row r="17" spans="4:15" ht="30" x14ac:dyDescent="0.25">
      <c r="E17" s="24" t="s">
        <v>82</v>
      </c>
      <c r="F17" s="24" t="s">
        <v>49</v>
      </c>
      <c r="G17" s="35" t="s">
        <v>53</v>
      </c>
      <c r="H17" s="16">
        <v>0.3125</v>
      </c>
      <c r="I17" s="2"/>
      <c r="K17" s="24" t="s">
        <v>85</v>
      </c>
      <c r="L17" s="24" t="s">
        <v>68</v>
      </c>
      <c r="M17" s="35" t="s">
        <v>77</v>
      </c>
      <c r="N17" s="16">
        <v>0.75</v>
      </c>
      <c r="O17" s="2"/>
    </row>
    <row r="18" spans="4:15" ht="30" x14ac:dyDescent="0.25">
      <c r="E18" s="24" t="s">
        <v>82</v>
      </c>
      <c r="F18" s="24" t="s">
        <v>49</v>
      </c>
      <c r="G18" s="35" t="s">
        <v>54</v>
      </c>
      <c r="H18" s="16">
        <v>0.3125</v>
      </c>
      <c r="I18" s="2"/>
      <c r="K18" s="24" t="s">
        <v>85</v>
      </c>
      <c r="L18" s="24" t="s">
        <v>68</v>
      </c>
      <c r="M18" s="35" t="s">
        <v>70</v>
      </c>
      <c r="N18" s="16">
        <v>0.875</v>
      </c>
      <c r="O18" s="2"/>
    </row>
    <row r="19" spans="4:15" ht="30" x14ac:dyDescent="0.25">
      <c r="E19" s="24" t="s">
        <v>82</v>
      </c>
      <c r="F19" s="24" t="s">
        <v>49</v>
      </c>
      <c r="G19" s="35" t="s">
        <v>56</v>
      </c>
      <c r="H19" s="16">
        <v>0.3125</v>
      </c>
      <c r="I19" s="2"/>
      <c r="K19" s="24" t="s">
        <v>85</v>
      </c>
      <c r="L19" s="24" t="s">
        <v>68</v>
      </c>
      <c r="M19" s="35" t="s">
        <v>74</v>
      </c>
      <c r="N19" s="16">
        <v>0.875</v>
      </c>
      <c r="O19" s="2"/>
    </row>
    <row r="20" spans="4:15" ht="30" x14ac:dyDescent="0.25">
      <c r="E20" s="24" t="s">
        <v>82</v>
      </c>
      <c r="F20" s="24" t="s">
        <v>49</v>
      </c>
      <c r="G20" s="35" t="s">
        <v>57</v>
      </c>
      <c r="H20" s="16">
        <v>0.3125</v>
      </c>
      <c r="I20" s="2"/>
      <c r="K20" s="24" t="s">
        <v>85</v>
      </c>
      <c r="L20" s="24" t="s">
        <v>68</v>
      </c>
      <c r="M20" s="35" t="s">
        <v>75</v>
      </c>
      <c r="N20" s="16">
        <v>0.875</v>
      </c>
      <c r="O20" s="2"/>
    </row>
    <row r="21" spans="4:15" ht="30" x14ac:dyDescent="0.25">
      <c r="E21" s="24" t="s">
        <v>82</v>
      </c>
      <c r="F21" s="24" t="s">
        <v>49</v>
      </c>
      <c r="G21" s="35" t="s">
        <v>58</v>
      </c>
      <c r="H21" s="16">
        <v>0.3125</v>
      </c>
      <c r="I21" s="2"/>
      <c r="K21" s="24" t="s">
        <v>85</v>
      </c>
      <c r="L21" s="24" t="s">
        <v>68</v>
      </c>
      <c r="M21" s="35" t="s">
        <v>78</v>
      </c>
      <c r="N21" s="16">
        <v>0.875</v>
      </c>
      <c r="O21" s="2"/>
    </row>
    <row r="22" spans="4:15" ht="30" x14ac:dyDescent="0.25">
      <c r="E22" s="24" t="s">
        <v>82</v>
      </c>
      <c r="F22" s="24" t="s">
        <v>49</v>
      </c>
      <c r="G22" s="35" t="s">
        <v>59</v>
      </c>
      <c r="H22" s="16">
        <v>0.3125</v>
      </c>
      <c r="I22" s="2"/>
      <c r="K22" s="107" t="s">
        <v>88</v>
      </c>
      <c r="L22" s="107"/>
      <c r="M22" s="107"/>
      <c r="N22" s="107"/>
      <c r="O22" s="107"/>
    </row>
    <row r="23" spans="4:15" ht="30" x14ac:dyDescent="0.25">
      <c r="E23" s="24" t="s">
        <v>82</v>
      </c>
      <c r="F23" s="24" t="s">
        <v>49</v>
      </c>
      <c r="G23" s="35" t="s">
        <v>60</v>
      </c>
      <c r="H23" s="16">
        <v>0.3125</v>
      </c>
      <c r="I23" s="2"/>
      <c r="K23" s="24" t="s">
        <v>86</v>
      </c>
      <c r="L23" s="24" t="s">
        <v>49</v>
      </c>
      <c r="M23" s="37" t="s">
        <v>64</v>
      </c>
      <c r="N23" s="16">
        <v>0.375</v>
      </c>
      <c r="O23" s="2"/>
    </row>
    <row r="24" spans="4:15" ht="30" x14ac:dyDescent="0.25">
      <c r="E24" s="24" t="s">
        <v>83</v>
      </c>
      <c r="F24" s="24" t="s">
        <v>49</v>
      </c>
      <c r="G24" s="35" t="s">
        <v>79</v>
      </c>
      <c r="H24" s="16">
        <v>0.3125</v>
      </c>
      <c r="I24" s="2"/>
      <c r="K24" s="24" t="s">
        <v>86</v>
      </c>
      <c r="L24" s="24" t="s">
        <v>49</v>
      </c>
      <c r="M24" s="37" t="s">
        <v>65</v>
      </c>
      <c r="N24" s="16">
        <v>0.375</v>
      </c>
      <c r="O24" s="2"/>
    </row>
    <row r="25" spans="4:15" ht="30" x14ac:dyDescent="0.25">
      <c r="E25" s="24" t="s">
        <v>83</v>
      </c>
      <c r="F25" s="24" t="s">
        <v>49</v>
      </c>
      <c r="G25" s="35" t="s">
        <v>61</v>
      </c>
      <c r="H25" s="16">
        <v>0.3125</v>
      </c>
      <c r="I25" s="2"/>
      <c r="K25" s="18"/>
    </row>
    <row r="26" spans="4:15" ht="30" x14ac:dyDescent="0.25">
      <c r="E26" s="24" t="s">
        <v>83</v>
      </c>
      <c r="F26" s="28" t="s">
        <v>49</v>
      </c>
      <c r="G26" s="36" t="s">
        <v>62</v>
      </c>
      <c r="H26" s="29">
        <v>0.3125</v>
      </c>
      <c r="I26" s="30"/>
      <c r="K26" s="18"/>
    </row>
    <row r="27" spans="4:15" x14ac:dyDescent="0.25">
      <c r="E27" s="32"/>
      <c r="F27" s="32"/>
      <c r="G27" s="33"/>
      <c r="H27" s="34"/>
      <c r="I27" s="33"/>
      <c r="K27" s="18"/>
    </row>
    <row r="28" spans="4:15" x14ac:dyDescent="0.25">
      <c r="K28" s="18"/>
    </row>
    <row r="29" spans="4:15" x14ac:dyDescent="0.25">
      <c r="K29" s="18"/>
    </row>
    <row r="30" spans="4:15" x14ac:dyDescent="0.25">
      <c r="E30" s="31"/>
      <c r="H30" s="18"/>
      <c r="K30" s="18"/>
    </row>
    <row r="31" spans="4:15" x14ac:dyDescent="0.25">
      <c r="K31" s="18"/>
    </row>
    <row r="32" spans="4:15" ht="15.75" thickBot="1" x14ac:dyDescent="0.3">
      <c r="D32" s="19"/>
      <c r="E32" s="17" t="s">
        <v>36</v>
      </c>
      <c r="F32" s="19"/>
      <c r="G32" s="17" t="s">
        <v>37</v>
      </c>
      <c r="H32" s="19"/>
      <c r="I32" s="19"/>
      <c r="J32" s="17" t="s">
        <v>38</v>
      </c>
      <c r="K32" s="19"/>
      <c r="L32" s="19"/>
      <c r="M32" s="17" t="s">
        <v>39</v>
      </c>
      <c r="N32" s="23"/>
      <c r="O32" s="23"/>
    </row>
    <row r="33" spans="5:11" x14ac:dyDescent="0.25">
      <c r="K33" s="18"/>
    </row>
    <row r="34" spans="5:11" x14ac:dyDescent="0.25">
      <c r="K34" s="18"/>
    </row>
    <row r="35" spans="5:11" x14ac:dyDescent="0.25">
      <c r="K35" s="18"/>
    </row>
    <row r="36" spans="5:11" x14ac:dyDescent="0.25">
      <c r="K36" s="18"/>
    </row>
    <row r="37" spans="5:11" x14ac:dyDescent="0.25">
      <c r="K37" s="18"/>
    </row>
    <row r="38" spans="5:11" x14ac:dyDescent="0.25">
      <c r="K38" s="18"/>
    </row>
    <row r="39" spans="5:11" x14ac:dyDescent="0.25">
      <c r="K39" s="18"/>
    </row>
    <row r="40" spans="5:11" x14ac:dyDescent="0.25">
      <c r="K40" s="20"/>
    </row>
    <row r="41" spans="5:11" x14ac:dyDescent="0.25">
      <c r="E41" s="18"/>
      <c r="K41" s="20"/>
    </row>
  </sheetData>
  <mergeCells count="12">
    <mergeCell ref="E6:O6"/>
    <mergeCell ref="E3:O4"/>
    <mergeCell ref="E8:I8"/>
    <mergeCell ref="K9:O9"/>
    <mergeCell ref="K22:O22"/>
    <mergeCell ref="E12:I12"/>
    <mergeCell ref="K8:O8"/>
    <mergeCell ref="K11:K12"/>
    <mergeCell ref="L11:L12"/>
    <mergeCell ref="M11:M12"/>
    <mergeCell ref="N11:N12"/>
    <mergeCell ref="O11:O12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41"/>
  <sheetViews>
    <sheetView view="pageBreakPreview" zoomScaleNormal="100" zoomScaleSheetLayoutView="100" workbookViewId="0">
      <selection activeCell="C22" sqref="C22"/>
    </sheetView>
  </sheetViews>
  <sheetFormatPr baseColWidth="10" defaultColWidth="8.7109375" defaultRowHeight="15" x14ac:dyDescent="0.25"/>
  <cols>
    <col min="1" max="1" width="8.7109375" style="1"/>
    <col min="2" max="2" width="21.85546875" style="1" customWidth="1"/>
    <col min="3" max="3" width="19.42578125" style="1" customWidth="1"/>
    <col min="4" max="4" width="3.7109375" style="1" hidden="1" customWidth="1"/>
    <col min="5" max="5" width="13.140625" style="1" customWidth="1"/>
    <col min="6" max="6" width="17" style="1" customWidth="1"/>
    <col min="7" max="7" width="17.85546875" style="1" customWidth="1"/>
    <col min="8" max="8" width="11.5703125" style="1" customWidth="1"/>
    <col min="9" max="9" width="12.5703125" style="1" bestFit="1" customWidth="1"/>
    <col min="10" max="10" width="17.28515625" style="1" bestFit="1" customWidth="1"/>
    <col min="11" max="11" width="14.42578125" style="1" customWidth="1"/>
    <col min="12" max="12" width="20.140625" style="1" customWidth="1"/>
    <col min="13" max="13" width="19" style="1" customWidth="1"/>
    <col min="14" max="14" width="15" style="1" customWidth="1"/>
    <col min="15" max="15" width="12.5703125" style="1" bestFit="1" customWidth="1"/>
    <col min="16" max="16" width="17.28515625" style="1" bestFit="1" customWidth="1"/>
    <col min="17" max="16384" width="8.7109375" style="1"/>
  </cols>
  <sheetData>
    <row r="2" spans="2:16" ht="14.45" customHeight="1" x14ac:dyDescent="0.25"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ht="14.45" customHeight="1" x14ac:dyDescent="0.25">
      <c r="C3" s="21"/>
      <c r="D3" s="21"/>
      <c r="E3" s="104" t="s">
        <v>41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21"/>
    </row>
    <row r="4" spans="2:16" ht="15" customHeight="1" x14ac:dyDescent="0.25">
      <c r="C4" s="21"/>
      <c r="D4" s="21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21"/>
    </row>
    <row r="6" spans="2:16" ht="42.6" customHeight="1" thickBot="1" x14ac:dyDescent="0.3">
      <c r="B6" s="38"/>
      <c r="C6" s="38"/>
      <c r="D6" s="38"/>
      <c r="E6" s="103" t="s">
        <v>91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38"/>
    </row>
    <row r="8" spans="2:16" x14ac:dyDescent="0.25">
      <c r="E8" s="105" t="s">
        <v>89</v>
      </c>
      <c r="F8" s="105"/>
      <c r="G8" s="105"/>
      <c r="H8" s="105"/>
      <c r="I8" s="105"/>
      <c r="K8" s="109"/>
      <c r="L8" s="109"/>
      <c r="M8" s="109"/>
      <c r="N8" s="109"/>
      <c r="O8" s="109"/>
    </row>
    <row r="9" spans="2:16" x14ac:dyDescent="0.25">
      <c r="E9" s="4" t="s">
        <v>0</v>
      </c>
      <c r="F9" s="4" t="s">
        <v>6</v>
      </c>
      <c r="G9" s="4" t="s">
        <v>7</v>
      </c>
      <c r="H9" s="4" t="s">
        <v>1</v>
      </c>
      <c r="I9" s="4" t="s">
        <v>35</v>
      </c>
      <c r="K9" s="106" t="s">
        <v>87</v>
      </c>
      <c r="L9" s="106"/>
      <c r="M9" s="106"/>
      <c r="N9" s="106"/>
      <c r="O9" s="106"/>
      <c r="P9" s="17"/>
    </row>
    <row r="10" spans="2:16" ht="30" x14ac:dyDescent="0.25">
      <c r="E10" s="24" t="s">
        <v>80</v>
      </c>
      <c r="F10" s="24" t="s">
        <v>44</v>
      </c>
      <c r="G10" s="35" t="s">
        <v>43</v>
      </c>
      <c r="H10" s="16">
        <v>0.375</v>
      </c>
      <c r="I10" s="2"/>
      <c r="K10" s="4" t="s">
        <v>0</v>
      </c>
      <c r="L10" s="4" t="s">
        <v>6</v>
      </c>
      <c r="M10" s="4" t="s">
        <v>7</v>
      </c>
      <c r="N10" s="4" t="s">
        <v>1</v>
      </c>
      <c r="O10" s="4" t="s">
        <v>35</v>
      </c>
    </row>
    <row r="11" spans="2:16" ht="30" customHeight="1" x14ac:dyDescent="0.25">
      <c r="E11" s="31"/>
      <c r="F11" s="32"/>
      <c r="G11" s="39"/>
      <c r="H11" s="34"/>
      <c r="K11" s="110" t="s">
        <v>84</v>
      </c>
      <c r="L11" s="111" t="s">
        <v>68</v>
      </c>
      <c r="M11" s="111" t="s">
        <v>69</v>
      </c>
      <c r="N11" s="113">
        <v>0.75</v>
      </c>
      <c r="O11" s="111"/>
    </row>
    <row r="12" spans="2:16" ht="15.75" customHeight="1" x14ac:dyDescent="0.25">
      <c r="E12" s="108" t="s">
        <v>90</v>
      </c>
      <c r="F12" s="108"/>
      <c r="G12" s="108"/>
      <c r="H12" s="108"/>
      <c r="I12" s="108"/>
      <c r="K12" s="110"/>
      <c r="L12" s="112"/>
      <c r="M12" s="112"/>
      <c r="N12" s="114"/>
      <c r="O12" s="112"/>
    </row>
    <row r="13" spans="2:16" ht="30" x14ac:dyDescent="0.25">
      <c r="E13" s="24" t="s">
        <v>81</v>
      </c>
      <c r="F13" s="24" t="s">
        <v>47</v>
      </c>
      <c r="G13" s="35" t="s">
        <v>48</v>
      </c>
      <c r="H13" s="16">
        <v>0.75</v>
      </c>
      <c r="I13" s="2"/>
      <c r="K13" s="25" t="s">
        <v>84</v>
      </c>
      <c r="L13" s="25" t="s">
        <v>68</v>
      </c>
      <c r="M13" s="40" t="s">
        <v>71</v>
      </c>
      <c r="N13" s="27">
        <v>0.75</v>
      </c>
      <c r="O13" s="26"/>
    </row>
    <row r="14" spans="2:16" ht="30" x14ac:dyDescent="0.25">
      <c r="E14" s="24" t="s">
        <v>82</v>
      </c>
      <c r="F14" s="24" t="s">
        <v>49</v>
      </c>
      <c r="G14" s="35" t="s">
        <v>50</v>
      </c>
      <c r="H14" s="16">
        <v>0.3125</v>
      </c>
      <c r="I14" s="2"/>
      <c r="K14" s="24" t="s">
        <v>85</v>
      </c>
      <c r="L14" s="24" t="s">
        <v>68</v>
      </c>
      <c r="M14" s="35" t="s">
        <v>72</v>
      </c>
      <c r="N14" s="16">
        <v>0.75</v>
      </c>
      <c r="O14" s="2"/>
    </row>
    <row r="15" spans="2:16" ht="30" x14ac:dyDescent="0.25">
      <c r="E15" s="24" t="s">
        <v>82</v>
      </c>
      <c r="F15" s="24" t="s">
        <v>49</v>
      </c>
      <c r="G15" s="35" t="s">
        <v>51</v>
      </c>
      <c r="H15" s="16">
        <v>0.3125</v>
      </c>
      <c r="I15" s="2"/>
      <c r="K15" s="24" t="s">
        <v>85</v>
      </c>
      <c r="L15" s="24" t="s">
        <v>68</v>
      </c>
      <c r="M15" s="35" t="s">
        <v>73</v>
      </c>
      <c r="N15" s="16">
        <v>0.75</v>
      </c>
      <c r="O15" s="2"/>
    </row>
    <row r="16" spans="2:16" ht="30" x14ac:dyDescent="0.25">
      <c r="E16" s="24" t="s">
        <v>82</v>
      </c>
      <c r="F16" s="24" t="s">
        <v>49</v>
      </c>
      <c r="G16" s="35" t="s">
        <v>52</v>
      </c>
      <c r="H16" s="16">
        <v>0.3125</v>
      </c>
      <c r="I16" s="2"/>
      <c r="K16" s="24" t="s">
        <v>85</v>
      </c>
      <c r="L16" s="24" t="s">
        <v>68</v>
      </c>
      <c r="M16" s="35" t="s">
        <v>76</v>
      </c>
      <c r="N16" s="16">
        <v>0.75</v>
      </c>
      <c r="O16" s="2"/>
    </row>
    <row r="17" spans="4:15" ht="30" x14ac:dyDescent="0.25">
      <c r="E17" s="24" t="s">
        <v>82</v>
      </c>
      <c r="F17" s="24" t="s">
        <v>49</v>
      </c>
      <c r="G17" s="35" t="s">
        <v>53</v>
      </c>
      <c r="H17" s="16">
        <v>0.3125</v>
      </c>
      <c r="I17" s="2"/>
      <c r="K17" s="24" t="s">
        <v>85</v>
      </c>
      <c r="L17" s="24" t="s">
        <v>68</v>
      </c>
      <c r="M17" s="35" t="s">
        <v>77</v>
      </c>
      <c r="N17" s="16">
        <v>0.75</v>
      </c>
      <c r="O17" s="2"/>
    </row>
    <row r="18" spans="4:15" ht="30" x14ac:dyDescent="0.25">
      <c r="E18" s="24" t="s">
        <v>82</v>
      </c>
      <c r="F18" s="24" t="s">
        <v>49</v>
      </c>
      <c r="G18" s="35" t="s">
        <v>54</v>
      </c>
      <c r="H18" s="16">
        <v>0.3125</v>
      </c>
      <c r="I18" s="2"/>
      <c r="K18" s="24" t="s">
        <v>85</v>
      </c>
      <c r="L18" s="24" t="s">
        <v>68</v>
      </c>
      <c r="M18" s="35" t="s">
        <v>70</v>
      </c>
      <c r="N18" s="16">
        <v>0.875</v>
      </c>
      <c r="O18" s="2"/>
    </row>
    <row r="19" spans="4:15" ht="30" x14ac:dyDescent="0.25">
      <c r="E19" s="24" t="s">
        <v>82</v>
      </c>
      <c r="F19" s="24" t="s">
        <v>49</v>
      </c>
      <c r="G19" s="35" t="s">
        <v>56</v>
      </c>
      <c r="H19" s="16">
        <v>0.3125</v>
      </c>
      <c r="I19" s="2"/>
      <c r="K19" s="24" t="s">
        <v>85</v>
      </c>
      <c r="L19" s="24" t="s">
        <v>68</v>
      </c>
      <c r="M19" s="35" t="s">
        <v>74</v>
      </c>
      <c r="N19" s="16">
        <v>0.875</v>
      </c>
      <c r="O19" s="2"/>
    </row>
    <row r="20" spans="4:15" ht="30" x14ac:dyDescent="0.25">
      <c r="E20" s="24" t="s">
        <v>82</v>
      </c>
      <c r="F20" s="24" t="s">
        <v>49</v>
      </c>
      <c r="G20" s="35" t="s">
        <v>57</v>
      </c>
      <c r="H20" s="16">
        <v>0.3125</v>
      </c>
      <c r="I20" s="2"/>
      <c r="K20" s="24" t="s">
        <v>85</v>
      </c>
      <c r="L20" s="24" t="s">
        <v>68</v>
      </c>
      <c r="M20" s="35" t="s">
        <v>75</v>
      </c>
      <c r="N20" s="16">
        <v>0.875</v>
      </c>
      <c r="O20" s="2"/>
    </row>
    <row r="21" spans="4:15" ht="30" x14ac:dyDescent="0.25">
      <c r="E21" s="24" t="s">
        <v>82</v>
      </c>
      <c r="F21" s="24" t="s">
        <v>49</v>
      </c>
      <c r="G21" s="35" t="s">
        <v>58</v>
      </c>
      <c r="H21" s="16">
        <v>0.3125</v>
      </c>
      <c r="I21" s="2"/>
      <c r="K21" s="24" t="s">
        <v>85</v>
      </c>
      <c r="L21" s="24" t="s">
        <v>68</v>
      </c>
      <c r="M21" s="35" t="s">
        <v>78</v>
      </c>
      <c r="N21" s="16">
        <v>0.875</v>
      </c>
      <c r="O21" s="2"/>
    </row>
    <row r="22" spans="4:15" ht="30" x14ac:dyDescent="0.25">
      <c r="E22" s="24" t="s">
        <v>82</v>
      </c>
      <c r="F22" s="24" t="s">
        <v>49</v>
      </c>
      <c r="G22" s="35" t="s">
        <v>59</v>
      </c>
      <c r="H22" s="16">
        <v>0.3125</v>
      </c>
      <c r="I22" s="2"/>
      <c r="K22" s="107" t="s">
        <v>88</v>
      </c>
      <c r="L22" s="107"/>
      <c r="M22" s="107"/>
      <c r="N22" s="107"/>
      <c r="O22" s="107"/>
    </row>
    <row r="23" spans="4:15" ht="30" x14ac:dyDescent="0.25">
      <c r="E23" s="24" t="s">
        <v>82</v>
      </c>
      <c r="F23" s="24" t="s">
        <v>49</v>
      </c>
      <c r="G23" s="35" t="s">
        <v>60</v>
      </c>
      <c r="H23" s="16">
        <v>0.3125</v>
      </c>
      <c r="I23" s="2"/>
      <c r="K23" s="24" t="s">
        <v>86</v>
      </c>
      <c r="L23" s="24" t="s">
        <v>49</v>
      </c>
      <c r="M23" s="37" t="s">
        <v>64</v>
      </c>
      <c r="N23" s="16">
        <v>0.375</v>
      </c>
      <c r="O23" s="2"/>
    </row>
    <row r="24" spans="4:15" ht="30" x14ac:dyDescent="0.25">
      <c r="E24" s="24" t="s">
        <v>83</v>
      </c>
      <c r="F24" s="24" t="s">
        <v>49</v>
      </c>
      <c r="G24" s="35" t="s">
        <v>79</v>
      </c>
      <c r="H24" s="16">
        <v>0.3125</v>
      </c>
      <c r="I24" s="2"/>
      <c r="K24" s="24" t="s">
        <v>86</v>
      </c>
      <c r="L24" s="24" t="s">
        <v>49</v>
      </c>
      <c r="M24" s="37" t="s">
        <v>65</v>
      </c>
      <c r="N24" s="16">
        <v>0.375</v>
      </c>
      <c r="O24" s="2"/>
    </row>
    <row r="25" spans="4:15" ht="30" x14ac:dyDescent="0.25">
      <c r="E25" s="24" t="s">
        <v>83</v>
      </c>
      <c r="F25" s="24" t="s">
        <v>49</v>
      </c>
      <c r="G25" s="35" t="s">
        <v>61</v>
      </c>
      <c r="H25" s="16">
        <v>0.3125</v>
      </c>
      <c r="I25" s="2"/>
      <c r="K25" s="18"/>
    </row>
    <row r="26" spans="4:15" ht="30" x14ac:dyDescent="0.25">
      <c r="E26" s="24" t="s">
        <v>83</v>
      </c>
      <c r="F26" s="28" t="s">
        <v>49</v>
      </c>
      <c r="G26" s="36" t="s">
        <v>62</v>
      </c>
      <c r="H26" s="29">
        <v>0.3125</v>
      </c>
      <c r="I26" s="30"/>
      <c r="K26" s="18"/>
    </row>
    <row r="27" spans="4:15" x14ac:dyDescent="0.25">
      <c r="E27" s="32"/>
      <c r="F27" s="32"/>
      <c r="G27" s="33"/>
      <c r="H27" s="34"/>
      <c r="I27" s="33"/>
      <c r="K27" s="18"/>
    </row>
    <row r="28" spans="4:15" x14ac:dyDescent="0.25">
      <c r="K28" s="18"/>
    </row>
    <row r="29" spans="4:15" x14ac:dyDescent="0.25">
      <c r="K29" s="18"/>
    </row>
    <row r="30" spans="4:15" x14ac:dyDescent="0.25">
      <c r="E30" s="31"/>
      <c r="H30" s="18"/>
      <c r="K30" s="18"/>
    </row>
    <row r="31" spans="4:15" x14ac:dyDescent="0.25">
      <c r="K31" s="18"/>
    </row>
    <row r="32" spans="4:15" ht="15.75" thickBot="1" x14ac:dyDescent="0.3">
      <c r="D32" s="19"/>
      <c r="E32" s="17" t="s">
        <v>36</v>
      </c>
      <c r="F32" s="19"/>
      <c r="G32" s="17" t="s">
        <v>37</v>
      </c>
      <c r="H32" s="19"/>
      <c r="I32" s="19"/>
      <c r="J32" s="17" t="s">
        <v>38</v>
      </c>
      <c r="K32" s="19"/>
      <c r="L32" s="19"/>
      <c r="M32" s="17" t="s">
        <v>39</v>
      </c>
      <c r="N32" s="23"/>
      <c r="O32" s="23"/>
    </row>
    <row r="33" spans="5:11" x14ac:dyDescent="0.25">
      <c r="K33" s="18"/>
    </row>
    <row r="34" spans="5:11" x14ac:dyDescent="0.25">
      <c r="K34" s="18"/>
    </row>
    <row r="35" spans="5:11" x14ac:dyDescent="0.25">
      <c r="K35" s="18"/>
    </row>
    <row r="36" spans="5:11" x14ac:dyDescent="0.25">
      <c r="K36" s="18"/>
    </row>
    <row r="37" spans="5:11" x14ac:dyDescent="0.25">
      <c r="K37" s="18"/>
    </row>
    <row r="38" spans="5:11" x14ac:dyDescent="0.25">
      <c r="K38" s="18"/>
    </row>
    <row r="39" spans="5:11" x14ac:dyDescent="0.25">
      <c r="K39" s="18"/>
    </row>
    <row r="40" spans="5:11" x14ac:dyDescent="0.25">
      <c r="K40" s="20"/>
    </row>
    <row r="41" spans="5:11" x14ac:dyDescent="0.25">
      <c r="E41" s="18"/>
      <c r="K41" s="20"/>
    </row>
  </sheetData>
  <mergeCells count="12">
    <mergeCell ref="E12:I12"/>
    <mergeCell ref="K22:O22"/>
    <mergeCell ref="E3:O4"/>
    <mergeCell ref="E6:O6"/>
    <mergeCell ref="E8:I8"/>
    <mergeCell ref="K8:O8"/>
    <mergeCell ref="K9:O9"/>
    <mergeCell ref="K11:K12"/>
    <mergeCell ref="L11:L12"/>
    <mergeCell ref="M11:M12"/>
    <mergeCell ref="N11:N12"/>
    <mergeCell ref="O11:O12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38"/>
  <sheetViews>
    <sheetView zoomScaleNormal="100" workbookViewId="0">
      <selection activeCell="D29" sqref="D29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9.28515625" style="1" bestFit="1" customWidth="1"/>
    <col min="4" max="4" width="17.28515625" style="1" bestFit="1" customWidth="1"/>
    <col min="5" max="5" width="10" style="1" bestFit="1" customWidth="1"/>
    <col min="6" max="6" width="9.5703125" style="1" bestFit="1" customWidth="1"/>
    <col min="7" max="7" width="7.5703125" style="1" bestFit="1" customWidth="1"/>
    <col min="8" max="8" width="14.7109375" style="1" bestFit="1" customWidth="1"/>
    <col min="9" max="9" width="12.5703125" style="1" bestFit="1" customWidth="1"/>
    <col min="10" max="10" width="17.28515625" style="1" bestFit="1" customWidth="1"/>
    <col min="11" max="11" width="14.42578125" style="1" bestFit="1" customWidth="1"/>
    <col min="12" max="13" width="9.5703125" style="1" bestFit="1" customWidth="1"/>
    <col min="14" max="14" width="14.42578125" style="1" bestFit="1" customWidth="1"/>
    <col min="15" max="15" width="12.5703125" style="1" bestFit="1" customWidth="1"/>
    <col min="16" max="16" width="17.28515625" style="1" bestFit="1" customWidth="1"/>
    <col min="17" max="16384" width="8.7109375" style="1"/>
  </cols>
  <sheetData>
    <row r="1" spans="2:18" ht="15.75" thickBot="1" x14ac:dyDescent="0.3"/>
    <row r="2" spans="2:18" ht="14.45" customHeight="1" x14ac:dyDescent="0.25">
      <c r="C2" s="115" t="s">
        <v>41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7"/>
      <c r="P2" s="21"/>
    </row>
    <row r="3" spans="2:18" ht="14.45" customHeight="1" x14ac:dyDescent="0.25"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  <c r="P3" s="21"/>
    </row>
    <row r="4" spans="2:18" ht="15" customHeight="1" thickBot="1" x14ac:dyDescent="0.3">
      <c r="C4" s="121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3"/>
      <c r="P4" s="21"/>
    </row>
    <row r="5" spans="2:18" ht="15.75" thickBot="1" x14ac:dyDescent="0.3"/>
    <row r="6" spans="2:18" ht="42.6" customHeight="1" thickBot="1" x14ac:dyDescent="0.3">
      <c r="B6" s="124" t="s">
        <v>40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6"/>
      <c r="Q6" s="22"/>
      <c r="R6" s="22"/>
    </row>
    <row r="8" spans="2:18" x14ac:dyDescent="0.25">
      <c r="B8" s="4" t="s">
        <v>0</v>
      </c>
      <c r="C8" s="4" t="s">
        <v>6</v>
      </c>
      <c r="D8" s="4" t="s">
        <v>7</v>
      </c>
      <c r="E8" s="4" t="s">
        <v>1</v>
      </c>
      <c r="F8" s="4" t="s">
        <v>35</v>
      </c>
      <c r="H8" s="17"/>
      <c r="I8" s="17"/>
      <c r="J8" s="17"/>
      <c r="K8" s="17"/>
      <c r="L8" s="17"/>
      <c r="N8" s="17"/>
      <c r="O8" s="17"/>
      <c r="P8" s="17"/>
    </row>
    <row r="9" spans="2:18" x14ac:dyDescent="0.25">
      <c r="B9" s="2" t="s">
        <v>45</v>
      </c>
      <c r="C9" s="2" t="s">
        <v>44</v>
      </c>
      <c r="D9" s="2" t="s">
        <v>43</v>
      </c>
      <c r="E9" s="16">
        <v>0.375</v>
      </c>
      <c r="F9" s="2"/>
      <c r="K9" s="18"/>
    </row>
    <row r="10" spans="2:18" x14ac:dyDescent="0.25">
      <c r="B10" s="2" t="s">
        <v>46</v>
      </c>
      <c r="C10" s="2" t="s">
        <v>47</v>
      </c>
      <c r="D10" s="2" t="s">
        <v>48</v>
      </c>
      <c r="E10" s="16">
        <v>0.75</v>
      </c>
      <c r="F10" s="2"/>
      <c r="K10" s="18"/>
    </row>
    <row r="11" spans="2:18" x14ac:dyDescent="0.25">
      <c r="B11" s="2" t="s">
        <v>55</v>
      </c>
      <c r="C11" s="2" t="s">
        <v>49</v>
      </c>
      <c r="D11" s="2" t="s">
        <v>50</v>
      </c>
      <c r="E11" s="16">
        <v>0.3125</v>
      </c>
      <c r="F11" s="2"/>
      <c r="K11" s="18"/>
    </row>
    <row r="12" spans="2:18" x14ac:dyDescent="0.25">
      <c r="B12" s="2" t="s">
        <v>55</v>
      </c>
      <c r="C12" s="2" t="s">
        <v>49</v>
      </c>
      <c r="D12" s="2" t="s">
        <v>51</v>
      </c>
      <c r="E12" s="16">
        <v>0.3125</v>
      </c>
      <c r="F12" s="2"/>
      <c r="K12" s="18"/>
    </row>
    <row r="13" spans="2:18" x14ac:dyDescent="0.25">
      <c r="B13" s="2" t="s">
        <v>55</v>
      </c>
      <c r="C13" s="2" t="s">
        <v>49</v>
      </c>
      <c r="D13" s="2" t="s">
        <v>52</v>
      </c>
      <c r="E13" s="16">
        <v>0.3125</v>
      </c>
      <c r="F13" s="2"/>
      <c r="K13" s="18"/>
    </row>
    <row r="14" spans="2:18" x14ac:dyDescent="0.25">
      <c r="B14" s="2" t="s">
        <v>55</v>
      </c>
      <c r="C14" s="2" t="s">
        <v>49</v>
      </c>
      <c r="D14" s="2" t="s">
        <v>53</v>
      </c>
      <c r="E14" s="16">
        <v>0.3125</v>
      </c>
      <c r="F14" s="2"/>
      <c r="K14" s="18"/>
    </row>
    <row r="15" spans="2:18" x14ac:dyDescent="0.25">
      <c r="B15" s="2" t="s">
        <v>55</v>
      </c>
      <c r="C15" s="2" t="s">
        <v>49</v>
      </c>
      <c r="D15" s="2" t="s">
        <v>54</v>
      </c>
      <c r="E15" s="16">
        <v>0.3125</v>
      </c>
      <c r="F15" s="2"/>
      <c r="K15" s="18"/>
    </row>
    <row r="16" spans="2:18" x14ac:dyDescent="0.25">
      <c r="B16" s="2" t="s">
        <v>55</v>
      </c>
      <c r="C16" s="2" t="s">
        <v>49</v>
      </c>
      <c r="D16" s="2" t="s">
        <v>56</v>
      </c>
      <c r="E16" s="16">
        <v>0.3125</v>
      </c>
      <c r="F16" s="2"/>
      <c r="K16" s="18"/>
    </row>
    <row r="17" spans="2:11" x14ac:dyDescent="0.25">
      <c r="B17" s="2" t="s">
        <v>55</v>
      </c>
      <c r="C17" s="2" t="s">
        <v>49</v>
      </c>
      <c r="D17" s="2" t="s">
        <v>57</v>
      </c>
      <c r="E17" s="16">
        <v>0.3125</v>
      </c>
      <c r="F17" s="2"/>
      <c r="K17" s="18"/>
    </row>
    <row r="18" spans="2:11" x14ac:dyDescent="0.25">
      <c r="B18" s="2" t="s">
        <v>55</v>
      </c>
      <c r="C18" s="2" t="s">
        <v>49</v>
      </c>
      <c r="D18" s="2" t="s">
        <v>58</v>
      </c>
      <c r="E18" s="16">
        <v>0.3125</v>
      </c>
      <c r="F18" s="2"/>
      <c r="K18" s="18"/>
    </row>
    <row r="19" spans="2:11" x14ac:dyDescent="0.25">
      <c r="B19" s="2" t="s">
        <v>55</v>
      </c>
      <c r="C19" s="2" t="s">
        <v>49</v>
      </c>
      <c r="D19" s="2" t="s">
        <v>59</v>
      </c>
      <c r="E19" s="16">
        <v>0.3125</v>
      </c>
      <c r="F19" s="2"/>
      <c r="K19" s="18"/>
    </row>
    <row r="20" spans="2:11" x14ac:dyDescent="0.25">
      <c r="B20" s="2" t="s">
        <v>55</v>
      </c>
      <c r="C20" s="2" t="s">
        <v>49</v>
      </c>
      <c r="D20" s="2" t="s">
        <v>60</v>
      </c>
      <c r="E20" s="16">
        <v>0.3125</v>
      </c>
      <c r="F20" s="2"/>
      <c r="K20" s="18"/>
    </row>
    <row r="21" spans="2:11" x14ac:dyDescent="0.25">
      <c r="B21" s="2" t="s">
        <v>63</v>
      </c>
      <c r="C21" s="2" t="s">
        <v>49</v>
      </c>
      <c r="D21" s="2" t="s">
        <v>79</v>
      </c>
      <c r="E21" s="16">
        <v>0.3125</v>
      </c>
      <c r="F21" s="2"/>
      <c r="K21" s="18"/>
    </row>
    <row r="22" spans="2:11" x14ac:dyDescent="0.25">
      <c r="B22" s="2" t="s">
        <v>63</v>
      </c>
      <c r="C22" s="2" t="s">
        <v>49</v>
      </c>
      <c r="D22" s="2" t="s">
        <v>61</v>
      </c>
      <c r="E22" s="16">
        <v>0.3125</v>
      </c>
      <c r="F22" s="2"/>
      <c r="K22" s="18"/>
    </row>
    <row r="23" spans="2:11" x14ac:dyDescent="0.25">
      <c r="B23" s="2" t="s">
        <v>63</v>
      </c>
      <c r="C23" s="2" t="s">
        <v>49</v>
      </c>
      <c r="D23" s="2" t="s">
        <v>62</v>
      </c>
      <c r="E23" s="16">
        <v>0.3125</v>
      </c>
      <c r="F23" s="2"/>
      <c r="K23" s="18"/>
    </row>
    <row r="24" spans="2:11" x14ac:dyDescent="0.25">
      <c r="B24" s="2" t="s">
        <v>66</v>
      </c>
      <c r="C24" s="2" t="s">
        <v>49</v>
      </c>
      <c r="D24" s="2" t="s">
        <v>64</v>
      </c>
      <c r="E24" s="16">
        <v>0.375</v>
      </c>
      <c r="F24" s="2"/>
      <c r="K24" s="18"/>
    </row>
    <row r="25" spans="2:11" x14ac:dyDescent="0.25">
      <c r="B25" s="2" t="s">
        <v>66</v>
      </c>
      <c r="C25" s="2" t="s">
        <v>49</v>
      </c>
      <c r="D25" s="2" t="s">
        <v>65</v>
      </c>
      <c r="E25" s="16">
        <v>0.375</v>
      </c>
      <c r="F25" s="2"/>
      <c r="K25" s="18"/>
    </row>
    <row r="26" spans="2:11" x14ac:dyDescent="0.25">
      <c r="B26" s="2" t="s">
        <v>67</v>
      </c>
      <c r="C26" s="2" t="s">
        <v>68</v>
      </c>
      <c r="D26" s="2" t="s">
        <v>69</v>
      </c>
      <c r="E26" s="16">
        <v>0.75</v>
      </c>
      <c r="F26" s="2"/>
      <c r="K26" s="18"/>
    </row>
    <row r="27" spans="2:11" x14ac:dyDescent="0.25">
      <c r="B27" s="2" t="s">
        <v>67</v>
      </c>
      <c r="C27" s="2" t="s">
        <v>68</v>
      </c>
      <c r="D27" s="2" t="s">
        <v>71</v>
      </c>
      <c r="E27" s="16">
        <v>0.75</v>
      </c>
      <c r="F27" s="2"/>
      <c r="K27" s="18"/>
    </row>
    <row r="28" spans="2:11" x14ac:dyDescent="0.25">
      <c r="B28" s="2" t="s">
        <v>67</v>
      </c>
      <c r="C28" s="2" t="s">
        <v>68</v>
      </c>
      <c r="D28" s="2" t="s">
        <v>72</v>
      </c>
      <c r="E28" s="16">
        <v>0.75</v>
      </c>
      <c r="F28" s="2"/>
      <c r="K28" s="18"/>
    </row>
    <row r="29" spans="2:11" x14ac:dyDescent="0.25">
      <c r="B29" s="2" t="s">
        <v>67</v>
      </c>
      <c r="C29" s="2" t="s">
        <v>68</v>
      </c>
      <c r="D29" s="2" t="s">
        <v>73</v>
      </c>
      <c r="E29" s="16">
        <v>0.75</v>
      </c>
      <c r="F29" s="2"/>
      <c r="K29" s="18"/>
    </row>
    <row r="30" spans="2:11" x14ac:dyDescent="0.25">
      <c r="B30" s="2" t="s">
        <v>67</v>
      </c>
      <c r="C30" s="2" t="s">
        <v>68</v>
      </c>
      <c r="D30" s="2" t="s">
        <v>76</v>
      </c>
      <c r="E30" s="16">
        <v>0.75</v>
      </c>
      <c r="F30" s="2"/>
      <c r="K30" s="18"/>
    </row>
    <row r="31" spans="2:11" x14ac:dyDescent="0.25">
      <c r="B31" s="2" t="s">
        <v>67</v>
      </c>
      <c r="C31" s="2" t="s">
        <v>68</v>
      </c>
      <c r="D31" s="2" t="s">
        <v>77</v>
      </c>
      <c r="E31" s="16">
        <v>0.75</v>
      </c>
      <c r="F31" s="2"/>
      <c r="K31" s="18"/>
    </row>
    <row r="32" spans="2:11" x14ac:dyDescent="0.25">
      <c r="B32" s="2" t="s">
        <v>67</v>
      </c>
      <c r="C32" s="2" t="s">
        <v>68</v>
      </c>
      <c r="D32" s="2" t="s">
        <v>70</v>
      </c>
      <c r="E32" s="16">
        <v>0.875</v>
      </c>
      <c r="F32" s="2"/>
      <c r="K32" s="18"/>
    </row>
    <row r="33" spans="2:16" x14ac:dyDescent="0.25">
      <c r="B33" s="2" t="s">
        <v>67</v>
      </c>
      <c r="C33" s="2" t="s">
        <v>68</v>
      </c>
      <c r="D33" s="2" t="s">
        <v>74</v>
      </c>
      <c r="E33" s="16">
        <v>0.875</v>
      </c>
      <c r="F33" s="2"/>
      <c r="K33" s="18"/>
    </row>
    <row r="34" spans="2:16" x14ac:dyDescent="0.25">
      <c r="B34" s="2" t="s">
        <v>67</v>
      </c>
      <c r="C34" s="2" t="s">
        <v>68</v>
      </c>
      <c r="D34" s="2" t="s">
        <v>75</v>
      </c>
      <c r="E34" s="16">
        <v>0.875</v>
      </c>
      <c r="F34" s="2"/>
      <c r="K34" s="18"/>
    </row>
    <row r="35" spans="2:16" x14ac:dyDescent="0.25">
      <c r="B35" s="2" t="s">
        <v>67</v>
      </c>
      <c r="C35" s="2" t="s">
        <v>68</v>
      </c>
      <c r="D35" s="2" t="s">
        <v>78</v>
      </c>
      <c r="E35" s="16">
        <v>0.875</v>
      </c>
      <c r="F35" s="2"/>
      <c r="K35" s="20"/>
    </row>
    <row r="36" spans="2:16" x14ac:dyDescent="0.25">
      <c r="E36" s="18"/>
      <c r="K36" s="20"/>
    </row>
    <row r="38" spans="2:16" ht="15.75" thickBot="1" x14ac:dyDescent="0.3">
      <c r="B38" s="17" t="s">
        <v>36</v>
      </c>
      <c r="C38" s="127"/>
      <c r="D38" s="127"/>
      <c r="F38" s="17" t="s">
        <v>37</v>
      </c>
      <c r="G38" s="19"/>
      <c r="H38" s="19"/>
      <c r="J38" s="17" t="s">
        <v>38</v>
      </c>
      <c r="K38" s="127"/>
      <c r="L38" s="127"/>
      <c r="N38" s="17" t="s">
        <v>39</v>
      </c>
      <c r="O38" s="128"/>
      <c r="P38" s="128"/>
    </row>
  </sheetData>
  <mergeCells count="5">
    <mergeCell ref="C2:O4"/>
    <mergeCell ref="B6:P6"/>
    <mergeCell ref="C38:D38"/>
    <mergeCell ref="K38:L38"/>
    <mergeCell ref="O38:P38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AS38"/>
  <sheetViews>
    <sheetView topLeftCell="A11" zoomScale="90" zoomScaleNormal="90" workbookViewId="0">
      <selection activeCell="C46" sqref="C46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customWidth="1"/>
    <col min="11" max="11" width="7.5703125" style="1" customWidth="1"/>
    <col min="12" max="14" width="5" style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7" width="8.7109375" style="1" customWidth="1"/>
    <col min="28" max="29" width="8.7109375" style="44" customWidth="1"/>
    <col min="30" max="30" width="8.7109375" style="1" customWidth="1"/>
    <col min="31" max="35" width="8.7109375" style="44" customWidth="1"/>
    <col min="3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2" spans="1:45" x14ac:dyDescent="0.25">
      <c r="B2" s="4" t="s">
        <v>17</v>
      </c>
      <c r="C2" s="91" t="s">
        <v>18</v>
      </c>
      <c r="D2" s="91"/>
    </row>
    <row r="3" spans="1:4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45" x14ac:dyDescent="0.25">
      <c r="B4" s="92"/>
      <c r="C4" s="4" t="s">
        <v>16</v>
      </c>
      <c r="D4" s="2"/>
      <c r="I4" s="4" t="s">
        <v>5</v>
      </c>
      <c r="P4" s="96">
        <v>46209</v>
      </c>
      <c r="Q4" s="96"/>
      <c r="R4" s="96">
        <v>46210</v>
      </c>
      <c r="S4" s="96"/>
      <c r="T4" s="96">
        <v>46211</v>
      </c>
      <c r="U4" s="96"/>
      <c r="V4" s="96">
        <v>46212</v>
      </c>
      <c r="W4" s="96"/>
      <c r="X4" s="96">
        <v>46213</v>
      </c>
      <c r="Y4" s="96"/>
      <c r="Z4" s="96">
        <v>46216</v>
      </c>
      <c r="AA4" s="96"/>
      <c r="AB4" s="96">
        <v>46217</v>
      </c>
      <c r="AC4" s="96"/>
      <c r="AD4" s="96">
        <v>46218</v>
      </c>
      <c r="AE4" s="96"/>
      <c r="AF4" s="96">
        <v>46219</v>
      </c>
      <c r="AG4" s="96"/>
      <c r="AH4" s="96">
        <v>46220</v>
      </c>
      <c r="AI4" s="96"/>
      <c r="AJ4" s="6" t="s">
        <v>10</v>
      </c>
    </row>
    <row r="5" spans="1:4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28</v>
      </c>
      <c r="J5" s="4">
        <v>29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15</v>
      </c>
      <c r="AA5" s="4" t="s">
        <v>16</v>
      </c>
      <c r="AB5" s="45" t="s">
        <v>15</v>
      </c>
      <c r="AC5" s="45" t="s">
        <v>16</v>
      </c>
      <c r="AD5" s="4" t="s">
        <v>15</v>
      </c>
      <c r="AE5" s="45" t="s">
        <v>16</v>
      </c>
      <c r="AF5" s="45" t="s">
        <v>15</v>
      </c>
      <c r="AG5" s="45" t="s">
        <v>16</v>
      </c>
      <c r="AH5" s="45" t="s">
        <v>15</v>
      </c>
      <c r="AI5" s="45" t="s">
        <v>16</v>
      </c>
      <c r="AJ5" s="4" t="s">
        <v>20</v>
      </c>
      <c r="AK5" s="4" t="s">
        <v>8</v>
      </c>
      <c r="AL5" s="4" t="s">
        <v>22</v>
      </c>
      <c r="AM5" s="4" t="s">
        <v>24</v>
      </c>
      <c r="AN5" s="4" t="s">
        <v>23</v>
      </c>
      <c r="AO5" s="4" t="s">
        <v>30</v>
      </c>
      <c r="AP5"/>
      <c r="AQ5" s="14" t="s">
        <v>31</v>
      </c>
      <c r="AR5" t="s">
        <v>33</v>
      </c>
      <c r="AS5"/>
    </row>
    <row r="6" spans="1:45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>
        <v>0</v>
      </c>
      <c r="J6" s="2">
        <v>0</v>
      </c>
      <c r="K6" s="2"/>
      <c r="L6" s="2"/>
      <c r="M6" s="2"/>
      <c r="N6" s="2"/>
      <c r="O6" s="8">
        <f>+I6+J6+K6+L6+M6+N6-SUM(P6:AJ6)</f>
        <v>-28305</v>
      </c>
      <c r="P6" s="2">
        <v>2377</v>
      </c>
      <c r="Q6" s="2">
        <v>5000</v>
      </c>
      <c r="R6" s="2"/>
      <c r="S6" s="2"/>
      <c r="T6" s="41">
        <v>5000</v>
      </c>
      <c r="U6" s="41">
        <v>6000</v>
      </c>
      <c r="V6" s="41"/>
      <c r="W6" s="41">
        <v>2900</v>
      </c>
      <c r="X6" s="41"/>
      <c r="Y6" s="41">
        <v>2000</v>
      </c>
      <c r="Z6" s="2"/>
      <c r="AA6" s="2"/>
      <c r="AB6" s="41"/>
      <c r="AC6" s="41"/>
      <c r="AD6" s="2"/>
      <c r="AE6" s="41"/>
      <c r="AF6" s="41"/>
      <c r="AG6" s="41">
        <v>1428</v>
      </c>
      <c r="AH6" s="41">
        <v>3600</v>
      </c>
      <c r="AI6" s="41"/>
      <c r="AJ6" s="2"/>
      <c r="AK6" s="7">
        <f>+G6*SUM(I6:N6)</f>
        <v>0</v>
      </c>
      <c r="AL6" s="8"/>
      <c r="AM6" s="8"/>
      <c r="AN6" s="8"/>
      <c r="AO6" s="8" t="e">
        <f>+SUM(I6:N6)/AM6</f>
        <v>#DIV/0!</v>
      </c>
      <c r="AP6"/>
      <c r="AQ6" s="15">
        <v>0</v>
      </c>
      <c r="AR6">
        <v>0</v>
      </c>
      <c r="AS6"/>
    </row>
    <row r="7" spans="1:45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>
        <v>0.22</v>
      </c>
      <c r="H7" s="3"/>
      <c r="I7" s="2">
        <v>6000</v>
      </c>
      <c r="J7" s="2">
        <v>6000</v>
      </c>
      <c r="K7" s="2"/>
      <c r="L7" s="2"/>
      <c r="M7" s="2"/>
      <c r="N7" s="2"/>
      <c r="O7" s="8">
        <f t="shared" ref="O7:O36" si="0">+I7+J7+K7+L7+M7+N7-SUM(P7:AJ7)</f>
        <v>9900</v>
      </c>
      <c r="P7" s="2"/>
      <c r="Q7" s="2"/>
      <c r="R7" s="2"/>
      <c r="S7" s="2"/>
      <c r="T7" s="41"/>
      <c r="U7" s="41"/>
      <c r="V7" s="41">
        <v>900</v>
      </c>
      <c r="W7" s="41">
        <v>1200</v>
      </c>
      <c r="X7" s="41"/>
      <c r="Y7" s="41"/>
      <c r="Z7" s="2"/>
      <c r="AA7" s="2"/>
      <c r="AB7" s="41"/>
      <c r="AC7" s="41"/>
      <c r="AD7" s="2"/>
      <c r="AE7" s="41"/>
      <c r="AF7" s="41"/>
      <c r="AG7" s="41"/>
      <c r="AH7" s="41"/>
      <c r="AI7" s="41"/>
      <c r="AJ7" s="2"/>
      <c r="AK7" s="7">
        <f t="shared" ref="AK7:AK22" si="1">+G7*SUM(I7:N7)</f>
        <v>2640</v>
      </c>
      <c r="AL7" s="8"/>
      <c r="AM7" s="8"/>
      <c r="AN7" s="8"/>
      <c r="AO7" s="8" t="e">
        <f t="shared" ref="AO7:AO36" si="2">+SUM(I7:N7)/AM7</f>
        <v>#DIV/0!</v>
      </c>
      <c r="AP7"/>
      <c r="AQ7" s="15" t="s">
        <v>25</v>
      </c>
      <c r="AR7">
        <v>52</v>
      </c>
      <c r="AS7"/>
    </row>
    <row r="8" spans="1:45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>
        <v>10000</v>
      </c>
      <c r="J8" s="2">
        <v>10000</v>
      </c>
      <c r="K8" s="2"/>
      <c r="L8" s="2"/>
      <c r="M8" s="2"/>
      <c r="N8" s="2"/>
      <c r="O8" s="8">
        <f t="shared" si="0"/>
        <v>17253</v>
      </c>
      <c r="P8" s="2"/>
      <c r="Q8" s="2"/>
      <c r="R8" s="2"/>
      <c r="S8" s="2"/>
      <c r="T8" s="41">
        <v>2747</v>
      </c>
      <c r="U8" s="41"/>
      <c r="V8" s="41"/>
      <c r="W8" s="41"/>
      <c r="X8" s="41"/>
      <c r="Y8" s="41"/>
      <c r="Z8" s="2"/>
      <c r="AA8" s="2"/>
      <c r="AB8" s="41"/>
      <c r="AC8" s="41"/>
      <c r="AD8" s="2"/>
      <c r="AE8" s="41"/>
      <c r="AF8" s="41"/>
      <c r="AG8" s="41"/>
      <c r="AH8" s="41"/>
      <c r="AI8" s="41"/>
      <c r="AJ8" s="2"/>
      <c r="AK8" s="7">
        <f t="shared" si="1"/>
        <v>0</v>
      </c>
      <c r="AL8" s="8"/>
      <c r="AM8" s="8"/>
      <c r="AN8" s="8"/>
      <c r="AO8" s="8" t="e">
        <f t="shared" si="2"/>
        <v>#DIV/0!</v>
      </c>
      <c r="AP8"/>
      <c r="AQ8" s="15" t="s">
        <v>29</v>
      </c>
      <c r="AR8">
        <v>0</v>
      </c>
      <c r="AS8"/>
    </row>
    <row r="9" spans="1:45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>
        <v>0</v>
      </c>
      <c r="J9" s="2">
        <v>0</v>
      </c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2"/>
      <c r="AB9" s="41"/>
      <c r="AC9" s="41"/>
      <c r="AD9" s="2"/>
      <c r="AE9" s="41"/>
      <c r="AF9" s="41"/>
      <c r="AG9" s="41"/>
      <c r="AH9" s="41"/>
      <c r="AI9" s="41"/>
      <c r="AJ9" s="2"/>
      <c r="AK9" s="7">
        <f t="shared" si="1"/>
        <v>0</v>
      </c>
      <c r="AL9" s="8"/>
      <c r="AM9" s="8"/>
      <c r="AN9" s="8"/>
      <c r="AO9" s="8" t="e">
        <f t="shared" si="2"/>
        <v>#DIV/0!</v>
      </c>
      <c r="AP9"/>
      <c r="AQ9" s="15" t="s">
        <v>26</v>
      </c>
      <c r="AR9">
        <v>116</v>
      </c>
      <c r="AS9"/>
    </row>
    <row r="10" spans="1:45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>
        <v>0</v>
      </c>
      <c r="J10" s="2">
        <v>0</v>
      </c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2"/>
      <c r="AB10" s="41"/>
      <c r="AC10" s="41"/>
      <c r="AD10" s="2"/>
      <c r="AE10" s="41"/>
      <c r="AF10" s="41"/>
      <c r="AG10" s="41"/>
      <c r="AH10" s="41"/>
      <c r="AI10" s="41"/>
      <c r="AJ10" s="2"/>
      <c r="AK10" s="7">
        <f t="shared" si="1"/>
        <v>0</v>
      </c>
      <c r="AL10" s="8"/>
      <c r="AM10" s="8"/>
      <c r="AN10" s="8"/>
      <c r="AO10" s="8" t="e">
        <f t="shared" si="2"/>
        <v>#DIV/0!</v>
      </c>
      <c r="AP10"/>
      <c r="AQ10" s="15" t="s">
        <v>28</v>
      </c>
      <c r="AR10">
        <v>2</v>
      </c>
      <c r="AS10"/>
    </row>
    <row r="11" spans="1:45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>
        <v>0</v>
      </c>
      <c r="J11" s="2">
        <v>0</v>
      </c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2"/>
      <c r="AB11" s="41"/>
      <c r="AC11" s="41"/>
      <c r="AD11" s="2"/>
      <c r="AE11" s="41"/>
      <c r="AF11" s="41"/>
      <c r="AG11" s="41"/>
      <c r="AH11" s="41"/>
      <c r="AI11" s="41"/>
      <c r="AJ11" s="2"/>
      <c r="AK11" s="7">
        <f t="shared" si="1"/>
        <v>0</v>
      </c>
      <c r="AL11" s="8"/>
      <c r="AM11" s="8"/>
      <c r="AN11" s="8"/>
      <c r="AO11" s="8" t="e">
        <f t="shared" si="2"/>
        <v>#DIV/0!</v>
      </c>
      <c r="AP11"/>
      <c r="AQ11" s="15" t="s">
        <v>27</v>
      </c>
      <c r="AR11">
        <v>10</v>
      </c>
      <c r="AS11"/>
    </row>
    <row r="12" spans="1:45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2"/>
      <c r="AB12" s="41"/>
      <c r="AC12" s="41"/>
      <c r="AD12" s="2"/>
      <c r="AE12" s="41"/>
      <c r="AF12" s="41"/>
      <c r="AG12" s="41"/>
      <c r="AH12" s="41"/>
      <c r="AI12" s="41"/>
      <c r="AJ12" s="2"/>
      <c r="AK12" s="7">
        <f t="shared" si="1"/>
        <v>0</v>
      </c>
      <c r="AL12" s="8"/>
      <c r="AM12" s="8"/>
      <c r="AN12" s="8"/>
      <c r="AO12" s="8" t="e">
        <f t="shared" si="2"/>
        <v>#DIV/0!</v>
      </c>
      <c r="AP12"/>
      <c r="AQ12" s="15" t="s">
        <v>32</v>
      </c>
      <c r="AR12">
        <v>180</v>
      </c>
      <c r="AS12"/>
    </row>
    <row r="13" spans="1:45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>
        <v>0</v>
      </c>
      <c r="J13" s="2">
        <v>0</v>
      </c>
      <c r="K13" s="2"/>
      <c r="L13" s="2"/>
      <c r="M13" s="2"/>
      <c r="N13" s="2"/>
      <c r="O13" s="8">
        <f t="shared" si="0"/>
        <v>-145</v>
      </c>
      <c r="P13" s="2"/>
      <c r="Q13" s="2"/>
      <c r="R13" s="2">
        <v>145</v>
      </c>
      <c r="S13" s="2"/>
      <c r="T13" s="41"/>
      <c r="U13" s="41"/>
      <c r="V13" s="41"/>
      <c r="W13" s="41"/>
      <c r="X13" s="41"/>
      <c r="Y13" s="41"/>
      <c r="Z13" s="2"/>
      <c r="AA13" s="2"/>
      <c r="AB13" s="41"/>
      <c r="AC13" s="41"/>
      <c r="AD13" s="2"/>
      <c r="AE13" s="41"/>
      <c r="AF13" s="41"/>
      <c r="AG13" s="41"/>
      <c r="AH13" s="41"/>
      <c r="AI13" s="41"/>
      <c r="AJ13" s="2"/>
      <c r="AK13" s="7">
        <f t="shared" si="1"/>
        <v>0</v>
      </c>
      <c r="AL13" s="8"/>
      <c r="AM13" s="8"/>
      <c r="AN13" s="8"/>
      <c r="AO13" s="8" t="e">
        <f t="shared" si="2"/>
        <v>#DIV/0!</v>
      </c>
      <c r="AP13"/>
      <c r="AQ13"/>
      <c r="AR13"/>
      <c r="AS13"/>
    </row>
    <row r="14" spans="1:45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>
        <v>3576</v>
      </c>
      <c r="J14" s="2">
        <v>0</v>
      </c>
      <c r="K14" s="2"/>
      <c r="L14" s="2"/>
      <c r="M14" s="2"/>
      <c r="N14" s="2"/>
      <c r="O14" s="8">
        <f t="shared" si="0"/>
        <v>-4924</v>
      </c>
      <c r="P14" s="2"/>
      <c r="Q14" s="2"/>
      <c r="R14" s="2">
        <v>4000</v>
      </c>
      <c r="S14" s="2"/>
      <c r="T14" s="41"/>
      <c r="U14" s="41"/>
      <c r="V14" s="41"/>
      <c r="W14" s="41"/>
      <c r="X14" s="41"/>
      <c r="Y14" s="41"/>
      <c r="Z14" s="2"/>
      <c r="AA14" s="2"/>
      <c r="AB14" s="41"/>
      <c r="AC14" s="41"/>
      <c r="AD14" s="2"/>
      <c r="AE14" s="41">
        <v>3000</v>
      </c>
      <c r="AF14" s="41">
        <v>1500</v>
      </c>
      <c r="AG14" s="41"/>
      <c r="AH14" s="41"/>
      <c r="AI14" s="41"/>
      <c r="AJ14" s="2"/>
      <c r="AK14" s="7">
        <f t="shared" si="1"/>
        <v>0</v>
      </c>
      <c r="AL14" s="8"/>
      <c r="AM14" s="8"/>
      <c r="AN14" s="8"/>
      <c r="AO14" s="8" t="e">
        <f t="shared" si="2"/>
        <v>#DIV/0!</v>
      </c>
      <c r="AP14"/>
      <c r="AQ14"/>
      <c r="AR14"/>
      <c r="AS14"/>
    </row>
    <row r="15" spans="1:45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>
        <v>1656</v>
      </c>
      <c r="J15" s="2">
        <v>0</v>
      </c>
      <c r="K15" s="2"/>
      <c r="L15" s="2"/>
      <c r="M15" s="2"/>
      <c r="N15" s="2"/>
      <c r="O15" s="8">
        <f t="shared" si="0"/>
        <v>-737</v>
      </c>
      <c r="P15" s="2"/>
      <c r="Q15" s="2"/>
      <c r="R15" s="2">
        <v>1393</v>
      </c>
      <c r="S15" s="2">
        <v>1000</v>
      </c>
      <c r="T15" s="41"/>
      <c r="U15" s="41"/>
      <c r="V15" s="41"/>
      <c r="W15" s="41"/>
      <c r="X15" s="41"/>
      <c r="Y15" s="41"/>
      <c r="Z15" s="2"/>
      <c r="AA15" s="2"/>
      <c r="AB15" s="41"/>
      <c r="AC15" s="41"/>
      <c r="AD15" s="2"/>
      <c r="AE15" s="41"/>
      <c r="AF15" s="41"/>
      <c r="AG15" s="41"/>
      <c r="AH15" s="41"/>
      <c r="AI15" s="41"/>
      <c r="AJ15" s="2"/>
      <c r="AK15" s="7">
        <f t="shared" si="1"/>
        <v>0</v>
      </c>
      <c r="AL15" s="8"/>
      <c r="AM15" s="8"/>
      <c r="AN15" s="8"/>
      <c r="AO15" s="8" t="e">
        <f t="shared" si="2"/>
        <v>#DIV/0!</v>
      </c>
      <c r="AP15"/>
      <c r="AQ15"/>
      <c r="AR15"/>
      <c r="AS15"/>
    </row>
    <row r="16" spans="1:45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>
        <v>2760</v>
      </c>
      <c r="J16" s="2">
        <v>0</v>
      </c>
      <c r="K16" s="2"/>
      <c r="L16" s="2"/>
      <c r="M16" s="2"/>
      <c r="N16" s="2"/>
      <c r="O16" s="8">
        <f t="shared" si="0"/>
        <v>-1640</v>
      </c>
      <c r="P16" s="2"/>
      <c r="Q16" s="2"/>
      <c r="R16" s="2">
        <v>1900</v>
      </c>
      <c r="S16" s="2">
        <v>2500</v>
      </c>
      <c r="T16" s="41"/>
      <c r="U16" s="41"/>
      <c r="V16" s="41"/>
      <c r="W16" s="41"/>
      <c r="X16" s="41"/>
      <c r="Y16" s="41"/>
      <c r="Z16" s="2"/>
      <c r="AA16" s="2"/>
      <c r="AB16" s="41"/>
      <c r="AC16" s="41"/>
      <c r="AD16" s="2"/>
      <c r="AE16" s="41"/>
      <c r="AF16" s="41"/>
      <c r="AG16" s="41"/>
      <c r="AH16" s="41"/>
      <c r="AI16" s="41"/>
      <c r="AJ16" s="2"/>
      <c r="AK16" s="7">
        <f t="shared" si="1"/>
        <v>0</v>
      </c>
      <c r="AL16" s="8"/>
      <c r="AM16" s="8"/>
      <c r="AN16" s="8"/>
      <c r="AO16" s="8" t="e">
        <f t="shared" si="2"/>
        <v>#DIV/0!</v>
      </c>
      <c r="AP16"/>
      <c r="AQ16"/>
      <c r="AR16"/>
      <c r="AS16"/>
    </row>
    <row r="17" spans="1:4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>
        <v>1656</v>
      </c>
      <c r="J17" s="2">
        <v>0</v>
      </c>
      <c r="K17" s="2"/>
      <c r="L17" s="2"/>
      <c r="M17" s="2"/>
      <c r="N17" s="2"/>
      <c r="O17" s="8">
        <f t="shared" si="0"/>
        <v>156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2"/>
      <c r="AB17" s="41"/>
      <c r="AC17" s="41"/>
      <c r="AD17" s="2"/>
      <c r="AE17" s="41"/>
      <c r="AF17" s="41"/>
      <c r="AG17" s="41"/>
      <c r="AH17" s="41">
        <v>1500</v>
      </c>
      <c r="AI17" s="41"/>
      <c r="AJ17" s="2"/>
      <c r="AK17" s="7">
        <f t="shared" si="1"/>
        <v>0</v>
      </c>
      <c r="AL17" s="8"/>
      <c r="AM17" s="8"/>
      <c r="AN17" s="8"/>
      <c r="AO17" s="8" t="e">
        <f t="shared" si="2"/>
        <v>#DIV/0!</v>
      </c>
      <c r="AP17"/>
      <c r="AQ17"/>
      <c r="AR17"/>
      <c r="AS17"/>
    </row>
    <row r="18" spans="1:45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>
        <v>596</v>
      </c>
      <c r="J18" s="2">
        <v>0</v>
      </c>
      <c r="K18" s="2"/>
      <c r="L18" s="2"/>
      <c r="M18" s="2"/>
      <c r="N18" s="2"/>
      <c r="O18" s="8">
        <f t="shared" si="0"/>
        <v>596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2"/>
      <c r="AB18" s="41"/>
      <c r="AC18" s="41"/>
      <c r="AD18" s="2"/>
      <c r="AE18" s="41"/>
      <c r="AF18" s="41"/>
      <c r="AG18" s="41"/>
      <c r="AH18" s="41"/>
      <c r="AI18" s="41"/>
      <c r="AJ18" s="2"/>
      <c r="AK18" s="7">
        <f t="shared" si="1"/>
        <v>0</v>
      </c>
      <c r="AL18" s="8"/>
      <c r="AM18" s="8"/>
      <c r="AN18" s="8"/>
      <c r="AO18" s="8" t="e">
        <f t="shared" si="2"/>
        <v>#DIV/0!</v>
      </c>
      <c r="AP18"/>
      <c r="AQ18"/>
      <c r="AR18"/>
      <c r="AS18"/>
    </row>
    <row r="19" spans="1:45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>
        <v>552</v>
      </c>
      <c r="J19" s="2">
        <v>0</v>
      </c>
      <c r="K19" s="2"/>
      <c r="L19" s="2"/>
      <c r="M19" s="2"/>
      <c r="N19" s="2"/>
      <c r="O19" s="8">
        <f t="shared" si="0"/>
        <v>552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2"/>
      <c r="AB19" s="41"/>
      <c r="AC19" s="41"/>
      <c r="AD19" s="2"/>
      <c r="AE19" s="41"/>
      <c r="AF19" s="41"/>
      <c r="AG19" s="41"/>
      <c r="AH19" s="41"/>
      <c r="AI19" s="41"/>
      <c r="AJ19" s="2"/>
      <c r="AK19" s="7">
        <f t="shared" si="1"/>
        <v>0</v>
      </c>
      <c r="AL19" s="8"/>
      <c r="AM19" s="8"/>
      <c r="AN19" s="8"/>
      <c r="AO19" s="8" t="e">
        <f t="shared" si="2"/>
        <v>#DIV/0!</v>
      </c>
      <c r="AP19"/>
      <c r="AQ19"/>
      <c r="AR19"/>
      <c r="AS19"/>
    </row>
    <row r="20" spans="1:45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2"/>
      <c r="AB20" s="41"/>
      <c r="AC20" s="41"/>
      <c r="AD20" s="2"/>
      <c r="AE20" s="41"/>
      <c r="AF20" s="41"/>
      <c r="AG20" s="41"/>
      <c r="AH20" s="41"/>
      <c r="AI20" s="41"/>
      <c r="AJ20" s="2"/>
      <c r="AK20" s="7">
        <f t="shared" si="1"/>
        <v>0</v>
      </c>
      <c r="AL20" s="8"/>
      <c r="AM20" s="8"/>
      <c r="AN20" s="8"/>
      <c r="AO20" s="8" t="e">
        <f t="shared" si="2"/>
        <v>#DIV/0!</v>
      </c>
      <c r="AP20"/>
      <c r="AQ20"/>
      <c r="AR20"/>
      <c r="AS20"/>
    </row>
    <row r="21" spans="1:45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2"/>
      <c r="AB21" s="41"/>
      <c r="AC21" s="41"/>
      <c r="AD21" s="2"/>
      <c r="AE21" s="41"/>
      <c r="AF21" s="41"/>
      <c r="AG21" s="41"/>
      <c r="AH21" s="41"/>
      <c r="AI21" s="41"/>
      <c r="AJ21" s="2"/>
      <c r="AK21" s="7">
        <f t="shared" si="1"/>
        <v>0</v>
      </c>
      <c r="AL21" s="8"/>
      <c r="AM21" s="8"/>
      <c r="AN21" s="8"/>
      <c r="AO21" s="8" t="e">
        <f t="shared" si="2"/>
        <v>#DIV/0!</v>
      </c>
      <c r="AP21"/>
      <c r="AQ21"/>
      <c r="AR21"/>
      <c r="AS21"/>
    </row>
    <row r="22" spans="1:45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2"/>
      <c r="AB22" s="41"/>
      <c r="AC22" s="41"/>
      <c r="AD22" s="2"/>
      <c r="AE22" s="41"/>
      <c r="AF22" s="41"/>
      <c r="AG22" s="41"/>
      <c r="AH22" s="41"/>
      <c r="AI22" s="41"/>
      <c r="AJ22" s="2"/>
      <c r="AK22" s="7">
        <f t="shared" si="1"/>
        <v>0</v>
      </c>
      <c r="AL22" s="8"/>
      <c r="AM22" s="8"/>
      <c r="AN22" s="8"/>
      <c r="AO22" s="8">
        <v>0</v>
      </c>
      <c r="AP22"/>
      <c r="AQ22"/>
      <c r="AR22"/>
      <c r="AS22"/>
    </row>
    <row r="23" spans="1:45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>
        <v>0</v>
      </c>
      <c r="J23" s="2">
        <v>0</v>
      </c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2"/>
      <c r="AB23" s="41"/>
      <c r="AC23" s="41"/>
      <c r="AD23" s="2"/>
      <c r="AE23" s="41"/>
      <c r="AF23" s="41"/>
      <c r="AG23" s="41"/>
      <c r="AH23" s="41"/>
      <c r="AI23" s="41"/>
      <c r="AJ23" s="2"/>
      <c r="AK23" s="7">
        <f t="shared" ref="AK23:AK36" si="3">+G23*SUM(I23:N23)</f>
        <v>0</v>
      </c>
      <c r="AL23" s="8"/>
      <c r="AM23" s="8"/>
      <c r="AN23" s="8"/>
      <c r="AO23" s="8">
        <v>0</v>
      </c>
      <c r="AP23"/>
    </row>
    <row r="24" spans="1:45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>
        <v>0</v>
      </c>
      <c r="J24" s="2">
        <v>0</v>
      </c>
      <c r="K24" s="2"/>
      <c r="L24" s="2"/>
      <c r="M24" s="2"/>
      <c r="N24" s="2"/>
      <c r="O24" s="8">
        <f t="shared" si="0"/>
        <v>-2225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2"/>
      <c r="AB24" s="41"/>
      <c r="AC24" s="41"/>
      <c r="AD24" s="2"/>
      <c r="AE24" s="41"/>
      <c r="AF24" s="41"/>
      <c r="AG24" s="41">
        <v>2225</v>
      </c>
      <c r="AH24" s="41"/>
      <c r="AI24" s="41"/>
      <c r="AJ24" s="2"/>
      <c r="AK24" s="7">
        <f t="shared" si="3"/>
        <v>0</v>
      </c>
      <c r="AL24" s="8"/>
      <c r="AM24" s="8"/>
      <c r="AN24" s="8"/>
      <c r="AO24" s="8">
        <v>0</v>
      </c>
      <c r="AP24"/>
    </row>
    <row r="25" spans="1:45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>
        <v>0</v>
      </c>
      <c r="J25" s="2">
        <v>0</v>
      </c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2"/>
      <c r="AB25" s="41"/>
      <c r="AC25" s="41"/>
      <c r="AD25" s="2"/>
      <c r="AE25" s="41"/>
      <c r="AF25" s="41"/>
      <c r="AG25" s="41"/>
      <c r="AH25" s="41"/>
      <c r="AI25" s="41"/>
      <c r="AJ25" s="2"/>
      <c r="AK25" s="7">
        <f t="shared" si="3"/>
        <v>0</v>
      </c>
      <c r="AL25" s="8"/>
      <c r="AM25" s="8"/>
      <c r="AN25" s="8"/>
      <c r="AO25" s="8">
        <v>0</v>
      </c>
      <c r="AP25"/>
    </row>
    <row r="26" spans="1:45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2"/>
      <c r="AB26" s="41"/>
      <c r="AC26" s="41"/>
      <c r="AD26" s="2"/>
      <c r="AE26" s="41"/>
      <c r="AF26" s="41"/>
      <c r="AG26" s="41"/>
      <c r="AH26" s="41"/>
      <c r="AI26" s="41"/>
      <c r="AJ26" s="2"/>
      <c r="AK26" s="7">
        <f t="shared" si="3"/>
        <v>0</v>
      </c>
      <c r="AL26" s="8"/>
      <c r="AM26" s="8"/>
      <c r="AN26" s="8"/>
      <c r="AO26" s="8">
        <v>0</v>
      </c>
      <c r="AP26"/>
    </row>
    <row r="27" spans="1:45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2"/>
      <c r="AB27" s="41"/>
      <c r="AC27" s="41"/>
      <c r="AD27" s="2"/>
      <c r="AE27" s="41"/>
      <c r="AF27" s="41"/>
      <c r="AG27" s="41"/>
      <c r="AH27" s="41"/>
      <c r="AI27" s="41"/>
      <c r="AJ27" s="2"/>
      <c r="AK27" s="7">
        <f t="shared" si="3"/>
        <v>0</v>
      </c>
      <c r="AL27" s="8"/>
      <c r="AM27" s="8"/>
      <c r="AN27" s="8"/>
      <c r="AO27" s="8">
        <v>0</v>
      </c>
      <c r="AP27"/>
    </row>
    <row r="28" spans="1:45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2"/>
      <c r="AB28" s="41"/>
      <c r="AC28" s="41"/>
      <c r="AD28" s="2"/>
      <c r="AE28" s="41"/>
      <c r="AF28" s="41"/>
      <c r="AG28" s="41"/>
      <c r="AH28" s="41"/>
      <c r="AI28" s="41"/>
      <c r="AJ28" s="2"/>
      <c r="AK28" s="7">
        <f t="shared" si="3"/>
        <v>0</v>
      </c>
      <c r="AL28" s="8"/>
      <c r="AM28" s="8"/>
      <c r="AN28" s="8"/>
      <c r="AO28" s="8">
        <v>0</v>
      </c>
      <c r="AP28"/>
    </row>
    <row r="29" spans="1:45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>
        <v>0</v>
      </c>
      <c r="J29" s="2">
        <v>0</v>
      </c>
      <c r="K29" s="2"/>
      <c r="L29" s="2"/>
      <c r="M29" s="2"/>
      <c r="N29" s="2"/>
      <c r="O29" s="8">
        <f t="shared" si="0"/>
        <v>-3248</v>
      </c>
      <c r="P29" s="2">
        <v>100</v>
      </c>
      <c r="Q29" s="2">
        <v>584</v>
      </c>
      <c r="R29" s="2"/>
      <c r="S29" s="2"/>
      <c r="T29" s="41"/>
      <c r="U29" s="41">
        <v>567</v>
      </c>
      <c r="V29" s="41"/>
      <c r="W29" s="41"/>
      <c r="X29" s="41"/>
      <c r="Y29" s="41"/>
      <c r="Z29" s="2"/>
      <c r="AA29" s="2"/>
      <c r="AB29" s="41"/>
      <c r="AC29" s="41"/>
      <c r="AD29" s="2"/>
      <c r="AE29" s="41"/>
      <c r="AF29" s="41"/>
      <c r="AG29" s="41">
        <v>500</v>
      </c>
      <c r="AH29" s="41">
        <v>427</v>
      </c>
      <c r="AI29" s="41">
        <v>1070</v>
      </c>
      <c r="AJ29" s="2"/>
      <c r="AK29" s="7">
        <f t="shared" si="3"/>
        <v>0</v>
      </c>
      <c r="AL29" s="8"/>
      <c r="AM29" s="8"/>
      <c r="AN29" s="8"/>
      <c r="AO29" s="8">
        <v>0</v>
      </c>
      <c r="AP29"/>
    </row>
    <row r="30" spans="1:45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>
        <v>1000</v>
      </c>
      <c r="J30" s="2">
        <v>0</v>
      </c>
      <c r="K30" s="2"/>
      <c r="L30" s="2"/>
      <c r="M30" s="2"/>
      <c r="N30" s="2"/>
      <c r="O30" s="8">
        <f t="shared" si="0"/>
        <v>1000</v>
      </c>
      <c r="P30" s="2"/>
      <c r="Q30" s="2"/>
      <c r="R30" s="2"/>
      <c r="S30" s="2"/>
      <c r="T30" s="41"/>
      <c r="U30" s="41"/>
      <c r="V30" s="41"/>
      <c r="W30" s="41"/>
      <c r="X30" s="41"/>
      <c r="Y30" s="41"/>
      <c r="Z30" s="2"/>
      <c r="AA30" s="2"/>
      <c r="AB30" s="41"/>
      <c r="AC30" s="41"/>
      <c r="AD30" s="2"/>
      <c r="AE30" s="41"/>
      <c r="AF30" s="41"/>
      <c r="AG30" s="41"/>
      <c r="AH30" s="41"/>
      <c r="AI30" s="41"/>
      <c r="AJ30" s="2"/>
      <c r="AK30" s="7">
        <f t="shared" si="3"/>
        <v>0</v>
      </c>
      <c r="AL30" s="8"/>
      <c r="AM30" s="8"/>
      <c r="AN30" s="8"/>
      <c r="AO30" s="8">
        <v>0</v>
      </c>
      <c r="AP30"/>
    </row>
    <row r="31" spans="1:45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>
        <v>1000</v>
      </c>
      <c r="J31" s="2">
        <v>0</v>
      </c>
      <c r="K31" s="2"/>
      <c r="L31" s="2"/>
      <c r="M31" s="2"/>
      <c r="N31" s="2"/>
      <c r="O31" s="8">
        <f t="shared" si="0"/>
        <v>1000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2"/>
      <c r="AB31" s="41"/>
      <c r="AC31" s="41"/>
      <c r="AD31" s="2"/>
      <c r="AE31" s="41"/>
      <c r="AF31" s="41"/>
      <c r="AG31" s="41"/>
      <c r="AH31" s="41"/>
      <c r="AI31" s="41"/>
      <c r="AJ31" s="2"/>
      <c r="AK31" s="7">
        <f t="shared" si="3"/>
        <v>0</v>
      </c>
      <c r="AL31" s="8"/>
      <c r="AM31" s="8"/>
      <c r="AN31" s="8"/>
      <c r="AO31" s="8">
        <v>0</v>
      </c>
      <c r="AP31"/>
    </row>
    <row r="32" spans="1:45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>
        <v>1000</v>
      </c>
      <c r="J32" s="2">
        <v>0</v>
      </c>
      <c r="K32" s="2"/>
      <c r="L32" s="2"/>
      <c r="M32" s="2"/>
      <c r="N32" s="2"/>
      <c r="O32" s="8">
        <f t="shared" si="0"/>
        <v>650</v>
      </c>
      <c r="P32" s="2"/>
      <c r="Q32" s="2"/>
      <c r="R32" s="2"/>
      <c r="S32" s="2"/>
      <c r="T32" s="41"/>
      <c r="U32" s="41"/>
      <c r="V32" s="41">
        <v>350</v>
      </c>
      <c r="W32" s="41"/>
      <c r="X32" s="41"/>
      <c r="Y32" s="41"/>
      <c r="Z32" s="2"/>
      <c r="AA32" s="2"/>
      <c r="AB32" s="41"/>
      <c r="AC32" s="41"/>
      <c r="AD32" s="2"/>
      <c r="AE32" s="41"/>
      <c r="AF32" s="41"/>
      <c r="AG32" s="41"/>
      <c r="AH32" s="41"/>
      <c r="AI32" s="41"/>
      <c r="AJ32" s="2"/>
      <c r="AK32" s="7">
        <f t="shared" si="3"/>
        <v>0</v>
      </c>
      <c r="AL32" s="8"/>
      <c r="AM32" s="8"/>
      <c r="AN32" s="8"/>
      <c r="AO32" s="8">
        <v>0</v>
      </c>
      <c r="AP32"/>
    </row>
    <row r="33" spans="1:42" x14ac:dyDescent="0.25">
      <c r="A33" s="2">
        <v>28</v>
      </c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2"/>
      <c r="AB33" s="41"/>
      <c r="AC33" s="41"/>
      <c r="AD33" s="2"/>
      <c r="AE33" s="41"/>
      <c r="AF33" s="41"/>
      <c r="AG33" s="41"/>
      <c r="AH33" s="41"/>
      <c r="AI33" s="41"/>
      <c r="AJ33" s="2"/>
      <c r="AK33" s="7">
        <f t="shared" si="3"/>
        <v>0</v>
      </c>
      <c r="AL33" s="8"/>
      <c r="AM33" s="8"/>
      <c r="AN33" s="8"/>
      <c r="AO33" s="8">
        <v>0</v>
      </c>
      <c r="AP33"/>
    </row>
    <row r="34" spans="1:4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2"/>
      <c r="AB34" s="41"/>
      <c r="AC34" s="41"/>
      <c r="AD34" s="2"/>
      <c r="AE34" s="41"/>
      <c r="AF34" s="41"/>
      <c r="AG34" s="41"/>
      <c r="AH34" s="41"/>
      <c r="AI34" s="41"/>
      <c r="AJ34" s="2"/>
      <c r="AK34" s="7">
        <f t="shared" si="3"/>
        <v>0</v>
      </c>
      <c r="AL34" s="8"/>
      <c r="AM34" s="8"/>
      <c r="AN34" s="8"/>
      <c r="AO34" s="8">
        <v>0</v>
      </c>
      <c r="AP34"/>
    </row>
    <row r="35" spans="1:4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2"/>
      <c r="AB35" s="41"/>
      <c r="AC35" s="41"/>
      <c r="AD35" s="2"/>
      <c r="AE35" s="41"/>
      <c r="AF35" s="41"/>
      <c r="AG35" s="41"/>
      <c r="AH35" s="41"/>
      <c r="AI35" s="41"/>
      <c r="AJ35" s="2"/>
      <c r="AK35" s="7">
        <f t="shared" si="3"/>
        <v>0</v>
      </c>
      <c r="AL35" s="8"/>
      <c r="AM35" s="8"/>
      <c r="AN35" s="8"/>
      <c r="AO35" s="8">
        <v>0</v>
      </c>
      <c r="AP35"/>
    </row>
    <row r="36" spans="1:42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2"/>
      <c r="AB36" s="41"/>
      <c r="AC36" s="41"/>
      <c r="AD36" s="2"/>
      <c r="AE36" s="41"/>
      <c r="AF36" s="41"/>
      <c r="AG36" s="41"/>
      <c r="AH36" s="41"/>
      <c r="AI36" s="41"/>
      <c r="AJ36" s="2"/>
      <c r="AK36" s="7">
        <f t="shared" si="3"/>
        <v>0</v>
      </c>
      <c r="AL36" s="8"/>
      <c r="AM36" s="8"/>
      <c r="AN36" s="8"/>
      <c r="AO36" s="8" t="e">
        <f t="shared" si="2"/>
        <v>#DIV/0!</v>
      </c>
      <c r="AP36"/>
    </row>
    <row r="37" spans="1:42" x14ac:dyDescent="0.25">
      <c r="H37" s="4" t="s">
        <v>19</v>
      </c>
      <c r="I37" s="9">
        <f t="shared" ref="I37:AK37" si="4">SUM(I6:I36)</f>
        <v>29796</v>
      </c>
      <c r="J37" s="9">
        <f t="shared" si="4"/>
        <v>16000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11">
        <f t="shared" si="4"/>
        <v>-10117</v>
      </c>
      <c r="P37" s="9">
        <f t="shared" si="4"/>
        <v>2477</v>
      </c>
      <c r="Q37" s="9">
        <f t="shared" si="4"/>
        <v>5584</v>
      </c>
      <c r="R37" s="9">
        <f t="shared" si="4"/>
        <v>7438</v>
      </c>
      <c r="S37" s="9">
        <f t="shared" si="4"/>
        <v>3500</v>
      </c>
      <c r="T37" s="46">
        <f t="shared" si="4"/>
        <v>7747</v>
      </c>
      <c r="U37" s="46">
        <f t="shared" si="4"/>
        <v>6567</v>
      </c>
      <c r="V37" s="46">
        <f t="shared" si="4"/>
        <v>1250</v>
      </c>
      <c r="W37" s="46">
        <f t="shared" si="4"/>
        <v>4100</v>
      </c>
      <c r="X37" s="46">
        <f t="shared" si="4"/>
        <v>0</v>
      </c>
      <c r="Y37" s="46">
        <f t="shared" si="4"/>
        <v>2000</v>
      </c>
      <c r="Z37" s="9">
        <f t="shared" si="4"/>
        <v>0</v>
      </c>
      <c r="AA37" s="9">
        <f t="shared" si="4"/>
        <v>0</v>
      </c>
      <c r="AB37" s="46">
        <f t="shared" si="4"/>
        <v>0</v>
      </c>
      <c r="AC37" s="46">
        <f t="shared" si="4"/>
        <v>0</v>
      </c>
      <c r="AD37" s="9">
        <f t="shared" si="4"/>
        <v>0</v>
      </c>
      <c r="AE37" s="46">
        <f t="shared" si="4"/>
        <v>3000</v>
      </c>
      <c r="AF37" s="46">
        <f t="shared" si="4"/>
        <v>1500</v>
      </c>
      <c r="AG37" s="46">
        <f t="shared" si="4"/>
        <v>4153</v>
      </c>
      <c r="AH37" s="46">
        <f t="shared" si="4"/>
        <v>5527</v>
      </c>
      <c r="AI37" s="46">
        <f t="shared" si="4"/>
        <v>1070</v>
      </c>
      <c r="AJ37" s="9">
        <f t="shared" si="4"/>
        <v>0</v>
      </c>
      <c r="AK37" s="9">
        <f t="shared" si="4"/>
        <v>2640</v>
      </c>
      <c r="AO37" s="12" t="e">
        <f>SUM(AO6:AO36)</f>
        <v>#DIV/0!</v>
      </c>
    </row>
    <row r="38" spans="1:42" x14ac:dyDescent="0.25">
      <c r="H38" s="4" t="s">
        <v>21</v>
      </c>
      <c r="I38" s="99">
        <f>+I37+J37+K37+L37+M37+N37</f>
        <v>45796</v>
      </c>
      <c r="J38" s="99"/>
      <c r="K38" s="99"/>
      <c r="L38" s="99"/>
      <c r="M38" s="99"/>
      <c r="N38" s="99"/>
      <c r="P38" s="100">
        <f>+P37+Q37</f>
        <v>8061</v>
      </c>
      <c r="Q38" s="101"/>
      <c r="R38" s="100">
        <f>+R37+S37</f>
        <v>10938</v>
      </c>
      <c r="S38" s="101"/>
      <c r="T38" s="100">
        <f>+T37+U37</f>
        <v>14314</v>
      </c>
      <c r="U38" s="101"/>
      <c r="V38" s="100">
        <f>+V37+W37</f>
        <v>5350</v>
      </c>
      <c r="W38" s="101"/>
      <c r="X38" s="100">
        <f>+X37+Y37</f>
        <v>2000</v>
      </c>
      <c r="Y38" s="101"/>
      <c r="Z38" s="100">
        <f>+Z37+AA37</f>
        <v>0</v>
      </c>
      <c r="AA38" s="101"/>
      <c r="AB38" s="100">
        <f>+AB37+AC37</f>
        <v>0</v>
      </c>
      <c r="AC38" s="101"/>
      <c r="AD38" s="100">
        <f>+AD37+AE37</f>
        <v>3000</v>
      </c>
      <c r="AE38" s="101"/>
      <c r="AF38" s="100">
        <f>+AF37+AG37</f>
        <v>5653</v>
      </c>
      <c r="AG38" s="101"/>
      <c r="AH38" s="100">
        <f>+AH37+AI37</f>
        <v>6597</v>
      </c>
      <c r="AI38" s="101"/>
      <c r="AJ38" s="10">
        <f>+AJ37</f>
        <v>0</v>
      </c>
    </row>
  </sheetData>
  <autoFilter ref="B5:AO38" xr:uid="{00000000-0009-0000-0000-000003000000}"/>
  <mergeCells count="23">
    <mergeCell ref="C2:D2"/>
    <mergeCell ref="AH4:AI4"/>
    <mergeCell ref="AF4:AG4"/>
    <mergeCell ref="AD4:AE4"/>
    <mergeCell ref="AB4:AC4"/>
    <mergeCell ref="Z4:AA4"/>
    <mergeCell ref="X4:Y4"/>
    <mergeCell ref="V4:W4"/>
    <mergeCell ref="T4:U4"/>
    <mergeCell ref="R4:S4"/>
    <mergeCell ref="P4:Q4"/>
    <mergeCell ref="B3:B4"/>
    <mergeCell ref="I38:N38"/>
    <mergeCell ref="AD38:AE38"/>
    <mergeCell ref="AF38:AG38"/>
    <mergeCell ref="AH38:AI38"/>
    <mergeCell ref="P38:Q38"/>
    <mergeCell ref="R38:S38"/>
    <mergeCell ref="T38:U38"/>
    <mergeCell ref="V38:W38"/>
    <mergeCell ref="X38:Y38"/>
    <mergeCell ref="Z38:AA38"/>
    <mergeCell ref="AB38:AC38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92D050"/>
  </sheetPr>
  <dimension ref="A2:AS38"/>
  <sheetViews>
    <sheetView zoomScale="80" zoomScaleNormal="80" workbookViewId="0">
      <pane xSplit="15" topLeftCell="P1" activePane="topRight" state="frozen"/>
      <selection pane="topRight" activeCell="C54" sqref="C54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customWidth="1"/>
    <col min="11" max="11" width="7.5703125" style="1" customWidth="1"/>
    <col min="12" max="14" width="5" style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7" width="8.7109375" style="1" customWidth="1"/>
    <col min="28" max="29" width="8.7109375" style="44" customWidth="1"/>
    <col min="30" max="30" width="8.7109375" style="1" customWidth="1"/>
    <col min="31" max="35" width="8.7109375" style="44" customWidth="1"/>
    <col min="3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2" spans="1:45" x14ac:dyDescent="0.25">
      <c r="B2" s="4" t="s">
        <v>17</v>
      </c>
      <c r="C2" s="91" t="s">
        <v>18</v>
      </c>
      <c r="D2" s="91"/>
    </row>
    <row r="3" spans="1:4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45" x14ac:dyDescent="0.25">
      <c r="B4" s="92"/>
      <c r="C4" s="4" t="s">
        <v>16</v>
      </c>
      <c r="D4" s="2"/>
      <c r="I4" s="4" t="s">
        <v>5</v>
      </c>
      <c r="P4" s="96">
        <v>46223</v>
      </c>
      <c r="Q4" s="96"/>
      <c r="R4" s="96">
        <v>46224</v>
      </c>
      <c r="S4" s="96"/>
      <c r="T4" s="96">
        <v>46225</v>
      </c>
      <c r="U4" s="96"/>
      <c r="V4" s="96">
        <v>46226</v>
      </c>
      <c r="W4" s="96"/>
      <c r="X4" s="96">
        <v>46227</v>
      </c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6" t="s">
        <v>10</v>
      </c>
    </row>
    <row r="5" spans="1:4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30</v>
      </c>
      <c r="J5" s="4">
        <v>30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15</v>
      </c>
      <c r="AA5" s="4" t="s">
        <v>16</v>
      </c>
      <c r="AB5" s="45" t="s">
        <v>15</v>
      </c>
      <c r="AC5" s="45" t="s">
        <v>16</v>
      </c>
      <c r="AD5" s="4" t="s">
        <v>15</v>
      </c>
      <c r="AE5" s="45" t="s">
        <v>16</v>
      </c>
      <c r="AF5" s="45" t="s">
        <v>15</v>
      </c>
      <c r="AG5" s="45" t="s">
        <v>16</v>
      </c>
      <c r="AH5" s="45" t="s">
        <v>15</v>
      </c>
      <c r="AI5" s="45" t="s">
        <v>16</v>
      </c>
      <c r="AJ5" s="4" t="s">
        <v>20</v>
      </c>
      <c r="AK5" s="4" t="s">
        <v>8</v>
      </c>
      <c r="AL5" s="4" t="s">
        <v>22</v>
      </c>
      <c r="AM5" s="4" t="s">
        <v>24</v>
      </c>
      <c r="AN5" s="4" t="s">
        <v>23</v>
      </c>
      <c r="AO5" s="4" t="s">
        <v>30</v>
      </c>
      <c r="AP5"/>
      <c r="AQ5" t="s">
        <v>31</v>
      </c>
      <c r="AR5" t="s">
        <v>33</v>
      </c>
      <c r="AS5"/>
    </row>
    <row r="6" spans="1:45" hidden="1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>
        <v>-28305</v>
      </c>
      <c r="J6" s="2">
        <v>0</v>
      </c>
      <c r="K6" s="2"/>
      <c r="L6" s="2"/>
      <c r="M6" s="2"/>
      <c r="N6" s="2"/>
      <c r="O6" s="8">
        <f>+I6+J6+K6+L6+M6+N6-SUM(P6:AJ6)</f>
        <v>-54540</v>
      </c>
      <c r="P6" s="2">
        <v>3100</v>
      </c>
      <c r="Q6" s="2">
        <v>5024</v>
      </c>
      <c r="R6" s="2">
        <v>2300</v>
      </c>
      <c r="S6" s="2"/>
      <c r="T6" s="41">
        <v>4000</v>
      </c>
      <c r="U6" s="41">
        <v>2635</v>
      </c>
      <c r="V6" s="41">
        <v>5400</v>
      </c>
      <c r="W6" s="41"/>
      <c r="X6" s="41">
        <v>3776</v>
      </c>
      <c r="Y6" s="41"/>
      <c r="Z6" s="2"/>
      <c r="AA6" s="2"/>
      <c r="AB6" s="41"/>
      <c r="AC6" s="41"/>
      <c r="AD6" s="2"/>
      <c r="AE6" s="41"/>
      <c r="AF6" s="41"/>
      <c r="AG6" s="41"/>
      <c r="AH6" s="41"/>
      <c r="AI6" s="41"/>
      <c r="AJ6" s="2"/>
      <c r="AK6" s="7">
        <f>+G6*SUM(I6:N6)</f>
        <v>0</v>
      </c>
      <c r="AL6" s="8"/>
      <c r="AM6" s="8"/>
      <c r="AN6" s="8"/>
      <c r="AO6" s="8" t="e">
        <f>+SUM(I6:N6)/AM6</f>
        <v>#DIV/0!</v>
      </c>
      <c r="AP6"/>
      <c r="AQ6" s="15">
        <v>0</v>
      </c>
      <c r="AR6">
        <v>0</v>
      </c>
      <c r="AS6"/>
    </row>
    <row r="7" spans="1:45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>
        <v>0.22</v>
      </c>
      <c r="H7" s="3"/>
      <c r="I7" s="2">
        <v>9900</v>
      </c>
      <c r="J7" s="2">
        <v>0</v>
      </c>
      <c r="K7" s="2"/>
      <c r="L7" s="2"/>
      <c r="M7" s="2"/>
      <c r="N7" s="2"/>
      <c r="O7" s="8">
        <f t="shared" ref="O7:O36" si="0">+I7+J7+K7+L7+M7+N7-SUM(P7:AJ7)</f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2"/>
      <c r="AB7" s="41"/>
      <c r="AC7" s="41"/>
      <c r="AD7" s="2"/>
      <c r="AE7" s="41"/>
      <c r="AF7" s="41"/>
      <c r="AG7" s="41"/>
      <c r="AH7" s="41"/>
      <c r="AI7" s="41"/>
      <c r="AJ7" s="2">
        <v>9900</v>
      </c>
      <c r="AK7" s="7">
        <f t="shared" ref="AK7:AK36" si="1">+G7*SUM(I7:N7)</f>
        <v>2178</v>
      </c>
      <c r="AL7" s="8"/>
      <c r="AM7" s="8"/>
      <c r="AN7" s="8"/>
      <c r="AO7" s="8" t="e">
        <f t="shared" ref="AO7:AO36" si="2">+SUM(I7:N7)/AM7</f>
        <v>#DIV/0!</v>
      </c>
      <c r="AP7"/>
      <c r="AQ7" s="15" t="s">
        <v>25</v>
      </c>
      <c r="AR7">
        <v>52</v>
      </c>
      <c r="AS7"/>
    </row>
    <row r="8" spans="1:45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>
        <v>17253</v>
      </c>
      <c r="J8" s="2">
        <v>0</v>
      </c>
      <c r="K8" s="2"/>
      <c r="L8" s="2"/>
      <c r="M8" s="2"/>
      <c r="N8" s="2"/>
      <c r="O8" s="8">
        <f t="shared" si="0"/>
        <v>0</v>
      </c>
      <c r="P8" s="2"/>
      <c r="Q8" s="2"/>
      <c r="R8" s="2"/>
      <c r="S8" s="2"/>
      <c r="T8" s="41"/>
      <c r="U8" s="41"/>
      <c r="V8" s="41"/>
      <c r="W8" s="41"/>
      <c r="X8" s="41"/>
      <c r="Y8" s="41"/>
      <c r="Z8" s="2"/>
      <c r="AA8" s="2"/>
      <c r="AB8" s="41"/>
      <c r="AC8" s="41"/>
      <c r="AD8" s="2"/>
      <c r="AE8" s="41"/>
      <c r="AF8" s="41"/>
      <c r="AG8" s="41"/>
      <c r="AH8" s="41"/>
      <c r="AI8" s="41"/>
      <c r="AJ8" s="2">
        <v>17253</v>
      </c>
      <c r="AK8" s="7">
        <f t="shared" si="1"/>
        <v>0</v>
      </c>
      <c r="AL8" s="8"/>
      <c r="AM8" s="8"/>
      <c r="AN8" s="8"/>
      <c r="AO8" s="8" t="e">
        <f t="shared" si="2"/>
        <v>#DIV/0!</v>
      </c>
      <c r="AP8"/>
      <c r="AQ8" s="15" t="s">
        <v>29</v>
      </c>
      <c r="AR8">
        <v>0</v>
      </c>
      <c r="AS8"/>
    </row>
    <row r="9" spans="1:45" hidden="1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>
        <v>0</v>
      </c>
      <c r="J9" s="2">
        <v>0</v>
      </c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2"/>
      <c r="AB9" s="41"/>
      <c r="AC9" s="41"/>
      <c r="AD9" s="2"/>
      <c r="AE9" s="41"/>
      <c r="AF9" s="41"/>
      <c r="AG9" s="41"/>
      <c r="AH9" s="41"/>
      <c r="AI9" s="41"/>
      <c r="AJ9" s="2"/>
      <c r="AK9" s="7">
        <f t="shared" si="1"/>
        <v>0</v>
      </c>
      <c r="AL9" s="8"/>
      <c r="AM9" s="8"/>
      <c r="AN9" s="8"/>
      <c r="AO9" s="8" t="e">
        <f t="shared" si="2"/>
        <v>#DIV/0!</v>
      </c>
      <c r="AP9"/>
      <c r="AQ9" s="15" t="s">
        <v>26</v>
      </c>
      <c r="AR9">
        <v>116</v>
      </c>
      <c r="AS9"/>
    </row>
    <row r="10" spans="1:45" hidden="1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>
        <v>0</v>
      </c>
      <c r="J10" s="2">
        <v>0</v>
      </c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2"/>
      <c r="AB10" s="41"/>
      <c r="AC10" s="41"/>
      <c r="AD10" s="2"/>
      <c r="AE10" s="41"/>
      <c r="AF10" s="41"/>
      <c r="AG10" s="41"/>
      <c r="AH10" s="41"/>
      <c r="AI10" s="41"/>
      <c r="AJ10" s="2"/>
      <c r="AK10" s="7">
        <f t="shared" si="1"/>
        <v>0</v>
      </c>
      <c r="AL10" s="8"/>
      <c r="AM10" s="8"/>
      <c r="AN10" s="8"/>
      <c r="AO10" s="8" t="e">
        <f t="shared" si="2"/>
        <v>#DIV/0!</v>
      </c>
      <c r="AP10"/>
      <c r="AQ10" s="15" t="s">
        <v>28</v>
      </c>
      <c r="AR10">
        <v>2</v>
      </c>
      <c r="AS10"/>
    </row>
    <row r="11" spans="1:45" hidden="1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>
        <v>0</v>
      </c>
      <c r="J11" s="2">
        <v>0</v>
      </c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2"/>
      <c r="AB11" s="41"/>
      <c r="AC11" s="41"/>
      <c r="AD11" s="2"/>
      <c r="AE11" s="41"/>
      <c r="AF11" s="41"/>
      <c r="AG11" s="41"/>
      <c r="AH11" s="41"/>
      <c r="AI11" s="41"/>
      <c r="AJ11" s="2"/>
      <c r="AK11" s="7">
        <f t="shared" si="1"/>
        <v>0</v>
      </c>
      <c r="AL11" s="8"/>
      <c r="AM11" s="8"/>
      <c r="AN11" s="8"/>
      <c r="AO11" s="8" t="e">
        <f t="shared" si="2"/>
        <v>#DIV/0!</v>
      </c>
      <c r="AP11"/>
      <c r="AQ11" s="15" t="s">
        <v>27</v>
      </c>
      <c r="AR11">
        <v>10</v>
      </c>
      <c r="AS11"/>
    </row>
    <row r="12" spans="1:45" hidden="1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2"/>
      <c r="AB12" s="41"/>
      <c r="AC12" s="41"/>
      <c r="AD12" s="2"/>
      <c r="AE12" s="41"/>
      <c r="AF12" s="41"/>
      <c r="AG12" s="41"/>
      <c r="AH12" s="41"/>
      <c r="AI12" s="41"/>
      <c r="AJ12" s="2"/>
      <c r="AK12" s="7">
        <f t="shared" si="1"/>
        <v>0</v>
      </c>
      <c r="AL12" s="8"/>
      <c r="AM12" s="8"/>
      <c r="AN12" s="8"/>
      <c r="AO12" s="8" t="e">
        <f t="shared" si="2"/>
        <v>#DIV/0!</v>
      </c>
      <c r="AP12"/>
      <c r="AQ12" s="15" t="s">
        <v>32</v>
      </c>
      <c r="AR12">
        <v>180</v>
      </c>
      <c r="AS12"/>
    </row>
    <row r="13" spans="1:45" hidden="1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>
        <v>-145</v>
      </c>
      <c r="J13" s="2">
        <v>0</v>
      </c>
      <c r="K13" s="2"/>
      <c r="L13" s="2"/>
      <c r="M13" s="2"/>
      <c r="N13" s="2"/>
      <c r="O13" s="8">
        <f t="shared" si="0"/>
        <v>-145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2"/>
      <c r="AB13" s="41"/>
      <c r="AC13" s="41"/>
      <c r="AD13" s="2"/>
      <c r="AE13" s="41"/>
      <c r="AF13" s="41"/>
      <c r="AG13" s="41"/>
      <c r="AH13" s="41"/>
      <c r="AI13" s="41"/>
      <c r="AJ13" s="2"/>
      <c r="AK13" s="7">
        <f t="shared" si="1"/>
        <v>0</v>
      </c>
      <c r="AL13" s="8"/>
      <c r="AM13" s="8"/>
      <c r="AN13" s="8"/>
      <c r="AO13" s="8" t="e">
        <f t="shared" si="2"/>
        <v>#DIV/0!</v>
      </c>
      <c r="AP13"/>
      <c r="AQ13"/>
      <c r="AR13"/>
      <c r="AS13"/>
    </row>
    <row r="14" spans="1:45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>
        <v>-4924</v>
      </c>
      <c r="J14" s="2">
        <f>6828+9000</f>
        <v>15828</v>
      </c>
      <c r="K14" s="2"/>
      <c r="L14" s="2"/>
      <c r="M14" s="2"/>
      <c r="N14" s="2"/>
      <c r="O14" s="8">
        <f t="shared" si="0"/>
        <v>0</v>
      </c>
      <c r="P14" s="2"/>
      <c r="Q14" s="2"/>
      <c r="R14" s="2">
        <v>1000</v>
      </c>
      <c r="S14" s="2"/>
      <c r="T14" s="41">
        <v>3500</v>
      </c>
      <c r="V14" s="41"/>
      <c r="W14" s="41"/>
      <c r="X14" s="41"/>
      <c r="Y14" s="41"/>
      <c r="Z14" s="2"/>
      <c r="AA14" s="2"/>
      <c r="AB14" s="41"/>
      <c r="AC14" s="41"/>
      <c r="AD14" s="2"/>
      <c r="AE14" s="41"/>
      <c r="AF14" s="41"/>
      <c r="AG14" s="41"/>
      <c r="AH14" s="41"/>
      <c r="AI14" s="41"/>
      <c r="AJ14" s="2">
        <v>6404</v>
      </c>
      <c r="AK14" s="7">
        <f t="shared" si="1"/>
        <v>0</v>
      </c>
      <c r="AL14" s="8"/>
      <c r="AM14" s="8"/>
      <c r="AN14" s="8"/>
      <c r="AO14" s="8" t="e">
        <f t="shared" si="2"/>
        <v>#DIV/0!</v>
      </c>
      <c r="AP14"/>
      <c r="AQ14"/>
      <c r="AR14"/>
      <c r="AS14"/>
    </row>
    <row r="15" spans="1:45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>
        <v>-737</v>
      </c>
      <c r="J15" s="2">
        <v>1692</v>
      </c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2"/>
      <c r="AB15" s="41"/>
      <c r="AC15" s="41"/>
      <c r="AD15" s="2"/>
      <c r="AE15" s="41"/>
      <c r="AF15" s="41"/>
      <c r="AG15" s="41"/>
      <c r="AH15" s="41"/>
      <c r="AI15" s="41"/>
      <c r="AJ15" s="2">
        <v>955</v>
      </c>
      <c r="AK15" s="7">
        <f t="shared" si="1"/>
        <v>0</v>
      </c>
      <c r="AL15" s="8"/>
      <c r="AM15" s="8"/>
      <c r="AN15" s="8"/>
      <c r="AO15" s="8" t="e">
        <f t="shared" si="2"/>
        <v>#DIV/0!</v>
      </c>
      <c r="AP15"/>
      <c r="AQ15"/>
      <c r="AR15"/>
      <c r="AS15"/>
    </row>
    <row r="16" spans="1:45" hidden="1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>
        <v>-1640</v>
      </c>
      <c r="J16" s="2">
        <v>2820</v>
      </c>
      <c r="K16" s="2"/>
      <c r="L16" s="2"/>
      <c r="M16" s="2"/>
      <c r="N16" s="2"/>
      <c r="O16" s="8">
        <f t="shared" si="0"/>
        <v>-1888</v>
      </c>
      <c r="P16" s="2"/>
      <c r="Q16" s="2"/>
      <c r="R16" s="2">
        <v>3068</v>
      </c>
      <c r="S16" s="2"/>
      <c r="T16" s="41"/>
      <c r="U16" s="41"/>
      <c r="V16" s="41"/>
      <c r="W16" s="41"/>
      <c r="X16" s="41"/>
      <c r="Y16" s="41"/>
      <c r="Z16" s="2"/>
      <c r="AA16" s="2"/>
      <c r="AB16" s="41"/>
      <c r="AC16" s="41"/>
      <c r="AD16" s="2"/>
      <c r="AE16" s="41"/>
      <c r="AF16" s="41"/>
      <c r="AG16" s="41"/>
      <c r="AH16" s="41"/>
      <c r="AI16" s="41"/>
      <c r="AJ16" s="2"/>
      <c r="AK16" s="7">
        <f t="shared" si="1"/>
        <v>0</v>
      </c>
      <c r="AL16" s="8"/>
      <c r="AM16" s="8"/>
      <c r="AN16" s="8"/>
      <c r="AO16" s="8" t="e">
        <f t="shared" si="2"/>
        <v>#DIV/0!</v>
      </c>
      <c r="AP16"/>
      <c r="AQ16"/>
      <c r="AR16"/>
      <c r="AS16"/>
    </row>
    <row r="17" spans="1:4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>
        <v>156</v>
      </c>
      <c r="J17" s="2">
        <v>1692</v>
      </c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2"/>
      <c r="AB17" s="41"/>
      <c r="AC17" s="41"/>
      <c r="AD17" s="2"/>
      <c r="AE17" s="41"/>
      <c r="AF17" s="41"/>
      <c r="AG17" s="41"/>
      <c r="AH17" s="41"/>
      <c r="AI17" s="41"/>
      <c r="AJ17" s="2">
        <v>1848</v>
      </c>
      <c r="AK17" s="7">
        <f t="shared" si="1"/>
        <v>0</v>
      </c>
      <c r="AL17" s="8"/>
      <c r="AM17" s="8"/>
      <c r="AN17" s="8"/>
      <c r="AO17" s="8" t="e">
        <f t="shared" si="2"/>
        <v>#DIV/0!</v>
      </c>
      <c r="AP17"/>
      <c r="AQ17"/>
      <c r="AR17"/>
      <c r="AS17"/>
    </row>
    <row r="18" spans="1:45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>
        <v>596</v>
      </c>
      <c r="J18" s="2">
        <v>1206</v>
      </c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2"/>
      <c r="AB18" s="41"/>
      <c r="AC18" s="41"/>
      <c r="AD18" s="2"/>
      <c r="AE18" s="41"/>
      <c r="AF18" s="41"/>
      <c r="AG18" s="41"/>
      <c r="AH18" s="41"/>
      <c r="AI18" s="41"/>
      <c r="AJ18" s="2">
        <v>1802</v>
      </c>
      <c r="AK18" s="7">
        <f t="shared" si="1"/>
        <v>0</v>
      </c>
      <c r="AL18" s="8"/>
      <c r="AM18" s="8"/>
      <c r="AN18" s="8"/>
      <c r="AO18" s="8" t="e">
        <f t="shared" si="2"/>
        <v>#DIV/0!</v>
      </c>
      <c r="AP18"/>
      <c r="AQ18"/>
      <c r="AR18"/>
      <c r="AS18"/>
    </row>
    <row r="19" spans="1:45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>
        <v>552</v>
      </c>
      <c r="J19" s="2">
        <v>0</v>
      </c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2"/>
      <c r="AB19" s="41"/>
      <c r="AC19" s="41"/>
      <c r="AD19" s="2"/>
      <c r="AE19" s="41"/>
      <c r="AF19" s="41"/>
      <c r="AG19" s="41"/>
      <c r="AH19" s="41"/>
      <c r="AI19" s="41"/>
      <c r="AJ19" s="2">
        <v>552</v>
      </c>
      <c r="AK19" s="7">
        <f t="shared" si="1"/>
        <v>0</v>
      </c>
      <c r="AL19" s="8"/>
      <c r="AM19" s="8"/>
      <c r="AN19" s="8"/>
      <c r="AO19" s="8" t="e">
        <f t="shared" si="2"/>
        <v>#DIV/0!</v>
      </c>
      <c r="AP19"/>
      <c r="AQ19"/>
      <c r="AR19"/>
      <c r="AS19"/>
    </row>
    <row r="20" spans="1:45" hidden="1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>
        <v>0</v>
      </c>
      <c r="J20" s="2">
        <v>0</v>
      </c>
      <c r="K20" s="2"/>
      <c r="L20" s="2"/>
      <c r="M20" s="2"/>
      <c r="N20" s="2"/>
      <c r="O20" s="8">
        <f>+I20+J20+K20+L20+M20+N20-SUM(P20:AJ20)</f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2"/>
      <c r="AB20" s="41"/>
      <c r="AC20" s="41"/>
      <c r="AD20" s="2"/>
      <c r="AE20" s="41"/>
      <c r="AF20" s="41"/>
      <c r="AG20" s="41"/>
      <c r="AH20" s="41"/>
      <c r="AI20" s="41"/>
      <c r="AJ20" s="2"/>
      <c r="AK20" s="7">
        <f t="shared" si="1"/>
        <v>0</v>
      </c>
      <c r="AL20" s="8"/>
      <c r="AM20" s="8"/>
      <c r="AN20" s="8"/>
      <c r="AO20" s="8" t="e">
        <f t="shared" si="2"/>
        <v>#DIV/0!</v>
      </c>
      <c r="AP20"/>
      <c r="AQ20"/>
      <c r="AR20"/>
      <c r="AS20"/>
    </row>
    <row r="21" spans="1:45" hidden="1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>
        <v>0</v>
      </c>
      <c r="J21" s="2">
        <v>0</v>
      </c>
      <c r="K21" s="2"/>
      <c r="L21" s="2"/>
      <c r="M21" s="2"/>
      <c r="N21" s="2"/>
      <c r="O21" s="8">
        <f t="shared" ref="O21:O33" si="3">+I21+J21+K21+L21+M21+N21-SUM(P21:AJ21)</f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2"/>
      <c r="AB21" s="41"/>
      <c r="AC21" s="41"/>
      <c r="AD21" s="2"/>
      <c r="AE21" s="41"/>
      <c r="AF21" s="41"/>
      <c r="AG21" s="41"/>
      <c r="AH21" s="41"/>
      <c r="AI21" s="41"/>
      <c r="AJ21" s="2"/>
      <c r="AK21" s="7">
        <f t="shared" si="1"/>
        <v>0</v>
      </c>
      <c r="AL21" s="8"/>
      <c r="AM21" s="8"/>
      <c r="AN21" s="8"/>
      <c r="AO21" s="8" t="e">
        <f t="shared" si="2"/>
        <v>#DIV/0!</v>
      </c>
      <c r="AP21"/>
      <c r="AQ21"/>
      <c r="AR21"/>
      <c r="AS21"/>
    </row>
    <row r="22" spans="1:45" hidden="1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3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2"/>
      <c r="AB22" s="41"/>
      <c r="AC22" s="41"/>
      <c r="AD22" s="2"/>
      <c r="AE22" s="41"/>
      <c r="AF22" s="41"/>
      <c r="AG22" s="41"/>
      <c r="AH22" s="41"/>
      <c r="AI22" s="41"/>
      <c r="AJ22" s="2"/>
      <c r="AK22" s="7">
        <f t="shared" si="1"/>
        <v>0</v>
      </c>
      <c r="AL22" s="8"/>
      <c r="AM22" s="8"/>
      <c r="AN22" s="8"/>
      <c r="AO22" s="8">
        <v>0</v>
      </c>
      <c r="AP22"/>
      <c r="AQ22"/>
      <c r="AR22"/>
      <c r="AS22"/>
    </row>
    <row r="23" spans="1:45" hidden="1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>
        <v>0</v>
      </c>
      <c r="J23" s="2">
        <v>0</v>
      </c>
      <c r="K23" s="2"/>
      <c r="L23" s="2"/>
      <c r="M23" s="2"/>
      <c r="N23" s="2"/>
      <c r="O23" s="8">
        <f t="shared" si="3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2"/>
      <c r="AB23" s="41"/>
      <c r="AC23" s="41"/>
      <c r="AD23" s="2"/>
      <c r="AE23" s="41"/>
      <c r="AF23" s="41"/>
      <c r="AG23" s="41"/>
      <c r="AH23" s="41"/>
      <c r="AI23" s="41"/>
      <c r="AJ23" s="2"/>
      <c r="AK23" s="7">
        <f t="shared" si="1"/>
        <v>0</v>
      </c>
      <c r="AL23" s="8"/>
      <c r="AM23" s="8"/>
      <c r="AN23" s="8"/>
      <c r="AO23" s="8">
        <v>0</v>
      </c>
      <c r="AP23"/>
    </row>
    <row r="24" spans="1:45" hidden="1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>
        <v>-2225</v>
      </c>
      <c r="J24" s="2">
        <v>1200</v>
      </c>
      <c r="K24" s="2"/>
      <c r="L24" s="2"/>
      <c r="M24" s="2"/>
      <c r="N24" s="2"/>
      <c r="O24" s="8">
        <f t="shared" si="3"/>
        <v>-2276</v>
      </c>
      <c r="P24" s="2">
        <v>412</v>
      </c>
      <c r="Q24" s="2">
        <v>625</v>
      </c>
      <c r="R24" s="2"/>
      <c r="S24" s="2">
        <v>214</v>
      </c>
      <c r="T24" s="41"/>
      <c r="U24" s="41"/>
      <c r="V24" s="41"/>
      <c r="W24" s="41"/>
      <c r="X24" s="41"/>
      <c r="Y24" s="41"/>
      <c r="Z24" s="2"/>
      <c r="AA24" s="2"/>
      <c r="AB24" s="41"/>
      <c r="AC24" s="41"/>
      <c r="AD24" s="2"/>
      <c r="AE24" s="41"/>
      <c r="AF24" s="41"/>
      <c r="AG24" s="41"/>
      <c r="AH24" s="41"/>
      <c r="AI24" s="41"/>
      <c r="AJ24" s="2"/>
      <c r="AK24" s="7">
        <f t="shared" si="1"/>
        <v>0</v>
      </c>
      <c r="AL24" s="8"/>
      <c r="AM24" s="8"/>
      <c r="AN24" s="8"/>
      <c r="AO24" s="8">
        <v>0</v>
      </c>
      <c r="AP24"/>
    </row>
    <row r="25" spans="1:45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>
        <v>0</v>
      </c>
      <c r="J25" s="2">
        <v>3600</v>
      </c>
      <c r="K25" s="2"/>
      <c r="L25" s="2"/>
      <c r="M25" s="2"/>
      <c r="N25" s="2"/>
      <c r="O25" s="8">
        <f t="shared" si="3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2"/>
      <c r="AB25" s="41"/>
      <c r="AC25" s="41"/>
      <c r="AD25" s="2"/>
      <c r="AE25" s="41"/>
      <c r="AF25" s="41"/>
      <c r="AG25" s="41"/>
      <c r="AH25" s="41"/>
      <c r="AI25" s="41"/>
      <c r="AJ25" s="2">
        <v>3600</v>
      </c>
      <c r="AK25" s="7">
        <f t="shared" si="1"/>
        <v>0</v>
      </c>
      <c r="AL25" s="8"/>
      <c r="AM25" s="8"/>
      <c r="AN25" s="8"/>
      <c r="AO25" s="8">
        <v>0</v>
      </c>
      <c r="AP25"/>
    </row>
    <row r="26" spans="1:45" hidden="1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3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2"/>
      <c r="AB26" s="41"/>
      <c r="AC26" s="41"/>
      <c r="AD26" s="2"/>
      <c r="AE26" s="41"/>
      <c r="AF26" s="41"/>
      <c r="AG26" s="41"/>
      <c r="AH26" s="41"/>
      <c r="AI26" s="41"/>
      <c r="AJ26" s="2"/>
      <c r="AK26" s="7">
        <f t="shared" si="1"/>
        <v>0</v>
      </c>
      <c r="AL26" s="8"/>
      <c r="AM26" s="8"/>
      <c r="AN26" s="8"/>
      <c r="AO26" s="8">
        <v>0</v>
      </c>
      <c r="AP26"/>
    </row>
    <row r="27" spans="1:45" hidden="1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3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2"/>
      <c r="AB27" s="41"/>
      <c r="AC27" s="41"/>
      <c r="AD27" s="2"/>
      <c r="AE27" s="41"/>
      <c r="AF27" s="41"/>
      <c r="AG27" s="41"/>
      <c r="AH27" s="41"/>
      <c r="AI27" s="41"/>
      <c r="AJ27" s="2"/>
      <c r="AK27" s="7">
        <f t="shared" si="1"/>
        <v>0</v>
      </c>
      <c r="AL27" s="8"/>
      <c r="AM27" s="8"/>
      <c r="AN27" s="8"/>
      <c r="AO27" s="8">
        <v>0</v>
      </c>
      <c r="AP27"/>
    </row>
    <row r="28" spans="1:45" hidden="1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3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2"/>
      <c r="AB28" s="41"/>
      <c r="AC28" s="41"/>
      <c r="AD28" s="2"/>
      <c r="AE28" s="41"/>
      <c r="AF28" s="41"/>
      <c r="AG28" s="41"/>
      <c r="AH28" s="41"/>
      <c r="AI28" s="41"/>
      <c r="AJ28" s="2"/>
      <c r="AK28" s="7">
        <f t="shared" si="1"/>
        <v>0</v>
      </c>
      <c r="AL28" s="8"/>
      <c r="AM28" s="8"/>
      <c r="AN28" s="8"/>
      <c r="AO28" s="8">
        <v>0</v>
      </c>
      <c r="AP28"/>
    </row>
    <row r="29" spans="1:45" hidden="1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>
        <v>-3248</v>
      </c>
      <c r="J29" s="2">
        <v>0</v>
      </c>
      <c r="K29" s="2"/>
      <c r="L29" s="2"/>
      <c r="M29" s="2"/>
      <c r="N29" s="2"/>
      <c r="O29" s="8">
        <f t="shared" si="3"/>
        <v>-3248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2"/>
      <c r="AB29" s="41"/>
      <c r="AC29" s="41"/>
      <c r="AD29" s="2"/>
      <c r="AE29" s="41"/>
      <c r="AF29" s="41"/>
      <c r="AG29" s="41"/>
      <c r="AH29" s="41"/>
      <c r="AI29" s="41"/>
      <c r="AJ29" s="2"/>
      <c r="AK29" s="7">
        <f t="shared" si="1"/>
        <v>0</v>
      </c>
      <c r="AL29" s="8"/>
      <c r="AM29" s="8"/>
      <c r="AN29" s="8"/>
      <c r="AO29" s="8">
        <v>0</v>
      </c>
      <c r="AP29"/>
    </row>
    <row r="30" spans="1:45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>
        <v>1000</v>
      </c>
      <c r="J30" s="2">
        <v>2800</v>
      </c>
      <c r="K30" s="2"/>
      <c r="L30" s="2"/>
      <c r="M30" s="2"/>
      <c r="N30" s="2"/>
      <c r="O30" s="8">
        <f t="shared" si="3"/>
        <v>0</v>
      </c>
      <c r="P30" s="2">
        <v>519</v>
      </c>
      <c r="Q30" s="2"/>
      <c r="R30" s="2"/>
      <c r="S30" s="2"/>
      <c r="T30" s="41"/>
      <c r="U30" s="41"/>
      <c r="V30" s="41"/>
      <c r="W30" s="41"/>
      <c r="X30" s="41"/>
      <c r="Y30" s="41"/>
      <c r="Z30" s="2"/>
      <c r="AA30" s="2"/>
      <c r="AB30" s="41"/>
      <c r="AC30" s="41"/>
      <c r="AD30" s="2"/>
      <c r="AE30" s="41"/>
      <c r="AF30" s="41"/>
      <c r="AG30" s="41"/>
      <c r="AH30" s="41"/>
      <c r="AI30" s="41"/>
      <c r="AJ30" s="2">
        <v>3281</v>
      </c>
      <c r="AK30" s="7">
        <f t="shared" si="1"/>
        <v>0</v>
      </c>
      <c r="AL30" s="8"/>
      <c r="AM30" s="8"/>
      <c r="AN30" s="8"/>
      <c r="AO30" s="8">
        <v>0</v>
      </c>
      <c r="AP30"/>
    </row>
    <row r="31" spans="1:45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>
        <v>1000</v>
      </c>
      <c r="J31" s="2">
        <v>0</v>
      </c>
      <c r="K31" s="2"/>
      <c r="L31" s="2"/>
      <c r="M31" s="2"/>
      <c r="N31" s="2"/>
      <c r="O31" s="8">
        <f t="shared" si="3"/>
        <v>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2"/>
      <c r="AB31" s="41"/>
      <c r="AC31" s="41"/>
      <c r="AD31" s="2"/>
      <c r="AE31" s="41"/>
      <c r="AF31" s="41"/>
      <c r="AG31" s="41"/>
      <c r="AH31" s="41"/>
      <c r="AI31" s="41"/>
      <c r="AJ31" s="2">
        <v>1000</v>
      </c>
      <c r="AK31" s="7">
        <f t="shared" si="1"/>
        <v>0</v>
      </c>
      <c r="AL31" s="8"/>
      <c r="AM31" s="8"/>
      <c r="AN31" s="8"/>
      <c r="AO31" s="8">
        <v>0</v>
      </c>
      <c r="AP31"/>
    </row>
    <row r="32" spans="1:45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>
        <v>650</v>
      </c>
      <c r="J32" s="2">
        <v>0</v>
      </c>
      <c r="K32" s="2"/>
      <c r="L32" s="2"/>
      <c r="M32" s="2"/>
      <c r="N32" s="2"/>
      <c r="O32" s="8">
        <f t="shared" si="3"/>
        <v>0</v>
      </c>
      <c r="P32" s="2"/>
      <c r="Q32" s="2"/>
      <c r="R32" s="2"/>
      <c r="S32" s="2"/>
      <c r="T32" s="41"/>
      <c r="U32" s="41"/>
      <c r="V32" s="41"/>
      <c r="W32" s="41"/>
      <c r="X32" s="41"/>
      <c r="Y32" s="41"/>
      <c r="Z32" s="2"/>
      <c r="AA32" s="2"/>
      <c r="AB32" s="41"/>
      <c r="AC32" s="41"/>
      <c r="AD32" s="2"/>
      <c r="AE32" s="41"/>
      <c r="AF32" s="41"/>
      <c r="AG32" s="41"/>
      <c r="AH32" s="41"/>
      <c r="AI32" s="41"/>
      <c r="AJ32" s="2">
        <v>650</v>
      </c>
      <c r="AK32" s="7">
        <f t="shared" si="1"/>
        <v>0</v>
      </c>
      <c r="AL32" s="8"/>
      <c r="AM32" s="8"/>
      <c r="AN32" s="8"/>
      <c r="AO32" s="8">
        <v>0</v>
      </c>
      <c r="AP32"/>
    </row>
    <row r="33" spans="1:42" hidden="1" x14ac:dyDescent="0.25">
      <c r="A33" s="2"/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3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2"/>
      <c r="AB33" s="41"/>
      <c r="AC33" s="41"/>
      <c r="AD33" s="2"/>
      <c r="AE33" s="41"/>
      <c r="AF33" s="41"/>
      <c r="AG33" s="41"/>
      <c r="AH33" s="41"/>
      <c r="AI33" s="41"/>
      <c r="AJ33" s="2"/>
      <c r="AK33" s="7">
        <f t="shared" si="1"/>
        <v>0</v>
      </c>
      <c r="AL33" s="8"/>
      <c r="AM33" s="8"/>
      <c r="AN33" s="8"/>
      <c r="AO33" s="8">
        <v>0</v>
      </c>
      <c r="AP33"/>
    </row>
    <row r="34" spans="1:42" hidden="1" x14ac:dyDescent="0.25">
      <c r="A34" s="2"/>
      <c r="B34" s="2"/>
      <c r="C34" s="2"/>
      <c r="D34" s="2"/>
      <c r="E34" s="2"/>
      <c r="F34" s="2"/>
      <c r="G34" s="3"/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2"/>
      <c r="AB34" s="41"/>
      <c r="AC34" s="41"/>
      <c r="AD34" s="2"/>
      <c r="AE34" s="41"/>
      <c r="AF34" s="41"/>
      <c r="AG34" s="41"/>
      <c r="AH34" s="41"/>
      <c r="AI34" s="41"/>
      <c r="AJ34" s="2"/>
      <c r="AK34" s="7">
        <f t="shared" si="1"/>
        <v>0</v>
      </c>
      <c r="AL34" s="8"/>
      <c r="AM34" s="8"/>
      <c r="AN34" s="8"/>
      <c r="AO34" s="8">
        <v>0</v>
      </c>
      <c r="AP34"/>
    </row>
    <row r="35" spans="1:42" hidden="1" x14ac:dyDescent="0.25">
      <c r="A35" s="2"/>
      <c r="B35" s="2"/>
      <c r="C35" s="2"/>
      <c r="D35" s="2"/>
      <c r="E35" s="2"/>
      <c r="F35" s="2"/>
      <c r="G35" s="3"/>
      <c r="H35" s="3"/>
      <c r="I35" s="2">
        <v>0</v>
      </c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2"/>
      <c r="AB35" s="41"/>
      <c r="AC35" s="41"/>
      <c r="AD35" s="2"/>
      <c r="AE35" s="41"/>
      <c r="AF35" s="41"/>
      <c r="AG35" s="41"/>
      <c r="AH35" s="41"/>
      <c r="AI35" s="41"/>
      <c r="AJ35" s="2"/>
      <c r="AK35" s="7">
        <f t="shared" si="1"/>
        <v>0</v>
      </c>
      <c r="AL35" s="8"/>
      <c r="AM35" s="8"/>
      <c r="AN35" s="8"/>
      <c r="AO35" s="8">
        <v>0</v>
      </c>
      <c r="AP35"/>
    </row>
    <row r="36" spans="1:42" hidden="1" x14ac:dyDescent="0.25">
      <c r="A36" s="2"/>
      <c r="B36" s="2"/>
      <c r="C36" s="2"/>
      <c r="D36" s="2"/>
      <c r="E36" s="2"/>
      <c r="F36" s="2"/>
      <c r="G36" s="3"/>
      <c r="H36" s="3"/>
      <c r="I36" s="2">
        <v>0</v>
      </c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2"/>
      <c r="AB36" s="41"/>
      <c r="AC36" s="41"/>
      <c r="AD36" s="2"/>
      <c r="AE36" s="41"/>
      <c r="AF36" s="41"/>
      <c r="AG36" s="41"/>
      <c r="AH36" s="41"/>
      <c r="AI36" s="41"/>
      <c r="AJ36" s="2"/>
      <c r="AK36" s="7">
        <f t="shared" si="1"/>
        <v>0</v>
      </c>
      <c r="AL36" s="8"/>
      <c r="AM36" s="8"/>
      <c r="AN36" s="8"/>
      <c r="AO36" s="8" t="e">
        <f t="shared" si="2"/>
        <v>#DIV/0!</v>
      </c>
      <c r="AP36"/>
    </row>
    <row r="37" spans="1:42" hidden="1" x14ac:dyDescent="0.25">
      <c r="H37" s="4" t="s">
        <v>19</v>
      </c>
      <c r="I37" s="9">
        <f t="shared" ref="I37:AK37" si="4">SUM(I6:I36)</f>
        <v>-10117</v>
      </c>
      <c r="J37" s="9">
        <f t="shared" si="4"/>
        <v>30838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11">
        <f t="shared" si="4"/>
        <v>-62097</v>
      </c>
      <c r="P37" s="9">
        <f t="shared" si="4"/>
        <v>4031</v>
      </c>
      <c r="Q37" s="9">
        <f t="shared" si="4"/>
        <v>5649</v>
      </c>
      <c r="R37" s="9">
        <f t="shared" si="4"/>
        <v>6368</v>
      </c>
      <c r="S37" s="9">
        <f t="shared" si="4"/>
        <v>214</v>
      </c>
      <c r="T37" s="46">
        <f t="shared" si="4"/>
        <v>7500</v>
      </c>
      <c r="U37" s="46">
        <f t="shared" si="4"/>
        <v>2635</v>
      </c>
      <c r="V37" s="46">
        <f t="shared" si="4"/>
        <v>5400</v>
      </c>
      <c r="W37" s="46">
        <f t="shared" si="4"/>
        <v>0</v>
      </c>
      <c r="X37" s="46">
        <f t="shared" si="4"/>
        <v>3776</v>
      </c>
      <c r="Y37" s="46">
        <f t="shared" si="4"/>
        <v>0</v>
      </c>
      <c r="Z37" s="9">
        <f t="shared" si="4"/>
        <v>0</v>
      </c>
      <c r="AA37" s="9">
        <f t="shared" si="4"/>
        <v>0</v>
      </c>
      <c r="AB37" s="46">
        <f t="shared" si="4"/>
        <v>0</v>
      </c>
      <c r="AC37" s="46">
        <f t="shared" si="4"/>
        <v>0</v>
      </c>
      <c r="AD37" s="9">
        <f t="shared" si="4"/>
        <v>0</v>
      </c>
      <c r="AE37" s="46">
        <f t="shared" si="4"/>
        <v>0</v>
      </c>
      <c r="AF37" s="46">
        <f t="shared" si="4"/>
        <v>0</v>
      </c>
      <c r="AG37" s="46">
        <f t="shared" si="4"/>
        <v>0</v>
      </c>
      <c r="AH37" s="46">
        <f t="shared" si="4"/>
        <v>0</v>
      </c>
      <c r="AI37" s="46">
        <f t="shared" si="4"/>
        <v>0</v>
      </c>
      <c r="AJ37" s="9">
        <f t="shared" si="4"/>
        <v>47245</v>
      </c>
      <c r="AK37" s="9">
        <f t="shared" si="4"/>
        <v>2178</v>
      </c>
      <c r="AO37" s="12" t="e">
        <f>SUM(AO6:AO36)</f>
        <v>#DIV/0!</v>
      </c>
    </row>
    <row r="38" spans="1:42" hidden="1" x14ac:dyDescent="0.25">
      <c r="H38" s="4" t="s">
        <v>21</v>
      </c>
      <c r="I38" s="99">
        <f>+I37+J37+K37+L37+M37+N37</f>
        <v>20721</v>
      </c>
      <c r="J38" s="99"/>
      <c r="K38" s="99"/>
      <c r="L38" s="99"/>
      <c r="M38" s="99"/>
      <c r="N38" s="99"/>
      <c r="P38" s="100">
        <f>+P37+Q37</f>
        <v>9680</v>
      </c>
      <c r="Q38" s="101"/>
      <c r="R38" s="100">
        <f>+R37+S37</f>
        <v>6582</v>
      </c>
      <c r="S38" s="101"/>
      <c r="T38" s="100">
        <f>+T37+U37</f>
        <v>10135</v>
      </c>
      <c r="U38" s="101"/>
      <c r="V38" s="100">
        <f>+V37+W37</f>
        <v>5400</v>
      </c>
      <c r="W38" s="101"/>
      <c r="X38" s="100">
        <f>+X37+Y37</f>
        <v>3776</v>
      </c>
      <c r="Y38" s="101"/>
      <c r="Z38" s="100">
        <f>+Z37+AA37</f>
        <v>0</v>
      </c>
      <c r="AA38" s="101"/>
      <c r="AB38" s="100">
        <f>+AB37+AC37</f>
        <v>0</v>
      </c>
      <c r="AC38" s="101"/>
      <c r="AD38" s="100">
        <f>+AD37+AE37</f>
        <v>0</v>
      </c>
      <c r="AE38" s="101"/>
      <c r="AF38" s="100">
        <f>+AF37+AG37</f>
        <v>0</v>
      </c>
      <c r="AG38" s="101"/>
      <c r="AH38" s="100">
        <f>+AH37+AI37</f>
        <v>0</v>
      </c>
      <c r="AI38" s="101"/>
      <c r="AJ38" s="10">
        <f>+AJ37</f>
        <v>47245</v>
      </c>
    </row>
  </sheetData>
  <autoFilter ref="B5:AO38" xr:uid="{00000000-0009-0000-0000-000004000000}">
    <filterColumn colId="13">
      <customFilters>
        <customFilter operator="greaterThan" val="1"/>
      </customFilters>
    </filterColumn>
  </autoFilter>
  <mergeCells count="23">
    <mergeCell ref="AF4:AG4"/>
    <mergeCell ref="AH4:AI4"/>
    <mergeCell ref="C2:D2"/>
    <mergeCell ref="B3:B4"/>
    <mergeCell ref="P4:Q4"/>
    <mergeCell ref="R4:S4"/>
    <mergeCell ref="T4:U4"/>
    <mergeCell ref="V4:W4"/>
    <mergeCell ref="X4:Y4"/>
    <mergeCell ref="Z4:AA4"/>
    <mergeCell ref="AB4:AC4"/>
    <mergeCell ref="AD4:AE4"/>
    <mergeCell ref="Z38:AA38"/>
    <mergeCell ref="AB38:AC38"/>
    <mergeCell ref="AD38:AE38"/>
    <mergeCell ref="AF38:AG38"/>
    <mergeCell ref="AH38:AI38"/>
    <mergeCell ref="X38:Y38"/>
    <mergeCell ref="I38:N38"/>
    <mergeCell ref="P38:Q38"/>
    <mergeCell ref="R38:S38"/>
    <mergeCell ref="T38:U38"/>
    <mergeCell ref="V38:W38"/>
  </mergeCells>
  <pageMargins left="0.7" right="0.7" top="0.75" bottom="0.75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I38"/>
  <sheetViews>
    <sheetView zoomScale="80" zoomScaleNormal="80" workbookViewId="0">
      <pane xSplit="15" topLeftCell="P1" activePane="topRight" state="frozen"/>
      <selection activeCell="I18" sqref="I18"/>
      <selection pane="topRight" activeCell="F45" sqref="F45"/>
    </sheetView>
  </sheetViews>
  <sheetFormatPr baseColWidth="10" defaultColWidth="8.7109375" defaultRowHeight="15" x14ac:dyDescent="0.25"/>
  <cols>
    <col min="1" max="1" width="8.7109375" style="1"/>
    <col min="2" max="2" width="21.28515625" style="1" bestFit="1" customWidth="1"/>
    <col min="3" max="3" width="19.5703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customWidth="1"/>
    <col min="11" max="11" width="7.5703125" style="1" customWidth="1"/>
    <col min="12" max="14" width="5" style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I4" s="4" t="s">
        <v>5</v>
      </c>
      <c r="J4" s="95" t="s">
        <v>104</v>
      </c>
      <c r="K4" s="95"/>
      <c r="L4" s="95"/>
      <c r="M4" s="95"/>
      <c r="N4" s="95"/>
      <c r="P4" s="96">
        <v>46230</v>
      </c>
      <c r="Q4" s="96"/>
      <c r="R4" s="96">
        <v>46231</v>
      </c>
      <c r="S4" s="96"/>
      <c r="T4" s="96">
        <v>46232</v>
      </c>
      <c r="U4" s="96"/>
      <c r="V4" s="96">
        <v>46233</v>
      </c>
      <c r="W4" s="96"/>
      <c r="X4" s="96">
        <v>46234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31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/>
      <c r="J6" s="2"/>
      <c r="K6" s="2"/>
      <c r="L6" s="2"/>
      <c r="M6" s="2"/>
      <c r="N6" s="2"/>
      <c r="O6" s="8">
        <f t="shared" ref="O6:O36" si="0">+I6+J6+K6+L6+M6+N6-SUM(P6:Z6)</f>
        <v>-7650</v>
      </c>
      <c r="P6" s="2">
        <v>1700</v>
      </c>
      <c r="Q6" s="2"/>
      <c r="R6" s="2"/>
      <c r="S6" s="2"/>
      <c r="T6" s="41">
        <v>3600</v>
      </c>
      <c r="U6" s="41"/>
      <c r="V6" s="41">
        <v>2350</v>
      </c>
      <c r="W6" s="41"/>
      <c r="X6" s="41"/>
      <c r="Y6" s="41"/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/>
      <c r="J8" s="2"/>
      <c r="K8" s="2"/>
      <c r="L8" s="2"/>
      <c r="M8" s="2"/>
      <c r="N8" s="2"/>
      <c r="O8" s="8">
        <f t="shared" si="0"/>
        <v>0</v>
      </c>
      <c r="P8" s="2"/>
      <c r="Q8" s="2"/>
      <c r="R8" s="2"/>
      <c r="S8" s="2"/>
      <c r="T8" s="41"/>
      <c r="U8" s="41"/>
      <c r="V8" s="41"/>
      <c r="W8" s="41"/>
      <c r="X8" s="41"/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/>
      <c r="J9" s="2"/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/>
      <c r="J14" s="2"/>
      <c r="K14" s="2"/>
      <c r="L14" s="2"/>
      <c r="M14" s="2"/>
      <c r="N14" s="2"/>
      <c r="O14" s="8">
        <f t="shared" si="0"/>
        <v>0</v>
      </c>
      <c r="P14" s="2"/>
      <c r="Q14" s="2"/>
      <c r="R14" s="2"/>
      <c r="S14" s="2"/>
      <c r="T14" s="41"/>
      <c r="V14" s="41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2"/>
      <c r="Q16" s="2"/>
      <c r="R16" s="2"/>
      <c r="S16" s="2"/>
      <c r="T16" s="41"/>
      <c r="U16" s="41"/>
      <c r="V16" s="41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/>
      <c r="J17" s="2"/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-1178</v>
      </c>
      <c r="P18" s="2"/>
      <c r="Q18" s="2"/>
      <c r="R18" s="2"/>
      <c r="S18" s="2"/>
      <c r="T18" s="41"/>
      <c r="U18" s="41"/>
      <c r="V18" s="41"/>
      <c r="W18" s="41"/>
      <c r="X18" s="41"/>
      <c r="Y18" s="41">
        <v>1178</v>
      </c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-545</v>
      </c>
      <c r="P19" s="2"/>
      <c r="Q19" s="2"/>
      <c r="R19" s="2"/>
      <c r="S19" s="2"/>
      <c r="T19" s="41"/>
      <c r="U19" s="41"/>
      <c r="V19" s="41"/>
      <c r="W19" s="41"/>
      <c r="X19" s="41"/>
      <c r="Y19" s="41">
        <v>545</v>
      </c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41"/>
      <c r="U30" s="41"/>
      <c r="V30" s="41"/>
      <c r="W30" s="41"/>
      <c r="X30" s="41"/>
      <c r="Y30" s="41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41"/>
      <c r="U32" s="41"/>
      <c r="V32" s="41"/>
      <c r="W32" s="41"/>
      <c r="X32" s="41"/>
      <c r="Y32" s="41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x14ac:dyDescent="0.25">
      <c r="A33" s="2"/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x14ac:dyDescent="0.25">
      <c r="H37" s="4" t="s">
        <v>19</v>
      </c>
      <c r="I37" s="9">
        <f t="shared" ref="I37:AA37" si="3">SUM(I6:I36)</f>
        <v>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11">
        <f t="shared" si="3"/>
        <v>-9373</v>
      </c>
      <c r="P37" s="9">
        <f t="shared" si="3"/>
        <v>1700</v>
      </c>
      <c r="Q37" s="9">
        <f t="shared" si="3"/>
        <v>0</v>
      </c>
      <c r="R37" s="9">
        <f t="shared" si="3"/>
        <v>0</v>
      </c>
      <c r="S37" s="9">
        <f t="shared" si="3"/>
        <v>0</v>
      </c>
      <c r="T37" s="9">
        <f t="shared" si="3"/>
        <v>3600</v>
      </c>
      <c r="U37" s="9">
        <f t="shared" si="3"/>
        <v>0</v>
      </c>
      <c r="V37" s="9">
        <f t="shared" si="3"/>
        <v>2350</v>
      </c>
      <c r="W37" s="9">
        <f t="shared" si="3"/>
        <v>0</v>
      </c>
      <c r="X37" s="9">
        <f t="shared" si="3"/>
        <v>0</v>
      </c>
      <c r="Y37" s="9">
        <f t="shared" si="3"/>
        <v>1723</v>
      </c>
      <c r="Z37" s="9">
        <f t="shared" si="3"/>
        <v>0</v>
      </c>
      <c r="AA37" s="9">
        <f t="shared" si="3"/>
        <v>0</v>
      </c>
      <c r="AE37" s="12" t="e">
        <f>SUM(AE6:AE36)</f>
        <v>#DIV/0!</v>
      </c>
    </row>
    <row r="38" spans="1:32" x14ac:dyDescent="0.25">
      <c r="H38" s="4" t="s">
        <v>21</v>
      </c>
      <c r="I38" s="99">
        <f>+I37+J37+K37+L37+M37+N37</f>
        <v>0</v>
      </c>
      <c r="J38" s="99"/>
      <c r="K38" s="99"/>
      <c r="L38" s="99"/>
      <c r="M38" s="99"/>
      <c r="N38" s="99"/>
      <c r="P38" s="100">
        <f>+P37+Q37</f>
        <v>1700</v>
      </c>
      <c r="Q38" s="101"/>
      <c r="R38" s="100">
        <f>+R37+S37</f>
        <v>0</v>
      </c>
      <c r="S38" s="101"/>
      <c r="T38" s="100">
        <f>+T37+U37</f>
        <v>3600</v>
      </c>
      <c r="U38" s="101"/>
      <c r="V38" s="100">
        <f>+V37+W37</f>
        <v>2350</v>
      </c>
      <c r="W38" s="101"/>
      <c r="X38" s="100">
        <f>+X37+Y37</f>
        <v>1723</v>
      </c>
      <c r="Y38" s="101"/>
      <c r="Z38" s="10">
        <f>+Z37</f>
        <v>0</v>
      </c>
    </row>
  </sheetData>
  <autoFilter ref="B5:AE38" xr:uid="{00000000-0009-0000-0000-000005000000}"/>
  <mergeCells count="14">
    <mergeCell ref="X38:Y38"/>
    <mergeCell ref="X4:Y4"/>
    <mergeCell ref="C2:D2"/>
    <mergeCell ref="B3:B4"/>
    <mergeCell ref="P4:Q4"/>
    <mergeCell ref="R4:S4"/>
    <mergeCell ref="T4:U4"/>
    <mergeCell ref="V4:W4"/>
    <mergeCell ref="J4:N4"/>
    <mergeCell ref="I38:N38"/>
    <mergeCell ref="P38:Q38"/>
    <mergeCell ref="R38:S38"/>
    <mergeCell ref="T38:U38"/>
    <mergeCell ref="V38:W38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I38"/>
  <sheetViews>
    <sheetView topLeftCell="A13" zoomScale="80" zoomScaleNormal="80" workbookViewId="0">
      <pane xSplit="15" topLeftCell="P1" activePane="topRight" state="frozen"/>
      <selection activeCell="I18" sqref="I18"/>
      <selection pane="topRight" activeCell="V11" sqref="V11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customWidth="1"/>
    <col min="11" max="11" width="7.5703125" style="1" customWidth="1"/>
    <col min="12" max="14" width="5" style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I4" s="4" t="s">
        <v>5</v>
      </c>
      <c r="J4" s="95" t="s">
        <v>104</v>
      </c>
      <c r="K4" s="95"/>
      <c r="L4" s="95"/>
      <c r="M4" s="95"/>
      <c r="N4" s="95"/>
      <c r="P4" s="96">
        <v>46237</v>
      </c>
      <c r="Q4" s="96"/>
      <c r="R4" s="96">
        <v>46238</v>
      </c>
      <c r="S4" s="96"/>
      <c r="T4" s="96">
        <v>46239</v>
      </c>
      <c r="U4" s="96"/>
      <c r="V4" s="96">
        <v>46240</v>
      </c>
      <c r="W4" s="96"/>
      <c r="X4" s="96">
        <v>46241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32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x14ac:dyDescent="0.25">
      <c r="A6" s="2">
        <v>1</v>
      </c>
      <c r="B6" s="47" t="s">
        <v>45</v>
      </c>
      <c r="C6" s="47" t="s">
        <v>44</v>
      </c>
      <c r="D6" s="47" t="s">
        <v>43</v>
      </c>
      <c r="E6" s="48">
        <v>0.375</v>
      </c>
      <c r="F6" s="47">
        <v>0.16</v>
      </c>
      <c r="G6" s="3"/>
      <c r="H6" s="3"/>
      <c r="I6" s="2"/>
      <c r="J6" s="2"/>
      <c r="K6" s="2"/>
      <c r="L6" s="2"/>
      <c r="M6" s="2"/>
      <c r="N6" s="2"/>
      <c r="O6" s="8">
        <f t="shared" ref="O6:O36" si="0">+I6+J6+K6+L6+M6+N6-SUM(P6:Z6)</f>
        <v>-18999</v>
      </c>
      <c r="P6" s="2"/>
      <c r="Q6" s="2"/>
      <c r="R6" s="2">
        <v>3310</v>
      </c>
      <c r="S6" s="2"/>
      <c r="T6" s="41">
        <v>2251</v>
      </c>
      <c r="U6" s="41"/>
      <c r="V6" s="41">
        <v>3600</v>
      </c>
      <c r="W6" s="41">
        <v>2800</v>
      </c>
      <c r="X6" s="41">
        <v>2626</v>
      </c>
      <c r="Y6" s="41">
        <v>4412</v>
      </c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47" t="s">
        <v>46</v>
      </c>
      <c r="C7" s="47" t="s">
        <v>47</v>
      </c>
      <c r="D7" s="47" t="s">
        <v>48</v>
      </c>
      <c r="E7" s="48">
        <v>0.75</v>
      </c>
      <c r="F7" s="47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x14ac:dyDescent="0.25">
      <c r="A8" s="2">
        <v>3</v>
      </c>
      <c r="B8" s="47" t="s">
        <v>55</v>
      </c>
      <c r="C8" s="47" t="s">
        <v>49</v>
      </c>
      <c r="D8" s="47" t="s">
        <v>92</v>
      </c>
      <c r="E8" s="48">
        <v>0.3125</v>
      </c>
      <c r="F8" s="47">
        <v>0.28000000000000003</v>
      </c>
      <c r="G8" s="3"/>
      <c r="H8" s="3"/>
      <c r="I8" s="2"/>
      <c r="J8" s="2"/>
      <c r="K8" s="2"/>
      <c r="L8" s="2"/>
      <c r="M8" s="2"/>
      <c r="N8" s="2"/>
      <c r="O8" s="8">
        <f t="shared" si="0"/>
        <v>0</v>
      </c>
      <c r="P8" s="2"/>
      <c r="Q8" s="2"/>
      <c r="R8" s="2"/>
      <c r="S8" s="2"/>
      <c r="T8" s="41"/>
      <c r="U8" s="41"/>
      <c r="V8" s="41"/>
      <c r="W8" s="41"/>
      <c r="X8" s="41"/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x14ac:dyDescent="0.25">
      <c r="A9" s="2">
        <v>4</v>
      </c>
      <c r="B9" s="47" t="s">
        <v>55</v>
      </c>
      <c r="C9" s="47" t="s">
        <v>49</v>
      </c>
      <c r="D9" s="47" t="s">
        <v>93</v>
      </c>
      <c r="E9" s="48">
        <v>0.3125</v>
      </c>
      <c r="F9" s="47">
        <v>0.28000000000000003</v>
      </c>
      <c r="G9" s="3"/>
      <c r="H9" s="3"/>
      <c r="I9" s="2"/>
      <c r="J9" s="2"/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x14ac:dyDescent="0.25">
      <c r="A10" s="2">
        <v>5</v>
      </c>
      <c r="B10" s="47" t="s">
        <v>55</v>
      </c>
      <c r="C10" s="47" t="s">
        <v>49</v>
      </c>
      <c r="D10" s="47" t="s">
        <v>94</v>
      </c>
      <c r="E10" s="48">
        <v>0.3125</v>
      </c>
      <c r="F10" s="47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x14ac:dyDescent="0.25">
      <c r="A11" s="2">
        <v>6</v>
      </c>
      <c r="B11" s="47" t="s">
        <v>55</v>
      </c>
      <c r="C11" s="47" t="s">
        <v>49</v>
      </c>
      <c r="D11" s="47" t="s">
        <v>95</v>
      </c>
      <c r="E11" s="48">
        <v>0.3125</v>
      </c>
      <c r="F11" s="47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x14ac:dyDescent="0.25">
      <c r="A12" s="2">
        <v>7</v>
      </c>
      <c r="B12" s="47" t="s">
        <v>55</v>
      </c>
      <c r="C12" s="47" t="s">
        <v>49</v>
      </c>
      <c r="D12" s="47" t="s">
        <v>96</v>
      </c>
      <c r="E12" s="48">
        <v>0.3125</v>
      </c>
      <c r="F12" s="47">
        <v>0.28000000000000003</v>
      </c>
      <c r="G12" s="3"/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x14ac:dyDescent="0.25">
      <c r="A13" s="2">
        <v>8</v>
      </c>
      <c r="B13" s="47" t="s">
        <v>55</v>
      </c>
      <c r="C13" s="47" t="s">
        <v>49</v>
      </c>
      <c r="D13" s="47" t="s">
        <v>97</v>
      </c>
      <c r="E13" s="48">
        <v>0.3125</v>
      </c>
      <c r="F13" s="47">
        <v>0.28000000000000003</v>
      </c>
      <c r="G13" s="3"/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x14ac:dyDescent="0.25">
      <c r="A14" s="2">
        <v>9</v>
      </c>
      <c r="B14" s="47" t="s">
        <v>55</v>
      </c>
      <c r="C14" s="47" t="s">
        <v>49</v>
      </c>
      <c r="D14" s="47" t="s">
        <v>98</v>
      </c>
      <c r="E14" s="48">
        <v>0.3125</v>
      </c>
      <c r="F14" s="47">
        <v>0.28000000000000003</v>
      </c>
      <c r="G14" s="3"/>
      <c r="H14" s="3"/>
      <c r="I14" s="2"/>
      <c r="J14" s="2"/>
      <c r="K14" s="2"/>
      <c r="L14" s="2"/>
      <c r="M14" s="2"/>
      <c r="N14" s="2"/>
      <c r="O14" s="8">
        <f t="shared" si="0"/>
        <v>0</v>
      </c>
      <c r="P14" s="2"/>
      <c r="Q14" s="2"/>
      <c r="R14" s="2"/>
      <c r="S14" s="2"/>
      <c r="T14" s="41"/>
      <c r="V14" s="41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x14ac:dyDescent="0.25">
      <c r="A15" s="2">
        <v>10</v>
      </c>
      <c r="B15" s="47" t="s">
        <v>55</v>
      </c>
      <c r="C15" s="47" t="s">
        <v>49</v>
      </c>
      <c r="D15" s="47" t="s">
        <v>99</v>
      </c>
      <c r="E15" s="48">
        <v>0.3125</v>
      </c>
      <c r="F15" s="47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A16" s="2">
        <v>11</v>
      </c>
      <c r="B16" s="47" t="s">
        <v>55</v>
      </c>
      <c r="C16" s="47" t="s">
        <v>49</v>
      </c>
      <c r="D16" s="47" t="s">
        <v>100</v>
      </c>
      <c r="E16" s="48">
        <v>0.3125</v>
      </c>
      <c r="F16" s="47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2"/>
      <c r="Q16" s="2"/>
      <c r="R16" s="2"/>
      <c r="S16" s="2"/>
      <c r="T16" s="41"/>
      <c r="U16" s="41"/>
      <c r="V16" s="41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A17" s="2">
        <v>12</v>
      </c>
      <c r="B17" s="47" t="s">
        <v>55</v>
      </c>
      <c r="C17" s="47" t="s">
        <v>49</v>
      </c>
      <c r="D17" s="47" t="s">
        <v>101</v>
      </c>
      <c r="E17" s="48">
        <v>0.3125</v>
      </c>
      <c r="F17" s="47">
        <v>0.28000000000000003</v>
      </c>
      <c r="G17" s="3"/>
      <c r="H17" s="3"/>
      <c r="I17" s="2"/>
      <c r="J17" s="2"/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x14ac:dyDescent="0.25">
      <c r="A18" s="2">
        <v>13</v>
      </c>
      <c r="B18" s="47" t="s">
        <v>63</v>
      </c>
      <c r="C18" s="47" t="s">
        <v>49</v>
      </c>
      <c r="D18" s="47" t="s">
        <v>102</v>
      </c>
      <c r="E18" s="48">
        <v>0.3125</v>
      </c>
      <c r="F18" s="47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A19" s="2">
        <v>14</v>
      </c>
      <c r="B19" s="47" t="s">
        <v>63</v>
      </c>
      <c r="C19" s="47" t="s">
        <v>49</v>
      </c>
      <c r="D19" s="47" t="s">
        <v>103</v>
      </c>
      <c r="E19" s="48">
        <v>0.3125</v>
      </c>
      <c r="F19" s="47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A20" s="2">
        <v>15</v>
      </c>
      <c r="B20" s="47" t="s">
        <v>63</v>
      </c>
      <c r="C20" s="47" t="s">
        <v>49</v>
      </c>
      <c r="D20" s="47" t="s">
        <v>61</v>
      </c>
      <c r="E20" s="48">
        <v>0.3125</v>
      </c>
      <c r="F20" s="47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A21" s="2">
        <v>16</v>
      </c>
      <c r="B21" s="47" t="s">
        <v>63</v>
      </c>
      <c r="C21" s="47" t="s">
        <v>49</v>
      </c>
      <c r="D21" s="47" t="s">
        <v>62</v>
      </c>
      <c r="E21" s="48">
        <v>0.3125</v>
      </c>
      <c r="F21" s="47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A22" s="2">
        <v>17</v>
      </c>
      <c r="B22" s="51" t="s">
        <v>66</v>
      </c>
      <c r="C22" s="51" t="s">
        <v>49</v>
      </c>
      <c r="D22" s="51" t="s">
        <v>64</v>
      </c>
      <c r="E22" s="52">
        <v>0.375</v>
      </c>
      <c r="F22" s="51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x14ac:dyDescent="0.25">
      <c r="A23" s="2">
        <v>18</v>
      </c>
      <c r="B23" s="51" t="s">
        <v>66</v>
      </c>
      <c r="C23" s="51" t="s">
        <v>49</v>
      </c>
      <c r="D23" s="51" t="s">
        <v>65</v>
      </c>
      <c r="E23" s="52">
        <v>0.375</v>
      </c>
      <c r="F23" s="51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x14ac:dyDescent="0.25">
      <c r="A24" s="2">
        <v>19</v>
      </c>
      <c r="B24" s="49" t="s">
        <v>67</v>
      </c>
      <c r="C24" s="49" t="s">
        <v>68</v>
      </c>
      <c r="D24" s="49" t="s">
        <v>69</v>
      </c>
      <c r="E24" s="50">
        <v>0.75</v>
      </c>
      <c r="F24" s="49">
        <v>0.35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x14ac:dyDescent="0.25">
      <c r="A25" s="2">
        <v>20</v>
      </c>
      <c r="B25" s="49" t="s">
        <v>67</v>
      </c>
      <c r="C25" s="49" t="s">
        <v>68</v>
      </c>
      <c r="D25" s="49" t="s">
        <v>71</v>
      </c>
      <c r="E25" s="50">
        <v>0.75</v>
      </c>
      <c r="F25" s="49">
        <v>0.35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x14ac:dyDescent="0.25">
      <c r="A26" s="2">
        <v>21</v>
      </c>
      <c r="B26" s="49" t="s">
        <v>67</v>
      </c>
      <c r="C26" s="49" t="s">
        <v>68</v>
      </c>
      <c r="D26" s="49" t="s">
        <v>72</v>
      </c>
      <c r="E26" s="50">
        <v>0.75</v>
      </c>
      <c r="F26" s="49">
        <v>0.35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x14ac:dyDescent="0.25">
      <c r="A27" s="2">
        <v>22</v>
      </c>
      <c r="B27" s="49" t="s">
        <v>67</v>
      </c>
      <c r="C27" s="49" t="s">
        <v>68</v>
      </c>
      <c r="D27" s="49" t="s">
        <v>73</v>
      </c>
      <c r="E27" s="50">
        <v>0.75</v>
      </c>
      <c r="F27" s="49">
        <v>0.35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x14ac:dyDescent="0.25">
      <c r="A28" s="2">
        <v>23</v>
      </c>
      <c r="B28" s="49" t="s">
        <v>67</v>
      </c>
      <c r="C28" s="49" t="s">
        <v>68</v>
      </c>
      <c r="D28" s="49" t="s">
        <v>76</v>
      </c>
      <c r="E28" s="50">
        <v>0.75</v>
      </c>
      <c r="F28" s="49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x14ac:dyDescent="0.25">
      <c r="A29" s="2">
        <v>24</v>
      </c>
      <c r="B29" s="49" t="s">
        <v>67</v>
      </c>
      <c r="C29" s="49" t="s">
        <v>68</v>
      </c>
      <c r="D29" s="49" t="s">
        <v>77</v>
      </c>
      <c r="E29" s="50">
        <v>0.75</v>
      </c>
      <c r="F29" s="49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x14ac:dyDescent="0.25">
      <c r="A30" s="2">
        <v>25</v>
      </c>
      <c r="B30" s="49" t="s">
        <v>67</v>
      </c>
      <c r="C30" s="49" t="s">
        <v>68</v>
      </c>
      <c r="D30" s="49" t="s">
        <v>70</v>
      </c>
      <c r="E30" s="50">
        <v>0.875</v>
      </c>
      <c r="F30" s="49">
        <v>0.45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-340</v>
      </c>
      <c r="P30" s="2"/>
      <c r="Q30" s="2"/>
      <c r="R30" s="2"/>
      <c r="S30" s="2"/>
      <c r="T30" s="41"/>
      <c r="U30" s="41"/>
      <c r="V30" s="41"/>
      <c r="W30" s="41"/>
      <c r="X30" s="41"/>
      <c r="Y30" s="41">
        <v>340</v>
      </c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x14ac:dyDescent="0.25">
      <c r="A31" s="2">
        <v>26</v>
      </c>
      <c r="B31" s="49" t="s">
        <v>67</v>
      </c>
      <c r="C31" s="49" t="s">
        <v>68</v>
      </c>
      <c r="D31" s="49" t="s">
        <v>74</v>
      </c>
      <c r="E31" s="50">
        <v>0.875</v>
      </c>
      <c r="F31" s="49">
        <v>0.45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x14ac:dyDescent="0.25">
      <c r="A32" s="2">
        <v>27</v>
      </c>
      <c r="B32" s="49" t="s">
        <v>67</v>
      </c>
      <c r="C32" s="49" t="s">
        <v>68</v>
      </c>
      <c r="D32" s="49" t="s">
        <v>75</v>
      </c>
      <c r="E32" s="50">
        <v>0.875</v>
      </c>
      <c r="F32" s="49">
        <v>0.45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-462</v>
      </c>
      <c r="P32" s="2"/>
      <c r="Q32" s="2"/>
      <c r="R32" s="2"/>
      <c r="S32" s="2"/>
      <c r="T32" s="41"/>
      <c r="U32" s="41"/>
      <c r="V32" s="41"/>
      <c r="W32" s="41"/>
      <c r="X32" s="41"/>
      <c r="Y32" s="41">
        <v>462</v>
      </c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x14ac:dyDescent="0.25">
      <c r="A33" s="2"/>
      <c r="B33" s="49" t="s">
        <v>67</v>
      </c>
      <c r="C33" s="49" t="s">
        <v>68</v>
      </c>
      <c r="D33" s="49" t="s">
        <v>78</v>
      </c>
      <c r="E33" s="50">
        <v>0.875</v>
      </c>
      <c r="F33" s="49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x14ac:dyDescent="0.25">
      <c r="H37" s="4" t="s">
        <v>19</v>
      </c>
      <c r="I37" s="9">
        <f t="shared" ref="I37:AA37" si="3">SUM(I6:I36)</f>
        <v>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11">
        <f t="shared" si="3"/>
        <v>-19801</v>
      </c>
      <c r="P37" s="9">
        <f t="shared" si="3"/>
        <v>0</v>
      </c>
      <c r="Q37" s="9">
        <f t="shared" si="3"/>
        <v>0</v>
      </c>
      <c r="R37" s="9">
        <f t="shared" si="3"/>
        <v>3310</v>
      </c>
      <c r="S37" s="9">
        <f t="shared" si="3"/>
        <v>0</v>
      </c>
      <c r="T37" s="9">
        <f t="shared" si="3"/>
        <v>2251</v>
      </c>
      <c r="U37" s="9">
        <f t="shared" si="3"/>
        <v>0</v>
      </c>
      <c r="V37" s="9">
        <f t="shared" si="3"/>
        <v>3600</v>
      </c>
      <c r="W37" s="9">
        <f t="shared" si="3"/>
        <v>2800</v>
      </c>
      <c r="X37" s="9">
        <f t="shared" si="3"/>
        <v>2626</v>
      </c>
      <c r="Y37" s="9">
        <f t="shared" si="3"/>
        <v>5214</v>
      </c>
      <c r="Z37" s="9">
        <f t="shared" si="3"/>
        <v>0</v>
      </c>
      <c r="AA37" s="9">
        <f t="shared" si="3"/>
        <v>0</v>
      </c>
      <c r="AE37" s="12" t="e">
        <f>SUM(AE6:AE36)</f>
        <v>#DIV/0!</v>
      </c>
    </row>
    <row r="38" spans="1:32" x14ac:dyDescent="0.25">
      <c r="H38" s="4" t="s">
        <v>21</v>
      </c>
      <c r="I38" s="99">
        <f>+I37+J37+K37+L37+M37+N37</f>
        <v>0</v>
      </c>
      <c r="J38" s="99"/>
      <c r="K38" s="99"/>
      <c r="L38" s="99"/>
      <c r="M38" s="99"/>
      <c r="N38" s="99"/>
      <c r="P38" s="100">
        <f>+P37+Q37</f>
        <v>0</v>
      </c>
      <c r="Q38" s="101"/>
      <c r="R38" s="100">
        <f>+R37+S37</f>
        <v>3310</v>
      </c>
      <c r="S38" s="101"/>
      <c r="T38" s="100">
        <f>+T37+U37</f>
        <v>2251</v>
      </c>
      <c r="U38" s="101"/>
      <c r="V38" s="100">
        <f>+V37+W37</f>
        <v>6400</v>
      </c>
      <c r="W38" s="101"/>
      <c r="X38" s="100">
        <f>+X37+Y37</f>
        <v>7840</v>
      </c>
      <c r="Y38" s="101"/>
      <c r="Z38" s="10">
        <f>+Z37</f>
        <v>0</v>
      </c>
    </row>
  </sheetData>
  <autoFilter ref="B5:AE38" xr:uid="{00000000-0009-0000-0000-000006000000}"/>
  <mergeCells count="14">
    <mergeCell ref="C2:D2"/>
    <mergeCell ref="B3:B4"/>
    <mergeCell ref="P4:Q4"/>
    <mergeCell ref="R4:S4"/>
    <mergeCell ref="T4:U4"/>
    <mergeCell ref="J4:N4"/>
    <mergeCell ref="X4:Y4"/>
    <mergeCell ref="I38:N38"/>
    <mergeCell ref="P38:Q38"/>
    <mergeCell ref="R38:S38"/>
    <mergeCell ref="T38:U38"/>
    <mergeCell ref="V38:W38"/>
    <mergeCell ref="X38:Y38"/>
    <mergeCell ref="V4:W4"/>
  </mergeCell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2:AI53"/>
  <sheetViews>
    <sheetView topLeftCell="A25" zoomScaleNormal="100" zoomScaleSheetLayoutView="100" workbookViewId="0">
      <pane xSplit="15" topLeftCell="P1" activePane="topRight" state="frozen"/>
      <selection activeCell="I18" sqref="I18"/>
      <selection pane="topRight" activeCell="A41" sqref="A41:F52"/>
    </sheetView>
  </sheetViews>
  <sheetFormatPr baseColWidth="10" defaultColWidth="8.7109375" defaultRowHeight="15" x14ac:dyDescent="0.25"/>
  <cols>
    <col min="1" max="1" width="12.8554687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I4" s="4" t="s">
        <v>5</v>
      </c>
      <c r="J4" s="95" t="s">
        <v>104</v>
      </c>
      <c r="K4" s="95"/>
      <c r="L4" s="95"/>
      <c r="M4" s="95"/>
      <c r="N4" s="95"/>
      <c r="P4" s="96">
        <v>46244</v>
      </c>
      <c r="Q4" s="96"/>
      <c r="R4" s="96">
        <v>46245</v>
      </c>
      <c r="S4" s="96"/>
      <c r="T4" s="130">
        <v>46246</v>
      </c>
      <c r="U4" s="96"/>
      <c r="V4" s="130">
        <v>46247</v>
      </c>
      <c r="W4" s="96"/>
      <c r="X4" s="96">
        <v>46248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33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>
        <v>23400</v>
      </c>
      <c r="J6" s="2"/>
      <c r="K6" s="2"/>
      <c r="L6" s="2"/>
      <c r="M6" s="2"/>
      <c r="N6" s="2"/>
      <c r="O6" s="8">
        <f t="shared" ref="O6:O36" si="0">+I6+J6+K6+L6+M6+N6-SUM(P6:Z6)</f>
        <v>8260</v>
      </c>
      <c r="P6" s="2">
        <v>957</v>
      </c>
      <c r="Q6" s="2"/>
      <c r="R6" s="2"/>
      <c r="S6" s="2"/>
      <c r="T6" s="41">
        <v>3383</v>
      </c>
      <c r="U6" s="41"/>
      <c r="V6" s="41">
        <v>2600</v>
      </c>
      <c r="W6" s="41"/>
      <c r="X6" s="41">
        <v>4600</v>
      </c>
      <c r="Y6" s="41">
        <v>3600</v>
      </c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/>
      <c r="J8" s="2"/>
      <c r="K8" s="2"/>
      <c r="L8" s="2"/>
      <c r="M8" s="2"/>
      <c r="N8" s="2"/>
      <c r="O8" s="8">
        <f t="shared" si="0"/>
        <v>-2000</v>
      </c>
      <c r="P8" s="2"/>
      <c r="Q8" s="2"/>
      <c r="R8" s="2"/>
      <c r="S8" s="2"/>
      <c r="T8" s="41">
        <v>2000</v>
      </c>
      <c r="U8" s="41"/>
      <c r="V8" s="41"/>
      <c r="W8" s="41"/>
      <c r="X8" s="41"/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/>
      <c r="J9" s="2"/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/>
      <c r="J14" s="2"/>
      <c r="K14" s="2"/>
      <c r="L14" s="2"/>
      <c r="M14" s="2"/>
      <c r="N14" s="2"/>
      <c r="O14" s="8">
        <f t="shared" si="0"/>
        <v>-2000</v>
      </c>
      <c r="P14" s="2"/>
      <c r="Q14" s="2"/>
      <c r="R14" s="2">
        <v>2000</v>
      </c>
      <c r="S14" s="2"/>
      <c r="T14" s="41"/>
      <c r="V14" s="41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2"/>
      <c r="Q16" s="2"/>
      <c r="R16" s="2"/>
      <c r="S16" s="2"/>
      <c r="T16" s="41"/>
      <c r="U16" s="41"/>
      <c r="V16" s="41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/>
      <c r="J17" s="2"/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>
        <v>750</v>
      </c>
      <c r="J24" s="2"/>
      <c r="K24" s="2"/>
      <c r="L24" s="2"/>
      <c r="M24" s="2"/>
      <c r="N24" s="2"/>
      <c r="O24" s="8">
        <f t="shared" si="0"/>
        <v>750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>
        <v>1600</v>
      </c>
      <c r="J25" s="2"/>
      <c r="K25" s="2"/>
      <c r="L25" s="2"/>
      <c r="M25" s="2"/>
      <c r="N25" s="2"/>
      <c r="O25" s="8">
        <f t="shared" si="0"/>
        <v>11</v>
      </c>
      <c r="P25" s="2"/>
      <c r="Q25" s="2"/>
      <c r="R25" s="2">
        <v>500</v>
      </c>
      <c r="S25" s="2">
        <v>1089</v>
      </c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>
        <v>840</v>
      </c>
      <c r="J26" s="2"/>
      <c r="K26" s="2"/>
      <c r="L26" s="2"/>
      <c r="M26" s="2"/>
      <c r="N26" s="2"/>
      <c r="O26" s="8">
        <f t="shared" si="0"/>
        <v>723</v>
      </c>
      <c r="P26" s="2"/>
      <c r="Q26" s="2"/>
      <c r="R26" s="2"/>
      <c r="S26" s="2"/>
      <c r="T26" s="41">
        <v>117</v>
      </c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>
        <v>480</v>
      </c>
      <c r="J27" s="2"/>
      <c r="K27" s="2"/>
      <c r="L27" s="2"/>
      <c r="M27" s="2"/>
      <c r="N27" s="2"/>
      <c r="O27" s="8">
        <f t="shared" si="0"/>
        <v>118</v>
      </c>
      <c r="P27" s="2"/>
      <c r="Q27" s="2"/>
      <c r="R27" s="2"/>
      <c r="S27" s="2"/>
      <c r="T27" s="44">
        <v>308</v>
      </c>
      <c r="U27" s="41">
        <v>54</v>
      </c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>
        <v>900</v>
      </c>
      <c r="J30" s="2"/>
      <c r="K30" s="2"/>
      <c r="L30" s="2"/>
      <c r="M30" s="2"/>
      <c r="N30" s="2"/>
      <c r="O30" s="8">
        <f t="shared" si="0"/>
        <v>560</v>
      </c>
      <c r="P30" s="2"/>
      <c r="Q30" s="2"/>
      <c r="R30" s="2"/>
      <c r="S30" s="2"/>
      <c r="T30" s="41"/>
      <c r="U30" s="41"/>
      <c r="V30" s="41"/>
      <c r="W30" s="41"/>
      <c r="X30" s="41"/>
      <c r="Y30" s="41"/>
      <c r="Z30" s="2">
        <v>340</v>
      </c>
      <c r="AA30" s="7">
        <f t="shared" si="1"/>
        <v>0</v>
      </c>
      <c r="AB30" s="8"/>
      <c r="AC30" s="8"/>
      <c r="AD30" s="8"/>
      <c r="AE30" s="8">
        <v>0</v>
      </c>
      <c r="AF30"/>
    </row>
    <row r="31" spans="1:35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>
        <v>120</v>
      </c>
      <c r="J31" s="2"/>
      <c r="K31" s="2"/>
      <c r="L31" s="2"/>
      <c r="M31" s="2"/>
      <c r="N31" s="2"/>
      <c r="O31" s="8">
        <f t="shared" si="0"/>
        <v>-572</v>
      </c>
      <c r="P31" s="2"/>
      <c r="Q31" s="2"/>
      <c r="R31" s="2">
        <v>630</v>
      </c>
      <c r="S31" s="2"/>
      <c r="T31" s="41">
        <v>62</v>
      </c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>
        <v>600</v>
      </c>
      <c r="J32" s="2"/>
      <c r="K32" s="2"/>
      <c r="L32" s="2"/>
      <c r="M32" s="2"/>
      <c r="N32" s="2"/>
      <c r="O32" s="8">
        <f t="shared" si="0"/>
        <v>90</v>
      </c>
      <c r="P32" s="2"/>
      <c r="Q32" s="2"/>
      <c r="R32" s="2"/>
      <c r="S32" s="2"/>
      <c r="T32" s="41"/>
      <c r="U32" s="41"/>
      <c r="V32" s="41"/>
      <c r="W32" s="41"/>
      <c r="X32" s="41"/>
      <c r="Y32" s="41"/>
      <c r="Z32" s="2">
        <v>510</v>
      </c>
      <c r="AA32" s="7">
        <f t="shared" si="1"/>
        <v>0</v>
      </c>
      <c r="AB32" s="8"/>
      <c r="AC32" s="8"/>
      <c r="AD32" s="8"/>
      <c r="AE32" s="8">
        <v>0</v>
      </c>
      <c r="AF32"/>
    </row>
    <row r="33" spans="1:32" x14ac:dyDescent="0.25">
      <c r="A33" s="2"/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x14ac:dyDescent="0.25">
      <c r="H37" s="4" t="s">
        <v>19</v>
      </c>
      <c r="I37" s="9">
        <f t="shared" ref="I37:AA37" si="3">SUM(I6:I36)</f>
        <v>28690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11">
        <f t="shared" si="3"/>
        <v>5940</v>
      </c>
      <c r="P37" s="9">
        <f t="shared" si="3"/>
        <v>957</v>
      </c>
      <c r="Q37" s="9">
        <f t="shared" si="3"/>
        <v>0</v>
      </c>
      <c r="R37" s="9">
        <f t="shared" si="3"/>
        <v>3130</v>
      </c>
      <c r="S37" s="9">
        <f t="shared" si="3"/>
        <v>1089</v>
      </c>
      <c r="T37" s="46">
        <f t="shared" si="3"/>
        <v>5870</v>
      </c>
      <c r="U37" s="9">
        <f t="shared" si="3"/>
        <v>54</v>
      </c>
      <c r="V37" s="46">
        <f t="shared" si="3"/>
        <v>2600</v>
      </c>
      <c r="W37" s="9">
        <f t="shared" si="3"/>
        <v>0</v>
      </c>
      <c r="X37" s="9">
        <f t="shared" si="3"/>
        <v>4600</v>
      </c>
      <c r="Y37" s="9">
        <f t="shared" si="3"/>
        <v>3600</v>
      </c>
      <c r="Z37" s="9">
        <f t="shared" si="3"/>
        <v>850</v>
      </c>
      <c r="AA37" s="9">
        <f t="shared" si="3"/>
        <v>0</v>
      </c>
      <c r="AE37" s="12" t="e">
        <f>SUM(AE6:AE36)</f>
        <v>#DIV/0!</v>
      </c>
    </row>
    <row r="38" spans="1:32" x14ac:dyDescent="0.25">
      <c r="H38" s="4" t="s">
        <v>21</v>
      </c>
      <c r="I38" s="99">
        <f>+I37+J37+K37+L37+M37+N37</f>
        <v>28690</v>
      </c>
      <c r="J38" s="99"/>
      <c r="K38" s="99"/>
      <c r="L38" s="99"/>
      <c r="M38" s="99"/>
      <c r="N38" s="99"/>
      <c r="P38" s="100">
        <f>+P37+Q37</f>
        <v>957</v>
      </c>
      <c r="Q38" s="101"/>
      <c r="R38" s="100">
        <f>+R37+S37</f>
        <v>4219</v>
      </c>
      <c r="S38" s="101"/>
      <c r="T38" s="100">
        <f>+T37+U37</f>
        <v>5924</v>
      </c>
      <c r="U38" s="101"/>
      <c r="V38" s="100">
        <f>+V37+W37</f>
        <v>2600</v>
      </c>
      <c r="W38" s="101"/>
      <c r="X38" s="100">
        <f>+X37+Y37</f>
        <v>8200</v>
      </c>
      <c r="Y38" s="101"/>
      <c r="Z38" s="10">
        <f>+Z37</f>
        <v>850</v>
      </c>
    </row>
    <row r="41" spans="1:32" x14ac:dyDescent="0.25">
      <c r="A41"/>
      <c r="B41" s="2" t="s">
        <v>105</v>
      </c>
      <c r="C41" s="2" t="s">
        <v>106</v>
      </c>
      <c r="D41" s="2" t="s">
        <v>107</v>
      </c>
      <c r="E41"/>
      <c r="F41"/>
      <c r="G41"/>
      <c r="H41"/>
    </row>
    <row r="42" spans="1:32" x14ac:dyDescent="0.25">
      <c r="A42" s="53" t="s">
        <v>108</v>
      </c>
      <c r="B42" s="61">
        <v>28690</v>
      </c>
      <c r="C42" s="2">
        <v>4755</v>
      </c>
      <c r="D42" s="2">
        <v>2377.5</v>
      </c>
      <c r="E42"/>
      <c r="F42"/>
      <c r="G42" s="17"/>
      <c r="H42"/>
    </row>
    <row r="43" spans="1:32" x14ac:dyDescent="0.25">
      <c r="A43" s="53" t="s">
        <v>109</v>
      </c>
      <c r="B43" s="8">
        <v>10512</v>
      </c>
      <c r="C43" s="2">
        <v>1862</v>
      </c>
      <c r="D43" s="2">
        <v>931</v>
      </c>
      <c r="E43"/>
      <c r="F43"/>
      <c r="G43"/>
      <c r="H43"/>
    </row>
    <row r="44" spans="1:32" x14ac:dyDescent="0.25">
      <c r="A44" s="53" t="s">
        <v>110</v>
      </c>
      <c r="B44" s="62">
        <f>B42-B43</f>
        <v>18178</v>
      </c>
      <c r="C44" s="2"/>
      <c r="D44" s="2"/>
      <c r="E44"/>
      <c r="F44"/>
      <c r="G44"/>
      <c r="H44"/>
    </row>
    <row r="45" spans="1:32" x14ac:dyDescent="0.25">
      <c r="A45" s="53" t="s">
        <v>111</v>
      </c>
      <c r="B45" s="63">
        <f>B44/B42</f>
        <v>0.63360055768560475</v>
      </c>
      <c r="C45" s="2"/>
      <c r="D45" s="2"/>
      <c r="E45"/>
      <c r="F45"/>
      <c r="G45"/>
      <c r="H45"/>
    </row>
    <row r="46" spans="1:32" x14ac:dyDescent="0.25">
      <c r="A46" s="53" t="s">
        <v>112</v>
      </c>
      <c r="B46" s="63">
        <f>B43/B42</f>
        <v>0.36639944231439525</v>
      </c>
      <c r="C46" s="2"/>
      <c r="D46" s="2"/>
      <c r="E46"/>
      <c r="F46"/>
      <c r="G46"/>
      <c r="H46"/>
    </row>
    <row r="49" spans="1:25" x14ac:dyDescent="0.25">
      <c r="A49" s="129" t="s">
        <v>113</v>
      </c>
      <c r="B49" s="57">
        <v>46251</v>
      </c>
      <c r="C49" s="57">
        <v>46252</v>
      </c>
      <c r="D49" s="57">
        <v>46253</v>
      </c>
      <c r="E49" s="57">
        <v>46254</v>
      </c>
      <c r="F49" s="58">
        <v>46255</v>
      </c>
      <c r="R49" s="44"/>
      <c r="S49" s="44"/>
      <c r="X49" s="1"/>
      <c r="Y49" s="1"/>
    </row>
    <row r="50" spans="1:25" x14ac:dyDescent="0.25">
      <c r="A50" s="129"/>
      <c r="B50" s="59" t="s">
        <v>114</v>
      </c>
      <c r="C50" s="59" t="s">
        <v>115</v>
      </c>
      <c r="D50" s="59" t="s">
        <v>116</v>
      </c>
      <c r="E50" s="59" t="s">
        <v>117</v>
      </c>
      <c r="F50" s="59" t="s">
        <v>118</v>
      </c>
      <c r="R50" s="44"/>
      <c r="S50" s="44"/>
      <c r="X50" s="1"/>
      <c r="Y50" s="1"/>
    </row>
    <row r="51" spans="1:25" x14ac:dyDescent="0.25">
      <c r="A51" s="55" t="s">
        <v>119</v>
      </c>
      <c r="B51" s="54"/>
      <c r="C51" s="54"/>
      <c r="D51" s="54"/>
      <c r="E51" s="60"/>
      <c r="R51" s="44"/>
      <c r="S51" s="44"/>
      <c r="X51" s="1"/>
      <c r="Y51" s="1"/>
    </row>
    <row r="52" spans="1:25" x14ac:dyDescent="0.25">
      <c r="A52" s="56" t="s">
        <v>120</v>
      </c>
      <c r="B52" s="54"/>
      <c r="C52" s="54"/>
      <c r="D52" s="54"/>
      <c r="E52" s="60"/>
      <c r="F52" s="60"/>
      <c r="R52" s="44"/>
      <c r="S52" s="44"/>
      <c r="X52" s="1"/>
      <c r="Y52" s="1"/>
    </row>
    <row r="53" spans="1:25" x14ac:dyDescent="0.25">
      <c r="F53" s="60"/>
    </row>
  </sheetData>
  <autoFilter ref="B5:AE38" xr:uid="{00000000-0009-0000-0000-000007000000}"/>
  <mergeCells count="15">
    <mergeCell ref="C2:D2"/>
    <mergeCell ref="B3:B4"/>
    <mergeCell ref="P4:Q4"/>
    <mergeCell ref="R4:S4"/>
    <mergeCell ref="T4:U4"/>
    <mergeCell ref="J4:N4"/>
    <mergeCell ref="A49:A50"/>
    <mergeCell ref="X4:Y4"/>
    <mergeCell ref="I38:N38"/>
    <mergeCell ref="P38:Q38"/>
    <mergeCell ref="R38:S38"/>
    <mergeCell ref="T38:U38"/>
    <mergeCell ref="V38:W38"/>
    <mergeCell ref="X38:Y38"/>
    <mergeCell ref="V4:W4"/>
  </mergeCells>
  <pageMargins left="1" right="1" top="1" bottom="1" header="0.5" footer="0.5"/>
  <pageSetup paperSize="9" scale="96" fitToHeight="0" orientation="landscape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2:AI52"/>
  <sheetViews>
    <sheetView topLeftCell="A18" zoomScaleNormal="100" zoomScaleSheetLayoutView="100" workbookViewId="0">
      <pane xSplit="15" topLeftCell="P1" activePane="topRight" state="frozen"/>
      <selection activeCell="I18" sqref="I18"/>
      <selection pane="topRight" activeCell="V25" sqref="V25"/>
    </sheetView>
  </sheetViews>
  <sheetFormatPr baseColWidth="10" defaultColWidth="8.7109375" defaultRowHeight="15" x14ac:dyDescent="0.25"/>
  <cols>
    <col min="1" max="1" width="12.8554687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1.7109375" style="1" bestFit="1" customWidth="1"/>
    <col min="10" max="10" width="10.140625" style="1" hidden="1" customWidth="1"/>
    <col min="11" max="11" width="7.5703125" style="1" hidden="1" customWidth="1"/>
    <col min="12" max="13" width="5" style="1" hidden="1" customWidth="1"/>
    <col min="14" max="14" width="8.85546875" style="1" bestFit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I4" s="4" t="s">
        <v>5</v>
      </c>
      <c r="J4" s="95"/>
      <c r="K4" s="95"/>
      <c r="L4" s="95"/>
      <c r="M4" s="95"/>
      <c r="N4" s="95"/>
      <c r="P4" s="96">
        <v>46251</v>
      </c>
      <c r="Q4" s="96"/>
      <c r="R4" s="96">
        <v>46252</v>
      </c>
      <c r="S4" s="96"/>
      <c r="T4" s="96">
        <v>46253</v>
      </c>
      <c r="U4" s="96"/>
      <c r="V4" s="96">
        <v>46254</v>
      </c>
      <c r="W4" s="96"/>
      <c r="X4" s="96">
        <v>46255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35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121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/>
      <c r="J6" s="2"/>
      <c r="K6" s="2"/>
      <c r="L6" s="2"/>
      <c r="M6" s="2"/>
      <c r="N6" s="41">
        <v>8260</v>
      </c>
      <c r="O6" s="8">
        <f t="shared" ref="O6:O36" si="0">+I6+J6+K6+L6+M6+N6-SUM(P6:Z6)</f>
        <v>-5973</v>
      </c>
      <c r="P6" s="2">
        <v>5400</v>
      </c>
      <c r="Q6" s="2"/>
      <c r="R6" s="2">
        <v>2930</v>
      </c>
      <c r="S6" s="2"/>
      <c r="T6" s="41"/>
      <c r="U6" s="41"/>
      <c r="V6" s="41">
        <v>503</v>
      </c>
      <c r="W6" s="41">
        <v>5400</v>
      </c>
      <c r="X6" s="41"/>
      <c r="Y6" s="41"/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/>
      <c r="J8" s="2"/>
      <c r="K8" s="2"/>
      <c r="L8" s="2"/>
      <c r="M8" s="2"/>
      <c r="N8" s="2"/>
      <c r="O8" s="8">
        <f t="shared" si="0"/>
        <v>0</v>
      </c>
      <c r="P8" s="2"/>
      <c r="Q8" s="2"/>
      <c r="R8" s="2"/>
      <c r="S8" s="2"/>
      <c r="T8" s="41"/>
      <c r="U8" s="41"/>
      <c r="V8" s="41"/>
      <c r="W8" s="41"/>
      <c r="X8" s="41"/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/>
      <c r="J9" s="2"/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/>
      <c r="J14" s="2"/>
      <c r="K14" s="2"/>
      <c r="L14" s="2"/>
      <c r="M14" s="2"/>
      <c r="N14" s="2"/>
      <c r="O14" s="8">
        <f t="shared" si="0"/>
        <v>0</v>
      </c>
      <c r="P14" s="2"/>
      <c r="Q14" s="2"/>
      <c r="R14" s="2"/>
      <c r="S14" s="2"/>
      <c r="T14" s="41"/>
      <c r="V14" s="41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2"/>
      <c r="Q16" s="2"/>
      <c r="R16" s="2"/>
      <c r="S16" s="2"/>
      <c r="T16" s="41"/>
      <c r="U16" s="41"/>
      <c r="V16" s="41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/>
      <c r="J17" s="2"/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/>
      <c r="J24" s="2"/>
      <c r="K24" s="2"/>
      <c r="L24" s="2"/>
      <c r="M24" s="2"/>
      <c r="N24" s="41">
        <v>750</v>
      </c>
      <c r="O24" s="8">
        <f t="shared" si="0"/>
        <v>9</v>
      </c>
      <c r="P24" s="2"/>
      <c r="Q24" s="2">
        <v>366</v>
      </c>
      <c r="R24" s="2"/>
      <c r="S24" s="2"/>
      <c r="T24" s="41">
        <v>375</v>
      </c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/>
      <c r="J25" s="2"/>
      <c r="K25" s="2"/>
      <c r="L25" s="2"/>
      <c r="M25" s="2"/>
      <c r="N25" s="41">
        <v>11</v>
      </c>
      <c r="O25" s="8">
        <f t="shared" si="0"/>
        <v>11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/>
      <c r="J26" s="2"/>
      <c r="K26" s="2"/>
      <c r="L26" s="2"/>
      <c r="M26" s="2"/>
      <c r="N26" s="41">
        <v>723</v>
      </c>
      <c r="O26" s="8">
        <f t="shared" si="0"/>
        <v>31</v>
      </c>
      <c r="P26" s="2"/>
      <c r="Q26" s="2"/>
      <c r="R26" s="2"/>
      <c r="S26" s="2">
        <v>692</v>
      </c>
      <c r="T26" s="41"/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/>
      <c r="J27" s="2"/>
      <c r="K27" s="2"/>
      <c r="L27" s="2"/>
      <c r="M27" s="2"/>
      <c r="N27" s="41">
        <v>118</v>
      </c>
      <c r="O27" s="8">
        <f t="shared" si="0"/>
        <v>-356</v>
      </c>
      <c r="P27" s="2"/>
      <c r="Q27" s="2"/>
      <c r="R27" s="2"/>
      <c r="S27" s="2">
        <v>474</v>
      </c>
      <c r="U27" s="41"/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/>
      <c r="J30" s="2"/>
      <c r="K30" s="2"/>
      <c r="L30" s="2"/>
      <c r="M30" s="2"/>
      <c r="N30" s="41">
        <v>560</v>
      </c>
      <c r="O30" s="8">
        <f t="shared" si="0"/>
        <v>37</v>
      </c>
      <c r="P30" s="2"/>
      <c r="Q30" s="2"/>
      <c r="R30" s="2"/>
      <c r="S30" s="2"/>
      <c r="T30" s="41">
        <v>523</v>
      </c>
      <c r="U30" s="41"/>
      <c r="V30" s="41"/>
      <c r="W30" s="41"/>
      <c r="X30" s="41"/>
      <c r="Y30" s="41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/>
      <c r="J31" s="2"/>
      <c r="K31" s="2"/>
      <c r="L31" s="2"/>
      <c r="M31" s="2"/>
      <c r="N31" s="2">
        <v>120</v>
      </c>
      <c r="O31" s="8">
        <f t="shared" si="0"/>
        <v>120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/>
      <c r="J32" s="2"/>
      <c r="K32" s="2"/>
      <c r="L32" s="2"/>
      <c r="M32" s="2"/>
      <c r="N32" s="2">
        <v>90</v>
      </c>
      <c r="O32" s="8">
        <f t="shared" si="0"/>
        <v>0</v>
      </c>
      <c r="P32" s="2">
        <v>1</v>
      </c>
      <c r="Q32" s="2">
        <v>89</v>
      </c>
      <c r="R32" s="2"/>
      <c r="S32" s="2"/>
      <c r="T32" s="41"/>
      <c r="U32" s="41"/>
      <c r="V32" s="41"/>
      <c r="W32" s="41"/>
      <c r="X32" s="41"/>
      <c r="Y32" s="41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x14ac:dyDescent="0.25">
      <c r="A33" s="2"/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x14ac:dyDescent="0.25">
      <c r="H37" s="4" t="s">
        <v>19</v>
      </c>
      <c r="I37" s="9">
        <f t="shared" ref="I37:AA37" si="3">SUM(I6:I36)</f>
        <v>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10632</v>
      </c>
      <c r="O37" s="11">
        <f t="shared" si="3"/>
        <v>-6121</v>
      </c>
      <c r="P37" s="9">
        <f t="shared" si="3"/>
        <v>5401</v>
      </c>
      <c r="Q37" s="9">
        <f t="shared" si="3"/>
        <v>455</v>
      </c>
      <c r="R37" s="9">
        <f t="shared" si="3"/>
        <v>2930</v>
      </c>
      <c r="S37" s="9">
        <f t="shared" si="3"/>
        <v>1166</v>
      </c>
      <c r="T37" s="46">
        <f t="shared" si="3"/>
        <v>898</v>
      </c>
      <c r="U37" s="46">
        <f t="shared" si="3"/>
        <v>0</v>
      </c>
      <c r="V37" s="46">
        <f t="shared" si="3"/>
        <v>503</v>
      </c>
      <c r="W37" s="9">
        <f t="shared" si="3"/>
        <v>5400</v>
      </c>
      <c r="X37" s="9">
        <f t="shared" si="3"/>
        <v>0</v>
      </c>
      <c r="Y37" s="9">
        <f t="shared" si="3"/>
        <v>0</v>
      </c>
      <c r="Z37" s="9">
        <f t="shared" si="3"/>
        <v>0</v>
      </c>
      <c r="AA37" s="9">
        <f t="shared" si="3"/>
        <v>0</v>
      </c>
      <c r="AE37" s="12" t="e">
        <f>SUM(AE6:AE36)</f>
        <v>#DIV/0!</v>
      </c>
    </row>
    <row r="38" spans="1:32" x14ac:dyDescent="0.25">
      <c r="H38" s="4" t="s">
        <v>21</v>
      </c>
      <c r="I38" s="99">
        <f>+I37+J37+K37+L37+M37+N37</f>
        <v>10632</v>
      </c>
      <c r="J38" s="99"/>
      <c r="K38" s="99"/>
      <c r="L38" s="99"/>
      <c r="M38" s="99"/>
      <c r="N38" s="99"/>
      <c r="P38" s="100">
        <f>+P37+Q37</f>
        <v>5856</v>
      </c>
      <c r="Q38" s="101"/>
      <c r="R38" s="100">
        <f>+R37+S37</f>
        <v>4096</v>
      </c>
      <c r="S38" s="101"/>
      <c r="T38" s="100">
        <f>+T37+U37</f>
        <v>898</v>
      </c>
      <c r="U38" s="101"/>
      <c r="V38" s="100">
        <f>+V37+W37</f>
        <v>5903</v>
      </c>
      <c r="W38" s="101"/>
      <c r="X38" s="100">
        <f>+X37+Y37</f>
        <v>0</v>
      </c>
      <c r="Y38" s="101"/>
      <c r="Z38" s="10">
        <f>+Z37</f>
        <v>0</v>
      </c>
    </row>
    <row r="41" spans="1:32" x14ac:dyDescent="0.25">
      <c r="A41"/>
      <c r="B41" s="2" t="s">
        <v>105</v>
      </c>
      <c r="C41" s="2" t="s">
        <v>106</v>
      </c>
      <c r="D41" s="2" t="s">
        <v>107</v>
      </c>
      <c r="E41"/>
      <c r="F41"/>
      <c r="G41"/>
      <c r="H41"/>
    </row>
    <row r="42" spans="1:32" x14ac:dyDescent="0.25">
      <c r="A42" s="53" t="s">
        <v>108</v>
      </c>
      <c r="B42" s="61">
        <v>10632</v>
      </c>
      <c r="C42" s="2">
        <v>4755</v>
      </c>
      <c r="D42" s="2">
        <v>2377.5</v>
      </c>
      <c r="E42"/>
      <c r="F42"/>
      <c r="G42" s="17"/>
      <c r="H42"/>
    </row>
    <row r="43" spans="1:32" x14ac:dyDescent="0.25">
      <c r="A43" s="53" t="s">
        <v>109</v>
      </c>
      <c r="B43" s="8">
        <v>208</v>
      </c>
      <c r="C43" s="2">
        <v>1862</v>
      </c>
      <c r="D43" s="2">
        <v>931</v>
      </c>
      <c r="E43"/>
      <c r="F43"/>
      <c r="G43"/>
      <c r="H43"/>
    </row>
    <row r="44" spans="1:32" x14ac:dyDescent="0.25">
      <c r="A44" s="53" t="s">
        <v>110</v>
      </c>
      <c r="B44" s="62">
        <f>B42-B43</f>
        <v>10424</v>
      </c>
      <c r="C44" s="2"/>
      <c r="D44" s="2"/>
      <c r="E44"/>
      <c r="F44"/>
      <c r="G44"/>
      <c r="H44"/>
    </row>
    <row r="45" spans="1:32" x14ac:dyDescent="0.25">
      <c r="A45" s="53" t="s">
        <v>111</v>
      </c>
      <c r="B45" s="63">
        <f>B44/B42</f>
        <v>0.98043641835966888</v>
      </c>
      <c r="C45" s="2"/>
      <c r="D45" s="2"/>
      <c r="E45"/>
      <c r="F45"/>
      <c r="G45"/>
      <c r="H45"/>
    </row>
    <row r="46" spans="1:32" x14ac:dyDescent="0.25">
      <c r="A46" s="53" t="s">
        <v>112</v>
      </c>
      <c r="B46" s="63">
        <f>B43/B42</f>
        <v>1.9563581640331076E-2</v>
      </c>
      <c r="C46" s="2"/>
      <c r="D46" s="2"/>
      <c r="E46"/>
      <c r="F46"/>
      <c r="G46"/>
      <c r="H46"/>
    </row>
    <row r="49" spans="1:25" x14ac:dyDescent="0.25">
      <c r="A49" s="129" t="s">
        <v>113</v>
      </c>
      <c r="B49" s="57">
        <v>46244</v>
      </c>
      <c r="C49" s="57">
        <v>46245</v>
      </c>
      <c r="D49" s="57">
        <v>46246</v>
      </c>
      <c r="E49" s="58">
        <v>46247</v>
      </c>
      <c r="F49" s="58">
        <v>46248</v>
      </c>
      <c r="R49" s="44"/>
      <c r="S49" s="44"/>
      <c r="X49" s="1"/>
      <c r="Y49" s="1"/>
    </row>
    <row r="50" spans="1:25" x14ac:dyDescent="0.25">
      <c r="A50" s="129"/>
      <c r="B50" s="59" t="s">
        <v>114</v>
      </c>
      <c r="C50" s="59" t="s">
        <v>115</v>
      </c>
      <c r="D50" s="59" t="s">
        <v>116</v>
      </c>
      <c r="E50" s="59" t="s">
        <v>117</v>
      </c>
      <c r="F50" s="59" t="s">
        <v>118</v>
      </c>
      <c r="R50" s="44"/>
      <c r="S50" s="44"/>
      <c r="X50" s="1"/>
      <c r="Y50" s="1"/>
    </row>
    <row r="51" spans="1:25" x14ac:dyDescent="0.25">
      <c r="A51" s="55" t="s">
        <v>119</v>
      </c>
      <c r="B51" s="54">
        <v>0.56000000000000005</v>
      </c>
      <c r="C51" s="54">
        <v>0.89</v>
      </c>
      <c r="D51" s="54">
        <v>0.98</v>
      </c>
      <c r="E51" s="54">
        <v>0.98</v>
      </c>
      <c r="F51" s="60"/>
      <c r="R51" s="44"/>
      <c r="S51" s="44"/>
      <c r="X51" s="1"/>
      <c r="Y51" s="1"/>
    </row>
    <row r="52" spans="1:25" x14ac:dyDescent="0.25">
      <c r="A52" s="56" t="s">
        <v>120</v>
      </c>
      <c r="B52" s="54">
        <v>0.44</v>
      </c>
      <c r="C52" s="54">
        <v>0.11</v>
      </c>
      <c r="D52" s="54">
        <v>0.02</v>
      </c>
      <c r="E52" s="54">
        <v>0.02</v>
      </c>
      <c r="F52" s="60"/>
      <c r="R52" s="44"/>
      <c r="S52" s="44"/>
      <c r="X52" s="1"/>
      <c r="Y52" s="1"/>
    </row>
  </sheetData>
  <autoFilter ref="B5:AE38" xr:uid="{00000000-0009-0000-0000-000008000000}"/>
  <mergeCells count="15">
    <mergeCell ref="C2:D2"/>
    <mergeCell ref="B3:B4"/>
    <mergeCell ref="J4:N4"/>
    <mergeCell ref="P4:Q4"/>
    <mergeCell ref="R4:S4"/>
    <mergeCell ref="A49:A50"/>
    <mergeCell ref="V4:W4"/>
    <mergeCell ref="X4:Y4"/>
    <mergeCell ref="I38:N38"/>
    <mergeCell ref="P38:Q38"/>
    <mergeCell ref="R38:S38"/>
    <mergeCell ref="T38:U38"/>
    <mergeCell ref="V38:W38"/>
    <mergeCell ref="X38:Y38"/>
    <mergeCell ref="T4:U4"/>
  </mergeCells>
  <pageMargins left="1" right="1" top="1" bottom="1" header="0.5" footer="0.5"/>
  <pageSetup paperSize="9" scale="89" fitToHeight="0" orientation="landscape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92D050"/>
  </sheetPr>
  <dimension ref="B1:AJ54"/>
  <sheetViews>
    <sheetView zoomScaleNormal="100" zoomScaleSheetLayoutView="130" workbookViewId="0">
      <pane xSplit="16" topLeftCell="Q1" activePane="topRight" state="frozen"/>
      <selection activeCell="S22" sqref="S22"/>
      <selection pane="topRight" activeCell="E58" sqref="E58"/>
    </sheetView>
  </sheetViews>
  <sheetFormatPr baseColWidth="10" defaultColWidth="8.7109375" defaultRowHeight="15" x14ac:dyDescent="0.25"/>
  <cols>
    <col min="1" max="2" width="8.7109375" style="1"/>
    <col min="3" max="3" width="21.140625" style="1" bestFit="1" customWidth="1"/>
    <col min="4" max="4" width="19.42578125" style="1" bestFit="1" customWidth="1"/>
    <col min="5" max="5" width="17.140625" style="1" customWidth="1"/>
    <col min="6" max="6" width="14.5703125" style="1" customWidth="1"/>
    <col min="7" max="7" width="12.5703125" style="1" customWidth="1"/>
    <col min="8" max="8" width="10.5703125" style="1" bestFit="1" customWidth="1"/>
    <col min="9" max="9" width="15.42578125" style="1" bestFit="1" customWidth="1"/>
    <col min="10" max="10" width="10.7109375" style="1" customWidth="1"/>
    <col min="11" max="11" width="10.140625" style="1" hidden="1" customWidth="1"/>
    <col min="12" max="12" width="7.5703125" style="1" hidden="1" customWidth="1"/>
    <col min="13" max="15" width="5" style="1" hidden="1" customWidth="1"/>
    <col min="16" max="16" width="10.140625" style="1" customWidth="1"/>
    <col min="17" max="18" width="9.140625" style="1" customWidth="1"/>
    <col min="19" max="20" width="8.7109375" style="1" customWidth="1"/>
    <col min="21" max="26" width="8.7109375" style="44" customWidth="1"/>
    <col min="27" max="27" width="8.7109375" style="1" customWidth="1"/>
    <col min="28" max="28" width="8.7109375" style="1"/>
    <col min="29" max="29" width="14.42578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4.42578125" style="1" bestFit="1" customWidth="1"/>
    <col min="35" max="35" width="18.42578125" style="1" bestFit="1" customWidth="1"/>
    <col min="36" max="16384" width="8.7109375" style="1"/>
  </cols>
  <sheetData>
    <row r="1" spans="2:36" x14ac:dyDescent="0.25">
      <c r="D1" s="131" t="s">
        <v>123</v>
      </c>
      <c r="E1" s="131"/>
      <c r="F1" s="131"/>
      <c r="G1" s="131"/>
      <c r="H1" s="131"/>
      <c r="I1" s="131"/>
      <c r="J1" s="131"/>
    </row>
    <row r="2" spans="2:36" x14ac:dyDescent="0.25">
      <c r="C2" s="4" t="s">
        <v>17</v>
      </c>
      <c r="D2" s="91" t="s">
        <v>18</v>
      </c>
      <c r="E2" s="91"/>
    </row>
    <row r="3" spans="2:36" x14ac:dyDescent="0.25">
      <c r="C3" s="92">
        <f ca="1">TODAY()</f>
        <v>46309</v>
      </c>
      <c r="D3" s="4" t="s">
        <v>15</v>
      </c>
      <c r="E3" s="2"/>
      <c r="J3" s="4" t="s">
        <v>4</v>
      </c>
    </row>
    <row r="4" spans="2:36" x14ac:dyDescent="0.25">
      <c r="C4" s="92"/>
      <c r="D4" s="4" t="s">
        <v>16</v>
      </c>
      <c r="E4" s="2"/>
      <c r="J4" s="4" t="s">
        <v>5</v>
      </c>
      <c r="K4" s="95" t="s">
        <v>104</v>
      </c>
      <c r="L4" s="95"/>
      <c r="M4" s="95"/>
      <c r="N4" s="95"/>
      <c r="O4" s="95"/>
      <c r="Q4" s="96">
        <v>46258</v>
      </c>
      <c r="R4" s="96"/>
      <c r="S4" s="96">
        <v>46259</v>
      </c>
      <c r="T4" s="96"/>
      <c r="U4" s="96">
        <v>46260</v>
      </c>
      <c r="V4" s="96"/>
      <c r="W4" s="96">
        <v>46261</v>
      </c>
      <c r="X4" s="96"/>
      <c r="Y4" s="96">
        <v>46262</v>
      </c>
      <c r="Z4" s="96"/>
      <c r="AA4" s="6"/>
    </row>
    <row r="5" spans="2:36" x14ac:dyDescent="0.25">
      <c r="C5" s="4" t="s">
        <v>0</v>
      </c>
      <c r="D5" s="4" t="s">
        <v>6</v>
      </c>
      <c r="E5" s="4" t="s">
        <v>7</v>
      </c>
      <c r="F5" s="4" t="s">
        <v>1</v>
      </c>
      <c r="G5" s="4" t="s">
        <v>2</v>
      </c>
      <c r="H5" s="4" t="s">
        <v>3</v>
      </c>
      <c r="I5" s="4" t="s">
        <v>34</v>
      </c>
      <c r="J5" s="5">
        <v>35</v>
      </c>
      <c r="K5" s="4" t="s">
        <v>10</v>
      </c>
      <c r="L5" s="4" t="s">
        <v>9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15</v>
      </c>
      <c r="T5" s="4" t="s">
        <v>16</v>
      </c>
      <c r="U5" s="45" t="s">
        <v>15</v>
      </c>
      <c r="V5" s="45" t="s">
        <v>16</v>
      </c>
      <c r="W5" s="45" t="s">
        <v>15</v>
      </c>
      <c r="X5" s="45" t="s">
        <v>16</v>
      </c>
      <c r="Y5" s="45" t="s">
        <v>15</v>
      </c>
      <c r="Z5" s="45" t="s">
        <v>16</v>
      </c>
      <c r="AA5" s="4" t="s">
        <v>20</v>
      </c>
      <c r="AB5" s="4" t="s">
        <v>8</v>
      </c>
      <c r="AC5" s="4" t="s">
        <v>22</v>
      </c>
      <c r="AD5" s="4" t="s">
        <v>24</v>
      </c>
      <c r="AE5" s="4" t="s">
        <v>23</v>
      </c>
      <c r="AF5" s="4" t="s">
        <v>30</v>
      </c>
      <c r="AG5"/>
      <c r="AH5" t="s">
        <v>31</v>
      </c>
      <c r="AI5" t="s">
        <v>33</v>
      </c>
      <c r="AJ5"/>
    </row>
    <row r="6" spans="2:36" hidden="1" x14ac:dyDescent="0.25">
      <c r="B6" s="2">
        <v>1</v>
      </c>
      <c r="C6" s="2" t="s">
        <v>45</v>
      </c>
      <c r="D6" s="2" t="s">
        <v>44</v>
      </c>
      <c r="E6" s="2" t="s">
        <v>43</v>
      </c>
      <c r="F6" s="13">
        <v>0.375</v>
      </c>
      <c r="G6" s="2">
        <v>0.16</v>
      </c>
      <c r="H6" s="3"/>
      <c r="I6" s="3"/>
      <c r="J6" s="2"/>
      <c r="K6" s="2"/>
      <c r="L6" s="2"/>
      <c r="M6" s="2"/>
      <c r="N6" s="2"/>
      <c r="O6" s="2"/>
      <c r="P6" s="8">
        <f t="shared" ref="P6:P36" si="0">+J6+K6+L6+M6+N6+O6-SUM(Q6:AA6)</f>
        <v>-12855</v>
      </c>
      <c r="Q6" s="2">
        <v>4630</v>
      </c>
      <c r="R6" s="2">
        <v>3335</v>
      </c>
      <c r="S6" s="2">
        <v>350</v>
      </c>
      <c r="T6" s="2"/>
      <c r="U6" s="41"/>
      <c r="V6" s="41"/>
      <c r="W6" s="41"/>
      <c r="X6" s="41"/>
      <c r="Y6" s="41">
        <v>940</v>
      </c>
      <c r="Z6" s="41">
        <v>3600</v>
      </c>
      <c r="AA6" s="2"/>
      <c r="AB6" s="7">
        <f t="shared" ref="AB6:AB36" si="1">+H6*SUM(J6:O6)</f>
        <v>0</v>
      </c>
      <c r="AC6" s="8"/>
      <c r="AD6" s="8"/>
      <c r="AE6" s="8"/>
      <c r="AF6" s="8" t="e">
        <f t="shared" ref="AF6:AF21" si="2">+SUM(J6:O6)/AD6</f>
        <v>#DIV/0!</v>
      </c>
      <c r="AG6"/>
      <c r="AH6" s="15">
        <v>0</v>
      </c>
      <c r="AI6">
        <v>0</v>
      </c>
      <c r="AJ6"/>
    </row>
    <row r="7" spans="2:36" hidden="1" x14ac:dyDescent="0.25">
      <c r="B7" s="2">
        <v>2</v>
      </c>
      <c r="C7" s="43" t="s">
        <v>46</v>
      </c>
      <c r="D7" s="2" t="s">
        <v>47</v>
      </c>
      <c r="E7" s="2" t="s">
        <v>48</v>
      </c>
      <c r="F7" s="13">
        <v>0.75</v>
      </c>
      <c r="G7" s="2">
        <v>3.5000000000000003E-2</v>
      </c>
      <c r="H7" s="3"/>
      <c r="I7" s="3"/>
      <c r="J7" s="2"/>
      <c r="K7" s="2"/>
      <c r="L7" s="2"/>
      <c r="M7" s="2"/>
      <c r="N7" s="2"/>
      <c r="O7" s="2"/>
      <c r="P7" s="8">
        <f t="shared" si="0"/>
        <v>0</v>
      </c>
      <c r="Q7" s="2"/>
      <c r="R7" s="2"/>
      <c r="S7" s="2"/>
      <c r="T7" s="2"/>
      <c r="U7" s="41"/>
      <c r="V7" s="41"/>
      <c r="W7" s="41"/>
      <c r="X7" s="41"/>
      <c r="Y7" s="41"/>
      <c r="Z7" s="41"/>
      <c r="AA7" s="2"/>
      <c r="AB7" s="7">
        <f t="shared" si="1"/>
        <v>0</v>
      </c>
      <c r="AC7" s="8"/>
      <c r="AD7" s="8"/>
      <c r="AE7" s="8"/>
      <c r="AF7" s="8" t="e">
        <f t="shared" si="2"/>
        <v>#DIV/0!</v>
      </c>
      <c r="AG7"/>
      <c r="AH7" s="15" t="s">
        <v>25</v>
      </c>
      <c r="AI7">
        <v>52</v>
      </c>
      <c r="AJ7"/>
    </row>
    <row r="8" spans="2:36" hidden="1" x14ac:dyDescent="0.25">
      <c r="B8" s="2">
        <v>3</v>
      </c>
      <c r="C8" s="43" t="s">
        <v>55</v>
      </c>
      <c r="D8" s="2" t="s">
        <v>49</v>
      </c>
      <c r="E8" s="2" t="s">
        <v>92</v>
      </c>
      <c r="F8" s="13">
        <v>0.3125</v>
      </c>
      <c r="G8" s="2">
        <v>0.28000000000000003</v>
      </c>
      <c r="H8" s="3"/>
      <c r="I8" s="3"/>
      <c r="J8" s="2"/>
      <c r="K8" s="2"/>
      <c r="L8" s="2"/>
      <c r="M8" s="2"/>
      <c r="N8" s="2"/>
      <c r="O8" s="2"/>
      <c r="P8" s="8">
        <f t="shared" si="0"/>
        <v>0</v>
      </c>
      <c r="Q8" s="2"/>
      <c r="R8" s="2"/>
      <c r="S8" s="2"/>
      <c r="T8" s="2"/>
      <c r="U8" s="41"/>
      <c r="V8" s="41"/>
      <c r="W8" s="41"/>
      <c r="X8" s="41"/>
      <c r="Y8" s="41"/>
      <c r="Z8" s="41"/>
      <c r="AA8" s="2"/>
      <c r="AB8" s="7">
        <f t="shared" si="1"/>
        <v>0</v>
      </c>
      <c r="AC8" s="8"/>
      <c r="AD8" s="8"/>
      <c r="AE8" s="8"/>
      <c r="AF8" s="8" t="e">
        <f t="shared" si="2"/>
        <v>#DIV/0!</v>
      </c>
      <c r="AG8"/>
      <c r="AH8" s="15" t="s">
        <v>29</v>
      </c>
      <c r="AI8">
        <v>0</v>
      </c>
      <c r="AJ8"/>
    </row>
    <row r="9" spans="2:36" hidden="1" x14ac:dyDescent="0.25">
      <c r="B9" s="2">
        <v>4</v>
      </c>
      <c r="C9" s="43" t="s">
        <v>55</v>
      </c>
      <c r="D9" s="2" t="s">
        <v>49</v>
      </c>
      <c r="E9" s="2" t="s">
        <v>93</v>
      </c>
      <c r="F9" s="13">
        <v>0.3125</v>
      </c>
      <c r="G9" s="2">
        <v>0.28000000000000003</v>
      </c>
      <c r="H9" s="3"/>
      <c r="I9" s="3"/>
      <c r="J9" s="2"/>
      <c r="K9" s="2"/>
      <c r="L9" s="2"/>
      <c r="M9" s="2"/>
      <c r="N9" s="2"/>
      <c r="O9" s="2"/>
      <c r="P9" s="8">
        <f t="shared" si="0"/>
        <v>0</v>
      </c>
      <c r="Q9" s="2"/>
      <c r="R9" s="2"/>
      <c r="S9" s="2"/>
      <c r="T9" s="2"/>
      <c r="U9" s="41"/>
      <c r="V9" s="41"/>
      <c r="W9" s="41"/>
      <c r="X9" s="41"/>
      <c r="Y9" s="41"/>
      <c r="Z9" s="41"/>
      <c r="AA9" s="2"/>
      <c r="AB9" s="7">
        <f t="shared" si="1"/>
        <v>0</v>
      </c>
      <c r="AC9" s="8"/>
      <c r="AD9" s="8"/>
      <c r="AE9" s="8"/>
      <c r="AF9" s="8" t="e">
        <f t="shared" si="2"/>
        <v>#DIV/0!</v>
      </c>
      <c r="AG9"/>
      <c r="AH9" s="15" t="s">
        <v>26</v>
      </c>
      <c r="AI9">
        <v>116</v>
      </c>
      <c r="AJ9"/>
    </row>
    <row r="10" spans="2:36" hidden="1" x14ac:dyDescent="0.25">
      <c r="B10" s="2">
        <v>5</v>
      </c>
      <c r="C10" s="43" t="s">
        <v>55</v>
      </c>
      <c r="D10" s="2" t="s">
        <v>49</v>
      </c>
      <c r="E10" s="2" t="s">
        <v>94</v>
      </c>
      <c r="F10" s="13">
        <v>0.3125</v>
      </c>
      <c r="G10" s="2">
        <v>0.28000000000000003</v>
      </c>
      <c r="H10" s="3"/>
      <c r="I10" s="3"/>
      <c r="J10" s="2"/>
      <c r="K10" s="2"/>
      <c r="L10" s="2"/>
      <c r="M10" s="2"/>
      <c r="N10" s="2"/>
      <c r="O10" s="2"/>
      <c r="P10" s="8">
        <f t="shared" si="0"/>
        <v>0</v>
      </c>
      <c r="Q10" s="2"/>
      <c r="R10" s="2"/>
      <c r="S10" s="2"/>
      <c r="T10" s="2"/>
      <c r="U10" s="41"/>
      <c r="V10" s="41"/>
      <c r="W10" s="41"/>
      <c r="X10" s="41"/>
      <c r="Y10" s="41"/>
      <c r="Z10" s="41"/>
      <c r="AA10" s="2"/>
      <c r="AB10" s="7">
        <f t="shared" si="1"/>
        <v>0</v>
      </c>
      <c r="AC10" s="8"/>
      <c r="AD10" s="8"/>
      <c r="AE10" s="8"/>
      <c r="AF10" s="8" t="e">
        <f t="shared" si="2"/>
        <v>#DIV/0!</v>
      </c>
      <c r="AG10"/>
      <c r="AH10" s="15" t="s">
        <v>28</v>
      </c>
      <c r="AI10">
        <v>2</v>
      </c>
      <c r="AJ10"/>
    </row>
    <row r="11" spans="2:36" hidden="1" x14ac:dyDescent="0.25">
      <c r="B11" s="2">
        <v>6</v>
      </c>
      <c r="C11" s="43" t="s">
        <v>55</v>
      </c>
      <c r="D11" s="2" t="s">
        <v>49</v>
      </c>
      <c r="E11" s="2" t="s">
        <v>95</v>
      </c>
      <c r="F11" s="13">
        <v>0.3125</v>
      </c>
      <c r="G11" s="2">
        <v>0.28000000000000003</v>
      </c>
      <c r="H11" s="3"/>
      <c r="I11" s="3"/>
      <c r="J11" s="2"/>
      <c r="K11" s="2"/>
      <c r="L11" s="2"/>
      <c r="M11" s="2"/>
      <c r="N11" s="2"/>
      <c r="O11" s="2"/>
      <c r="P11" s="8">
        <f t="shared" si="0"/>
        <v>0</v>
      </c>
      <c r="Q11" s="2"/>
      <c r="R11" s="2"/>
      <c r="S11" s="2"/>
      <c r="T11" s="2"/>
      <c r="U11" s="41"/>
      <c r="V11" s="41"/>
      <c r="W11" s="41"/>
      <c r="X11" s="41"/>
      <c r="Y11" s="41"/>
      <c r="Z11" s="41"/>
      <c r="AA11" s="2"/>
      <c r="AB11" s="7">
        <f t="shared" si="1"/>
        <v>0</v>
      </c>
      <c r="AC11" s="8"/>
      <c r="AD11" s="8"/>
      <c r="AE11" s="8"/>
      <c r="AF11" s="8" t="e">
        <f t="shared" si="2"/>
        <v>#DIV/0!</v>
      </c>
      <c r="AG11"/>
      <c r="AH11" s="15" t="s">
        <v>27</v>
      </c>
      <c r="AI11">
        <v>10</v>
      </c>
      <c r="AJ11"/>
    </row>
    <row r="12" spans="2:36" hidden="1" x14ac:dyDescent="0.25">
      <c r="B12" s="2">
        <v>7</v>
      </c>
      <c r="C12" s="43" t="s">
        <v>55</v>
      </c>
      <c r="D12" s="2" t="s">
        <v>49</v>
      </c>
      <c r="E12" s="2" t="s">
        <v>96</v>
      </c>
      <c r="F12" s="13">
        <v>0.3125</v>
      </c>
      <c r="G12" s="2">
        <v>0.28000000000000003</v>
      </c>
      <c r="H12" s="3"/>
      <c r="I12" s="3"/>
      <c r="J12" s="2"/>
      <c r="K12" s="2"/>
      <c r="L12" s="2"/>
      <c r="M12" s="2"/>
      <c r="N12" s="2"/>
      <c r="O12" s="2"/>
      <c r="P12" s="8">
        <f t="shared" si="0"/>
        <v>0</v>
      </c>
      <c r="Q12" s="2"/>
      <c r="R12" s="2"/>
      <c r="S12" s="2"/>
      <c r="T12" s="2"/>
      <c r="U12" s="41"/>
      <c r="V12" s="41"/>
      <c r="W12" s="41"/>
      <c r="X12" s="41"/>
      <c r="Y12" s="41"/>
      <c r="Z12" s="41"/>
      <c r="AA12" s="2"/>
      <c r="AB12" s="7">
        <f t="shared" si="1"/>
        <v>0</v>
      </c>
      <c r="AC12" s="8"/>
      <c r="AD12" s="8"/>
      <c r="AE12" s="8"/>
      <c r="AF12" s="8" t="e">
        <f t="shared" si="2"/>
        <v>#DIV/0!</v>
      </c>
      <c r="AG12"/>
      <c r="AH12" s="15" t="s">
        <v>32</v>
      </c>
      <c r="AI12">
        <v>180</v>
      </c>
      <c r="AJ12"/>
    </row>
    <row r="13" spans="2:36" hidden="1" x14ac:dyDescent="0.25">
      <c r="B13" s="2">
        <v>8</v>
      </c>
      <c r="C13" s="43" t="s">
        <v>55</v>
      </c>
      <c r="D13" s="2" t="s">
        <v>49</v>
      </c>
      <c r="E13" s="2" t="s">
        <v>97</v>
      </c>
      <c r="F13" s="13">
        <v>0.3125</v>
      </c>
      <c r="G13" s="2">
        <v>0.28000000000000003</v>
      </c>
      <c r="H13" s="3"/>
      <c r="I13" s="3"/>
      <c r="J13" s="2"/>
      <c r="K13" s="2"/>
      <c r="L13" s="2"/>
      <c r="M13" s="2"/>
      <c r="N13" s="2"/>
      <c r="O13" s="2"/>
      <c r="P13" s="8">
        <f t="shared" si="0"/>
        <v>0</v>
      </c>
      <c r="Q13" s="2"/>
      <c r="R13" s="2"/>
      <c r="S13" s="2"/>
      <c r="T13" s="2"/>
      <c r="U13" s="41"/>
      <c r="V13" s="41"/>
      <c r="W13" s="41"/>
      <c r="X13" s="41"/>
      <c r="Y13" s="41"/>
      <c r="Z13" s="41"/>
      <c r="AA13" s="2"/>
      <c r="AB13" s="7">
        <f t="shared" si="1"/>
        <v>0</v>
      </c>
      <c r="AC13" s="8"/>
      <c r="AD13" s="8"/>
      <c r="AE13" s="8"/>
      <c r="AF13" s="8" t="e">
        <f t="shared" si="2"/>
        <v>#DIV/0!</v>
      </c>
      <c r="AG13"/>
      <c r="AH13"/>
      <c r="AI13"/>
      <c r="AJ13"/>
    </row>
    <row r="14" spans="2:36" hidden="1" x14ac:dyDescent="0.25">
      <c r="B14" s="2">
        <v>9</v>
      </c>
      <c r="C14" s="43" t="s">
        <v>55</v>
      </c>
      <c r="D14" s="2" t="s">
        <v>49</v>
      </c>
      <c r="E14" s="2" t="s">
        <v>98</v>
      </c>
      <c r="F14" s="13">
        <v>0.3125</v>
      </c>
      <c r="G14" s="2">
        <v>0.28000000000000003</v>
      </c>
      <c r="H14" s="3"/>
      <c r="I14" s="3"/>
      <c r="J14" s="2">
        <v>4600</v>
      </c>
      <c r="K14" s="2"/>
      <c r="L14" s="2"/>
      <c r="M14" s="2"/>
      <c r="N14" s="2"/>
      <c r="O14" s="2"/>
      <c r="P14" s="8">
        <f t="shared" si="0"/>
        <v>-3958</v>
      </c>
      <c r="Q14" s="2">
        <v>1000</v>
      </c>
      <c r="R14" s="2"/>
      <c r="S14" s="2"/>
      <c r="T14" s="2"/>
      <c r="U14" s="41">
        <v>3621</v>
      </c>
      <c r="W14" s="41">
        <v>3937</v>
      </c>
      <c r="X14" s="41"/>
      <c r="Y14" s="41"/>
      <c r="Z14" s="41"/>
      <c r="AA14" s="2"/>
      <c r="AB14" s="7">
        <f t="shared" si="1"/>
        <v>0</v>
      </c>
      <c r="AC14" s="8"/>
      <c r="AD14" s="8"/>
      <c r="AE14" s="8"/>
      <c r="AF14" s="8" t="e">
        <f t="shared" si="2"/>
        <v>#DIV/0!</v>
      </c>
      <c r="AG14"/>
      <c r="AH14"/>
      <c r="AI14"/>
      <c r="AJ14"/>
    </row>
    <row r="15" spans="2:36" hidden="1" x14ac:dyDescent="0.25">
      <c r="B15" s="2">
        <v>10</v>
      </c>
      <c r="C15" s="43" t="s">
        <v>55</v>
      </c>
      <c r="D15" s="2" t="s">
        <v>49</v>
      </c>
      <c r="E15" s="2" t="s">
        <v>99</v>
      </c>
      <c r="F15" s="13">
        <v>0.3125</v>
      </c>
      <c r="G15" s="2">
        <v>0.28000000000000003</v>
      </c>
      <c r="H15" s="3"/>
      <c r="I15" s="3"/>
      <c r="J15" s="2">
        <v>2400</v>
      </c>
      <c r="K15" s="2"/>
      <c r="L15" s="2"/>
      <c r="M15" s="2"/>
      <c r="N15" s="2"/>
      <c r="O15" s="2"/>
      <c r="P15" s="8">
        <f t="shared" si="0"/>
        <v>-583</v>
      </c>
      <c r="Q15" s="2"/>
      <c r="R15" s="2"/>
      <c r="S15" s="2"/>
      <c r="T15" s="2"/>
      <c r="U15" s="41"/>
      <c r="V15" s="41"/>
      <c r="W15" s="41"/>
      <c r="X15" s="41"/>
      <c r="Y15" s="41">
        <f>SUM(2583+400)</f>
        <v>2983</v>
      </c>
      <c r="Z15" s="41"/>
      <c r="AA15" s="2"/>
      <c r="AB15" s="7">
        <f t="shared" si="1"/>
        <v>0</v>
      </c>
      <c r="AC15" s="8"/>
      <c r="AD15" s="8"/>
      <c r="AE15" s="8"/>
      <c r="AF15" s="8" t="e">
        <f t="shared" si="2"/>
        <v>#DIV/0!</v>
      </c>
      <c r="AG15"/>
      <c r="AH15"/>
      <c r="AI15"/>
      <c r="AJ15"/>
    </row>
    <row r="16" spans="2:36" x14ac:dyDescent="0.25">
      <c r="B16" s="2">
        <v>11</v>
      </c>
      <c r="C16" s="43" t="s">
        <v>55</v>
      </c>
      <c r="D16" s="2" t="s">
        <v>49</v>
      </c>
      <c r="E16" s="2" t="s">
        <v>100</v>
      </c>
      <c r="F16" s="13">
        <v>0.3125</v>
      </c>
      <c r="G16" s="2">
        <v>0.28000000000000003</v>
      </c>
      <c r="H16" s="3"/>
      <c r="I16" s="3"/>
      <c r="J16" s="2">
        <v>4000</v>
      </c>
      <c r="K16" s="2"/>
      <c r="L16" s="2"/>
      <c r="M16" s="2"/>
      <c r="N16" s="2"/>
      <c r="O16" s="2"/>
      <c r="P16" s="8">
        <f t="shared" si="0"/>
        <v>4000</v>
      </c>
      <c r="Q16" s="2"/>
      <c r="R16" s="2"/>
      <c r="S16" s="2"/>
      <c r="T16" s="2"/>
      <c r="U16" s="41"/>
      <c r="V16" s="41"/>
      <c r="W16" s="41"/>
      <c r="X16" s="41"/>
      <c r="Y16" s="41"/>
      <c r="Z16" s="41"/>
      <c r="AA16" s="2"/>
      <c r="AB16" s="7">
        <f t="shared" si="1"/>
        <v>0</v>
      </c>
      <c r="AC16" s="8"/>
      <c r="AD16" s="8"/>
      <c r="AE16" s="8"/>
      <c r="AF16" s="8" t="e">
        <f t="shared" si="2"/>
        <v>#DIV/0!</v>
      </c>
      <c r="AG16"/>
      <c r="AH16"/>
      <c r="AI16"/>
      <c r="AJ16"/>
    </row>
    <row r="17" spans="2:36" x14ac:dyDescent="0.25">
      <c r="B17" s="2">
        <v>12</v>
      </c>
      <c r="C17" s="43" t="s">
        <v>55</v>
      </c>
      <c r="D17" s="2" t="s">
        <v>49</v>
      </c>
      <c r="E17" s="2" t="s">
        <v>101</v>
      </c>
      <c r="F17" s="13">
        <v>0.3125</v>
      </c>
      <c r="G17" s="2">
        <v>0.28000000000000003</v>
      </c>
      <c r="H17" s="3"/>
      <c r="I17" s="3"/>
      <c r="J17" s="2">
        <v>2400</v>
      </c>
      <c r="K17" s="2"/>
      <c r="L17" s="2"/>
      <c r="M17" s="2"/>
      <c r="N17" s="2"/>
      <c r="O17" s="2"/>
      <c r="P17" s="8">
        <f t="shared" si="0"/>
        <v>108</v>
      </c>
      <c r="Q17" s="2"/>
      <c r="R17" s="2"/>
      <c r="S17" s="2"/>
      <c r="T17" s="2"/>
      <c r="U17" s="41"/>
      <c r="V17" s="41"/>
      <c r="W17" s="41"/>
      <c r="X17" s="41"/>
      <c r="Y17" s="41">
        <v>2292</v>
      </c>
      <c r="Z17" s="41"/>
      <c r="AA17" s="2"/>
      <c r="AB17" s="7">
        <f t="shared" si="1"/>
        <v>0</v>
      </c>
      <c r="AC17" s="8"/>
      <c r="AD17" s="8"/>
      <c r="AE17" s="8"/>
      <c r="AF17" s="8" t="e">
        <f t="shared" si="2"/>
        <v>#DIV/0!</v>
      </c>
      <c r="AG17"/>
      <c r="AH17"/>
      <c r="AI17"/>
      <c r="AJ17"/>
    </row>
    <row r="18" spans="2:36" hidden="1" x14ac:dyDescent="0.25">
      <c r="B18" s="2">
        <v>13</v>
      </c>
      <c r="C18" s="43" t="s">
        <v>63</v>
      </c>
      <c r="D18" s="2" t="s">
        <v>49</v>
      </c>
      <c r="E18" s="2" t="s">
        <v>102</v>
      </c>
      <c r="F18" s="13">
        <v>0.3125</v>
      </c>
      <c r="G18" s="2">
        <v>0.28000000000000003</v>
      </c>
      <c r="H18" s="3"/>
      <c r="I18" s="3"/>
      <c r="J18" s="2"/>
      <c r="K18" s="2"/>
      <c r="L18" s="2"/>
      <c r="M18" s="2"/>
      <c r="N18" s="2"/>
      <c r="O18" s="2"/>
      <c r="P18" s="8">
        <f t="shared" si="0"/>
        <v>0</v>
      </c>
      <c r="Q18" s="2"/>
      <c r="R18" s="2"/>
      <c r="S18" s="2"/>
      <c r="T18" s="2"/>
      <c r="U18" s="41"/>
      <c r="V18" s="41"/>
      <c r="W18" s="41"/>
      <c r="X18" s="41"/>
      <c r="Y18" s="41"/>
      <c r="Z18" s="41"/>
      <c r="AA18" s="2"/>
      <c r="AB18" s="7">
        <f t="shared" si="1"/>
        <v>0</v>
      </c>
      <c r="AC18" s="8"/>
      <c r="AD18" s="8"/>
      <c r="AE18" s="8"/>
      <c r="AF18" s="8" t="e">
        <f t="shared" si="2"/>
        <v>#DIV/0!</v>
      </c>
      <c r="AG18"/>
      <c r="AH18"/>
      <c r="AI18"/>
      <c r="AJ18"/>
    </row>
    <row r="19" spans="2:36" hidden="1" x14ac:dyDescent="0.25">
      <c r="B19" s="2">
        <v>14</v>
      </c>
      <c r="C19" s="43" t="s">
        <v>63</v>
      </c>
      <c r="D19" s="2" t="s">
        <v>49</v>
      </c>
      <c r="E19" s="2" t="s">
        <v>103</v>
      </c>
      <c r="F19" s="13">
        <v>0.3125</v>
      </c>
      <c r="G19" s="2">
        <v>0.28000000000000003</v>
      </c>
      <c r="H19" s="3"/>
      <c r="I19" s="3"/>
      <c r="J19" s="2">
        <v>800</v>
      </c>
      <c r="K19" s="2"/>
      <c r="L19" s="2"/>
      <c r="M19" s="2"/>
      <c r="N19" s="2"/>
      <c r="O19" s="2"/>
      <c r="P19" s="8">
        <f t="shared" si="0"/>
        <v>-500</v>
      </c>
      <c r="Q19" s="2"/>
      <c r="R19" s="2"/>
      <c r="S19" s="2"/>
      <c r="T19" s="2"/>
      <c r="U19" s="41"/>
      <c r="V19" s="41"/>
      <c r="W19" s="41"/>
      <c r="X19" s="41"/>
      <c r="Y19" s="41">
        <f>SUM(500+800)</f>
        <v>1300</v>
      </c>
      <c r="Z19" s="41"/>
      <c r="AA19" s="2"/>
      <c r="AB19" s="7">
        <f t="shared" si="1"/>
        <v>0</v>
      </c>
      <c r="AC19" s="8"/>
      <c r="AD19" s="8"/>
      <c r="AE19" s="8"/>
      <c r="AF19" s="8" t="e">
        <f t="shared" si="2"/>
        <v>#DIV/0!</v>
      </c>
      <c r="AG19"/>
      <c r="AH19"/>
      <c r="AI19"/>
      <c r="AJ19"/>
    </row>
    <row r="20" spans="2:36" hidden="1" x14ac:dyDescent="0.25">
      <c r="B20" s="2">
        <v>15</v>
      </c>
      <c r="C20" s="43" t="s">
        <v>63</v>
      </c>
      <c r="D20" s="2" t="s">
        <v>49</v>
      </c>
      <c r="E20" s="2" t="s">
        <v>61</v>
      </c>
      <c r="F20" s="13">
        <v>0.3125</v>
      </c>
      <c r="G20" s="2">
        <v>0.28000000000000003</v>
      </c>
      <c r="H20" s="3"/>
      <c r="I20" s="3"/>
      <c r="J20" s="2"/>
      <c r="K20" s="2"/>
      <c r="L20" s="2"/>
      <c r="M20" s="2"/>
      <c r="N20" s="2"/>
      <c r="O20" s="2"/>
      <c r="P20" s="8">
        <f t="shared" si="0"/>
        <v>0</v>
      </c>
      <c r="Q20" s="2"/>
      <c r="R20" s="2"/>
      <c r="S20" s="2"/>
      <c r="T20" s="2"/>
      <c r="U20" s="41"/>
      <c r="V20" s="41"/>
      <c r="W20" s="41"/>
      <c r="X20" s="41"/>
      <c r="Y20" s="41"/>
      <c r="Z20" s="41"/>
      <c r="AA20" s="2"/>
      <c r="AB20" s="7">
        <f t="shared" si="1"/>
        <v>0</v>
      </c>
      <c r="AC20" s="8"/>
      <c r="AD20" s="8"/>
      <c r="AE20" s="8"/>
      <c r="AF20" s="8" t="e">
        <f t="shared" si="2"/>
        <v>#DIV/0!</v>
      </c>
      <c r="AG20"/>
      <c r="AH20"/>
      <c r="AI20"/>
      <c r="AJ20"/>
    </row>
    <row r="21" spans="2:36" hidden="1" x14ac:dyDescent="0.25">
      <c r="B21" s="2">
        <v>16</v>
      </c>
      <c r="C21" s="43" t="s">
        <v>63</v>
      </c>
      <c r="D21" s="2" t="s">
        <v>49</v>
      </c>
      <c r="E21" s="2" t="s">
        <v>62</v>
      </c>
      <c r="F21" s="13">
        <v>0.3125</v>
      </c>
      <c r="G21" s="2">
        <v>0.28000000000000003</v>
      </c>
      <c r="H21" s="3"/>
      <c r="I21" s="3"/>
      <c r="J21" s="2"/>
      <c r="K21" s="2"/>
      <c r="L21" s="2"/>
      <c r="M21" s="2"/>
      <c r="N21" s="2"/>
      <c r="O21" s="2"/>
      <c r="P21" s="8">
        <f t="shared" si="0"/>
        <v>0</v>
      </c>
      <c r="Q21" s="2"/>
      <c r="R21" s="2"/>
      <c r="S21" s="2"/>
      <c r="T21" s="2"/>
      <c r="U21" s="41"/>
      <c r="V21" s="41"/>
      <c r="W21" s="41"/>
      <c r="X21" s="41"/>
      <c r="Y21" s="41"/>
      <c r="Z21" s="41"/>
      <c r="AA21" s="2"/>
      <c r="AB21" s="7">
        <f t="shared" si="1"/>
        <v>0</v>
      </c>
      <c r="AC21" s="8"/>
      <c r="AD21" s="8"/>
      <c r="AE21" s="8"/>
      <c r="AF21" s="8" t="e">
        <f t="shared" si="2"/>
        <v>#DIV/0!</v>
      </c>
      <c r="AG21"/>
      <c r="AH21"/>
      <c r="AI21"/>
      <c r="AJ21"/>
    </row>
    <row r="22" spans="2:36" hidden="1" x14ac:dyDescent="0.25">
      <c r="B22" s="2">
        <v>17</v>
      </c>
      <c r="C22" s="2" t="s">
        <v>66</v>
      </c>
      <c r="D22" s="2" t="s">
        <v>49</v>
      </c>
      <c r="E22" s="2" t="s">
        <v>64</v>
      </c>
      <c r="F22" s="13">
        <v>0.375</v>
      </c>
      <c r="G22" s="2">
        <v>0.28000000000000003</v>
      </c>
      <c r="H22" s="3"/>
      <c r="I22" s="3"/>
      <c r="J22" s="2"/>
      <c r="K22" s="2"/>
      <c r="L22" s="2"/>
      <c r="M22" s="2"/>
      <c r="N22" s="2"/>
      <c r="O22" s="2"/>
      <c r="P22" s="8">
        <f t="shared" si="0"/>
        <v>0</v>
      </c>
      <c r="Q22" s="2"/>
      <c r="R22" s="2"/>
      <c r="S22" s="2"/>
      <c r="T22" s="2"/>
      <c r="U22" s="41"/>
      <c r="V22" s="41"/>
      <c r="W22" s="41"/>
      <c r="X22" s="41"/>
      <c r="Y22" s="41"/>
      <c r="Z22" s="41"/>
      <c r="AA22" s="2"/>
      <c r="AB22" s="7">
        <f t="shared" si="1"/>
        <v>0</v>
      </c>
      <c r="AC22" s="8"/>
      <c r="AD22" s="8"/>
      <c r="AE22" s="8"/>
      <c r="AF22" s="8">
        <v>0</v>
      </c>
      <c r="AG22"/>
      <c r="AH22"/>
      <c r="AI22"/>
      <c r="AJ22"/>
    </row>
    <row r="23" spans="2:36" hidden="1" x14ac:dyDescent="0.25">
      <c r="B23" s="2">
        <v>18</v>
      </c>
      <c r="C23" s="2" t="s">
        <v>66</v>
      </c>
      <c r="D23" s="2" t="s">
        <v>49</v>
      </c>
      <c r="E23" s="2" t="s">
        <v>65</v>
      </c>
      <c r="F23" s="13">
        <v>0.375</v>
      </c>
      <c r="G23" s="2">
        <v>0.28000000000000003</v>
      </c>
      <c r="H23" s="3"/>
      <c r="I23" s="3"/>
      <c r="J23" s="2"/>
      <c r="K23" s="2"/>
      <c r="L23" s="2"/>
      <c r="M23" s="2"/>
      <c r="N23" s="2"/>
      <c r="O23" s="2"/>
      <c r="P23" s="8">
        <f t="shared" si="0"/>
        <v>0</v>
      </c>
      <c r="Q23" s="2"/>
      <c r="R23" s="2"/>
      <c r="S23" s="2"/>
      <c r="T23" s="2"/>
      <c r="U23" s="41"/>
      <c r="V23" s="41"/>
      <c r="W23" s="41"/>
      <c r="X23" s="41"/>
      <c r="Y23" s="41"/>
      <c r="Z23" s="41"/>
      <c r="AA23" s="2"/>
      <c r="AB23" s="7">
        <f t="shared" si="1"/>
        <v>0</v>
      </c>
      <c r="AC23" s="8"/>
      <c r="AD23" s="8"/>
      <c r="AE23" s="8"/>
      <c r="AF23" s="8">
        <v>0</v>
      </c>
      <c r="AG23"/>
    </row>
    <row r="24" spans="2:36" hidden="1" x14ac:dyDescent="0.25">
      <c r="B24" s="2">
        <v>19</v>
      </c>
      <c r="C24" s="42" t="s">
        <v>67</v>
      </c>
      <c r="D24" s="2" t="s">
        <v>68</v>
      </c>
      <c r="E24" s="41" t="s">
        <v>69</v>
      </c>
      <c r="F24" s="13">
        <v>0.75</v>
      </c>
      <c r="G24" s="2">
        <v>0.35</v>
      </c>
      <c r="H24" s="3"/>
      <c r="I24" s="3"/>
      <c r="J24" s="42"/>
      <c r="K24" s="2"/>
      <c r="L24" s="2"/>
      <c r="M24" s="2"/>
      <c r="N24" s="2"/>
      <c r="O24" s="2"/>
      <c r="P24" s="8">
        <f t="shared" si="0"/>
        <v>0</v>
      </c>
      <c r="Q24" s="2"/>
      <c r="R24" s="2"/>
      <c r="S24" s="2"/>
      <c r="T24" s="2"/>
      <c r="U24" s="41"/>
      <c r="V24" s="41"/>
      <c r="W24" s="41"/>
      <c r="X24" s="41"/>
      <c r="Y24" s="41"/>
      <c r="Z24" s="41"/>
      <c r="AA24" s="2"/>
      <c r="AB24" s="7">
        <f t="shared" si="1"/>
        <v>0</v>
      </c>
      <c r="AC24" s="8"/>
      <c r="AD24" s="8"/>
      <c r="AE24" s="8"/>
      <c r="AF24" s="8">
        <v>0</v>
      </c>
      <c r="AG24"/>
    </row>
    <row r="25" spans="2:36" hidden="1" x14ac:dyDescent="0.25">
      <c r="B25" s="2">
        <v>20</v>
      </c>
      <c r="C25" s="42" t="s">
        <v>67</v>
      </c>
      <c r="D25" s="2" t="s">
        <v>68</v>
      </c>
      <c r="E25" s="41" t="s">
        <v>71</v>
      </c>
      <c r="F25" s="13">
        <v>0.75</v>
      </c>
      <c r="G25" s="2">
        <v>0.35</v>
      </c>
      <c r="H25" s="3"/>
      <c r="I25" s="3"/>
      <c r="J25" s="42"/>
      <c r="K25" s="2"/>
      <c r="L25" s="2"/>
      <c r="M25" s="2"/>
      <c r="N25" s="2"/>
      <c r="O25" s="2"/>
      <c r="P25" s="8">
        <f t="shared" si="0"/>
        <v>0</v>
      </c>
      <c r="Q25" s="2"/>
      <c r="R25" s="2"/>
      <c r="S25" s="2"/>
      <c r="T25" s="2"/>
      <c r="U25" s="41"/>
      <c r="V25" s="41"/>
      <c r="W25" s="41"/>
      <c r="X25" s="41"/>
      <c r="Y25" s="41"/>
      <c r="Z25" s="41"/>
      <c r="AA25" s="2"/>
      <c r="AB25" s="7">
        <f t="shared" si="1"/>
        <v>0</v>
      </c>
      <c r="AC25" s="8"/>
      <c r="AD25" s="8"/>
      <c r="AE25" s="8"/>
      <c r="AF25" s="8">
        <v>0</v>
      </c>
      <c r="AG25"/>
    </row>
    <row r="26" spans="2:36" hidden="1" x14ac:dyDescent="0.25">
      <c r="B26" s="2">
        <v>21</v>
      </c>
      <c r="C26" s="42" t="s">
        <v>67</v>
      </c>
      <c r="D26" s="2" t="s">
        <v>68</v>
      </c>
      <c r="E26" s="41" t="s">
        <v>72</v>
      </c>
      <c r="F26" s="13">
        <v>0.75</v>
      </c>
      <c r="G26" s="2">
        <v>0.35</v>
      </c>
      <c r="H26" s="3"/>
      <c r="I26" s="3"/>
      <c r="J26" s="42"/>
      <c r="K26" s="2"/>
      <c r="L26" s="2"/>
      <c r="M26" s="2"/>
      <c r="N26" s="2"/>
      <c r="O26" s="2"/>
      <c r="P26" s="8">
        <f t="shared" si="0"/>
        <v>0</v>
      </c>
      <c r="Q26" s="2"/>
      <c r="R26" s="2"/>
      <c r="S26" s="2"/>
      <c r="T26" s="2"/>
      <c r="U26" s="41"/>
      <c r="V26" s="41"/>
      <c r="W26" s="41"/>
      <c r="X26" s="41"/>
      <c r="Y26" s="41"/>
      <c r="Z26" s="41"/>
      <c r="AA26" s="2"/>
      <c r="AB26" s="7">
        <f t="shared" si="1"/>
        <v>0</v>
      </c>
      <c r="AC26" s="8"/>
      <c r="AD26" s="8"/>
      <c r="AE26" s="8"/>
      <c r="AF26" s="8">
        <v>0</v>
      </c>
      <c r="AG26"/>
    </row>
    <row r="27" spans="2:36" hidden="1" x14ac:dyDescent="0.25">
      <c r="B27" s="2">
        <v>22</v>
      </c>
      <c r="C27" s="42" t="s">
        <v>67</v>
      </c>
      <c r="D27" s="2" t="s">
        <v>68</v>
      </c>
      <c r="E27" s="2" t="s">
        <v>73</v>
      </c>
      <c r="F27" s="13">
        <v>0.75</v>
      </c>
      <c r="G27" s="2">
        <v>0.35</v>
      </c>
      <c r="H27" s="3"/>
      <c r="I27" s="3"/>
      <c r="J27" s="2"/>
      <c r="K27" s="2"/>
      <c r="L27" s="2"/>
      <c r="M27" s="2"/>
      <c r="N27" s="2"/>
      <c r="O27" s="2"/>
      <c r="P27" s="8">
        <f t="shared" si="0"/>
        <v>0</v>
      </c>
      <c r="Q27" s="2"/>
      <c r="R27" s="2"/>
      <c r="S27" s="2"/>
      <c r="T27" s="2"/>
      <c r="U27" s="41"/>
      <c r="V27" s="41"/>
      <c r="W27" s="41"/>
      <c r="X27" s="41"/>
      <c r="Y27" s="41"/>
      <c r="Z27" s="41"/>
      <c r="AA27" s="2"/>
      <c r="AB27" s="7">
        <f t="shared" si="1"/>
        <v>0</v>
      </c>
      <c r="AC27" s="8"/>
      <c r="AD27" s="8"/>
      <c r="AE27" s="8"/>
      <c r="AF27" s="8">
        <v>0</v>
      </c>
      <c r="AG27"/>
    </row>
    <row r="28" spans="2:36" hidden="1" x14ac:dyDescent="0.25">
      <c r="B28" s="2">
        <v>23</v>
      </c>
      <c r="C28" s="42" t="s">
        <v>67</v>
      </c>
      <c r="D28" s="2" t="s">
        <v>68</v>
      </c>
      <c r="E28" s="2" t="s">
        <v>76</v>
      </c>
      <c r="F28" s="13">
        <v>0.75</v>
      </c>
      <c r="G28" s="2">
        <v>0.35</v>
      </c>
      <c r="H28" s="3"/>
      <c r="I28" s="3"/>
      <c r="J28" s="2"/>
      <c r="K28" s="2"/>
      <c r="L28" s="2"/>
      <c r="M28" s="2"/>
      <c r="N28" s="2"/>
      <c r="O28" s="2"/>
      <c r="P28" s="8">
        <f t="shared" si="0"/>
        <v>0</v>
      </c>
      <c r="Q28" s="2"/>
      <c r="R28" s="2"/>
      <c r="S28" s="2"/>
      <c r="T28" s="2"/>
      <c r="U28" s="41"/>
      <c r="V28" s="41"/>
      <c r="W28" s="41"/>
      <c r="X28" s="41"/>
      <c r="Y28" s="41"/>
      <c r="Z28" s="41"/>
      <c r="AA28" s="2"/>
      <c r="AB28" s="7">
        <f t="shared" si="1"/>
        <v>0</v>
      </c>
      <c r="AC28" s="8"/>
      <c r="AD28" s="8"/>
      <c r="AE28" s="8"/>
      <c r="AF28" s="8">
        <v>0</v>
      </c>
      <c r="AG28"/>
    </row>
    <row r="29" spans="2:36" hidden="1" x14ac:dyDescent="0.25">
      <c r="B29" s="2">
        <v>24</v>
      </c>
      <c r="C29" s="42" t="s">
        <v>67</v>
      </c>
      <c r="D29" s="2" t="s">
        <v>68</v>
      </c>
      <c r="E29" s="2" t="s">
        <v>77</v>
      </c>
      <c r="F29" s="13">
        <v>0.75</v>
      </c>
      <c r="G29" s="2">
        <v>0.35</v>
      </c>
      <c r="H29" s="3"/>
      <c r="I29" s="3"/>
      <c r="J29" s="2"/>
      <c r="K29" s="2"/>
      <c r="L29" s="2"/>
      <c r="M29" s="2"/>
      <c r="N29" s="2"/>
      <c r="O29" s="2"/>
      <c r="P29" s="8">
        <f t="shared" si="0"/>
        <v>0</v>
      </c>
      <c r="Q29" s="2"/>
      <c r="R29" s="2"/>
      <c r="S29" s="2"/>
      <c r="T29" s="2"/>
      <c r="U29" s="41"/>
      <c r="V29" s="41"/>
      <c r="W29" s="41"/>
      <c r="X29" s="41"/>
      <c r="Y29" s="41"/>
      <c r="Z29" s="41"/>
      <c r="AA29" s="2"/>
      <c r="AB29" s="7">
        <f t="shared" si="1"/>
        <v>0</v>
      </c>
      <c r="AC29" s="8"/>
      <c r="AD29" s="8"/>
      <c r="AE29" s="8"/>
      <c r="AF29" s="8">
        <v>0</v>
      </c>
      <c r="AG29"/>
    </row>
    <row r="30" spans="2:36" hidden="1" x14ac:dyDescent="0.25">
      <c r="B30" s="2">
        <v>25</v>
      </c>
      <c r="C30" s="42" t="s">
        <v>67</v>
      </c>
      <c r="D30" s="2" t="s">
        <v>68</v>
      </c>
      <c r="E30" s="41" t="s">
        <v>70</v>
      </c>
      <c r="F30" s="13">
        <v>0.875</v>
      </c>
      <c r="G30" s="2">
        <v>0.45</v>
      </c>
      <c r="H30" s="3"/>
      <c r="I30" s="3"/>
      <c r="J30" s="42"/>
      <c r="K30" s="2"/>
      <c r="L30" s="2"/>
      <c r="M30" s="2"/>
      <c r="N30" s="2"/>
      <c r="O30" s="2"/>
      <c r="P30" s="8">
        <f t="shared" si="0"/>
        <v>0</v>
      </c>
      <c r="Q30" s="2"/>
      <c r="R30" s="2"/>
      <c r="S30" s="2"/>
      <c r="T30" s="2"/>
      <c r="U30" s="41"/>
      <c r="V30" s="41"/>
      <c r="W30" s="41"/>
      <c r="X30" s="41"/>
      <c r="Y30" s="41"/>
      <c r="Z30" s="41"/>
      <c r="AA30" s="2"/>
      <c r="AB30" s="7">
        <f t="shared" si="1"/>
        <v>0</v>
      </c>
      <c r="AC30" s="8"/>
      <c r="AD30" s="8"/>
      <c r="AE30" s="8"/>
      <c r="AF30" s="8">
        <v>0</v>
      </c>
      <c r="AG30"/>
    </row>
    <row r="31" spans="2:36" hidden="1" x14ac:dyDescent="0.25">
      <c r="B31" s="2">
        <v>26</v>
      </c>
      <c r="C31" s="42" t="s">
        <v>67</v>
      </c>
      <c r="D31" s="2" t="s">
        <v>68</v>
      </c>
      <c r="E31" s="41" t="s">
        <v>74</v>
      </c>
      <c r="F31" s="13">
        <v>0.875</v>
      </c>
      <c r="G31" s="2">
        <v>0.45</v>
      </c>
      <c r="H31" s="3"/>
      <c r="I31" s="3"/>
      <c r="J31" s="42"/>
      <c r="K31" s="2"/>
      <c r="L31" s="2"/>
      <c r="M31" s="2"/>
      <c r="N31" s="2"/>
      <c r="O31" s="2"/>
      <c r="P31" s="8">
        <f t="shared" si="0"/>
        <v>0</v>
      </c>
      <c r="Q31" s="2"/>
      <c r="R31" s="2"/>
      <c r="S31" s="2"/>
      <c r="T31" s="2"/>
      <c r="U31" s="41"/>
      <c r="V31" s="41"/>
      <c r="W31" s="41"/>
      <c r="X31" s="41"/>
      <c r="Y31" s="41"/>
      <c r="Z31" s="41"/>
      <c r="AA31" s="2"/>
      <c r="AB31" s="7">
        <f t="shared" si="1"/>
        <v>0</v>
      </c>
      <c r="AC31" s="8"/>
      <c r="AD31" s="8"/>
      <c r="AE31" s="8"/>
      <c r="AF31" s="8">
        <v>0</v>
      </c>
      <c r="AG31"/>
    </row>
    <row r="32" spans="2:36" hidden="1" x14ac:dyDescent="0.25">
      <c r="B32" s="2">
        <v>27</v>
      </c>
      <c r="C32" s="42" t="s">
        <v>67</v>
      </c>
      <c r="D32" s="2" t="s">
        <v>68</v>
      </c>
      <c r="E32" s="2" t="s">
        <v>75</v>
      </c>
      <c r="F32" s="13">
        <v>0.875</v>
      </c>
      <c r="G32" s="2">
        <v>0.45</v>
      </c>
      <c r="H32" s="3"/>
      <c r="I32" s="3"/>
      <c r="J32" s="2"/>
      <c r="K32" s="2"/>
      <c r="L32" s="2"/>
      <c r="M32" s="2"/>
      <c r="N32" s="2"/>
      <c r="O32" s="2"/>
      <c r="P32" s="8">
        <f t="shared" si="0"/>
        <v>0</v>
      </c>
      <c r="Q32" s="2"/>
      <c r="R32" s="2"/>
      <c r="S32" s="2"/>
      <c r="T32" s="2"/>
      <c r="U32" s="41"/>
      <c r="V32" s="41"/>
      <c r="W32" s="41"/>
      <c r="X32" s="41"/>
      <c r="Y32" s="41"/>
      <c r="Z32" s="41"/>
      <c r="AA32" s="2"/>
      <c r="AB32" s="7">
        <f t="shared" si="1"/>
        <v>0</v>
      </c>
      <c r="AC32" s="8"/>
      <c r="AD32" s="8"/>
      <c r="AE32" s="8"/>
      <c r="AF32" s="8">
        <v>0</v>
      </c>
      <c r="AG32"/>
    </row>
    <row r="33" spans="2:33" hidden="1" x14ac:dyDescent="0.25">
      <c r="B33" s="2"/>
      <c r="C33" s="42" t="s">
        <v>67</v>
      </c>
      <c r="D33" s="2" t="s">
        <v>68</v>
      </c>
      <c r="E33" s="2" t="s">
        <v>78</v>
      </c>
      <c r="F33" s="13">
        <v>0.875</v>
      </c>
      <c r="G33" s="2">
        <v>0.45</v>
      </c>
      <c r="H33" s="3"/>
      <c r="I33" s="3"/>
      <c r="J33" s="2"/>
      <c r="K33" s="2"/>
      <c r="L33" s="2"/>
      <c r="M33" s="2"/>
      <c r="N33" s="2"/>
      <c r="O33" s="2"/>
      <c r="P33" s="8">
        <f t="shared" si="0"/>
        <v>0</v>
      </c>
      <c r="Q33" s="2"/>
      <c r="R33" s="2"/>
      <c r="S33" s="2"/>
      <c r="T33" s="2"/>
      <c r="U33" s="41"/>
      <c r="V33" s="41"/>
      <c r="W33" s="41"/>
      <c r="X33" s="41"/>
      <c r="Y33" s="41"/>
      <c r="Z33" s="41"/>
      <c r="AA33" s="2"/>
      <c r="AB33" s="7">
        <f t="shared" si="1"/>
        <v>0</v>
      </c>
      <c r="AC33" s="8"/>
      <c r="AD33" s="8"/>
      <c r="AE33" s="8"/>
      <c r="AF33" s="8">
        <v>0</v>
      </c>
      <c r="AG33"/>
    </row>
    <row r="34" spans="2:33" hidden="1" x14ac:dyDescent="0.25">
      <c r="B34" s="2"/>
      <c r="C34" s="2"/>
      <c r="D34" s="2"/>
      <c r="E34" s="2"/>
      <c r="F34" s="2"/>
      <c r="G34" s="2"/>
      <c r="H34" s="3"/>
      <c r="I34" s="3"/>
      <c r="J34" s="2"/>
      <c r="K34" s="2"/>
      <c r="L34" s="2"/>
      <c r="M34" s="2"/>
      <c r="N34" s="2"/>
      <c r="O34" s="2"/>
      <c r="P34" s="8">
        <f t="shared" si="0"/>
        <v>0</v>
      </c>
      <c r="Q34" s="2"/>
      <c r="R34" s="2"/>
      <c r="S34" s="2"/>
      <c r="T34" s="2"/>
      <c r="U34" s="41"/>
      <c r="V34" s="41"/>
      <c r="W34" s="41"/>
      <c r="X34" s="41"/>
      <c r="Y34" s="41"/>
      <c r="Z34" s="41"/>
      <c r="AA34" s="2"/>
      <c r="AB34" s="7">
        <f t="shared" si="1"/>
        <v>0</v>
      </c>
      <c r="AC34" s="8"/>
      <c r="AD34" s="8"/>
      <c r="AE34" s="8"/>
      <c r="AF34" s="8">
        <v>0</v>
      </c>
      <c r="AG34"/>
    </row>
    <row r="35" spans="2:33" hidden="1" x14ac:dyDescent="0.25">
      <c r="B35" s="2"/>
      <c r="C35" s="2"/>
      <c r="D35" s="2"/>
      <c r="E35" s="2"/>
      <c r="F35" s="2"/>
      <c r="G35" s="2"/>
      <c r="H35" s="3"/>
      <c r="I35" s="3"/>
      <c r="J35" s="2"/>
      <c r="K35" s="2"/>
      <c r="L35" s="2"/>
      <c r="M35" s="2"/>
      <c r="N35" s="2"/>
      <c r="O35" s="2"/>
      <c r="P35" s="8">
        <f t="shared" si="0"/>
        <v>0</v>
      </c>
      <c r="Q35" s="2"/>
      <c r="R35" s="2"/>
      <c r="S35" s="2"/>
      <c r="T35" s="2"/>
      <c r="U35" s="41"/>
      <c r="V35" s="41"/>
      <c r="W35" s="41"/>
      <c r="X35" s="41"/>
      <c r="Y35" s="41"/>
      <c r="Z35" s="41"/>
      <c r="AA35" s="2"/>
      <c r="AB35" s="7">
        <f t="shared" si="1"/>
        <v>0</v>
      </c>
      <c r="AC35" s="8"/>
      <c r="AD35" s="8"/>
      <c r="AE35" s="8"/>
      <c r="AF35" s="8">
        <v>0</v>
      </c>
      <c r="AG35"/>
    </row>
    <row r="36" spans="2:33" hidden="1" x14ac:dyDescent="0.25">
      <c r="B36" s="2"/>
      <c r="C36" s="2"/>
      <c r="D36" s="2"/>
      <c r="E36" s="2"/>
      <c r="F36" s="2"/>
      <c r="G36" s="2"/>
      <c r="H36" s="3"/>
      <c r="I36" s="3"/>
      <c r="J36" s="2"/>
      <c r="K36" s="2"/>
      <c r="L36" s="2"/>
      <c r="M36" s="2"/>
      <c r="N36" s="2"/>
      <c r="O36" s="2"/>
      <c r="P36" s="8">
        <f t="shared" si="0"/>
        <v>0</v>
      </c>
      <c r="Q36" s="2"/>
      <c r="R36" s="2"/>
      <c r="S36" s="2"/>
      <c r="T36" s="2"/>
      <c r="U36" s="41"/>
      <c r="V36" s="41"/>
      <c r="W36" s="41"/>
      <c r="X36" s="41"/>
      <c r="Y36" s="41"/>
      <c r="Z36" s="41"/>
      <c r="AA36" s="2"/>
      <c r="AB36" s="7">
        <f t="shared" si="1"/>
        <v>0</v>
      </c>
      <c r="AC36" s="8"/>
      <c r="AD36" s="8"/>
      <c r="AE36" s="8"/>
      <c r="AF36" s="8" t="e">
        <f>+SUM(J36:O36)/AD36</f>
        <v>#DIV/0!</v>
      </c>
      <c r="AG36"/>
    </row>
    <row r="37" spans="2:33" hidden="1" x14ac:dyDescent="0.25">
      <c r="I37" s="4" t="s">
        <v>19</v>
      </c>
      <c r="J37" s="9">
        <f t="shared" ref="J37:AB37" si="3">SUM(J6:J36)</f>
        <v>14200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9">
        <f t="shared" si="3"/>
        <v>0</v>
      </c>
      <c r="P37" s="11">
        <f t="shared" si="3"/>
        <v>-13788</v>
      </c>
      <c r="Q37" s="9">
        <f t="shared" si="3"/>
        <v>5630</v>
      </c>
      <c r="R37" s="9">
        <f t="shared" si="3"/>
        <v>3335</v>
      </c>
      <c r="S37" s="9">
        <f t="shared" si="3"/>
        <v>350</v>
      </c>
      <c r="T37" s="9">
        <f t="shared" si="3"/>
        <v>0</v>
      </c>
      <c r="U37" s="9">
        <f t="shared" si="3"/>
        <v>3621</v>
      </c>
      <c r="V37" s="9">
        <f t="shared" si="3"/>
        <v>0</v>
      </c>
      <c r="W37" s="9">
        <f t="shared" si="3"/>
        <v>3937</v>
      </c>
      <c r="X37" s="9">
        <f t="shared" si="3"/>
        <v>0</v>
      </c>
      <c r="Y37" s="9">
        <f t="shared" si="3"/>
        <v>7515</v>
      </c>
      <c r="Z37" s="9">
        <f t="shared" si="3"/>
        <v>3600</v>
      </c>
      <c r="AA37" s="9">
        <f t="shared" si="3"/>
        <v>0</v>
      </c>
      <c r="AB37" s="9">
        <f t="shared" si="3"/>
        <v>0</v>
      </c>
      <c r="AF37" s="12" t="e">
        <f>SUM(AF6:AF36)</f>
        <v>#DIV/0!</v>
      </c>
    </row>
    <row r="38" spans="2:33" hidden="1" x14ac:dyDescent="0.25">
      <c r="I38" s="4" t="s">
        <v>21</v>
      </c>
      <c r="J38" s="99">
        <f>+J37+K37+L37+M37+N37+O37</f>
        <v>14200</v>
      </c>
      <c r="K38" s="99"/>
      <c r="L38" s="99"/>
      <c r="M38" s="99"/>
      <c r="N38" s="99"/>
      <c r="O38" s="99"/>
      <c r="Q38" s="100">
        <f>+Q37+R37</f>
        <v>8965</v>
      </c>
      <c r="R38" s="101"/>
      <c r="S38" s="100">
        <f>+S37+T37</f>
        <v>350</v>
      </c>
      <c r="T38" s="101"/>
      <c r="U38" s="100">
        <f>+U37+V37</f>
        <v>3621</v>
      </c>
      <c r="V38" s="101"/>
      <c r="W38" s="100">
        <f>+W37+X37</f>
        <v>3937</v>
      </c>
      <c r="X38" s="101"/>
      <c r="Y38" s="100">
        <f>+Y37+Z37</f>
        <v>11115</v>
      </c>
      <c r="Z38" s="101"/>
      <c r="AA38" s="10">
        <f>+AA37</f>
        <v>0</v>
      </c>
    </row>
    <row r="43" spans="2:33" x14ac:dyDescent="0.25">
      <c r="B43"/>
      <c r="C43" s="2" t="s">
        <v>105</v>
      </c>
      <c r="D43" s="2" t="s">
        <v>106</v>
      </c>
      <c r="E43" s="2" t="s">
        <v>107</v>
      </c>
      <c r="F43"/>
      <c r="G43"/>
    </row>
    <row r="44" spans="2:33" x14ac:dyDescent="0.25">
      <c r="B44" s="53" t="s">
        <v>108</v>
      </c>
      <c r="C44" s="61">
        <v>14200</v>
      </c>
      <c r="D44" s="2">
        <v>4755</v>
      </c>
      <c r="E44" s="2">
        <v>2377.5</v>
      </c>
      <c r="F44"/>
      <c r="G44"/>
    </row>
    <row r="45" spans="2:33" x14ac:dyDescent="0.25">
      <c r="B45" s="64" t="s">
        <v>109</v>
      </c>
      <c r="C45" s="61">
        <v>4108</v>
      </c>
      <c r="D45" s="2">
        <v>1862</v>
      </c>
      <c r="E45" s="2">
        <v>931</v>
      </c>
      <c r="F45"/>
      <c r="G45"/>
    </row>
    <row r="46" spans="2:33" x14ac:dyDescent="0.25">
      <c r="B46" s="53" t="s">
        <v>110</v>
      </c>
      <c r="C46" s="62">
        <f>C44-C45</f>
        <v>10092</v>
      </c>
      <c r="D46" s="2"/>
      <c r="E46" s="2"/>
      <c r="F46"/>
      <c r="G46"/>
    </row>
    <row r="47" spans="2:33" x14ac:dyDescent="0.25">
      <c r="B47" s="53" t="s">
        <v>111</v>
      </c>
      <c r="C47" s="63">
        <f>C46/C44</f>
        <v>0.71070422535211264</v>
      </c>
      <c r="D47" s="2"/>
      <c r="E47" s="2"/>
      <c r="F47"/>
      <c r="G47"/>
    </row>
    <row r="48" spans="2:33" x14ac:dyDescent="0.25">
      <c r="B48" s="53" t="s">
        <v>112</v>
      </c>
      <c r="C48" s="63">
        <f>C45/C44</f>
        <v>0.2892957746478873</v>
      </c>
      <c r="D48" s="2"/>
      <c r="E48" s="2"/>
      <c r="F48"/>
      <c r="G48"/>
    </row>
    <row r="51" spans="2:7" x14ac:dyDescent="0.25">
      <c r="B51" s="129" t="s">
        <v>122</v>
      </c>
      <c r="C51" s="57">
        <v>46258</v>
      </c>
      <c r="D51" s="57">
        <v>46259</v>
      </c>
      <c r="E51" s="57">
        <v>46260</v>
      </c>
      <c r="F51" s="57">
        <v>46261</v>
      </c>
      <c r="G51" s="57">
        <v>46262</v>
      </c>
    </row>
    <row r="52" spans="2:7" x14ac:dyDescent="0.25">
      <c r="B52" s="129"/>
      <c r="C52" s="59" t="s">
        <v>114</v>
      </c>
      <c r="D52" s="59" t="s">
        <v>115</v>
      </c>
      <c r="E52" s="59" t="s">
        <v>116</v>
      </c>
      <c r="F52" s="59" t="s">
        <v>117</v>
      </c>
      <c r="G52" s="59" t="s">
        <v>118</v>
      </c>
    </row>
    <row r="53" spans="2:7" x14ac:dyDescent="0.25">
      <c r="B53" s="55" t="s">
        <v>119</v>
      </c>
      <c r="C53" s="54">
        <v>0</v>
      </c>
      <c r="D53" s="54">
        <v>7.0000000000000007E-2</v>
      </c>
      <c r="E53" s="54">
        <v>0.32</v>
      </c>
      <c r="F53" s="54">
        <v>0.32</v>
      </c>
      <c r="G53" s="60">
        <v>0.71</v>
      </c>
    </row>
    <row r="54" spans="2:7" x14ac:dyDescent="0.25">
      <c r="B54" s="56" t="s">
        <v>120</v>
      </c>
      <c r="C54" s="54">
        <v>1</v>
      </c>
      <c r="D54" s="54">
        <v>0.93</v>
      </c>
      <c r="E54" s="54">
        <v>0.68</v>
      </c>
      <c r="F54" s="54">
        <v>0.68</v>
      </c>
      <c r="G54" s="60">
        <v>0.28999999999999998</v>
      </c>
    </row>
  </sheetData>
  <autoFilter ref="C5:AF38" xr:uid="{00000000-0009-0000-0000-000009000000}">
    <filterColumn colId="13">
      <customFilters>
        <customFilter operator="greaterThan" val="1"/>
      </customFilters>
    </filterColumn>
  </autoFilter>
  <mergeCells count="16">
    <mergeCell ref="D1:J1"/>
    <mergeCell ref="B51:B52"/>
    <mergeCell ref="Y4:Z4"/>
    <mergeCell ref="J38:O38"/>
    <mergeCell ref="Q38:R38"/>
    <mergeCell ref="S38:T38"/>
    <mergeCell ref="U38:V38"/>
    <mergeCell ref="W38:X38"/>
    <mergeCell ref="Y38:Z38"/>
    <mergeCell ref="W4:X4"/>
    <mergeCell ref="D2:E2"/>
    <mergeCell ref="C3:C4"/>
    <mergeCell ref="Q4:R4"/>
    <mergeCell ref="S4:T4"/>
    <mergeCell ref="U4:V4"/>
    <mergeCell ref="K4:O4"/>
  </mergeCells>
  <pageMargins left="0.7" right="0.7" top="0.75" bottom="0.75" header="0.3" footer="0.3"/>
  <pageSetup paperSize="9" scale="9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92D050"/>
  </sheetPr>
  <dimension ref="A2:AI38"/>
  <sheetViews>
    <sheetView zoomScaleNormal="100" zoomScaleSheetLayoutView="100" workbookViewId="0">
      <pane xSplit="15" topLeftCell="P1" activePane="topRight" state="frozen"/>
      <selection activeCell="J16" sqref="J16:J17"/>
      <selection pane="topRight" activeCell="H41" sqref="H41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I4" s="4" t="s">
        <v>5</v>
      </c>
      <c r="J4" s="95" t="s">
        <v>104</v>
      </c>
      <c r="K4" s="95"/>
      <c r="L4" s="95"/>
      <c r="M4" s="95"/>
      <c r="N4" s="95"/>
      <c r="P4" s="96">
        <v>46265</v>
      </c>
      <c r="Q4" s="96"/>
      <c r="R4" s="96">
        <v>46266</v>
      </c>
      <c r="S4" s="96"/>
      <c r="T4" s="96">
        <v>46267</v>
      </c>
      <c r="U4" s="96"/>
      <c r="V4" s="130">
        <v>46268</v>
      </c>
      <c r="W4" s="96"/>
      <c r="X4" s="130">
        <v>46269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35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hidden="1" x14ac:dyDescent="0.25">
      <c r="A6" s="2">
        <v>1</v>
      </c>
      <c r="B6" s="2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/>
      <c r="J6" s="2"/>
      <c r="K6" s="2"/>
      <c r="L6" s="2"/>
      <c r="M6" s="2"/>
      <c r="N6" s="2"/>
      <c r="O6" s="8">
        <f t="shared" ref="O6:O36" si="0">+I6+J6+K6+L6+M6+N6-SUM(P6:Z6)</f>
        <v>-7978</v>
      </c>
      <c r="P6" s="2"/>
      <c r="Q6" s="2"/>
      <c r="R6" s="2"/>
      <c r="S6" s="2"/>
      <c r="T6" s="41"/>
      <c r="U6" s="41"/>
      <c r="V6" s="41">
        <v>2800</v>
      </c>
      <c r="W6" s="41"/>
      <c r="X6" s="41">
        <v>5178</v>
      </c>
      <c r="Y6" s="41"/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hidden="1" x14ac:dyDescent="0.25">
      <c r="A7" s="2">
        <v>2</v>
      </c>
      <c r="B7" s="43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hidden="1" x14ac:dyDescent="0.25">
      <c r="A8" s="2">
        <v>3</v>
      </c>
      <c r="B8" s="43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2"/>
      <c r="J8" s="2"/>
      <c r="K8" s="2"/>
      <c r="L8" s="2"/>
      <c r="M8" s="2"/>
      <c r="N8" s="2"/>
      <c r="O8" s="8">
        <f t="shared" si="0"/>
        <v>-2843</v>
      </c>
      <c r="P8" s="2"/>
      <c r="Q8" s="2"/>
      <c r="R8" s="2"/>
      <c r="S8" s="2"/>
      <c r="T8" s="41"/>
      <c r="U8" s="41"/>
      <c r="V8" s="41"/>
      <c r="W8" s="41"/>
      <c r="X8" s="41">
        <v>2843</v>
      </c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hidden="1" x14ac:dyDescent="0.25">
      <c r="A9" s="2">
        <v>4</v>
      </c>
      <c r="B9" s="43" t="s">
        <v>55</v>
      </c>
      <c r="C9" s="2" t="s">
        <v>49</v>
      </c>
      <c r="D9" s="2" t="s">
        <v>93</v>
      </c>
      <c r="E9" s="13">
        <v>0.3125</v>
      </c>
      <c r="F9" s="2">
        <v>0.28000000000000003</v>
      </c>
      <c r="G9" s="3"/>
      <c r="H9" s="3"/>
      <c r="I9" s="2"/>
      <c r="J9" s="2"/>
      <c r="K9" s="2"/>
      <c r="L9" s="2"/>
      <c r="M9" s="2"/>
      <c r="N9" s="2"/>
      <c r="O9" s="8">
        <f t="shared" si="0"/>
        <v>0</v>
      </c>
      <c r="P9" s="2"/>
      <c r="Q9" s="2"/>
      <c r="R9" s="2"/>
      <c r="S9" s="2"/>
      <c r="T9" s="41"/>
      <c r="U9" s="41"/>
      <c r="V9" s="41"/>
      <c r="W9" s="41"/>
      <c r="X9" s="41"/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hidden="1" x14ac:dyDescent="0.25">
      <c r="A10" s="2">
        <v>5</v>
      </c>
      <c r="B10" s="43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hidden="1" x14ac:dyDescent="0.25">
      <c r="A11" s="2">
        <v>6</v>
      </c>
      <c r="B11" s="43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hidden="1" x14ac:dyDescent="0.25">
      <c r="A12" s="2">
        <v>7</v>
      </c>
      <c r="B12" s="43" t="s">
        <v>55</v>
      </c>
      <c r="C12" s="2" t="s">
        <v>49</v>
      </c>
      <c r="D12" s="2" t="s">
        <v>96</v>
      </c>
      <c r="E12" s="13">
        <v>0.3125</v>
      </c>
      <c r="F12" s="2">
        <v>0.28000000000000003</v>
      </c>
      <c r="G12" s="3"/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41"/>
      <c r="U12" s="41"/>
      <c r="V12" s="41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hidden="1" x14ac:dyDescent="0.25">
      <c r="A13" s="2">
        <v>8</v>
      </c>
      <c r="B13" s="43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2"/>
      <c r="Q13" s="2"/>
      <c r="R13" s="2"/>
      <c r="S13" s="2"/>
      <c r="T13" s="41"/>
      <c r="U13" s="41"/>
      <c r="V13" s="41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hidden="1" x14ac:dyDescent="0.25">
      <c r="A14" s="2">
        <v>9</v>
      </c>
      <c r="B14" s="43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2"/>
      <c r="J14" s="2"/>
      <c r="K14" s="2"/>
      <c r="L14" s="2"/>
      <c r="M14" s="2"/>
      <c r="N14" s="2"/>
      <c r="O14" s="8">
        <f t="shared" si="0"/>
        <v>0</v>
      </c>
      <c r="P14" s="2"/>
      <c r="Q14" s="2"/>
      <c r="R14" s="2"/>
      <c r="S14" s="2"/>
      <c r="T14" s="41"/>
      <c r="V14" s="41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hidden="1" x14ac:dyDescent="0.25">
      <c r="A15" s="2">
        <v>10</v>
      </c>
      <c r="B15" s="43" t="s">
        <v>55</v>
      </c>
      <c r="C15" s="2" t="s">
        <v>49</v>
      </c>
      <c r="D15" s="2" t="s">
        <v>99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A16" s="2">
        <v>11</v>
      </c>
      <c r="B16" s="43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2">
        <v>4000</v>
      </c>
      <c r="J16" s="2"/>
      <c r="K16" s="2"/>
      <c r="L16" s="2"/>
      <c r="M16" s="2"/>
      <c r="N16" s="2"/>
      <c r="O16" s="8">
        <f t="shared" si="0"/>
        <v>2000</v>
      </c>
      <c r="P16" s="2"/>
      <c r="Q16" s="2"/>
      <c r="R16" s="2"/>
      <c r="S16" s="2"/>
      <c r="T16" s="41"/>
      <c r="U16" s="41"/>
      <c r="V16" s="41">
        <v>2000</v>
      </c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A17" s="2">
        <v>12</v>
      </c>
      <c r="B17" s="43" t="s">
        <v>55</v>
      </c>
      <c r="C17" s="2" t="s">
        <v>49</v>
      </c>
      <c r="D17" s="2" t="s">
        <v>101</v>
      </c>
      <c r="E17" s="13">
        <v>0.3125</v>
      </c>
      <c r="F17" s="2">
        <v>0.28000000000000003</v>
      </c>
      <c r="G17" s="3"/>
      <c r="H17" s="3"/>
      <c r="I17" s="2">
        <v>2400</v>
      </c>
      <c r="J17" s="2"/>
      <c r="K17" s="2"/>
      <c r="L17" s="2"/>
      <c r="M17" s="2"/>
      <c r="N17" s="2"/>
      <c r="O17" s="8">
        <f t="shared" si="0"/>
        <v>108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>
        <v>2292</v>
      </c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hidden="1" x14ac:dyDescent="0.25">
      <c r="A18" s="2">
        <v>13</v>
      </c>
      <c r="B18" s="43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hidden="1" x14ac:dyDescent="0.25">
      <c r="A19" s="2">
        <v>14</v>
      </c>
      <c r="B19" s="43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hidden="1" x14ac:dyDescent="0.25">
      <c r="A20" s="2">
        <v>15</v>
      </c>
      <c r="B20" s="43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hidden="1" x14ac:dyDescent="0.25">
      <c r="A21" s="2">
        <v>16</v>
      </c>
      <c r="B21" s="43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hidden="1" x14ac:dyDescent="0.25">
      <c r="A22" s="2">
        <v>17</v>
      </c>
      <c r="B22" s="2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hidden="1" x14ac:dyDescent="0.25">
      <c r="A23" s="2">
        <v>18</v>
      </c>
      <c r="B23" s="2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hidden="1" x14ac:dyDescent="0.25">
      <c r="A24" s="2">
        <v>19</v>
      </c>
      <c r="B24" s="42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hidden="1" x14ac:dyDescent="0.25">
      <c r="A25" s="2">
        <v>20</v>
      </c>
      <c r="B25" s="42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hidden="1" x14ac:dyDescent="0.25">
      <c r="A26" s="2">
        <v>21</v>
      </c>
      <c r="B26" s="42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hidden="1" x14ac:dyDescent="0.25">
      <c r="A27" s="2">
        <v>22</v>
      </c>
      <c r="B27" s="42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hidden="1" x14ac:dyDescent="0.25">
      <c r="A28" s="2">
        <v>23</v>
      </c>
      <c r="B28" s="42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hidden="1" x14ac:dyDescent="0.25">
      <c r="A29" s="2">
        <v>24</v>
      </c>
      <c r="B29" s="42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hidden="1" x14ac:dyDescent="0.25">
      <c r="A30" s="2">
        <v>25</v>
      </c>
      <c r="B30" s="42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41"/>
      <c r="U30" s="41"/>
      <c r="V30" s="41"/>
      <c r="W30" s="41"/>
      <c r="X30" s="41"/>
      <c r="Y30" s="41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hidden="1" x14ac:dyDescent="0.25">
      <c r="A31" s="2">
        <v>26</v>
      </c>
      <c r="B31" s="42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hidden="1" x14ac:dyDescent="0.25">
      <c r="A32" s="2">
        <v>27</v>
      </c>
      <c r="B32" s="42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41"/>
      <c r="U32" s="41"/>
      <c r="V32" s="41"/>
      <c r="W32" s="41"/>
      <c r="X32" s="41"/>
      <c r="Y32" s="41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hidden="1" x14ac:dyDescent="0.25">
      <c r="A33" s="2"/>
      <c r="B33" s="42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hidden="1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hidden="1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hidden="1" x14ac:dyDescent="0.25">
      <c r="A36" s="2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hidden="1" x14ac:dyDescent="0.25">
      <c r="H37" s="4" t="s">
        <v>19</v>
      </c>
      <c r="I37" s="9">
        <f t="shared" ref="I37:AA37" si="3">SUM(I6:I36)</f>
        <v>6400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11">
        <f t="shared" si="3"/>
        <v>-8713</v>
      </c>
      <c r="P37" s="9">
        <f t="shared" si="3"/>
        <v>0</v>
      </c>
      <c r="Q37" s="9">
        <f t="shared" si="3"/>
        <v>0</v>
      </c>
      <c r="R37" s="9">
        <f t="shared" si="3"/>
        <v>0</v>
      </c>
      <c r="S37" s="9">
        <f t="shared" si="3"/>
        <v>0</v>
      </c>
      <c r="T37" s="9">
        <f t="shared" si="3"/>
        <v>0</v>
      </c>
      <c r="U37" s="9">
        <f t="shared" si="3"/>
        <v>0</v>
      </c>
      <c r="V37" s="46">
        <f t="shared" si="3"/>
        <v>4800</v>
      </c>
      <c r="W37" s="9">
        <f t="shared" si="3"/>
        <v>0</v>
      </c>
      <c r="X37" s="46">
        <f t="shared" si="3"/>
        <v>8021</v>
      </c>
      <c r="Y37" s="9">
        <f t="shared" si="3"/>
        <v>0</v>
      </c>
      <c r="Z37" s="9">
        <f t="shared" si="3"/>
        <v>2292</v>
      </c>
      <c r="AA37" s="9">
        <f t="shared" si="3"/>
        <v>0</v>
      </c>
      <c r="AE37" s="12" t="e">
        <f>SUM(AE6:AE36)</f>
        <v>#DIV/0!</v>
      </c>
    </row>
    <row r="38" spans="1:32" hidden="1" x14ac:dyDescent="0.25">
      <c r="H38" s="4" t="s">
        <v>21</v>
      </c>
      <c r="I38" s="99">
        <f>+I37+J37+K37+L37+M37+N37</f>
        <v>6400</v>
      </c>
      <c r="J38" s="99"/>
      <c r="K38" s="99"/>
      <c r="L38" s="99"/>
      <c r="M38" s="99"/>
      <c r="N38" s="99"/>
      <c r="P38" s="100">
        <f>+P37+Q37</f>
        <v>0</v>
      </c>
      <c r="Q38" s="101"/>
      <c r="R38" s="100">
        <f>+R37+S37</f>
        <v>0</v>
      </c>
      <c r="S38" s="101"/>
      <c r="T38" s="100">
        <f>+T37+U37</f>
        <v>0</v>
      </c>
      <c r="U38" s="101"/>
      <c r="V38" s="100">
        <f>+V37+W37</f>
        <v>4800</v>
      </c>
      <c r="W38" s="101"/>
      <c r="X38" s="100">
        <f>+X37+Y37</f>
        <v>8021</v>
      </c>
      <c r="Y38" s="101"/>
      <c r="Z38" s="10">
        <f>+Z37</f>
        <v>2292</v>
      </c>
    </row>
  </sheetData>
  <autoFilter ref="B5:AE38" xr:uid="{00000000-0009-0000-0000-00000A000000}">
    <filterColumn colId="13">
      <customFilters>
        <customFilter operator="greaterThan" val="1"/>
      </customFilters>
    </filterColumn>
  </autoFilter>
  <mergeCells count="14">
    <mergeCell ref="C2:D2"/>
    <mergeCell ref="B3:B4"/>
    <mergeCell ref="P4:Q4"/>
    <mergeCell ref="R4:S4"/>
    <mergeCell ref="T4:U4"/>
    <mergeCell ref="J4:N4"/>
    <mergeCell ref="X4:Y4"/>
    <mergeCell ref="I38:N38"/>
    <mergeCell ref="P38:Q38"/>
    <mergeCell ref="R38:S38"/>
    <mergeCell ref="T38:U38"/>
    <mergeCell ref="V38:W38"/>
    <mergeCell ref="X38:Y38"/>
    <mergeCell ref="V4:W4"/>
  </mergeCells>
  <pageMargins left="0.7" right="0.7" top="0.75" bottom="0.75" header="0.3" footer="0.3"/>
  <pageSetup paperSize="9" scale="74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I56"/>
  <sheetViews>
    <sheetView zoomScale="115" zoomScaleNormal="115" zoomScaleSheetLayoutView="100" workbookViewId="0">
      <pane xSplit="15" topLeftCell="P1" activePane="topRight" state="frozen"/>
      <selection activeCell="J16" sqref="J16:J17"/>
      <selection pane="topRight" activeCell="G20" sqref="G20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19" width="8.7109375" style="1" customWidth="1"/>
    <col min="20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2" spans="1:35" x14ac:dyDescent="0.25">
      <c r="B2" s="4" t="s">
        <v>17</v>
      </c>
      <c r="C2" s="91" t="s">
        <v>18</v>
      </c>
      <c r="D2" s="91"/>
    </row>
    <row r="3" spans="1:35" x14ac:dyDescent="0.25">
      <c r="B3" s="92">
        <f ca="1">TODAY()</f>
        <v>46309</v>
      </c>
      <c r="C3" s="4" t="s">
        <v>15</v>
      </c>
      <c r="D3" s="2"/>
      <c r="I3" s="4" t="s">
        <v>4</v>
      </c>
    </row>
    <row r="4" spans="1:35" x14ac:dyDescent="0.25">
      <c r="B4" s="92"/>
      <c r="C4" s="4" t="s">
        <v>16</v>
      </c>
      <c r="D4" s="2"/>
      <c r="E4" s="93" t="s">
        <v>123</v>
      </c>
      <c r="F4" s="94"/>
      <c r="I4" s="4" t="s">
        <v>5</v>
      </c>
      <c r="J4" s="95" t="s">
        <v>104</v>
      </c>
      <c r="K4" s="95"/>
      <c r="L4" s="95"/>
      <c r="M4" s="95"/>
      <c r="N4" s="95"/>
      <c r="P4" s="96">
        <v>46272</v>
      </c>
      <c r="Q4" s="96"/>
      <c r="R4" s="96">
        <v>46273</v>
      </c>
      <c r="S4" s="96"/>
      <c r="T4" s="96">
        <v>46274</v>
      </c>
      <c r="U4" s="96"/>
      <c r="V4" s="96">
        <v>46275</v>
      </c>
      <c r="W4" s="96"/>
      <c r="X4" s="96">
        <v>46276</v>
      </c>
      <c r="Y4" s="96"/>
      <c r="Z4" s="6"/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34</v>
      </c>
      <c r="I5" s="5">
        <v>37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45" t="s">
        <v>15</v>
      </c>
      <c r="U5" s="45" t="s">
        <v>16</v>
      </c>
      <c r="V5" s="45" t="s">
        <v>15</v>
      </c>
      <c r="W5" s="45" t="s">
        <v>16</v>
      </c>
      <c r="X5" s="45" t="s">
        <v>15</v>
      </c>
      <c r="Y5" s="45" t="s">
        <v>16</v>
      </c>
      <c r="Z5" s="4" t="s">
        <v>20</v>
      </c>
      <c r="AA5" s="4" t="s">
        <v>8</v>
      </c>
      <c r="AB5" s="4" t="s">
        <v>22</v>
      </c>
      <c r="AC5" s="4" t="s">
        <v>24</v>
      </c>
      <c r="AD5" s="4" t="s">
        <v>23</v>
      </c>
      <c r="AE5" s="4" t="s">
        <v>30</v>
      </c>
      <c r="AF5"/>
      <c r="AG5" t="s">
        <v>31</v>
      </c>
      <c r="AH5" t="s">
        <v>33</v>
      </c>
      <c r="AI5"/>
    </row>
    <row r="6" spans="1:35" x14ac:dyDescent="0.25">
      <c r="B6" s="49" t="s">
        <v>45</v>
      </c>
      <c r="C6" s="2" t="s">
        <v>44</v>
      </c>
      <c r="D6" s="2" t="s">
        <v>43</v>
      </c>
      <c r="E6" s="13">
        <v>0.375</v>
      </c>
      <c r="F6" s="2">
        <v>0.16</v>
      </c>
      <c r="G6" s="3"/>
      <c r="H6" s="3"/>
      <c r="I6" s="2">
        <v>18000</v>
      </c>
      <c r="J6" s="2"/>
      <c r="K6" s="2"/>
      <c r="L6" s="2"/>
      <c r="M6" s="2"/>
      <c r="N6" s="2"/>
      <c r="O6" s="8">
        <f t="shared" ref="O6:O36" si="0">+I6+J6+K6+L6+M6+N6-SUM(P6:Z6)</f>
        <v>-4337</v>
      </c>
      <c r="P6" s="2">
        <v>5400</v>
      </c>
      <c r="Q6" s="2"/>
      <c r="R6" s="2">
        <v>3162</v>
      </c>
      <c r="S6" s="2"/>
      <c r="T6" s="41">
        <v>3600</v>
      </c>
      <c r="U6" s="41">
        <v>1800</v>
      </c>
      <c r="V6" s="41">
        <v>3319</v>
      </c>
      <c r="W6" s="41">
        <v>0</v>
      </c>
      <c r="X6" s="41">
        <v>3256</v>
      </c>
      <c r="Y6" s="41">
        <v>1800</v>
      </c>
      <c r="Z6" s="2"/>
      <c r="AA6" s="7">
        <f t="shared" ref="AA6:AA36" si="1">+G6*SUM(I6:N6)</f>
        <v>0</v>
      </c>
      <c r="AB6" s="8"/>
      <c r="AC6" s="8"/>
      <c r="AD6" s="8"/>
      <c r="AE6" s="8" t="e">
        <f t="shared" ref="AE6:AE21" si="2">+SUM(I6:N6)/AC6</f>
        <v>#DIV/0!</v>
      </c>
      <c r="AF6"/>
      <c r="AG6" s="15">
        <v>0</v>
      </c>
      <c r="AH6">
        <v>0</v>
      </c>
      <c r="AI6"/>
    </row>
    <row r="7" spans="1:35" x14ac:dyDescent="0.25">
      <c r="A7" s="70">
        <v>2</v>
      </c>
      <c r="B7" s="65" t="s">
        <v>46</v>
      </c>
      <c r="C7" s="2" t="s">
        <v>47</v>
      </c>
      <c r="D7" s="2" t="s">
        <v>48</v>
      </c>
      <c r="E7" s="13">
        <v>0.75</v>
      </c>
      <c r="F7" s="2">
        <v>3.5000000000000003E-2</v>
      </c>
      <c r="G7" s="3"/>
      <c r="H7" s="3"/>
      <c r="I7" s="2"/>
      <c r="J7" s="2"/>
      <c r="K7" s="2"/>
      <c r="L7" s="2"/>
      <c r="M7" s="2"/>
      <c r="N7" s="2"/>
      <c r="O7" s="8">
        <f t="shared" si="0"/>
        <v>0</v>
      </c>
      <c r="P7" s="2"/>
      <c r="Q7" s="2"/>
      <c r="R7" s="2"/>
      <c r="S7" s="2"/>
      <c r="T7" s="41"/>
      <c r="U7" s="41"/>
      <c r="V7" s="41"/>
      <c r="W7" s="41"/>
      <c r="X7" s="41"/>
      <c r="Y7" s="41"/>
      <c r="Z7" s="2"/>
      <c r="AA7" s="7">
        <f t="shared" si="1"/>
        <v>0</v>
      </c>
      <c r="AB7" s="8"/>
      <c r="AC7" s="8"/>
      <c r="AD7" s="8"/>
      <c r="AE7" s="8" t="e">
        <f t="shared" si="2"/>
        <v>#DIV/0!</v>
      </c>
      <c r="AF7"/>
      <c r="AG7" s="15" t="s">
        <v>25</v>
      </c>
      <c r="AH7">
        <v>52</v>
      </c>
      <c r="AI7"/>
    </row>
    <row r="8" spans="1:35" x14ac:dyDescent="0.25">
      <c r="B8" s="65" t="s">
        <v>55</v>
      </c>
      <c r="C8" s="2" t="s">
        <v>49</v>
      </c>
      <c r="D8" s="2" t="s">
        <v>92</v>
      </c>
      <c r="E8" s="13">
        <v>0.3125</v>
      </c>
      <c r="F8" s="2">
        <v>0.28000000000000003</v>
      </c>
      <c r="G8" s="3"/>
      <c r="H8" s="3"/>
      <c r="I8" s="41">
        <v>900</v>
      </c>
      <c r="J8" s="2"/>
      <c r="K8" s="2"/>
      <c r="L8" s="2"/>
      <c r="M8" s="2"/>
      <c r="N8" s="2"/>
      <c r="O8" s="8">
        <f>+I8+J8+K8+L8+M8+N8-SUM(P8:Z8)</f>
        <v>23</v>
      </c>
      <c r="P8" s="2"/>
      <c r="Q8" s="2"/>
      <c r="R8" s="2"/>
      <c r="S8" s="2"/>
      <c r="T8" s="41">
        <v>877</v>
      </c>
      <c r="U8" s="41"/>
      <c r="V8" s="41"/>
      <c r="W8" s="41"/>
      <c r="X8" s="41"/>
      <c r="Y8" s="41"/>
      <c r="Z8" s="2"/>
      <c r="AA8" s="7">
        <f t="shared" si="1"/>
        <v>0</v>
      </c>
      <c r="AB8" s="8"/>
      <c r="AC8" s="8"/>
      <c r="AD8" s="8"/>
      <c r="AE8" s="8" t="e">
        <f t="shared" si="2"/>
        <v>#DIV/0!</v>
      </c>
      <c r="AF8"/>
      <c r="AG8" s="15" t="s">
        <v>29</v>
      </c>
      <c r="AH8">
        <v>0</v>
      </c>
      <c r="AI8"/>
    </row>
    <row r="9" spans="1:35" x14ac:dyDescent="0.25">
      <c r="B9" s="65" t="s">
        <v>55</v>
      </c>
      <c r="C9" s="2" t="s">
        <v>49</v>
      </c>
      <c r="D9" s="2" t="s">
        <v>93</v>
      </c>
      <c r="E9" s="13">
        <v>0.375</v>
      </c>
      <c r="F9" s="2">
        <v>0.28000000000000003</v>
      </c>
      <c r="G9" s="3"/>
      <c r="H9" s="3"/>
      <c r="I9" s="41">
        <v>4500</v>
      </c>
      <c r="J9" s="2"/>
      <c r="K9" s="2"/>
      <c r="L9" s="2"/>
      <c r="M9" s="2"/>
      <c r="N9" s="2"/>
      <c r="O9" s="8">
        <f t="shared" si="0"/>
        <v>100</v>
      </c>
      <c r="P9" s="2"/>
      <c r="Q9" s="2"/>
      <c r="R9" s="2"/>
      <c r="S9" s="2"/>
      <c r="T9" s="41"/>
      <c r="U9" s="41"/>
      <c r="V9" s="41">
        <v>3800</v>
      </c>
      <c r="W9" s="41"/>
      <c r="X9" s="41">
        <v>600</v>
      </c>
      <c r="Y9" s="41"/>
      <c r="Z9" s="2"/>
      <c r="AA9" s="7">
        <f t="shared" si="1"/>
        <v>0</v>
      </c>
      <c r="AB9" s="8"/>
      <c r="AC9" s="8"/>
      <c r="AD9" s="8"/>
      <c r="AE9" s="8" t="e">
        <f t="shared" si="2"/>
        <v>#DIV/0!</v>
      </c>
      <c r="AF9"/>
      <c r="AG9" s="15" t="s">
        <v>26</v>
      </c>
      <c r="AH9">
        <v>116</v>
      </c>
      <c r="AI9"/>
    </row>
    <row r="10" spans="1:35" ht="15" customHeight="1" x14ac:dyDescent="0.25">
      <c r="A10" s="26">
        <v>5</v>
      </c>
      <c r="B10" s="65" t="s">
        <v>55</v>
      </c>
      <c r="C10" s="2" t="s">
        <v>49</v>
      </c>
      <c r="D10" s="2" t="s">
        <v>94</v>
      </c>
      <c r="E10" s="13">
        <v>0.3125</v>
      </c>
      <c r="F10" s="2">
        <v>0.28000000000000003</v>
      </c>
      <c r="G10" s="3"/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2"/>
      <c r="Q10" s="2"/>
      <c r="R10" s="2"/>
      <c r="S10" s="2"/>
      <c r="T10" s="41"/>
      <c r="U10" s="41"/>
      <c r="V10" s="41"/>
      <c r="W10" s="41"/>
      <c r="X10" s="41"/>
      <c r="Y10" s="41"/>
      <c r="Z10" s="2"/>
      <c r="AA10" s="7">
        <f t="shared" si="1"/>
        <v>0</v>
      </c>
      <c r="AB10" s="8"/>
      <c r="AC10" s="8"/>
      <c r="AD10" s="8"/>
      <c r="AE10" s="8" t="e">
        <f t="shared" si="2"/>
        <v>#DIV/0!</v>
      </c>
      <c r="AF10"/>
      <c r="AG10" s="15" t="s">
        <v>28</v>
      </c>
      <c r="AH10">
        <v>2</v>
      </c>
      <c r="AI10"/>
    </row>
    <row r="11" spans="1:35" ht="15" customHeight="1" x14ac:dyDescent="0.25">
      <c r="A11" s="30">
        <v>6</v>
      </c>
      <c r="B11" s="65" t="s">
        <v>55</v>
      </c>
      <c r="C11" s="2" t="s">
        <v>49</v>
      </c>
      <c r="D11" s="2" t="s">
        <v>95</v>
      </c>
      <c r="E11" s="13">
        <v>0.3125</v>
      </c>
      <c r="F11" s="2">
        <v>0.28000000000000003</v>
      </c>
      <c r="G11" s="3"/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2"/>
      <c r="Q11" s="2"/>
      <c r="R11" s="2"/>
      <c r="S11" s="2"/>
      <c r="T11" s="41"/>
      <c r="U11" s="41"/>
      <c r="V11" s="41"/>
      <c r="W11" s="41"/>
      <c r="X11" s="41"/>
      <c r="Y11" s="41"/>
      <c r="Z11" s="2"/>
      <c r="AA11" s="7">
        <f t="shared" si="1"/>
        <v>0</v>
      </c>
      <c r="AB11" s="8"/>
      <c r="AC11" s="8"/>
      <c r="AD11" s="8"/>
      <c r="AE11" s="8" t="e">
        <f t="shared" si="2"/>
        <v>#DIV/0!</v>
      </c>
      <c r="AF11"/>
      <c r="AG11" s="15" t="s">
        <v>27</v>
      </c>
      <c r="AH11">
        <v>10</v>
      </c>
      <c r="AI11"/>
    </row>
    <row r="12" spans="1:35" x14ac:dyDescent="0.25">
      <c r="B12" s="65" t="s">
        <v>55</v>
      </c>
      <c r="C12" s="2" t="s">
        <v>49</v>
      </c>
      <c r="D12" s="66" t="s">
        <v>96</v>
      </c>
      <c r="E12" s="13">
        <v>0.375</v>
      </c>
      <c r="F12" s="2">
        <v>0.28000000000000003</v>
      </c>
      <c r="G12" s="3"/>
      <c r="H12" s="3"/>
      <c r="I12" s="41">
        <v>3795</v>
      </c>
      <c r="J12" s="2"/>
      <c r="K12" s="2"/>
      <c r="L12" s="2"/>
      <c r="M12" s="2"/>
      <c r="N12" s="2"/>
      <c r="O12" s="8">
        <f t="shared" si="0"/>
        <v>-468</v>
      </c>
      <c r="P12" s="2"/>
      <c r="Q12" s="2"/>
      <c r="R12" s="2"/>
      <c r="S12" s="2"/>
      <c r="T12" s="41"/>
      <c r="U12" s="41"/>
      <c r="V12" s="41">
        <v>1800</v>
      </c>
      <c r="W12" s="41">
        <v>600</v>
      </c>
      <c r="X12" s="41">
        <v>1863</v>
      </c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32</v>
      </c>
      <c r="AH12">
        <v>180</v>
      </c>
      <c r="AI12"/>
    </row>
    <row r="13" spans="1:35" x14ac:dyDescent="0.25">
      <c r="B13" s="65" t="s">
        <v>55</v>
      </c>
      <c r="C13" s="2" t="s">
        <v>49</v>
      </c>
      <c r="D13" s="2" t="s">
        <v>97</v>
      </c>
      <c r="E13" s="13">
        <v>0.3125</v>
      </c>
      <c r="F13" s="2">
        <v>0.28000000000000003</v>
      </c>
      <c r="G13" s="3"/>
      <c r="H13" s="3"/>
      <c r="I13" s="41">
        <v>5650</v>
      </c>
      <c r="J13" s="2"/>
      <c r="K13" s="2"/>
      <c r="L13" s="2"/>
      <c r="M13" s="2"/>
      <c r="N13" s="2"/>
      <c r="O13" s="8">
        <f t="shared" si="0"/>
        <v>960</v>
      </c>
      <c r="P13" s="2"/>
      <c r="Q13" s="2"/>
      <c r="R13" s="2"/>
      <c r="S13" s="2"/>
      <c r="T13" s="41"/>
      <c r="U13" s="41"/>
      <c r="V13" s="41"/>
      <c r="W13" s="41">
        <v>2590</v>
      </c>
      <c r="X13" s="41">
        <v>600</v>
      </c>
      <c r="Y13" s="41">
        <v>1500</v>
      </c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/>
      <c r="AH13"/>
      <c r="AI13"/>
    </row>
    <row r="14" spans="1:35" x14ac:dyDescent="0.25">
      <c r="B14" s="65" t="s">
        <v>55</v>
      </c>
      <c r="C14" s="2" t="s">
        <v>49</v>
      </c>
      <c r="D14" s="2" t="s">
        <v>98</v>
      </c>
      <c r="E14" s="13">
        <v>0.3125</v>
      </c>
      <c r="F14" s="2">
        <v>0.28000000000000003</v>
      </c>
      <c r="G14" s="3"/>
      <c r="H14" s="3"/>
      <c r="I14" s="41">
        <v>5688</v>
      </c>
      <c r="J14" s="2"/>
      <c r="K14" s="2"/>
      <c r="L14" s="2"/>
      <c r="M14" s="2"/>
      <c r="N14" s="2"/>
      <c r="O14" s="8">
        <f t="shared" si="0"/>
        <v>4368</v>
      </c>
      <c r="P14" s="2"/>
      <c r="Q14" s="2"/>
      <c r="R14" s="66"/>
      <c r="S14" s="2"/>
      <c r="T14" s="41">
        <v>500</v>
      </c>
      <c r="V14" s="41"/>
      <c r="W14" s="41"/>
      <c r="X14" s="41"/>
      <c r="Y14" s="41">
        <v>820</v>
      </c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/>
      <c r="AH14"/>
      <c r="AI14"/>
    </row>
    <row r="15" spans="1:35" x14ac:dyDescent="0.25">
      <c r="B15" s="65" t="s">
        <v>55</v>
      </c>
      <c r="C15" s="2" t="s">
        <v>49</v>
      </c>
      <c r="D15" s="78" t="s">
        <v>99</v>
      </c>
      <c r="E15" s="13">
        <v>0.3125</v>
      </c>
      <c r="F15" s="2">
        <v>0.28000000000000003</v>
      </c>
      <c r="G15" s="3"/>
      <c r="H15" s="3"/>
      <c r="I15" s="41">
        <v>2376</v>
      </c>
      <c r="J15" s="2"/>
      <c r="K15" s="2"/>
      <c r="L15" s="2"/>
      <c r="M15" s="2"/>
      <c r="N15" s="2"/>
      <c r="O15" s="8">
        <f t="shared" si="0"/>
        <v>2376</v>
      </c>
      <c r="P15" s="2"/>
      <c r="Q15" s="2"/>
      <c r="R15" s="2"/>
      <c r="S15" s="2"/>
      <c r="T15" s="41"/>
      <c r="U15" s="41"/>
      <c r="V15" s="41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/>
      <c r="AH15"/>
      <c r="AI15"/>
    </row>
    <row r="16" spans="1:35" x14ac:dyDescent="0.25">
      <c r="B16" s="65" t="s">
        <v>55</v>
      </c>
      <c r="C16" s="2" t="s">
        <v>49</v>
      </c>
      <c r="D16" s="2" t="s">
        <v>100</v>
      </c>
      <c r="E16" s="13">
        <v>0.3125</v>
      </c>
      <c r="F16" s="2">
        <v>0.28000000000000003</v>
      </c>
      <c r="G16" s="3"/>
      <c r="H16" s="3"/>
      <c r="I16" s="41">
        <v>3960</v>
      </c>
      <c r="J16" s="2"/>
      <c r="K16" s="2"/>
      <c r="L16" s="2"/>
      <c r="M16" s="2"/>
      <c r="N16" s="2"/>
      <c r="O16" s="8">
        <f t="shared" si="0"/>
        <v>3960</v>
      </c>
      <c r="P16" s="2"/>
      <c r="Q16" s="2"/>
      <c r="R16" s="2"/>
      <c r="S16" s="2"/>
      <c r="T16" s="41"/>
      <c r="U16" s="41"/>
      <c r="V16" s="41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/>
      <c r="AH16"/>
      <c r="AI16"/>
    </row>
    <row r="17" spans="1:35" x14ac:dyDescent="0.25">
      <c r="B17" s="65" t="s">
        <v>55</v>
      </c>
      <c r="C17" s="2" t="s">
        <v>49</v>
      </c>
      <c r="D17" s="78" t="s">
        <v>101</v>
      </c>
      <c r="E17" s="13">
        <v>0.3125</v>
      </c>
      <c r="F17" s="2">
        <v>0.28000000000000003</v>
      </c>
      <c r="G17" s="3"/>
      <c r="H17" s="3"/>
      <c r="I17" s="41">
        <v>2376</v>
      </c>
      <c r="J17" s="2"/>
      <c r="K17" s="2"/>
      <c r="L17" s="2"/>
      <c r="M17" s="2"/>
      <c r="N17" s="2"/>
      <c r="O17" s="8">
        <f t="shared" si="0"/>
        <v>2376</v>
      </c>
      <c r="P17" s="2"/>
      <c r="Q17" s="2"/>
      <c r="R17" s="2"/>
      <c r="S17" s="2"/>
      <c r="T17" s="41"/>
      <c r="U17" s="41"/>
      <c r="V17" s="41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/>
      <c r="AH17"/>
      <c r="AI17"/>
    </row>
    <row r="18" spans="1:35" x14ac:dyDescent="0.25">
      <c r="A18" s="26">
        <v>13</v>
      </c>
      <c r="B18" s="65" t="s">
        <v>63</v>
      </c>
      <c r="C18" s="2" t="s">
        <v>49</v>
      </c>
      <c r="D18" s="2" t="s">
        <v>102</v>
      </c>
      <c r="E18" s="13">
        <v>0.3125</v>
      </c>
      <c r="F18" s="2">
        <v>0.28000000000000003</v>
      </c>
      <c r="G18" s="3"/>
      <c r="H18" s="3"/>
      <c r="I18" s="2"/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41"/>
      <c r="U18" s="41"/>
      <c r="V18" s="41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A19" s="2">
        <v>14</v>
      </c>
      <c r="B19" s="65" t="s">
        <v>63</v>
      </c>
      <c r="C19" s="2" t="s">
        <v>49</v>
      </c>
      <c r="D19" s="2" t="s">
        <v>103</v>
      </c>
      <c r="E19" s="13">
        <v>0.3125</v>
      </c>
      <c r="F19" s="2">
        <v>0.28000000000000003</v>
      </c>
      <c r="G19" s="3"/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2"/>
      <c r="Q19" s="2"/>
      <c r="R19" s="2"/>
      <c r="S19" s="2"/>
      <c r="T19" s="41"/>
      <c r="U19" s="41"/>
      <c r="V19" s="41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A20" s="2">
        <v>15</v>
      </c>
      <c r="B20" s="65" t="s">
        <v>63</v>
      </c>
      <c r="C20" s="2" t="s">
        <v>49</v>
      </c>
      <c r="D20" s="2" t="s">
        <v>61</v>
      </c>
      <c r="E20" s="13">
        <v>0.3125</v>
      </c>
      <c r="F20" s="2">
        <v>0.28000000000000003</v>
      </c>
      <c r="G20" s="3"/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2"/>
      <c r="S20" s="2"/>
      <c r="T20" s="41"/>
      <c r="U20" s="41"/>
      <c r="V20" s="41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A21" s="2">
        <v>16</v>
      </c>
      <c r="B21" s="65" t="s">
        <v>63</v>
      </c>
      <c r="C21" s="2" t="s">
        <v>49</v>
      </c>
      <c r="D21" s="2" t="s">
        <v>62</v>
      </c>
      <c r="E21" s="13">
        <v>0.3125</v>
      </c>
      <c r="F21" s="2">
        <v>0.28000000000000003</v>
      </c>
      <c r="G21" s="3"/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2"/>
      <c r="S21" s="2"/>
      <c r="T21" s="41"/>
      <c r="U21" s="41"/>
      <c r="V21" s="41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A22" s="2">
        <v>17</v>
      </c>
      <c r="B22" s="51" t="s">
        <v>66</v>
      </c>
      <c r="C22" s="2" t="s">
        <v>49</v>
      </c>
      <c r="D22" s="2" t="s">
        <v>64</v>
      </c>
      <c r="E22" s="13">
        <v>0.375</v>
      </c>
      <c r="F22" s="2">
        <v>0.28000000000000003</v>
      </c>
      <c r="G22" s="3"/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2"/>
      <c r="Q22" s="2"/>
      <c r="R22" s="2"/>
      <c r="S22" s="2"/>
      <c r="T22" s="41"/>
      <c r="U22" s="41"/>
      <c r="V22" s="41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>
        <v>0</v>
      </c>
      <c r="AF22"/>
      <c r="AG22"/>
      <c r="AH22"/>
      <c r="AI22"/>
    </row>
    <row r="23" spans="1:35" x14ac:dyDescent="0.25">
      <c r="A23" s="2">
        <v>18</v>
      </c>
      <c r="B23" s="51" t="s">
        <v>66</v>
      </c>
      <c r="C23" s="2" t="s">
        <v>49</v>
      </c>
      <c r="D23" s="2" t="s">
        <v>65</v>
      </c>
      <c r="E23" s="13">
        <v>0.375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41"/>
      <c r="U23" s="41"/>
      <c r="V23" s="41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>
        <v>0</v>
      </c>
      <c r="AF23"/>
    </row>
    <row r="24" spans="1:35" x14ac:dyDescent="0.25">
      <c r="A24" s="2">
        <v>19</v>
      </c>
      <c r="B24" s="55" t="s">
        <v>67</v>
      </c>
      <c r="C24" s="2" t="s">
        <v>68</v>
      </c>
      <c r="D24" s="2" t="s">
        <v>69</v>
      </c>
      <c r="E24" s="13">
        <v>0.75</v>
      </c>
      <c r="F24" s="2">
        <v>0.35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41"/>
      <c r="U24" s="41"/>
      <c r="V24" s="41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>
        <v>0</v>
      </c>
      <c r="AF24"/>
    </row>
    <row r="25" spans="1:35" x14ac:dyDescent="0.25">
      <c r="A25" s="2">
        <v>20</v>
      </c>
      <c r="B25" s="55" t="s">
        <v>67</v>
      </c>
      <c r="C25" s="2" t="s">
        <v>68</v>
      </c>
      <c r="D25" s="2" t="s">
        <v>71</v>
      </c>
      <c r="E25" s="13">
        <v>0.75</v>
      </c>
      <c r="F25" s="2">
        <v>0.35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41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>
        <v>0</v>
      </c>
      <c r="AF25"/>
    </row>
    <row r="26" spans="1:35" x14ac:dyDescent="0.25">
      <c r="A26" s="2">
        <v>21</v>
      </c>
      <c r="B26" s="55" t="s">
        <v>67</v>
      </c>
      <c r="C26" s="2" t="s">
        <v>68</v>
      </c>
      <c r="D26" s="2" t="s">
        <v>72</v>
      </c>
      <c r="E26" s="13">
        <v>0.75</v>
      </c>
      <c r="F26" s="2">
        <v>0.35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41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>
        <v>0</v>
      </c>
      <c r="AF26"/>
    </row>
    <row r="27" spans="1:35" x14ac:dyDescent="0.25">
      <c r="A27" s="2">
        <v>22</v>
      </c>
      <c r="B27" s="55" t="s">
        <v>67</v>
      </c>
      <c r="C27" s="2" t="s">
        <v>68</v>
      </c>
      <c r="D27" s="2" t="s">
        <v>73</v>
      </c>
      <c r="E27" s="13">
        <v>0.75</v>
      </c>
      <c r="F27" s="2">
        <v>0.35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41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</row>
    <row r="28" spans="1:35" x14ac:dyDescent="0.25">
      <c r="A28" s="2">
        <v>23</v>
      </c>
      <c r="B28" s="55" t="s">
        <v>67</v>
      </c>
      <c r="C28" s="2" t="s">
        <v>68</v>
      </c>
      <c r="D28" s="2" t="s">
        <v>76</v>
      </c>
      <c r="E28" s="13">
        <v>0.75</v>
      </c>
      <c r="F28" s="2">
        <v>0.35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41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x14ac:dyDescent="0.25">
      <c r="A29" s="2">
        <v>24</v>
      </c>
      <c r="B29" s="55" t="s">
        <v>67</v>
      </c>
      <c r="C29" s="2" t="s">
        <v>68</v>
      </c>
      <c r="D29" s="2" t="s">
        <v>77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41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x14ac:dyDescent="0.25">
      <c r="A30" s="2">
        <v>25</v>
      </c>
      <c r="B30" s="55" t="s">
        <v>67</v>
      </c>
      <c r="C30" s="2" t="s">
        <v>68</v>
      </c>
      <c r="D30" s="2" t="s">
        <v>70</v>
      </c>
      <c r="E30" s="13">
        <v>0.875</v>
      </c>
      <c r="F30" s="2">
        <v>0.45</v>
      </c>
      <c r="G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41"/>
      <c r="U30" s="41"/>
      <c r="V30" s="41"/>
      <c r="W30" s="41"/>
      <c r="X30" s="41"/>
      <c r="Y30" s="41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x14ac:dyDescent="0.25">
      <c r="A31" s="2">
        <v>26</v>
      </c>
      <c r="B31" s="55" t="s">
        <v>67</v>
      </c>
      <c r="C31" s="2" t="s">
        <v>68</v>
      </c>
      <c r="D31" s="2" t="s">
        <v>74</v>
      </c>
      <c r="E31" s="13">
        <v>0.875</v>
      </c>
      <c r="F31" s="2">
        <v>0.45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41"/>
      <c r="U31" s="41"/>
      <c r="V31" s="41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x14ac:dyDescent="0.25">
      <c r="A32" s="2">
        <v>27</v>
      </c>
      <c r="B32" s="55" t="s">
        <v>67</v>
      </c>
      <c r="C32" s="2" t="s">
        <v>68</v>
      </c>
      <c r="D32" s="2" t="s">
        <v>75</v>
      </c>
      <c r="E32" s="13">
        <v>0.875</v>
      </c>
      <c r="F32" s="2">
        <v>0.45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41"/>
      <c r="U32" s="41"/>
      <c r="V32" s="41"/>
      <c r="W32" s="41"/>
      <c r="X32" s="41"/>
      <c r="Y32" s="41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x14ac:dyDescent="0.25">
      <c r="A33" s="2"/>
      <c r="B33" s="55" t="s">
        <v>67</v>
      </c>
      <c r="C33" s="2" t="s">
        <v>68</v>
      </c>
      <c r="D33" s="2" t="s">
        <v>78</v>
      </c>
      <c r="E33" s="13">
        <v>0.875</v>
      </c>
      <c r="F33" s="2">
        <v>0.45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41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x14ac:dyDescent="0.25">
      <c r="A34" s="2"/>
      <c r="B34" s="2"/>
      <c r="C34" s="2"/>
      <c r="D34" s="2"/>
      <c r="E34" s="2"/>
      <c r="F34" s="2"/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41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x14ac:dyDescent="0.25">
      <c r="A35" s="2"/>
      <c r="B35" s="2"/>
      <c r="C35" s="2"/>
      <c r="D35" s="2"/>
      <c r="E35" s="2"/>
      <c r="F35" s="2"/>
      <c r="G35" s="3"/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41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x14ac:dyDescent="0.25">
      <c r="A36" s="30"/>
      <c r="B36" s="2"/>
      <c r="C36" s="2"/>
      <c r="D36" s="2"/>
      <c r="E36" s="2"/>
      <c r="F36" s="2"/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41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 t="e">
        <f>+SUM(I36:N36)/AC36</f>
        <v>#DIV/0!</v>
      </c>
      <c r="AF36"/>
    </row>
    <row r="37" spans="1:32" x14ac:dyDescent="0.25">
      <c r="H37" s="4" t="s">
        <v>19</v>
      </c>
      <c r="I37" s="9">
        <f>SUM(I6:I36)</f>
        <v>47245</v>
      </c>
      <c r="J37" s="9">
        <f t="shared" ref="J37:AA37" si="3">SUM(J6:J36)</f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11">
        <v>19797</v>
      </c>
      <c r="P37" s="9">
        <f t="shared" si="3"/>
        <v>5400</v>
      </c>
      <c r="Q37" s="9">
        <f t="shared" si="3"/>
        <v>0</v>
      </c>
      <c r="R37" s="9">
        <f t="shared" si="3"/>
        <v>3162</v>
      </c>
      <c r="S37" s="9">
        <f t="shared" si="3"/>
        <v>0</v>
      </c>
      <c r="T37" s="46">
        <f t="shared" si="3"/>
        <v>4977</v>
      </c>
      <c r="U37" s="9">
        <f t="shared" si="3"/>
        <v>1800</v>
      </c>
      <c r="V37" s="46">
        <f t="shared" si="3"/>
        <v>8919</v>
      </c>
      <c r="W37" s="9">
        <f t="shared" si="3"/>
        <v>3190</v>
      </c>
      <c r="X37" s="46">
        <f t="shared" si="3"/>
        <v>6319</v>
      </c>
      <c r="Y37" s="9">
        <f t="shared" si="3"/>
        <v>4120</v>
      </c>
      <c r="Z37" s="9">
        <f t="shared" si="3"/>
        <v>0</v>
      </c>
      <c r="AA37" s="9">
        <f t="shared" si="3"/>
        <v>0</v>
      </c>
      <c r="AE37" s="12" t="e">
        <f>SUM(AE6:AE36)</f>
        <v>#DIV/0!</v>
      </c>
    </row>
    <row r="38" spans="1:32" x14ac:dyDescent="0.25">
      <c r="H38" s="4" t="s">
        <v>21</v>
      </c>
      <c r="I38" s="99">
        <f>+I37+J37+K37+L37+M37+N37</f>
        <v>47245</v>
      </c>
      <c r="J38" s="99"/>
      <c r="K38" s="99"/>
      <c r="L38" s="99"/>
      <c r="M38" s="99"/>
      <c r="N38" s="99"/>
      <c r="P38" s="100">
        <f>+P37+Q37</f>
        <v>5400</v>
      </c>
      <c r="Q38" s="101"/>
      <c r="R38" s="100">
        <f>+R37+S37</f>
        <v>3162</v>
      </c>
      <c r="S38" s="101"/>
      <c r="T38" s="100">
        <f>+T37+U37</f>
        <v>6777</v>
      </c>
      <c r="U38" s="101"/>
      <c r="V38" s="100">
        <f>+V37+W37</f>
        <v>12109</v>
      </c>
      <c r="W38" s="101"/>
      <c r="X38" s="100">
        <f>+X37+Y37</f>
        <v>10439</v>
      </c>
      <c r="Y38" s="101"/>
      <c r="Z38" s="10">
        <f>+Z37</f>
        <v>0</v>
      </c>
    </row>
    <row r="40" spans="1:32" x14ac:dyDescent="0.25">
      <c r="A40"/>
      <c r="B40" s="2" t="s">
        <v>105</v>
      </c>
      <c r="C40" s="2" t="s">
        <v>106</v>
      </c>
      <c r="D40" s="2" t="s">
        <v>107</v>
      </c>
      <c r="E40"/>
      <c r="F40"/>
    </row>
    <row r="41" spans="1:32" x14ac:dyDescent="0.25">
      <c r="A41" s="53" t="s">
        <v>108</v>
      </c>
      <c r="B41" s="61">
        <v>47245</v>
      </c>
      <c r="C41" s="2">
        <v>4755</v>
      </c>
      <c r="D41" s="2">
        <v>2377.5</v>
      </c>
      <c r="E41"/>
      <c r="F41"/>
    </row>
    <row r="42" spans="1:32" x14ac:dyDescent="0.25">
      <c r="A42" s="67" t="s">
        <v>109</v>
      </c>
      <c r="B42" s="8">
        <v>14163</v>
      </c>
      <c r="C42" s="2">
        <v>1862</v>
      </c>
      <c r="D42" s="2">
        <v>931</v>
      </c>
      <c r="E42"/>
      <c r="F42"/>
    </row>
    <row r="43" spans="1:32" x14ac:dyDescent="0.25">
      <c r="A43" s="53" t="s">
        <v>110</v>
      </c>
      <c r="B43" s="62">
        <f>B41-B42</f>
        <v>33082</v>
      </c>
      <c r="C43" s="2"/>
      <c r="D43" s="2"/>
      <c r="E43"/>
      <c r="F43"/>
    </row>
    <row r="44" spans="1:32" x14ac:dyDescent="0.25">
      <c r="A44" s="53" t="s">
        <v>111</v>
      </c>
      <c r="B44" s="63">
        <f>B43/B41</f>
        <v>0.70022224574029002</v>
      </c>
      <c r="C44" s="2"/>
      <c r="D44" s="2"/>
      <c r="E44"/>
      <c r="F44"/>
    </row>
    <row r="45" spans="1:32" x14ac:dyDescent="0.25">
      <c r="A45" s="53" t="s">
        <v>112</v>
      </c>
      <c r="B45" s="63">
        <f>B42/B41</f>
        <v>0.29977775425971004</v>
      </c>
      <c r="C45" s="2"/>
      <c r="D45" s="2"/>
      <c r="E45"/>
      <c r="F45"/>
    </row>
    <row r="47" spans="1:32" x14ac:dyDescent="0.25">
      <c r="B47" s="94" t="s">
        <v>123</v>
      </c>
      <c r="C47" s="94"/>
      <c r="D47" s="94"/>
      <c r="E47" s="94"/>
      <c r="F47" s="94"/>
      <c r="H47" s="44"/>
      <c r="I47" s="68"/>
    </row>
    <row r="48" spans="1:32" x14ac:dyDescent="0.25">
      <c r="A48" s="97" t="s">
        <v>113</v>
      </c>
      <c r="B48" s="57">
        <v>46272</v>
      </c>
      <c r="C48" s="57">
        <v>46273</v>
      </c>
      <c r="D48" s="57">
        <v>46274</v>
      </c>
      <c r="E48" s="57">
        <v>46275</v>
      </c>
      <c r="F48" s="58">
        <v>46276</v>
      </c>
      <c r="H48" s="44"/>
      <c r="I48" s="69"/>
    </row>
    <row r="49" spans="1:9" x14ac:dyDescent="0.25">
      <c r="A49" s="98"/>
      <c r="B49" s="59" t="s">
        <v>114</v>
      </c>
      <c r="C49" s="59" t="s">
        <v>115</v>
      </c>
      <c r="D49" s="59" t="s">
        <v>116</v>
      </c>
      <c r="E49" s="59" t="s">
        <v>117</v>
      </c>
      <c r="F49" s="59" t="s">
        <v>118</v>
      </c>
      <c r="H49" s="69"/>
      <c r="I49" s="69"/>
    </row>
    <row r="50" spans="1:9" x14ac:dyDescent="0.25">
      <c r="A50" s="55" t="s">
        <v>119</v>
      </c>
      <c r="B50" s="54"/>
      <c r="C50" s="54"/>
      <c r="D50" s="54">
        <v>0.32</v>
      </c>
      <c r="E50" s="60">
        <v>0.57999999999999996</v>
      </c>
      <c r="F50" s="71">
        <v>0.7</v>
      </c>
      <c r="H50" s="44"/>
      <c r="I50" s="69"/>
    </row>
    <row r="51" spans="1:9" x14ac:dyDescent="0.25">
      <c r="A51" s="56" t="s">
        <v>120</v>
      </c>
      <c r="B51" s="54"/>
      <c r="C51" s="54"/>
      <c r="D51" s="54">
        <v>0.68</v>
      </c>
      <c r="E51" s="60">
        <v>0.42</v>
      </c>
      <c r="F51" s="60">
        <v>0.3</v>
      </c>
      <c r="H51" s="69"/>
      <c r="I51" s="69"/>
    </row>
    <row r="52" spans="1:9" x14ac:dyDescent="0.25">
      <c r="H52" s="69"/>
      <c r="I52" s="69"/>
    </row>
    <row r="53" spans="1:9" x14ac:dyDescent="0.25">
      <c r="H53" s="69"/>
      <c r="I53" s="69"/>
    </row>
    <row r="54" spans="1:9" x14ac:dyDescent="0.25">
      <c r="H54" s="69"/>
      <c r="I54" s="69"/>
    </row>
    <row r="55" spans="1:9" x14ac:dyDescent="0.25">
      <c r="H55" s="69"/>
      <c r="I55" s="69"/>
    </row>
    <row r="56" spans="1:9" x14ac:dyDescent="0.25">
      <c r="H56" s="44"/>
      <c r="I56" s="69"/>
    </row>
  </sheetData>
  <autoFilter ref="B5:AE38" xr:uid="{00000000-0009-0000-0000-00000B000000}"/>
  <mergeCells count="17">
    <mergeCell ref="P4:Q4"/>
    <mergeCell ref="R4:S4"/>
    <mergeCell ref="V4:W4"/>
    <mergeCell ref="X4:Y4"/>
    <mergeCell ref="I38:N38"/>
    <mergeCell ref="P38:Q38"/>
    <mergeCell ref="R38:S38"/>
    <mergeCell ref="T38:U38"/>
    <mergeCell ref="V38:W38"/>
    <mergeCell ref="X38:Y38"/>
    <mergeCell ref="T4:U4"/>
    <mergeCell ref="A48:A49"/>
    <mergeCell ref="E4:F4"/>
    <mergeCell ref="C2:D2"/>
    <mergeCell ref="B3:B4"/>
    <mergeCell ref="J4:N4"/>
    <mergeCell ref="B47:F47"/>
  </mergeCells>
  <pageMargins left="0.7" right="0.7" top="0.75" bottom="0.75" header="0.3" footer="0.3"/>
  <pageSetup paperSize="9" scale="74" orientation="landscape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AI61"/>
  <sheetViews>
    <sheetView zoomScaleNormal="100" zoomScaleSheetLayoutView="130" workbookViewId="0">
      <pane xSplit="15" topLeftCell="P1" activePane="topRight" state="frozen"/>
      <selection activeCell="J16" sqref="J16:J17"/>
      <selection pane="topRight" activeCell="Q49" sqref="Q49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19" width="8.7109375" style="1" customWidth="1"/>
    <col min="20" max="21" width="8.7109375" style="44" customWidth="1"/>
    <col min="22" max="22" width="8.7109375" style="1" customWidth="1"/>
    <col min="23" max="25" width="8.7109375" style="44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s="77" customFormat="1" x14ac:dyDescent="0.25"/>
    <row r="2" spans="1:35" s="77" customFormat="1" x14ac:dyDescent="0.25"/>
    <row r="3" spans="1:35" s="77" customFormat="1" x14ac:dyDescent="0.25"/>
    <row r="4" spans="1:35" s="77" customFormat="1" x14ac:dyDescent="0.25"/>
    <row r="5" spans="1:35" s="77" customFormat="1" x14ac:dyDescent="0.25"/>
    <row r="7" spans="1:35" x14ac:dyDescent="0.25">
      <c r="B7" s="4" t="s">
        <v>17</v>
      </c>
      <c r="C7" s="91" t="s">
        <v>18</v>
      </c>
      <c r="D7" s="91"/>
    </row>
    <row r="8" spans="1:3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3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 t="s">
        <v>104</v>
      </c>
      <c r="K9" s="95"/>
      <c r="L9" s="95"/>
      <c r="M9" s="95"/>
      <c r="N9" s="95"/>
      <c r="P9" s="96">
        <v>46279</v>
      </c>
      <c r="Q9" s="96"/>
      <c r="R9" s="96">
        <v>46280</v>
      </c>
      <c r="S9" s="96"/>
      <c r="T9" s="96">
        <v>46281</v>
      </c>
      <c r="U9" s="96"/>
      <c r="V9" s="96">
        <v>46282</v>
      </c>
      <c r="W9" s="96"/>
      <c r="X9" s="96">
        <v>46283</v>
      </c>
      <c r="Y9" s="96"/>
      <c r="Z9" s="6"/>
    </row>
    <row r="10" spans="1:3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37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5" t="s">
        <v>15</v>
      </c>
      <c r="U10" s="45" t="s">
        <v>16</v>
      </c>
      <c r="V10" s="4" t="s">
        <v>15</v>
      </c>
      <c r="W10" s="45" t="s">
        <v>16</v>
      </c>
      <c r="X10" s="45" t="s">
        <v>15</v>
      </c>
      <c r="Y10" s="45" t="s">
        <v>16</v>
      </c>
      <c r="Z10" s="4" t="s">
        <v>20</v>
      </c>
      <c r="AA10" s="4" t="s">
        <v>8</v>
      </c>
      <c r="AB10" s="4" t="s">
        <v>22</v>
      </c>
      <c r="AC10" s="4" t="s">
        <v>24</v>
      </c>
      <c r="AD10" s="4" t="s">
        <v>23</v>
      </c>
      <c r="AE10" s="4" t="s">
        <v>30</v>
      </c>
      <c r="AF10"/>
      <c r="AG10" t="s">
        <v>31</v>
      </c>
      <c r="AH10" t="s">
        <v>33</v>
      </c>
      <c r="AI10"/>
    </row>
    <row r="11" spans="1:35" x14ac:dyDescent="0.25">
      <c r="B11" s="49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 t="shared" ref="O11:O41" si="0">+I11+J11+K11+L11+M11+N11-SUM(P11:Z11)</f>
        <v>11600</v>
      </c>
      <c r="P11" s="41">
        <v>1000</v>
      </c>
      <c r="Q11" s="41"/>
      <c r="R11" s="41"/>
      <c r="S11" s="2"/>
      <c r="T11" s="41"/>
      <c r="U11" s="41"/>
      <c r="V11" s="2"/>
      <c r="W11" s="41"/>
      <c r="X11" s="41"/>
      <c r="Y11" s="41">
        <v>5400</v>
      </c>
      <c r="Z11" s="2"/>
      <c r="AA11" s="7">
        <f t="shared" ref="AA11:AA41" si="1">+G11*SUM(I11:N11)</f>
        <v>0</v>
      </c>
      <c r="AB11" s="8"/>
      <c r="AC11" s="8"/>
      <c r="AD11" s="8"/>
      <c r="AE11" s="8" t="e">
        <f t="shared" ref="AE11:AE26" si="2">+SUM(I11:N11)/AC11</f>
        <v>#DIV/0!</v>
      </c>
      <c r="AF11"/>
      <c r="AG11" s="15">
        <v>0</v>
      </c>
      <c r="AH11">
        <v>0</v>
      </c>
      <c r="AI11"/>
    </row>
    <row r="12" spans="1:35" hidden="1" x14ac:dyDescent="0.25">
      <c r="A12" s="70">
        <v>2</v>
      </c>
      <c r="B12" s="65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si="0"/>
        <v>0</v>
      </c>
      <c r="P12" s="41"/>
      <c r="Q12" s="41"/>
      <c r="R12" s="41"/>
      <c r="S12" s="2"/>
      <c r="T12" s="41"/>
      <c r="U12" s="41"/>
      <c r="V12" s="2"/>
      <c r="W12" s="41"/>
      <c r="X12" s="41"/>
      <c r="Y12" s="41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25</v>
      </c>
      <c r="AH12">
        <v>52</v>
      </c>
      <c r="AI12"/>
    </row>
    <row r="13" spans="1:35" hidden="1" x14ac:dyDescent="0.25">
      <c r="B13" s="65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>
        <v>23</v>
      </c>
      <c r="J13" s="2"/>
      <c r="K13" s="2"/>
      <c r="L13" s="2"/>
      <c r="M13" s="2"/>
      <c r="N13" s="2"/>
      <c r="O13" s="8">
        <f>+I13+J13+K13+L13+M13+N13-SUM(P13:Z13)</f>
        <v>-839</v>
      </c>
      <c r="P13" s="41"/>
      <c r="Q13" s="41"/>
      <c r="R13" s="41">
        <v>862</v>
      </c>
      <c r="S13" s="2"/>
      <c r="T13" s="41"/>
      <c r="U13" s="41"/>
      <c r="V13" s="2"/>
      <c r="W13" s="41"/>
      <c r="X13" s="41"/>
      <c r="Y13" s="41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 s="15" t="s">
        <v>29</v>
      </c>
      <c r="AH13">
        <v>0</v>
      </c>
      <c r="AI13"/>
    </row>
    <row r="14" spans="1:35" x14ac:dyDescent="0.25">
      <c r="B14" s="65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>
        <v>100</v>
      </c>
      <c r="J14" s="2"/>
      <c r="K14" s="2"/>
      <c r="L14" s="2"/>
      <c r="M14" s="2"/>
      <c r="N14" s="2"/>
      <c r="O14" s="8">
        <f t="shared" si="0"/>
        <v>100</v>
      </c>
      <c r="P14" s="41"/>
      <c r="Q14" s="41"/>
      <c r="R14" s="41"/>
      <c r="S14" s="2"/>
      <c r="T14" s="41"/>
      <c r="U14" s="41"/>
      <c r="V14" s="2"/>
      <c r="W14" s="41"/>
      <c r="X14" s="41"/>
      <c r="Y14" s="41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 s="15" t="s">
        <v>26</v>
      </c>
      <c r="AH14">
        <v>116</v>
      </c>
      <c r="AI14"/>
    </row>
    <row r="15" spans="1:35" ht="15" hidden="1" customHeight="1" x14ac:dyDescent="0.25">
      <c r="A15" s="26">
        <v>5</v>
      </c>
      <c r="B15" s="65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41"/>
      <c r="Q15" s="41"/>
      <c r="R15" s="41"/>
      <c r="S15" s="2"/>
      <c r="T15" s="41"/>
      <c r="U15" s="41"/>
      <c r="V15" s="2"/>
      <c r="W15" s="41"/>
      <c r="X15" s="41"/>
      <c r="Y15" s="41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 s="15" t="s">
        <v>28</v>
      </c>
      <c r="AH15">
        <v>2</v>
      </c>
      <c r="AI15"/>
    </row>
    <row r="16" spans="1:35" ht="15" hidden="1" customHeight="1" x14ac:dyDescent="0.25">
      <c r="A16" s="30">
        <v>6</v>
      </c>
      <c r="B16" s="65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41"/>
      <c r="Q16" s="41"/>
      <c r="R16" s="41"/>
      <c r="S16" s="2"/>
      <c r="T16" s="41"/>
      <c r="U16" s="41"/>
      <c r="V16" s="2"/>
      <c r="W16" s="41"/>
      <c r="X16" s="41"/>
      <c r="Y16" s="41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 s="15" t="s">
        <v>27</v>
      </c>
      <c r="AH16">
        <v>10</v>
      </c>
      <c r="AI16"/>
    </row>
    <row r="17" spans="1:35" hidden="1" x14ac:dyDescent="0.25">
      <c r="B17" s="65" t="s">
        <v>55</v>
      </c>
      <c r="C17" s="2" t="s">
        <v>49</v>
      </c>
      <c r="D17" s="66" t="s">
        <v>96</v>
      </c>
      <c r="E17" s="13">
        <v>0.375</v>
      </c>
      <c r="F17" s="2">
        <v>0.28000000000000003</v>
      </c>
      <c r="G17" s="3"/>
      <c r="H17" s="3"/>
      <c r="I17" s="44"/>
      <c r="J17" s="2"/>
      <c r="K17" s="2"/>
      <c r="L17" s="2"/>
      <c r="M17" s="2"/>
      <c r="N17" s="2"/>
      <c r="O17" s="8">
        <f t="shared" si="0"/>
        <v>0</v>
      </c>
      <c r="P17" s="41"/>
      <c r="Q17" s="41"/>
      <c r="R17" s="41"/>
      <c r="S17" s="2"/>
      <c r="T17" s="41"/>
      <c r="U17" s="41"/>
      <c r="V17" s="2"/>
      <c r="W17" s="41"/>
      <c r="X17" s="41"/>
      <c r="Y17" s="41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 s="15" t="s">
        <v>32</v>
      </c>
      <c r="AH17">
        <v>180</v>
      </c>
      <c r="AI17"/>
    </row>
    <row r="18" spans="1:35" hidden="1" x14ac:dyDescent="0.25">
      <c r="B18" s="65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>
        <v>960</v>
      </c>
      <c r="J18" s="2"/>
      <c r="K18" s="2"/>
      <c r="L18" s="2"/>
      <c r="M18" s="2"/>
      <c r="N18" s="2"/>
      <c r="O18" s="8">
        <f t="shared" si="0"/>
        <v>-182</v>
      </c>
      <c r="P18" s="41">
        <v>842</v>
      </c>
      <c r="Q18" s="41"/>
      <c r="R18" s="41"/>
      <c r="S18" s="41">
        <v>300</v>
      </c>
      <c r="T18" s="41"/>
      <c r="U18" s="41"/>
      <c r="V18" s="2"/>
      <c r="W18" s="41"/>
      <c r="X18" s="41"/>
      <c r="Y18" s="41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hidden="1" x14ac:dyDescent="0.25">
      <c r="B19" s="65" t="s">
        <v>55</v>
      </c>
      <c r="C19" s="2" t="s">
        <v>49</v>
      </c>
      <c r="D19" s="2" t="s">
        <v>98</v>
      </c>
      <c r="E19" s="13">
        <v>0.3125</v>
      </c>
      <c r="F19" s="2">
        <v>0.28000000000000003</v>
      </c>
      <c r="G19" s="3"/>
      <c r="H19" s="3"/>
      <c r="I19" s="73">
        <v>4386</v>
      </c>
      <c r="J19" s="2"/>
      <c r="K19" s="2"/>
      <c r="L19" s="2"/>
      <c r="M19" s="2"/>
      <c r="N19" s="2"/>
      <c r="O19" s="8">
        <f t="shared" si="0"/>
        <v>-2170</v>
      </c>
      <c r="P19" s="41">
        <v>4556</v>
      </c>
      <c r="Q19" s="41">
        <v>2000</v>
      </c>
      <c r="R19" s="41"/>
      <c r="S19" s="41"/>
      <c r="T19" s="41"/>
      <c r="V19" s="2"/>
      <c r="W19" s="41"/>
      <c r="X19" s="41"/>
      <c r="Y19" s="41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x14ac:dyDescent="0.25">
      <c r="B20" s="65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>
        <v>2376</v>
      </c>
      <c r="J20" s="2"/>
      <c r="K20" s="2"/>
      <c r="L20" s="2"/>
      <c r="M20" s="2"/>
      <c r="N20" s="2"/>
      <c r="O20" s="8">
        <f t="shared" si="0"/>
        <v>2376</v>
      </c>
      <c r="P20" s="41"/>
      <c r="Q20" s="41"/>
      <c r="R20" s="41"/>
      <c r="S20" s="41"/>
      <c r="T20" s="41"/>
      <c r="U20" s="41"/>
      <c r="V20" s="2"/>
      <c r="W20" s="41"/>
      <c r="X20" s="41"/>
      <c r="Y20" s="41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B21" s="65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72">
        <v>3960</v>
      </c>
      <c r="J21" s="2"/>
      <c r="K21" s="2"/>
      <c r="L21" s="2"/>
      <c r="M21" s="2"/>
      <c r="N21" s="2"/>
      <c r="O21" s="8">
        <f t="shared" si="0"/>
        <v>3160</v>
      </c>
      <c r="P21" s="41"/>
      <c r="Q21" s="41"/>
      <c r="R21" s="41"/>
      <c r="S21" s="41">
        <v>800</v>
      </c>
      <c r="T21" s="41"/>
      <c r="U21" s="41"/>
      <c r="V21" s="2"/>
      <c r="W21" s="41"/>
      <c r="X21" s="41"/>
      <c r="Y21" s="41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B22" s="65" t="s">
        <v>55</v>
      </c>
      <c r="C22" s="2" t="s">
        <v>49</v>
      </c>
      <c r="D22" s="2" t="s">
        <v>101</v>
      </c>
      <c r="E22" s="13">
        <v>0.3125</v>
      </c>
      <c r="F22" s="2">
        <v>0.28000000000000003</v>
      </c>
      <c r="G22" s="3"/>
      <c r="H22" s="3"/>
      <c r="I22" s="72">
        <v>2376</v>
      </c>
      <c r="J22" s="2"/>
      <c r="K22" s="2"/>
      <c r="L22" s="2"/>
      <c r="M22" s="2"/>
      <c r="N22" s="2"/>
      <c r="O22" s="8">
        <f>+I22+J22+K22+L22+M22+N22-SUM(P22:Z22)</f>
        <v>99</v>
      </c>
      <c r="P22" s="41"/>
      <c r="Q22" s="41"/>
      <c r="R22" s="41">
        <v>1677</v>
      </c>
      <c r="S22" s="41">
        <v>600</v>
      </c>
      <c r="T22" s="41"/>
      <c r="U22" s="41"/>
      <c r="V22" s="2"/>
      <c r="W22" s="41"/>
      <c r="X22" s="41"/>
      <c r="Y22" s="41"/>
      <c r="Z22" s="2"/>
      <c r="AA22" s="7">
        <f t="shared" si="1"/>
        <v>0</v>
      </c>
      <c r="AB22" s="8"/>
      <c r="AC22" s="8"/>
      <c r="AD22" s="8"/>
      <c r="AE22" s="8" t="e">
        <f t="shared" si="2"/>
        <v>#DIV/0!</v>
      </c>
      <c r="AF22"/>
      <c r="AG22"/>
      <c r="AH22"/>
      <c r="AI22"/>
    </row>
    <row r="23" spans="1:35" hidden="1" x14ac:dyDescent="0.25">
      <c r="A23" s="26">
        <v>13</v>
      </c>
      <c r="B23" s="65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-300</v>
      </c>
      <c r="P23" s="41"/>
      <c r="Q23" s="41"/>
      <c r="R23" s="41"/>
      <c r="S23" s="41">
        <v>300</v>
      </c>
      <c r="T23" s="41"/>
      <c r="U23" s="41"/>
      <c r="V23" s="2"/>
      <c r="W23" s="41"/>
      <c r="X23" s="41"/>
      <c r="Y23" s="41"/>
      <c r="Z23" s="2"/>
      <c r="AA23" s="7">
        <f t="shared" si="1"/>
        <v>0</v>
      </c>
      <c r="AB23" s="8"/>
      <c r="AC23" s="8"/>
      <c r="AD23" s="8"/>
      <c r="AE23" s="8" t="e">
        <f t="shared" si="2"/>
        <v>#DIV/0!</v>
      </c>
      <c r="AF23"/>
      <c r="AG23"/>
      <c r="AH23"/>
      <c r="AI23"/>
    </row>
    <row r="24" spans="1:35" hidden="1" x14ac:dyDescent="0.25">
      <c r="A24" s="2">
        <v>14</v>
      </c>
      <c r="B24" s="65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41"/>
      <c r="U24" s="41"/>
      <c r="V24" s="2"/>
      <c r="W24" s="41"/>
      <c r="X24" s="41"/>
      <c r="Y24" s="41"/>
      <c r="Z24" s="2"/>
      <c r="AA24" s="7">
        <f t="shared" si="1"/>
        <v>0</v>
      </c>
      <c r="AB24" s="8"/>
      <c r="AC24" s="8"/>
      <c r="AD24" s="8"/>
      <c r="AE24" s="8" t="e">
        <f t="shared" si="2"/>
        <v>#DIV/0!</v>
      </c>
      <c r="AF24"/>
      <c r="AG24"/>
      <c r="AH24"/>
      <c r="AI24"/>
    </row>
    <row r="25" spans="1:35" hidden="1" x14ac:dyDescent="0.25">
      <c r="A25" s="2">
        <v>15</v>
      </c>
      <c r="B25" s="65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41"/>
      <c r="U25" s="41"/>
      <c r="V25" s="2"/>
      <c r="W25" s="41"/>
      <c r="X25" s="41"/>
      <c r="Y25" s="41"/>
      <c r="Z25" s="2"/>
      <c r="AA25" s="7">
        <f t="shared" si="1"/>
        <v>0</v>
      </c>
      <c r="AB25" s="8"/>
      <c r="AC25" s="8"/>
      <c r="AD25" s="8"/>
      <c r="AE25" s="8" t="e">
        <f t="shared" si="2"/>
        <v>#DIV/0!</v>
      </c>
      <c r="AF25"/>
      <c r="AG25"/>
      <c r="AH25"/>
      <c r="AI25"/>
    </row>
    <row r="26" spans="1:35" hidden="1" x14ac:dyDescent="0.25">
      <c r="A26" s="2">
        <v>16</v>
      </c>
      <c r="B26" s="65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41"/>
      <c r="U26" s="41"/>
      <c r="V26" s="2"/>
      <c r="W26" s="41"/>
      <c r="X26" s="41"/>
      <c r="Y26" s="41"/>
      <c r="Z26" s="2"/>
      <c r="AA26" s="7">
        <f t="shared" si="1"/>
        <v>0</v>
      </c>
      <c r="AB26" s="8"/>
      <c r="AC26" s="8"/>
      <c r="AD26" s="8"/>
      <c r="AE26" s="8" t="e">
        <f t="shared" si="2"/>
        <v>#DIV/0!</v>
      </c>
      <c r="AF26"/>
      <c r="AG26"/>
      <c r="AH26"/>
      <c r="AI26"/>
    </row>
    <row r="27" spans="1:35" hidden="1" x14ac:dyDescent="0.25">
      <c r="A27" s="2">
        <v>17</v>
      </c>
      <c r="B27" s="5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41"/>
      <c r="U27" s="41"/>
      <c r="V27" s="2"/>
      <c r="W27" s="41"/>
      <c r="X27" s="41"/>
      <c r="Y27" s="41"/>
      <c r="Z27" s="2"/>
      <c r="AA27" s="7">
        <f t="shared" si="1"/>
        <v>0</v>
      </c>
      <c r="AB27" s="8"/>
      <c r="AC27" s="8"/>
      <c r="AD27" s="8"/>
      <c r="AE27" s="8">
        <v>0</v>
      </c>
      <c r="AF27"/>
      <c r="AG27"/>
      <c r="AH27"/>
      <c r="AI27"/>
    </row>
    <row r="28" spans="1:35" hidden="1" x14ac:dyDescent="0.25">
      <c r="A28" s="2">
        <v>18</v>
      </c>
      <c r="B28" s="5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41"/>
      <c r="U28" s="41"/>
      <c r="V28" s="2"/>
      <c r="W28" s="41"/>
      <c r="X28" s="41"/>
      <c r="Y28" s="41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hidden="1" x14ac:dyDescent="0.25">
      <c r="A29" s="2">
        <v>19</v>
      </c>
      <c r="B29" s="55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41"/>
      <c r="U29" s="41"/>
      <c r="V29" s="2"/>
      <c r="W29" s="41"/>
      <c r="X29" s="41"/>
      <c r="Y29" s="41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hidden="1" x14ac:dyDescent="0.25">
      <c r="A30" s="2">
        <v>20</v>
      </c>
      <c r="B30" s="55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41"/>
      <c r="U30" s="41"/>
      <c r="V30" s="2"/>
      <c r="W30" s="41"/>
      <c r="X30" s="41"/>
      <c r="Y30" s="41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hidden="1" x14ac:dyDescent="0.25">
      <c r="A31" s="2">
        <v>21</v>
      </c>
      <c r="B31" s="55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41"/>
      <c r="U31" s="41"/>
      <c r="V31" s="2"/>
      <c r="W31" s="41"/>
      <c r="X31" s="41"/>
      <c r="Y31" s="41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hidden="1" x14ac:dyDescent="0.25">
      <c r="A32" s="2">
        <v>22</v>
      </c>
      <c r="B32" s="55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41"/>
      <c r="U32" s="41"/>
      <c r="V32" s="2"/>
      <c r="W32" s="41"/>
      <c r="X32" s="41"/>
      <c r="Y32" s="41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hidden="1" x14ac:dyDescent="0.25">
      <c r="A33" s="2">
        <v>23</v>
      </c>
      <c r="B33" s="55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41"/>
      <c r="U33" s="41"/>
      <c r="V33" s="2"/>
      <c r="W33" s="41"/>
      <c r="X33" s="41"/>
      <c r="Y33" s="41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hidden="1" x14ac:dyDescent="0.25">
      <c r="A34" s="2">
        <v>24</v>
      </c>
      <c r="B34" s="55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41"/>
      <c r="U34" s="41"/>
      <c r="V34" s="2"/>
      <c r="W34" s="41"/>
      <c r="X34" s="41"/>
      <c r="Y34" s="41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hidden="1" x14ac:dyDescent="0.25">
      <c r="A35" s="2">
        <v>25</v>
      </c>
      <c r="B35" s="55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41"/>
      <c r="U35" s="41"/>
      <c r="V35" s="2"/>
      <c r="W35" s="41"/>
      <c r="X35" s="41"/>
      <c r="Y35" s="41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hidden="1" x14ac:dyDescent="0.25">
      <c r="A36" s="2">
        <v>26</v>
      </c>
      <c r="B36" s="55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41"/>
      <c r="U36" s="41"/>
      <c r="V36" s="2"/>
      <c r="W36" s="41"/>
      <c r="X36" s="41"/>
      <c r="Y36" s="41"/>
      <c r="Z36" s="2"/>
      <c r="AA36" s="7">
        <f t="shared" si="1"/>
        <v>0</v>
      </c>
      <c r="AB36" s="8"/>
      <c r="AC36" s="8"/>
      <c r="AD36" s="8"/>
      <c r="AE36" s="8">
        <v>0</v>
      </c>
      <c r="AF36"/>
    </row>
    <row r="37" spans="1:32" hidden="1" x14ac:dyDescent="0.25">
      <c r="A37" s="2">
        <v>27</v>
      </c>
      <c r="B37" s="55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2"/>
      <c r="Q37" s="2"/>
      <c r="R37" s="2"/>
      <c r="S37" s="2"/>
      <c r="T37" s="41"/>
      <c r="U37" s="41"/>
      <c r="V37" s="2"/>
      <c r="W37" s="41"/>
      <c r="X37" s="41"/>
      <c r="Y37" s="41"/>
      <c r="Z37" s="2"/>
      <c r="AA37" s="7">
        <f t="shared" si="1"/>
        <v>0</v>
      </c>
      <c r="AB37" s="8"/>
      <c r="AC37" s="8"/>
      <c r="AD37" s="8"/>
      <c r="AE37" s="8">
        <v>0</v>
      </c>
      <c r="AF37"/>
    </row>
    <row r="38" spans="1:32" hidden="1" x14ac:dyDescent="0.25">
      <c r="A38" s="2"/>
      <c r="B38" s="55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0"/>
        <v>0</v>
      </c>
      <c r="P38" s="2"/>
      <c r="Q38" s="2"/>
      <c r="R38" s="2"/>
      <c r="S38" s="2"/>
      <c r="T38" s="41"/>
      <c r="U38" s="41"/>
      <c r="V38" s="2"/>
      <c r="W38" s="41"/>
      <c r="X38" s="41"/>
      <c r="Y38" s="41"/>
      <c r="Z38" s="2"/>
      <c r="AA38" s="7">
        <f t="shared" si="1"/>
        <v>0</v>
      </c>
      <c r="AB38" s="8"/>
      <c r="AC38" s="8"/>
      <c r="AD38" s="8"/>
      <c r="AE38" s="8">
        <v>0</v>
      </c>
      <c r="AF38"/>
    </row>
    <row r="39" spans="1:32" hidden="1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0"/>
        <v>0</v>
      </c>
      <c r="P39" s="2"/>
      <c r="Q39" s="2"/>
      <c r="R39" s="2"/>
      <c r="S39" s="2"/>
      <c r="T39" s="41"/>
      <c r="U39" s="41"/>
      <c r="V39" s="2"/>
      <c r="W39" s="41"/>
      <c r="X39" s="41"/>
      <c r="Y39" s="41"/>
      <c r="Z39" s="2"/>
      <c r="AA39" s="7">
        <f t="shared" si="1"/>
        <v>0</v>
      </c>
      <c r="AB39" s="8"/>
      <c r="AC39" s="8"/>
      <c r="AD39" s="8"/>
      <c r="AE39" s="8">
        <v>0</v>
      </c>
      <c r="AF39"/>
    </row>
    <row r="40" spans="1:32" hidden="1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0"/>
        <v>0</v>
      </c>
      <c r="P40" s="2"/>
      <c r="Q40" s="2"/>
      <c r="R40" s="2"/>
      <c r="S40" s="2"/>
      <c r="T40" s="41"/>
      <c r="U40" s="41"/>
      <c r="V40" s="2"/>
      <c r="W40" s="41"/>
      <c r="X40" s="41"/>
      <c r="Y40" s="41"/>
      <c r="Z40" s="2"/>
      <c r="AA40" s="7">
        <f t="shared" si="1"/>
        <v>0</v>
      </c>
      <c r="AB40" s="8"/>
      <c r="AC40" s="8"/>
      <c r="AD40" s="8"/>
      <c r="AE40" s="8">
        <v>0</v>
      </c>
      <c r="AF40"/>
    </row>
    <row r="41" spans="1:32" hidden="1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0"/>
        <v>0</v>
      </c>
      <c r="P41" s="2"/>
      <c r="Q41" s="2"/>
      <c r="R41" s="2"/>
      <c r="S41" s="2"/>
      <c r="T41" s="41"/>
      <c r="U41" s="41"/>
      <c r="V41" s="2"/>
      <c r="W41" s="41"/>
      <c r="X41" s="41"/>
      <c r="Y41" s="41"/>
      <c r="Z41" s="2"/>
      <c r="AA41" s="7">
        <f t="shared" si="1"/>
        <v>0</v>
      </c>
      <c r="AB41" s="8"/>
      <c r="AC41" s="8"/>
      <c r="AD41" s="8"/>
      <c r="AE41" s="8" t="e">
        <f>+SUM(I41:N41)/AC41</f>
        <v>#DIV/0!</v>
      </c>
      <c r="AF41"/>
    </row>
    <row r="42" spans="1:32" x14ac:dyDescent="0.25">
      <c r="H42" s="4" t="s">
        <v>19</v>
      </c>
      <c r="I42" s="9">
        <f>SUM(I11:I41)</f>
        <v>32181</v>
      </c>
      <c r="J42" s="9">
        <f t="shared" ref="J42:AA42" si="3">SUM(J11:J41)</f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0</v>
      </c>
      <c r="O42" s="11">
        <v>22735</v>
      </c>
      <c r="P42" s="9">
        <f t="shared" si="3"/>
        <v>6398</v>
      </c>
      <c r="Q42" s="9">
        <f t="shared" si="3"/>
        <v>2000</v>
      </c>
      <c r="R42" s="9">
        <f t="shared" si="3"/>
        <v>2539</v>
      </c>
      <c r="S42" s="9">
        <f t="shared" si="3"/>
        <v>2000</v>
      </c>
      <c r="T42" s="46">
        <f t="shared" si="3"/>
        <v>0</v>
      </c>
      <c r="U42" s="9">
        <f t="shared" si="3"/>
        <v>0</v>
      </c>
      <c r="V42" s="76">
        <f t="shared" si="3"/>
        <v>0</v>
      </c>
      <c r="W42" s="9">
        <f t="shared" si="3"/>
        <v>0</v>
      </c>
      <c r="X42" s="46">
        <f t="shared" si="3"/>
        <v>0</v>
      </c>
      <c r="Y42" s="9">
        <f t="shared" si="3"/>
        <v>5400</v>
      </c>
      <c r="Z42" s="9">
        <f t="shared" si="3"/>
        <v>0</v>
      </c>
      <c r="AA42" s="9">
        <f t="shared" si="3"/>
        <v>0</v>
      </c>
      <c r="AE42" s="12" t="e">
        <f>SUM(AE11:AE41)</f>
        <v>#DIV/0!</v>
      </c>
    </row>
    <row r="43" spans="1:32" hidden="1" x14ac:dyDescent="0.25">
      <c r="H43" s="4" t="s">
        <v>21</v>
      </c>
      <c r="I43" s="99">
        <f>+I42+J42+K42+L42+M42+N42</f>
        <v>32181</v>
      </c>
      <c r="J43" s="99"/>
      <c r="K43" s="99"/>
      <c r="L43" s="99"/>
      <c r="M43" s="99"/>
      <c r="N43" s="99"/>
      <c r="P43" s="100">
        <f>+P42+Q42</f>
        <v>8398</v>
      </c>
      <c r="Q43" s="101"/>
      <c r="R43" s="100">
        <f>+R42+S42</f>
        <v>4539</v>
      </c>
      <c r="S43" s="101"/>
      <c r="T43" s="100">
        <f>+T42+U42</f>
        <v>0</v>
      </c>
      <c r="U43" s="101"/>
      <c r="V43" s="100">
        <f>+V42+W42</f>
        <v>0</v>
      </c>
      <c r="W43" s="101"/>
      <c r="X43" s="100">
        <f>+X42+Y42</f>
        <v>5400</v>
      </c>
      <c r="Y43" s="101"/>
      <c r="Z43" s="10">
        <f>+Z42</f>
        <v>0</v>
      </c>
    </row>
    <row r="45" spans="1:3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32" x14ac:dyDescent="0.25">
      <c r="A46" s="53" t="s">
        <v>108</v>
      </c>
      <c r="B46" s="61">
        <v>32181</v>
      </c>
      <c r="C46" s="2">
        <v>4755</v>
      </c>
      <c r="D46" s="2">
        <v>2377.5</v>
      </c>
      <c r="E46"/>
      <c r="F46"/>
    </row>
    <row r="47" spans="1:32" x14ac:dyDescent="0.25">
      <c r="A47" s="67" t="s">
        <v>109</v>
      </c>
      <c r="B47" s="8">
        <v>22735</v>
      </c>
      <c r="C47" s="2">
        <v>1862</v>
      </c>
      <c r="D47" s="2">
        <v>931</v>
      </c>
      <c r="E47"/>
      <c r="F47"/>
    </row>
    <row r="48" spans="1:32" x14ac:dyDescent="0.25">
      <c r="A48" s="53" t="s">
        <v>110</v>
      </c>
      <c r="B48" s="62">
        <f>B46-B47</f>
        <v>9446</v>
      </c>
      <c r="C48" s="2"/>
      <c r="D48" s="2"/>
      <c r="E48"/>
      <c r="F48"/>
    </row>
    <row r="49" spans="1:9" x14ac:dyDescent="0.25">
      <c r="A49" s="53" t="s">
        <v>111</v>
      </c>
      <c r="B49" s="63">
        <f>B48/B46</f>
        <v>0.29352723656816132</v>
      </c>
      <c r="C49" s="2"/>
      <c r="D49" s="2"/>
      <c r="E49"/>
      <c r="F49"/>
    </row>
    <row r="50" spans="1:9" x14ac:dyDescent="0.25">
      <c r="A50" s="53" t="s">
        <v>112</v>
      </c>
      <c r="B50" s="63">
        <f>B47/B46</f>
        <v>0.70647276343183862</v>
      </c>
      <c r="C50" s="2"/>
      <c r="D50" s="2"/>
      <c r="E50"/>
      <c r="F50"/>
    </row>
    <row r="52" spans="1:9" x14ac:dyDescent="0.25">
      <c r="B52" s="94" t="s">
        <v>123</v>
      </c>
      <c r="C52" s="94"/>
      <c r="D52" s="94"/>
      <c r="E52" s="94"/>
      <c r="F52" s="94"/>
      <c r="H52" s="44"/>
      <c r="I52" s="68"/>
    </row>
    <row r="53" spans="1:9" x14ac:dyDescent="0.25">
      <c r="A53" s="97" t="s">
        <v>113</v>
      </c>
      <c r="B53" s="57">
        <v>46279</v>
      </c>
      <c r="C53" s="57">
        <v>46280</v>
      </c>
      <c r="D53" s="57">
        <v>46281</v>
      </c>
      <c r="E53" s="57">
        <v>46282</v>
      </c>
      <c r="F53" s="58">
        <v>46283</v>
      </c>
      <c r="H53" s="44"/>
      <c r="I53" s="69"/>
    </row>
    <row r="54" spans="1:9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69"/>
    </row>
    <row r="55" spans="1:9" x14ac:dyDescent="0.25">
      <c r="A55" s="55" t="s">
        <v>119</v>
      </c>
      <c r="B55" s="54">
        <v>0.19</v>
      </c>
      <c r="C55" s="54">
        <v>0.28999999999999998</v>
      </c>
      <c r="D55" s="75"/>
      <c r="E55" s="60">
        <v>0.28999999999999998</v>
      </c>
      <c r="F55" s="71"/>
      <c r="H55" s="44"/>
      <c r="I55" s="69"/>
    </row>
    <row r="56" spans="1:9" x14ac:dyDescent="0.25">
      <c r="A56" s="56" t="s">
        <v>120</v>
      </c>
      <c r="B56" s="54">
        <v>0.81</v>
      </c>
      <c r="C56" s="54">
        <v>0.71</v>
      </c>
      <c r="D56" s="75"/>
      <c r="E56" s="60">
        <v>0.71</v>
      </c>
      <c r="F56" s="60"/>
      <c r="H56" s="69"/>
      <c r="I56" s="69"/>
    </row>
    <row r="57" spans="1:9" x14ac:dyDescent="0.25">
      <c r="H57" s="69"/>
      <c r="I57" s="69"/>
    </row>
    <row r="58" spans="1:9" x14ac:dyDescent="0.25">
      <c r="H58" s="69"/>
      <c r="I58" s="69"/>
    </row>
    <row r="59" spans="1:9" x14ac:dyDescent="0.25">
      <c r="H59" s="69"/>
      <c r="I59" s="69"/>
    </row>
    <row r="60" spans="1:9" x14ac:dyDescent="0.25">
      <c r="H60" s="69"/>
      <c r="I60" s="69"/>
    </row>
    <row r="61" spans="1:9" x14ac:dyDescent="0.25">
      <c r="H61" s="44"/>
      <c r="I61" s="69"/>
    </row>
  </sheetData>
  <autoFilter ref="B10:AE43" xr:uid="{00000000-0009-0000-0000-00000C000000}">
    <filterColumn colId="13">
      <customFilters>
        <customFilter operator="greaterThan" val="1"/>
      </customFilters>
    </filterColumn>
  </autoFilter>
  <mergeCells count="17">
    <mergeCell ref="B52:F52"/>
    <mergeCell ref="A53:A54"/>
    <mergeCell ref="T9:U9"/>
    <mergeCell ref="V9:W9"/>
    <mergeCell ref="X9:Y9"/>
    <mergeCell ref="I43:N43"/>
    <mergeCell ref="P43:Q43"/>
    <mergeCell ref="R43:S43"/>
    <mergeCell ref="T43:U43"/>
    <mergeCell ref="V43:W43"/>
    <mergeCell ref="X43:Y43"/>
    <mergeCell ref="R9:S9"/>
    <mergeCell ref="C7:D7"/>
    <mergeCell ref="B8:B9"/>
    <mergeCell ref="E9:F9"/>
    <mergeCell ref="J9:N9"/>
    <mergeCell ref="P9:Q9"/>
  </mergeCells>
  <pageMargins left="0.7" right="0.7" top="0.75" bottom="0.75" header="0.3" footer="0.3"/>
  <pageSetup paperSize="9" scale="74" orientation="landscape" r:id="rId2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AI61"/>
  <sheetViews>
    <sheetView topLeftCell="A4" zoomScaleNormal="100" zoomScaleSheetLayoutView="130" workbookViewId="0">
      <pane xSplit="15" topLeftCell="P1" activePane="topRight" state="frozen"/>
      <selection activeCell="J16" sqref="J16:J17"/>
      <selection pane="topRight" activeCell="I21" sqref="I21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s="77" customFormat="1" x14ac:dyDescent="0.25"/>
    <row r="2" spans="1:35" s="77" customFormat="1" x14ac:dyDescent="0.25"/>
    <row r="3" spans="1:35" s="77" customFormat="1" x14ac:dyDescent="0.25"/>
    <row r="4" spans="1:35" s="77" customFormat="1" x14ac:dyDescent="0.25"/>
    <row r="5" spans="1:35" s="77" customFormat="1" x14ac:dyDescent="0.25"/>
    <row r="7" spans="1:35" x14ac:dyDescent="0.25">
      <c r="B7" s="4" t="s">
        <v>17</v>
      </c>
      <c r="C7" s="91" t="s">
        <v>18</v>
      </c>
      <c r="D7" s="91"/>
    </row>
    <row r="8" spans="1:3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3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 t="s">
        <v>104</v>
      </c>
      <c r="K9" s="95"/>
      <c r="L9" s="95"/>
      <c r="M9" s="95"/>
      <c r="N9" s="95"/>
      <c r="P9" s="96">
        <v>46293</v>
      </c>
      <c r="Q9" s="96"/>
      <c r="R9" s="96">
        <v>46294</v>
      </c>
      <c r="S9" s="96"/>
      <c r="T9" s="96">
        <v>46295</v>
      </c>
      <c r="U9" s="96"/>
      <c r="V9" s="96">
        <v>46296</v>
      </c>
      <c r="W9" s="96"/>
      <c r="X9" s="96">
        <v>46297</v>
      </c>
      <c r="Y9" s="96"/>
      <c r="Z9" s="6"/>
    </row>
    <row r="10" spans="1:3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40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" t="s">
        <v>15</v>
      </c>
      <c r="U10" s="4" t="s">
        <v>16</v>
      </c>
      <c r="V10" s="4" t="s">
        <v>15</v>
      </c>
      <c r="W10" s="4" t="s">
        <v>16</v>
      </c>
      <c r="X10" s="4" t="s">
        <v>15</v>
      </c>
      <c r="Y10" s="4" t="s">
        <v>16</v>
      </c>
      <c r="Z10" s="4" t="s">
        <v>20</v>
      </c>
      <c r="AA10" s="4" t="s">
        <v>8</v>
      </c>
      <c r="AB10" s="4" t="s">
        <v>22</v>
      </c>
      <c r="AC10" s="4" t="s">
        <v>24</v>
      </c>
      <c r="AD10" s="4" t="s">
        <v>23</v>
      </c>
      <c r="AE10" s="4" t="s">
        <v>30</v>
      </c>
      <c r="AF10"/>
      <c r="AG10" t="s">
        <v>31</v>
      </c>
      <c r="AH10" t="s">
        <v>33</v>
      </c>
      <c r="AI10"/>
    </row>
    <row r="11" spans="1:35" hidden="1" x14ac:dyDescent="0.25">
      <c r="B11" s="49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 t="shared" ref="O11:O41" si="0">+I11+J11+K11+L11+M11+N11-SUM(P11:Z11)</f>
        <v>-3681</v>
      </c>
      <c r="P11" s="41"/>
      <c r="Q11" s="41"/>
      <c r="R11" s="41"/>
      <c r="S11" s="2">
        <v>3600</v>
      </c>
      <c r="T11" s="2">
        <v>2860</v>
      </c>
      <c r="U11" s="2"/>
      <c r="V11" s="2">
        <v>3250</v>
      </c>
      <c r="W11" s="2">
        <v>6600</v>
      </c>
      <c r="X11" s="2">
        <v>3980</v>
      </c>
      <c r="Y11" s="2">
        <v>1391</v>
      </c>
      <c r="Z11" s="2"/>
      <c r="AA11" s="7">
        <f t="shared" ref="AA11:AA41" si="1">+G11*SUM(I11:N11)</f>
        <v>0</v>
      </c>
      <c r="AB11" s="8"/>
      <c r="AC11" s="8"/>
      <c r="AD11" s="8"/>
      <c r="AE11" s="8" t="e">
        <f t="shared" ref="AE11:AE26" si="2">+SUM(I11:N11)/AC11</f>
        <v>#DIV/0!</v>
      </c>
      <c r="AF11"/>
      <c r="AG11" s="15">
        <v>0</v>
      </c>
      <c r="AH11">
        <v>0</v>
      </c>
      <c r="AI11"/>
    </row>
    <row r="12" spans="1:35" hidden="1" x14ac:dyDescent="0.25">
      <c r="A12" s="70">
        <v>2</v>
      </c>
      <c r="B12" s="65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si="0"/>
        <v>0</v>
      </c>
      <c r="P12" s="41"/>
      <c r="Q12" s="41"/>
      <c r="R12" s="41"/>
      <c r="S12" s="2"/>
      <c r="T12" s="2"/>
      <c r="U12" s="2"/>
      <c r="V12" s="2"/>
      <c r="W12" s="2"/>
      <c r="X12" s="2"/>
      <c r="Y12" s="2"/>
      <c r="Z12" s="2"/>
      <c r="AA12" s="7">
        <f t="shared" si="1"/>
        <v>0</v>
      </c>
      <c r="AB12" s="8"/>
      <c r="AC12" s="8"/>
      <c r="AD12" s="8"/>
      <c r="AE12" s="8" t="e">
        <f t="shared" si="2"/>
        <v>#DIV/0!</v>
      </c>
      <c r="AF12"/>
      <c r="AG12" s="15" t="s">
        <v>25</v>
      </c>
      <c r="AH12">
        <v>52</v>
      </c>
      <c r="AI12"/>
    </row>
    <row r="13" spans="1:35" hidden="1" x14ac:dyDescent="0.25">
      <c r="B13" s="65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/>
      <c r="J13" s="2"/>
      <c r="K13" s="2"/>
      <c r="L13" s="2"/>
      <c r="M13" s="2"/>
      <c r="N13" s="2"/>
      <c r="O13" s="8">
        <f>+I13+J13+K13+L13+M13+N13-SUM(P13:Z13)</f>
        <v>0</v>
      </c>
      <c r="P13" s="41"/>
      <c r="Q13" s="41"/>
      <c r="R13" s="41"/>
      <c r="S13" s="2"/>
      <c r="T13" s="2"/>
      <c r="U13" s="2"/>
      <c r="V13" s="2"/>
      <c r="W13" s="2"/>
      <c r="X13" s="2"/>
      <c r="Y13" s="2"/>
      <c r="Z13" s="2"/>
      <c r="AA13" s="7">
        <f t="shared" si="1"/>
        <v>0</v>
      </c>
      <c r="AB13" s="8"/>
      <c r="AC13" s="8"/>
      <c r="AD13" s="8"/>
      <c r="AE13" s="8" t="e">
        <f t="shared" si="2"/>
        <v>#DIV/0!</v>
      </c>
      <c r="AF13"/>
      <c r="AG13" s="15" t="s">
        <v>29</v>
      </c>
      <c r="AH13">
        <v>0</v>
      </c>
      <c r="AI13"/>
    </row>
    <row r="14" spans="1:35" hidden="1" x14ac:dyDescent="0.25">
      <c r="B14" s="65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/>
      <c r="J14" s="2"/>
      <c r="K14" s="2"/>
      <c r="L14" s="2"/>
      <c r="M14" s="2"/>
      <c r="N14" s="2"/>
      <c r="O14" s="8">
        <f t="shared" si="0"/>
        <v>0</v>
      </c>
      <c r="P14" s="41"/>
      <c r="Q14" s="41"/>
      <c r="R14" s="41"/>
      <c r="S14" s="2"/>
      <c r="T14" s="2"/>
      <c r="U14" s="2"/>
      <c r="V14" s="2"/>
      <c r="W14" s="2"/>
      <c r="X14" s="2"/>
      <c r="Y14" s="2"/>
      <c r="Z14" s="2"/>
      <c r="AA14" s="7">
        <f t="shared" si="1"/>
        <v>0</v>
      </c>
      <c r="AB14" s="8"/>
      <c r="AC14" s="8"/>
      <c r="AD14" s="8"/>
      <c r="AE14" s="8" t="e">
        <f t="shared" si="2"/>
        <v>#DIV/0!</v>
      </c>
      <c r="AF14"/>
      <c r="AG14" s="15" t="s">
        <v>26</v>
      </c>
      <c r="AH14">
        <v>116</v>
      </c>
      <c r="AI14"/>
    </row>
    <row r="15" spans="1:35" ht="15" hidden="1" customHeight="1" x14ac:dyDescent="0.25">
      <c r="A15" s="26">
        <v>5</v>
      </c>
      <c r="B15" s="65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41"/>
      <c r="Q15" s="41"/>
      <c r="R15" s="41"/>
      <c r="S15" s="2"/>
      <c r="T15" s="2"/>
      <c r="U15" s="2"/>
      <c r="V15" s="2"/>
      <c r="W15" s="2"/>
      <c r="X15" s="2"/>
      <c r="Y15" s="2"/>
      <c r="Z15" s="2"/>
      <c r="AA15" s="7">
        <f t="shared" si="1"/>
        <v>0</v>
      </c>
      <c r="AB15" s="8"/>
      <c r="AC15" s="8"/>
      <c r="AD15" s="8"/>
      <c r="AE15" s="8" t="e">
        <f t="shared" si="2"/>
        <v>#DIV/0!</v>
      </c>
      <c r="AF15"/>
      <c r="AG15" s="15" t="s">
        <v>28</v>
      </c>
      <c r="AH15">
        <v>2</v>
      </c>
      <c r="AI15"/>
    </row>
    <row r="16" spans="1:35" ht="15" hidden="1" customHeight="1" x14ac:dyDescent="0.25">
      <c r="A16" s="30">
        <v>6</v>
      </c>
      <c r="B16" s="65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41"/>
      <c r="Q16" s="41"/>
      <c r="R16" s="41"/>
      <c r="S16" s="2"/>
      <c r="T16" s="2"/>
      <c r="U16" s="2"/>
      <c r="V16" s="2"/>
      <c r="W16" s="2"/>
      <c r="X16" s="2"/>
      <c r="Y16" s="2"/>
      <c r="Z16" s="2"/>
      <c r="AA16" s="7">
        <f t="shared" si="1"/>
        <v>0</v>
      </c>
      <c r="AB16" s="8"/>
      <c r="AC16" s="8"/>
      <c r="AD16" s="8"/>
      <c r="AE16" s="8" t="e">
        <f t="shared" si="2"/>
        <v>#DIV/0!</v>
      </c>
      <c r="AF16"/>
      <c r="AG16" s="15" t="s">
        <v>27</v>
      </c>
      <c r="AH16">
        <v>10</v>
      </c>
      <c r="AI16"/>
    </row>
    <row r="17" spans="1:35" hidden="1" x14ac:dyDescent="0.25">
      <c r="B17" s="65" t="s">
        <v>55</v>
      </c>
      <c r="C17" s="2" t="s">
        <v>49</v>
      </c>
      <c r="D17" s="41" t="s">
        <v>96</v>
      </c>
      <c r="E17" s="13">
        <v>0.375</v>
      </c>
      <c r="F17" s="2">
        <v>0.28000000000000003</v>
      </c>
      <c r="G17" s="3"/>
      <c r="H17" s="3"/>
      <c r="I17" s="44"/>
      <c r="J17" s="2"/>
      <c r="K17" s="2"/>
      <c r="L17" s="2"/>
      <c r="M17" s="2"/>
      <c r="N17" s="2"/>
      <c r="O17" s="8">
        <f t="shared" si="0"/>
        <v>0</v>
      </c>
      <c r="P17" s="41"/>
      <c r="Q17" s="41"/>
      <c r="R17" s="41"/>
      <c r="S17" s="2"/>
      <c r="T17" s="2"/>
      <c r="U17" s="2"/>
      <c r="V17" s="2"/>
      <c r="W17" s="2"/>
      <c r="X17" s="2"/>
      <c r="Y17" s="2"/>
      <c r="Z17" s="2"/>
      <c r="AA17" s="7">
        <f t="shared" si="1"/>
        <v>0</v>
      </c>
      <c r="AB17" s="8"/>
      <c r="AC17" s="8"/>
      <c r="AD17" s="8"/>
      <c r="AE17" s="8" t="e">
        <f t="shared" si="2"/>
        <v>#DIV/0!</v>
      </c>
      <c r="AF17"/>
      <c r="AG17" s="15" t="s">
        <v>32</v>
      </c>
      <c r="AH17">
        <v>180</v>
      </c>
      <c r="AI17"/>
    </row>
    <row r="18" spans="1:35" hidden="1" x14ac:dyDescent="0.25">
      <c r="B18" s="65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/>
      <c r="J18" s="2"/>
      <c r="K18" s="2"/>
      <c r="L18" s="2"/>
      <c r="M18" s="2"/>
      <c r="N18" s="2"/>
      <c r="O18" s="8">
        <f t="shared" si="0"/>
        <v>0</v>
      </c>
      <c r="P18" s="41"/>
      <c r="Q18" s="41"/>
      <c r="R18" s="41"/>
      <c r="S18" s="41"/>
      <c r="T18" s="2"/>
      <c r="U18" s="2"/>
      <c r="V18" s="2"/>
      <c r="W18" s="2"/>
      <c r="X18" s="2"/>
      <c r="Y18" s="2"/>
      <c r="Z18" s="2"/>
      <c r="AA18" s="7">
        <f t="shared" si="1"/>
        <v>0</v>
      </c>
      <c r="AB18" s="8"/>
      <c r="AC18" s="8"/>
      <c r="AD18" s="8"/>
      <c r="AE18" s="8" t="e">
        <f t="shared" si="2"/>
        <v>#DIV/0!</v>
      </c>
      <c r="AF18"/>
      <c r="AG18"/>
      <c r="AH18"/>
      <c r="AI18"/>
    </row>
    <row r="19" spans="1:35" x14ac:dyDescent="0.25">
      <c r="B19" s="65" t="s">
        <v>55</v>
      </c>
      <c r="C19" s="2" t="s">
        <v>49</v>
      </c>
      <c r="D19" s="66" t="s">
        <v>98</v>
      </c>
      <c r="E19" s="13">
        <v>0.3125</v>
      </c>
      <c r="F19" s="2">
        <v>0.28000000000000003</v>
      </c>
      <c r="G19" s="3"/>
      <c r="H19" s="3"/>
      <c r="I19" s="73">
        <v>14000</v>
      </c>
      <c r="J19" s="2"/>
      <c r="K19" s="2"/>
      <c r="L19" s="2"/>
      <c r="M19" s="2"/>
      <c r="N19" s="2"/>
      <c r="O19" s="8">
        <f t="shared" si="0"/>
        <v>11291</v>
      </c>
      <c r="P19" s="66">
        <v>2709</v>
      </c>
      <c r="Q19" s="41"/>
      <c r="R19" s="41"/>
      <c r="S19" s="41"/>
      <c r="T19" s="2"/>
      <c r="V19" s="2"/>
      <c r="W19" s="2"/>
      <c r="X19" s="2"/>
      <c r="Y19" s="2"/>
      <c r="Z19" s="2"/>
      <c r="AA19" s="7">
        <f t="shared" si="1"/>
        <v>0</v>
      </c>
      <c r="AB19" s="8"/>
      <c r="AC19" s="8"/>
      <c r="AD19" s="8"/>
      <c r="AE19" s="8" t="e">
        <f t="shared" si="2"/>
        <v>#DIV/0!</v>
      </c>
      <c r="AF19"/>
      <c r="AG19"/>
      <c r="AH19"/>
      <c r="AI19"/>
    </row>
    <row r="20" spans="1:35" hidden="1" x14ac:dyDescent="0.25">
      <c r="B20" s="65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>
        <v>6200</v>
      </c>
      <c r="J20" s="2"/>
      <c r="K20" s="2"/>
      <c r="L20" s="2"/>
      <c r="M20" s="2"/>
      <c r="N20" s="2"/>
      <c r="O20" s="8">
        <f t="shared" si="0"/>
        <v>-1200</v>
      </c>
      <c r="P20" s="41"/>
      <c r="Q20" s="41"/>
      <c r="R20" s="41"/>
      <c r="S20" s="41"/>
      <c r="T20" s="2"/>
      <c r="U20" s="2"/>
      <c r="V20" s="2">
        <v>3000</v>
      </c>
      <c r="W20" s="2">
        <v>2000</v>
      </c>
      <c r="X20" s="2">
        <v>2400</v>
      </c>
      <c r="Y20" s="2"/>
      <c r="Z20" s="2"/>
      <c r="AA20" s="7">
        <f t="shared" si="1"/>
        <v>0</v>
      </c>
      <c r="AB20" s="8"/>
      <c r="AC20" s="8"/>
      <c r="AD20" s="8"/>
      <c r="AE20" s="8" t="e">
        <f t="shared" si="2"/>
        <v>#DIV/0!</v>
      </c>
      <c r="AF20"/>
      <c r="AG20"/>
      <c r="AH20"/>
      <c r="AI20"/>
    </row>
    <row r="21" spans="1:35" x14ac:dyDescent="0.25">
      <c r="B21" s="65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72">
        <v>10800</v>
      </c>
      <c r="J21" s="2"/>
      <c r="K21" s="2"/>
      <c r="L21" s="2"/>
      <c r="M21" s="2"/>
      <c r="N21" s="2"/>
      <c r="O21" s="8">
        <f t="shared" si="0"/>
        <v>10800</v>
      </c>
      <c r="P21" s="41"/>
      <c r="Q21" s="41"/>
      <c r="R21" s="41"/>
      <c r="S21" s="41"/>
      <c r="T21" s="2"/>
      <c r="U21" s="2"/>
      <c r="V21" s="2"/>
      <c r="W21" s="2"/>
      <c r="X21" s="2"/>
      <c r="Y21" s="2"/>
      <c r="Z21" s="2"/>
      <c r="AA21" s="7">
        <f t="shared" si="1"/>
        <v>0</v>
      </c>
      <c r="AB21" s="8"/>
      <c r="AC21" s="8"/>
      <c r="AD21" s="8"/>
      <c r="AE21" s="8" t="e">
        <f t="shared" si="2"/>
        <v>#DIV/0!</v>
      </c>
      <c r="AF21"/>
      <c r="AG21"/>
      <c r="AH21"/>
      <c r="AI21"/>
    </row>
    <row r="22" spans="1:35" x14ac:dyDescent="0.25">
      <c r="B22" s="65" t="s">
        <v>55</v>
      </c>
      <c r="C22" s="2" t="s">
        <v>49</v>
      </c>
      <c r="D22" s="2" t="s">
        <v>101</v>
      </c>
      <c r="E22" s="13">
        <v>0.3125</v>
      </c>
      <c r="F22" s="2">
        <v>0.28000000000000003</v>
      </c>
      <c r="G22" s="3"/>
      <c r="H22" s="3"/>
      <c r="I22" s="72">
        <v>6200</v>
      </c>
      <c r="J22" s="2"/>
      <c r="K22" s="2"/>
      <c r="L22" s="2"/>
      <c r="M22" s="2"/>
      <c r="N22" s="2"/>
      <c r="O22" s="8">
        <f>+I22+J22+K22+L22+M22+N22-SUM(P22:Z22)</f>
        <v>6200</v>
      </c>
      <c r="P22" s="41"/>
      <c r="Q22" s="41"/>
      <c r="R22" s="41"/>
      <c r="S22" s="41"/>
      <c r="T22" s="2"/>
      <c r="U22" s="2"/>
      <c r="V22" s="2"/>
      <c r="W22" s="2"/>
      <c r="X22" s="2"/>
      <c r="Y22" s="2"/>
      <c r="Z22" s="2"/>
      <c r="AA22" s="7">
        <f t="shared" si="1"/>
        <v>0</v>
      </c>
      <c r="AB22" s="8"/>
      <c r="AC22" s="8"/>
      <c r="AD22" s="8"/>
      <c r="AE22" s="8" t="e">
        <f t="shared" si="2"/>
        <v>#DIV/0!</v>
      </c>
      <c r="AF22"/>
      <c r="AG22"/>
      <c r="AH22"/>
      <c r="AI22"/>
    </row>
    <row r="23" spans="1:35" hidden="1" x14ac:dyDescent="0.25">
      <c r="A23" s="26">
        <v>13</v>
      </c>
      <c r="B23" s="65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41"/>
      <c r="Q23" s="41"/>
      <c r="R23" s="41"/>
      <c r="S23" s="41"/>
      <c r="T23" s="2"/>
      <c r="U23" s="2"/>
      <c r="V23" s="2"/>
      <c r="W23" s="2"/>
      <c r="X23" s="2"/>
      <c r="Y23" s="2"/>
      <c r="Z23" s="2"/>
      <c r="AA23" s="7">
        <f t="shared" si="1"/>
        <v>0</v>
      </c>
      <c r="AB23" s="8"/>
      <c r="AC23" s="8"/>
      <c r="AD23" s="8"/>
      <c r="AE23" s="8" t="e">
        <f t="shared" si="2"/>
        <v>#DIV/0!</v>
      </c>
      <c r="AF23"/>
      <c r="AG23"/>
      <c r="AH23"/>
      <c r="AI23"/>
    </row>
    <row r="24" spans="1:35" hidden="1" x14ac:dyDescent="0.25">
      <c r="A24" s="2">
        <v>14</v>
      </c>
      <c r="B24" s="65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-300</v>
      </c>
      <c r="P24" s="66">
        <v>300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7">
        <f t="shared" si="1"/>
        <v>0</v>
      </c>
      <c r="AB24" s="8"/>
      <c r="AC24" s="8"/>
      <c r="AD24" s="8"/>
      <c r="AE24" s="8" t="e">
        <f t="shared" si="2"/>
        <v>#DIV/0!</v>
      </c>
      <c r="AF24"/>
      <c r="AG24"/>
      <c r="AH24"/>
      <c r="AI24"/>
    </row>
    <row r="25" spans="1:35" hidden="1" x14ac:dyDescent="0.25">
      <c r="A25" s="2">
        <v>15</v>
      </c>
      <c r="B25" s="65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7">
        <f t="shared" si="1"/>
        <v>0</v>
      </c>
      <c r="AB25" s="8"/>
      <c r="AC25" s="8"/>
      <c r="AD25" s="8"/>
      <c r="AE25" s="8" t="e">
        <f t="shared" si="2"/>
        <v>#DIV/0!</v>
      </c>
      <c r="AF25"/>
      <c r="AG25"/>
      <c r="AH25"/>
      <c r="AI25"/>
    </row>
    <row r="26" spans="1:35" hidden="1" x14ac:dyDescent="0.25">
      <c r="A26" s="2">
        <v>16</v>
      </c>
      <c r="B26" s="65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7">
        <f t="shared" si="1"/>
        <v>0</v>
      </c>
      <c r="AB26" s="8"/>
      <c r="AC26" s="8"/>
      <c r="AD26" s="8"/>
      <c r="AE26" s="8" t="e">
        <f t="shared" si="2"/>
        <v>#DIV/0!</v>
      </c>
      <c r="AF26"/>
      <c r="AG26"/>
      <c r="AH26"/>
      <c r="AI26"/>
    </row>
    <row r="27" spans="1:35" hidden="1" x14ac:dyDescent="0.25">
      <c r="A27" s="2">
        <v>17</v>
      </c>
      <c r="B27" s="5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7">
        <f t="shared" si="1"/>
        <v>0</v>
      </c>
      <c r="AB27" s="8"/>
      <c r="AC27" s="8"/>
      <c r="AD27" s="8"/>
      <c r="AE27" s="8">
        <v>0</v>
      </c>
      <c r="AF27"/>
      <c r="AG27"/>
      <c r="AH27"/>
      <c r="AI27"/>
    </row>
    <row r="28" spans="1:35" hidden="1" x14ac:dyDescent="0.25">
      <c r="A28" s="2">
        <v>18</v>
      </c>
      <c r="B28" s="5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7">
        <f t="shared" si="1"/>
        <v>0</v>
      </c>
      <c r="AB28" s="8"/>
      <c r="AC28" s="8"/>
      <c r="AD28" s="8"/>
      <c r="AE28" s="8">
        <v>0</v>
      </c>
      <c r="AF28"/>
    </row>
    <row r="29" spans="1:35" hidden="1" x14ac:dyDescent="0.25">
      <c r="A29" s="2">
        <v>19</v>
      </c>
      <c r="B29" s="55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7">
        <f t="shared" si="1"/>
        <v>0</v>
      </c>
      <c r="AB29" s="8"/>
      <c r="AC29" s="8"/>
      <c r="AD29" s="8"/>
      <c r="AE29" s="8">
        <v>0</v>
      </c>
      <c r="AF29"/>
    </row>
    <row r="30" spans="1:35" hidden="1" x14ac:dyDescent="0.25">
      <c r="A30" s="2">
        <v>20</v>
      </c>
      <c r="B30" s="55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7">
        <f t="shared" si="1"/>
        <v>0</v>
      </c>
      <c r="AB30" s="8"/>
      <c r="AC30" s="8"/>
      <c r="AD30" s="8"/>
      <c r="AE30" s="8">
        <v>0</v>
      </c>
      <c r="AF30"/>
    </row>
    <row r="31" spans="1:35" hidden="1" x14ac:dyDescent="0.25">
      <c r="A31" s="2">
        <v>21</v>
      </c>
      <c r="B31" s="55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7">
        <f t="shared" si="1"/>
        <v>0</v>
      </c>
      <c r="AB31" s="8"/>
      <c r="AC31" s="8"/>
      <c r="AD31" s="8"/>
      <c r="AE31" s="8">
        <v>0</v>
      </c>
      <c r="AF31"/>
    </row>
    <row r="32" spans="1:35" hidden="1" x14ac:dyDescent="0.25">
      <c r="A32" s="2">
        <v>22</v>
      </c>
      <c r="B32" s="55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7">
        <f t="shared" si="1"/>
        <v>0</v>
      </c>
      <c r="AB32" s="8"/>
      <c r="AC32" s="8"/>
      <c r="AD32" s="8"/>
      <c r="AE32" s="8">
        <v>0</v>
      </c>
      <c r="AF32"/>
    </row>
    <row r="33" spans="1:32" hidden="1" x14ac:dyDescent="0.25">
      <c r="A33" s="2">
        <v>23</v>
      </c>
      <c r="B33" s="55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7">
        <f t="shared" si="1"/>
        <v>0</v>
      </c>
      <c r="AB33" s="8"/>
      <c r="AC33" s="8"/>
      <c r="AD33" s="8"/>
      <c r="AE33" s="8">
        <v>0</v>
      </c>
      <c r="AF33"/>
    </row>
    <row r="34" spans="1:32" hidden="1" x14ac:dyDescent="0.25">
      <c r="A34" s="2">
        <v>24</v>
      </c>
      <c r="B34" s="55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7">
        <f t="shared" si="1"/>
        <v>0</v>
      </c>
      <c r="AB34" s="8"/>
      <c r="AC34" s="8"/>
      <c r="AD34" s="8"/>
      <c r="AE34" s="8">
        <v>0</v>
      </c>
      <c r="AF34"/>
    </row>
    <row r="35" spans="1:32" hidden="1" x14ac:dyDescent="0.25">
      <c r="A35" s="2">
        <v>25</v>
      </c>
      <c r="B35" s="55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7">
        <f t="shared" si="1"/>
        <v>0</v>
      </c>
      <c r="AB35" s="8"/>
      <c r="AC35" s="8"/>
      <c r="AD35" s="8"/>
      <c r="AE35" s="8">
        <v>0</v>
      </c>
      <c r="AF35"/>
    </row>
    <row r="36" spans="1:32" hidden="1" x14ac:dyDescent="0.25">
      <c r="A36" s="2">
        <v>26</v>
      </c>
      <c r="B36" s="55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7">
        <f t="shared" si="1"/>
        <v>0</v>
      </c>
      <c r="AB36" s="8"/>
      <c r="AC36" s="8"/>
      <c r="AD36" s="8"/>
      <c r="AE36" s="8">
        <v>0</v>
      </c>
      <c r="AF36"/>
    </row>
    <row r="37" spans="1:32" hidden="1" x14ac:dyDescent="0.25">
      <c r="A37" s="2">
        <v>27</v>
      </c>
      <c r="B37" s="55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7">
        <f t="shared" si="1"/>
        <v>0</v>
      </c>
      <c r="AB37" s="8"/>
      <c r="AC37" s="8"/>
      <c r="AD37" s="8"/>
      <c r="AE37" s="8">
        <v>0</v>
      </c>
      <c r="AF37"/>
    </row>
    <row r="38" spans="1:32" hidden="1" x14ac:dyDescent="0.25">
      <c r="A38" s="2"/>
      <c r="B38" s="55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0"/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7">
        <f t="shared" si="1"/>
        <v>0</v>
      </c>
      <c r="AB38" s="8"/>
      <c r="AC38" s="8"/>
      <c r="AD38" s="8"/>
      <c r="AE38" s="8">
        <v>0</v>
      </c>
      <c r="AF38"/>
    </row>
    <row r="39" spans="1:32" hidden="1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0"/>
        <v>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7">
        <f t="shared" si="1"/>
        <v>0</v>
      </c>
      <c r="AB39" s="8"/>
      <c r="AC39" s="8"/>
      <c r="AD39" s="8"/>
      <c r="AE39" s="8">
        <v>0</v>
      </c>
      <c r="AF39"/>
    </row>
    <row r="40" spans="1:32" hidden="1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0"/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7">
        <f t="shared" si="1"/>
        <v>0</v>
      </c>
      <c r="AB40" s="8"/>
      <c r="AC40" s="8"/>
      <c r="AD40" s="8"/>
      <c r="AE40" s="8">
        <v>0</v>
      </c>
      <c r="AF40"/>
    </row>
    <row r="41" spans="1:32" hidden="1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0"/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7">
        <f t="shared" si="1"/>
        <v>0</v>
      </c>
      <c r="AB41" s="8"/>
      <c r="AC41" s="8"/>
      <c r="AD41" s="8"/>
      <c r="AE41" s="8" t="e">
        <f>+SUM(I41:N41)/AC41</f>
        <v>#DIV/0!</v>
      </c>
      <c r="AF41"/>
    </row>
    <row r="42" spans="1:32" x14ac:dyDescent="0.25">
      <c r="H42" s="4" t="s">
        <v>19</v>
      </c>
      <c r="I42" s="9">
        <f>SUM(I11:I41)</f>
        <v>55200</v>
      </c>
      <c r="J42" s="9">
        <f t="shared" ref="J42:AA42" si="3">SUM(J11:J41)</f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0</v>
      </c>
      <c r="O42" s="11">
        <v>38540</v>
      </c>
      <c r="P42" s="9">
        <f t="shared" si="3"/>
        <v>3009</v>
      </c>
      <c r="Q42" s="9">
        <f t="shared" si="3"/>
        <v>0</v>
      </c>
      <c r="R42" s="9">
        <f t="shared" si="3"/>
        <v>0</v>
      </c>
      <c r="S42" s="9">
        <f t="shared" si="3"/>
        <v>3600</v>
      </c>
      <c r="T42" s="76">
        <f t="shared" si="3"/>
        <v>2860</v>
      </c>
      <c r="U42" s="76">
        <f t="shared" si="3"/>
        <v>0</v>
      </c>
      <c r="V42" s="76">
        <f t="shared" si="3"/>
        <v>6250</v>
      </c>
      <c r="W42" s="76">
        <f t="shared" si="3"/>
        <v>8600</v>
      </c>
      <c r="X42" s="76">
        <f t="shared" si="3"/>
        <v>6380</v>
      </c>
      <c r="Y42" s="76">
        <f t="shared" si="3"/>
        <v>1391</v>
      </c>
      <c r="Z42" s="9">
        <f t="shared" si="3"/>
        <v>0</v>
      </c>
      <c r="AA42" s="9">
        <f t="shared" si="3"/>
        <v>0</v>
      </c>
      <c r="AE42" s="12" t="e">
        <f>SUM(AE11:AE41)</f>
        <v>#DIV/0!</v>
      </c>
    </row>
    <row r="43" spans="1:32" hidden="1" x14ac:dyDescent="0.25">
      <c r="H43" s="4" t="s">
        <v>21</v>
      </c>
      <c r="I43" s="99">
        <f>+I42+J42+K42+L42+M42+N42</f>
        <v>55200</v>
      </c>
      <c r="J43" s="99"/>
      <c r="K43" s="99"/>
      <c r="L43" s="99"/>
      <c r="M43" s="99"/>
      <c r="N43" s="99"/>
      <c r="P43" s="100">
        <f>+P42+Q42</f>
        <v>3009</v>
      </c>
      <c r="Q43" s="101"/>
      <c r="R43" s="100">
        <f>+R42+S42</f>
        <v>3600</v>
      </c>
      <c r="S43" s="101"/>
      <c r="T43" s="102">
        <f>+T42+U42</f>
        <v>2860</v>
      </c>
      <c r="U43" s="91"/>
      <c r="V43" s="102">
        <f>+V42+W42</f>
        <v>14850</v>
      </c>
      <c r="W43" s="91"/>
      <c r="X43" s="102">
        <f>+X42+Y42</f>
        <v>7771</v>
      </c>
      <c r="Y43" s="91"/>
      <c r="Z43" s="10">
        <f>+Z42</f>
        <v>0</v>
      </c>
    </row>
    <row r="45" spans="1:3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32" x14ac:dyDescent="0.25">
      <c r="A46" s="53" t="s">
        <v>108</v>
      </c>
      <c r="B46" s="61">
        <v>45000</v>
      </c>
      <c r="C46" s="2">
        <v>4755</v>
      </c>
      <c r="D46" s="2">
        <v>2377.5</v>
      </c>
      <c r="E46"/>
      <c r="F46"/>
    </row>
    <row r="47" spans="1:32" x14ac:dyDescent="0.25">
      <c r="A47" s="67" t="s">
        <v>109</v>
      </c>
      <c r="B47" s="8">
        <v>23690</v>
      </c>
      <c r="C47" s="2">
        <v>1862</v>
      </c>
      <c r="D47" s="2">
        <v>931</v>
      </c>
      <c r="E47"/>
      <c r="F47"/>
    </row>
    <row r="48" spans="1:32" x14ac:dyDescent="0.25">
      <c r="A48" s="53" t="s">
        <v>110</v>
      </c>
      <c r="B48" s="62">
        <f>B46-B47</f>
        <v>21310</v>
      </c>
      <c r="C48" s="2"/>
      <c r="D48" s="2"/>
      <c r="E48"/>
      <c r="F48"/>
    </row>
    <row r="49" spans="1:9" x14ac:dyDescent="0.25">
      <c r="A49" s="53" t="s">
        <v>111</v>
      </c>
      <c r="B49" s="63">
        <f>B48/B46</f>
        <v>0.47355555555555556</v>
      </c>
      <c r="C49" s="2"/>
      <c r="D49" s="2"/>
      <c r="E49"/>
      <c r="F49"/>
    </row>
    <row r="50" spans="1:9" x14ac:dyDescent="0.25">
      <c r="A50" s="53" t="s">
        <v>112</v>
      </c>
      <c r="B50" s="63">
        <f>B47/B46</f>
        <v>0.52644444444444449</v>
      </c>
      <c r="C50" s="2"/>
      <c r="D50" s="2"/>
      <c r="E50"/>
      <c r="F50"/>
    </row>
    <row r="52" spans="1:9" x14ac:dyDescent="0.25">
      <c r="B52" s="94" t="s">
        <v>123</v>
      </c>
      <c r="C52" s="94"/>
      <c r="D52" s="94"/>
      <c r="E52" s="94"/>
      <c r="F52" s="94"/>
      <c r="H52" s="44"/>
      <c r="I52" s="68"/>
    </row>
    <row r="53" spans="1:9" x14ac:dyDescent="0.25">
      <c r="A53" s="97" t="s">
        <v>125</v>
      </c>
      <c r="B53" s="57">
        <v>46286</v>
      </c>
      <c r="C53" s="57">
        <v>46287</v>
      </c>
      <c r="D53" s="57">
        <v>46288</v>
      </c>
      <c r="E53" s="57">
        <v>46289</v>
      </c>
      <c r="F53" s="58">
        <v>46283</v>
      </c>
      <c r="H53" s="44"/>
      <c r="I53" s="69"/>
    </row>
    <row r="54" spans="1:9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69"/>
    </row>
    <row r="55" spans="1:9" x14ac:dyDescent="0.25">
      <c r="A55" s="55" t="s">
        <v>119</v>
      </c>
      <c r="B55" s="54" t="s">
        <v>124</v>
      </c>
      <c r="C55" s="54"/>
      <c r="D55" s="54"/>
      <c r="E55" s="60">
        <v>0.14000000000000001</v>
      </c>
      <c r="F55" s="71"/>
      <c r="H55" s="44"/>
      <c r="I55" s="69"/>
    </row>
    <row r="56" spans="1:9" x14ac:dyDescent="0.25">
      <c r="A56" s="56" t="s">
        <v>120</v>
      </c>
      <c r="B56" s="54" t="s">
        <v>124</v>
      </c>
      <c r="C56" s="54"/>
      <c r="D56" s="54"/>
      <c r="E56" s="60">
        <v>0.86</v>
      </c>
      <c r="F56" s="60"/>
      <c r="H56" s="69"/>
      <c r="I56" s="69"/>
    </row>
    <row r="57" spans="1:9" x14ac:dyDescent="0.25">
      <c r="H57" s="69"/>
      <c r="I57" s="69"/>
    </row>
    <row r="58" spans="1:9" x14ac:dyDescent="0.25">
      <c r="H58" s="69"/>
      <c r="I58" s="69"/>
    </row>
    <row r="59" spans="1:9" x14ac:dyDescent="0.25">
      <c r="H59" s="69"/>
      <c r="I59" s="69"/>
    </row>
    <row r="60" spans="1:9" x14ac:dyDescent="0.25">
      <c r="H60" s="69"/>
      <c r="I60" s="69"/>
    </row>
    <row r="61" spans="1:9" x14ac:dyDescent="0.25">
      <c r="H61" s="44"/>
      <c r="I61" s="69"/>
    </row>
  </sheetData>
  <autoFilter ref="B10:AE43" xr:uid="{00000000-0009-0000-0000-00000D000000}">
    <filterColumn colId="13">
      <customFilters>
        <customFilter operator="greaterThan" val="1"/>
      </customFilters>
    </filterColumn>
  </autoFilter>
  <mergeCells count="17">
    <mergeCell ref="B52:F52"/>
    <mergeCell ref="A53:A54"/>
    <mergeCell ref="T9:U9"/>
    <mergeCell ref="V9:W9"/>
    <mergeCell ref="X9:Y9"/>
    <mergeCell ref="I43:N43"/>
    <mergeCell ref="P43:Q43"/>
    <mergeCell ref="R43:S43"/>
    <mergeCell ref="T43:U43"/>
    <mergeCell ref="V43:W43"/>
    <mergeCell ref="X43:Y43"/>
    <mergeCell ref="R9:S9"/>
    <mergeCell ref="C7:D7"/>
    <mergeCell ref="B8:B9"/>
    <mergeCell ref="E9:F9"/>
    <mergeCell ref="J9:N9"/>
    <mergeCell ref="P9:Q9"/>
  </mergeCells>
  <pageMargins left="0.7" right="0.7" top="0.75" bottom="0.75" header="0.3" footer="0.3"/>
  <pageSetup paperSize="9" scale="74"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7510-2BA1-4D74-9BA7-D366E48855BE}">
  <sheetPr filterMode="1"/>
  <dimension ref="A1:AS61"/>
  <sheetViews>
    <sheetView zoomScale="85" zoomScaleNormal="85" zoomScaleSheetLayoutView="85" workbookViewId="0">
      <pane xSplit="15" topLeftCell="P1" activePane="topRight" state="frozen"/>
      <selection activeCell="J16" sqref="J16:J17"/>
      <selection pane="topRight" activeCell="I21" sqref="I21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3" width="5" style="1" hidden="1" customWidth="1"/>
    <col min="14" max="14" width="2.140625" style="1" hidden="1" customWidth="1"/>
    <col min="15" max="15" width="10.140625" style="1" customWidth="1"/>
    <col min="16" max="17" width="9.140625" style="1" hidden="1" customWidth="1"/>
    <col min="18" max="25" width="8.7109375" style="1" hidden="1" customWidth="1"/>
    <col min="2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1" spans="1:45" s="77" customFormat="1" x14ac:dyDescent="0.25"/>
    <row r="2" spans="1:45" s="77" customFormat="1" x14ac:dyDescent="0.25"/>
    <row r="3" spans="1:45" s="77" customFormat="1" x14ac:dyDescent="0.25"/>
    <row r="4" spans="1:45" s="77" customFormat="1" x14ac:dyDescent="0.25"/>
    <row r="5" spans="1:45" s="77" customFormat="1" x14ac:dyDescent="0.25"/>
    <row r="7" spans="1:45" x14ac:dyDescent="0.25">
      <c r="B7" s="4" t="s">
        <v>17</v>
      </c>
      <c r="C7" s="91" t="s">
        <v>18</v>
      </c>
      <c r="D7" s="91"/>
    </row>
    <row r="8" spans="1:4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4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 t="s">
        <v>104</v>
      </c>
      <c r="K9" s="95"/>
      <c r="L9" s="95"/>
      <c r="M9" s="95"/>
      <c r="N9" s="95"/>
      <c r="P9" s="96">
        <v>46293</v>
      </c>
      <c r="Q9" s="96"/>
      <c r="R9" s="96">
        <v>46294</v>
      </c>
      <c r="S9" s="96"/>
      <c r="T9" s="96">
        <v>46295</v>
      </c>
      <c r="U9" s="96"/>
      <c r="V9" s="96">
        <v>46296</v>
      </c>
      <c r="W9" s="96"/>
      <c r="X9" s="96">
        <v>46297</v>
      </c>
      <c r="Y9" s="96"/>
      <c r="Z9" s="89">
        <v>46300</v>
      </c>
      <c r="AA9" s="90"/>
      <c r="AB9" s="89">
        <v>46301</v>
      </c>
      <c r="AC9" s="90"/>
      <c r="AD9" s="89">
        <v>46302</v>
      </c>
      <c r="AE9" s="90"/>
      <c r="AF9" s="89">
        <v>46303</v>
      </c>
      <c r="AG9" s="90"/>
      <c r="AH9" s="89">
        <v>46304</v>
      </c>
      <c r="AI9" s="90"/>
      <c r="AJ9" s="6"/>
    </row>
    <row r="10" spans="1:4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40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" t="s">
        <v>15</v>
      </c>
      <c r="U10" s="4" t="s">
        <v>16</v>
      </c>
      <c r="V10" s="4" t="s">
        <v>15</v>
      </c>
      <c r="W10" s="4" t="s">
        <v>16</v>
      </c>
      <c r="X10" s="4" t="s">
        <v>15</v>
      </c>
      <c r="Y10" s="4" t="s">
        <v>16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20</v>
      </c>
      <c r="AK10" s="4" t="s">
        <v>8</v>
      </c>
      <c r="AL10" s="4" t="s">
        <v>22</v>
      </c>
      <c r="AM10" s="4" t="s">
        <v>24</v>
      </c>
      <c r="AN10" s="4" t="s">
        <v>23</v>
      </c>
      <c r="AO10" s="4" t="s">
        <v>30</v>
      </c>
      <c r="AP10"/>
      <c r="AQ10" t="s">
        <v>31</v>
      </c>
      <c r="AR10" t="s">
        <v>33</v>
      </c>
      <c r="AS10"/>
    </row>
    <row r="11" spans="1:45" hidden="1" x14ac:dyDescent="0.25">
      <c r="B11" s="49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 t="shared" ref="O11:O41" si="0">+I11+J11+K11+L11+M11+N11-SUM(P11:AJ11)</f>
        <v>-8183</v>
      </c>
      <c r="P11" s="41"/>
      <c r="Q11" s="41">
        <v>2930</v>
      </c>
      <c r="R11" s="41">
        <v>4651</v>
      </c>
      <c r="S11" s="2"/>
      <c r="T11" s="41">
        <v>4651</v>
      </c>
      <c r="U11" s="2"/>
      <c r="V11" s="66">
        <v>6927</v>
      </c>
      <c r="W11" s="2">
        <v>1271</v>
      </c>
      <c r="X11" s="2"/>
      <c r="Y11" s="2">
        <v>1800</v>
      </c>
      <c r="Z11" s="2">
        <v>2153</v>
      </c>
      <c r="AA11" s="2">
        <v>1800</v>
      </c>
      <c r="AB11" s="2"/>
      <c r="AC11" s="2"/>
      <c r="AD11" s="2"/>
      <c r="AE11" s="2"/>
      <c r="AF11" s="2"/>
      <c r="AG11" s="2"/>
      <c r="AH11" s="2"/>
      <c r="AI11" s="2"/>
      <c r="AJ11" s="2"/>
      <c r="AK11" s="7">
        <f t="shared" ref="AK11:AK41" si="1">+G11*SUM(I11:N11)</f>
        <v>0</v>
      </c>
      <c r="AL11" s="8"/>
      <c r="AM11" s="8"/>
      <c r="AN11" s="8"/>
      <c r="AO11" s="8" t="e">
        <f t="shared" ref="AO11:AO26" si="2">+SUM(I11:N11)/AM11</f>
        <v>#DIV/0!</v>
      </c>
      <c r="AP11"/>
      <c r="AQ11" s="15">
        <v>0</v>
      </c>
      <c r="AR11">
        <v>0</v>
      </c>
      <c r="AS11"/>
    </row>
    <row r="12" spans="1:45" hidden="1" x14ac:dyDescent="0.25">
      <c r="A12" s="70">
        <v>2</v>
      </c>
      <c r="B12" s="65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si="0"/>
        <v>0</v>
      </c>
      <c r="P12" s="41"/>
      <c r="Q12" s="41"/>
      <c r="R12" s="41"/>
      <c r="S12" s="2"/>
      <c r="T12" s="2"/>
      <c r="U12" s="2"/>
      <c r="V12" s="66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7">
        <f t="shared" si="1"/>
        <v>0</v>
      </c>
      <c r="AL12" s="8"/>
      <c r="AM12" s="8"/>
      <c r="AN12" s="8"/>
      <c r="AO12" s="8" t="e">
        <f t="shared" si="2"/>
        <v>#DIV/0!</v>
      </c>
      <c r="AP12"/>
      <c r="AQ12" s="15" t="s">
        <v>25</v>
      </c>
      <c r="AR12">
        <v>52</v>
      </c>
      <c r="AS12"/>
    </row>
    <row r="13" spans="1:45" hidden="1" x14ac:dyDescent="0.25">
      <c r="B13" s="65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/>
      <c r="J13" s="2"/>
      <c r="K13" s="2"/>
      <c r="L13" s="2"/>
      <c r="M13" s="2"/>
      <c r="N13" s="2"/>
      <c r="O13" s="8">
        <f>+I13+J13+K13+L13+M13+N13-SUM(P13:AJ13)</f>
        <v>0</v>
      </c>
      <c r="P13" s="41"/>
      <c r="Q13" s="41"/>
      <c r="R13" s="41"/>
      <c r="S13" s="2"/>
      <c r="T13" s="2"/>
      <c r="U13" s="2"/>
      <c r="V13" s="66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7">
        <f t="shared" si="1"/>
        <v>0</v>
      </c>
      <c r="AL13" s="8"/>
      <c r="AM13" s="8"/>
      <c r="AN13" s="8"/>
      <c r="AO13" s="8" t="e">
        <f t="shared" si="2"/>
        <v>#DIV/0!</v>
      </c>
      <c r="AP13"/>
      <c r="AQ13" s="15" t="s">
        <v>29</v>
      </c>
      <c r="AR13">
        <v>0</v>
      </c>
      <c r="AS13"/>
    </row>
    <row r="14" spans="1:45" hidden="1" x14ac:dyDescent="0.25">
      <c r="B14" s="65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/>
      <c r="J14" s="2"/>
      <c r="K14" s="2"/>
      <c r="L14" s="2"/>
      <c r="M14" s="2"/>
      <c r="N14" s="2"/>
      <c r="O14" s="8">
        <f t="shared" si="0"/>
        <v>0</v>
      </c>
      <c r="P14" s="41"/>
      <c r="Q14" s="41"/>
      <c r="R14" s="41"/>
      <c r="S14" s="2"/>
      <c r="T14" s="2"/>
      <c r="U14" s="2"/>
      <c r="V14" s="66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7">
        <f t="shared" si="1"/>
        <v>0</v>
      </c>
      <c r="AL14" s="8"/>
      <c r="AM14" s="8"/>
      <c r="AN14" s="8"/>
      <c r="AO14" s="8" t="e">
        <f t="shared" si="2"/>
        <v>#DIV/0!</v>
      </c>
      <c r="AP14"/>
      <c r="AQ14" s="15" t="s">
        <v>26</v>
      </c>
      <c r="AR14">
        <v>116</v>
      </c>
      <c r="AS14"/>
    </row>
    <row r="15" spans="1:45" ht="15" hidden="1" customHeight="1" x14ac:dyDescent="0.25">
      <c r="A15" s="26">
        <v>5</v>
      </c>
      <c r="B15" s="65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41"/>
      <c r="Q15" s="41"/>
      <c r="R15" s="41"/>
      <c r="S15" s="2"/>
      <c r="T15" s="2"/>
      <c r="U15" s="2"/>
      <c r="V15" s="66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7">
        <f t="shared" si="1"/>
        <v>0</v>
      </c>
      <c r="AL15" s="8"/>
      <c r="AM15" s="8"/>
      <c r="AN15" s="8"/>
      <c r="AO15" s="8" t="e">
        <f t="shared" si="2"/>
        <v>#DIV/0!</v>
      </c>
      <c r="AP15"/>
      <c r="AQ15" s="15" t="s">
        <v>28</v>
      </c>
      <c r="AR15">
        <v>2</v>
      </c>
      <c r="AS15"/>
    </row>
    <row r="16" spans="1:45" ht="15" hidden="1" customHeight="1" x14ac:dyDescent="0.25">
      <c r="A16" s="30">
        <v>6</v>
      </c>
      <c r="B16" s="65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41"/>
      <c r="Q16" s="41"/>
      <c r="R16" s="41"/>
      <c r="S16" s="2"/>
      <c r="T16" s="2"/>
      <c r="U16" s="2"/>
      <c r="V16" s="66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7">
        <f t="shared" si="1"/>
        <v>0</v>
      </c>
      <c r="AL16" s="8"/>
      <c r="AM16" s="8"/>
      <c r="AN16" s="8"/>
      <c r="AO16" s="8" t="e">
        <f t="shared" si="2"/>
        <v>#DIV/0!</v>
      </c>
      <c r="AP16"/>
      <c r="AQ16" s="15" t="s">
        <v>27</v>
      </c>
      <c r="AR16">
        <v>10</v>
      </c>
      <c r="AS16"/>
    </row>
    <row r="17" spans="1:45" hidden="1" x14ac:dyDescent="0.25">
      <c r="B17" s="65" t="s">
        <v>55</v>
      </c>
      <c r="C17" s="2" t="s">
        <v>49</v>
      </c>
      <c r="D17" s="41" t="s">
        <v>96</v>
      </c>
      <c r="E17" s="13">
        <v>0.375</v>
      </c>
      <c r="F17" s="2">
        <v>0.28000000000000003</v>
      </c>
      <c r="G17" s="3"/>
      <c r="H17" s="3"/>
      <c r="I17" s="44"/>
      <c r="J17" s="2"/>
      <c r="K17" s="2"/>
      <c r="L17" s="2"/>
      <c r="M17" s="2"/>
      <c r="N17" s="2"/>
      <c r="O17" s="8">
        <f t="shared" si="0"/>
        <v>0</v>
      </c>
      <c r="P17" s="41"/>
      <c r="Q17" s="41"/>
      <c r="R17" s="41"/>
      <c r="S17" s="2"/>
      <c r="T17" s="2"/>
      <c r="U17" s="2"/>
      <c r="V17" s="66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7">
        <f t="shared" si="1"/>
        <v>0</v>
      </c>
      <c r="AL17" s="8"/>
      <c r="AM17" s="8"/>
      <c r="AN17" s="8"/>
      <c r="AO17" s="8" t="e">
        <f t="shared" si="2"/>
        <v>#DIV/0!</v>
      </c>
      <c r="AP17"/>
      <c r="AQ17" s="15" t="s">
        <v>32</v>
      </c>
      <c r="AR17">
        <v>180</v>
      </c>
      <c r="AS17"/>
    </row>
    <row r="18" spans="1:45" hidden="1" x14ac:dyDescent="0.25">
      <c r="B18" s="65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/>
      <c r="J18" s="2"/>
      <c r="K18" s="2"/>
      <c r="L18" s="2"/>
      <c r="M18" s="2"/>
      <c r="N18" s="2"/>
      <c r="O18" s="8">
        <f t="shared" si="0"/>
        <v>-1200</v>
      </c>
      <c r="P18" s="41"/>
      <c r="Q18" s="41"/>
      <c r="R18" s="41"/>
      <c r="S18" s="41"/>
      <c r="T18" s="2"/>
      <c r="U18" s="2"/>
      <c r="V18" s="66"/>
      <c r="W18" s="2"/>
      <c r="X18" s="2"/>
      <c r="Y18" s="2">
        <v>1200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7">
        <f t="shared" si="1"/>
        <v>0</v>
      </c>
      <c r="AL18" s="8"/>
      <c r="AM18" s="8"/>
      <c r="AN18" s="8"/>
      <c r="AO18" s="8" t="e">
        <f t="shared" si="2"/>
        <v>#DIV/0!</v>
      </c>
      <c r="AP18"/>
      <c r="AQ18"/>
      <c r="AR18"/>
      <c r="AS18"/>
    </row>
    <row r="19" spans="1:45" x14ac:dyDescent="0.25">
      <c r="B19" s="65" t="s">
        <v>55</v>
      </c>
      <c r="C19" s="2" t="s">
        <v>49</v>
      </c>
      <c r="D19" s="41" t="s">
        <v>98</v>
      </c>
      <c r="E19" s="13">
        <v>0.3125</v>
      </c>
      <c r="F19" s="2">
        <v>0.28000000000000003</v>
      </c>
      <c r="G19" s="3"/>
      <c r="H19" s="3"/>
      <c r="I19" s="73">
        <v>14000</v>
      </c>
      <c r="J19" s="2"/>
      <c r="K19" s="2"/>
      <c r="L19" s="2"/>
      <c r="M19" s="2"/>
      <c r="N19" s="2"/>
      <c r="O19" s="8">
        <f t="shared" si="0"/>
        <v>8753</v>
      </c>
      <c r="P19" s="66">
        <v>2709</v>
      </c>
      <c r="Q19" s="41"/>
      <c r="R19" s="41">
        <v>500</v>
      </c>
      <c r="S19" s="41"/>
      <c r="T19" s="41"/>
      <c r="V19" s="66"/>
      <c r="W19" s="2"/>
      <c r="X19" s="2"/>
      <c r="Y19" s="2"/>
      <c r="Z19" s="2">
        <v>2038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7">
        <f t="shared" si="1"/>
        <v>0</v>
      </c>
      <c r="AL19" s="8"/>
      <c r="AM19" s="8"/>
      <c r="AN19" s="8"/>
      <c r="AO19" s="8" t="e">
        <f t="shared" si="2"/>
        <v>#DIV/0!</v>
      </c>
      <c r="AP19"/>
      <c r="AQ19"/>
      <c r="AR19"/>
      <c r="AS19"/>
    </row>
    <row r="20" spans="1:45" hidden="1" x14ac:dyDescent="0.25">
      <c r="B20" s="65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>
        <v>6200</v>
      </c>
      <c r="J20" s="2"/>
      <c r="K20" s="2"/>
      <c r="L20" s="2"/>
      <c r="M20" s="2"/>
      <c r="N20" s="2"/>
      <c r="O20" s="8">
        <f t="shared" si="0"/>
        <v>-1214</v>
      </c>
      <c r="P20" s="41"/>
      <c r="Q20" s="79"/>
      <c r="R20" s="41"/>
      <c r="S20" s="41"/>
      <c r="T20" s="2"/>
      <c r="U20" s="2"/>
      <c r="V20" s="66"/>
      <c r="W20" s="2"/>
      <c r="X20" s="2"/>
      <c r="Y20" s="2"/>
      <c r="Z20" s="2"/>
      <c r="AA20" s="2">
        <v>14</v>
      </c>
      <c r="AB20" s="2"/>
      <c r="AC20" s="2"/>
      <c r="AD20" s="2"/>
      <c r="AE20" s="2"/>
      <c r="AF20" s="2"/>
      <c r="AG20" s="2"/>
      <c r="AH20" s="2"/>
      <c r="AI20" s="2"/>
      <c r="AJ20" s="2">
        <v>7400</v>
      </c>
      <c r="AK20" s="7">
        <f t="shared" si="1"/>
        <v>0</v>
      </c>
      <c r="AL20" s="8"/>
      <c r="AM20" s="8"/>
      <c r="AN20" s="8"/>
      <c r="AO20" s="8" t="e">
        <f t="shared" si="2"/>
        <v>#DIV/0!</v>
      </c>
      <c r="AP20"/>
      <c r="AQ20"/>
      <c r="AR20"/>
      <c r="AS20"/>
    </row>
    <row r="21" spans="1:45" x14ac:dyDescent="0.25">
      <c r="B21" s="65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72">
        <v>10800</v>
      </c>
      <c r="J21" s="2"/>
      <c r="K21" s="2"/>
      <c r="L21" s="2"/>
      <c r="M21" s="2"/>
      <c r="N21" s="2"/>
      <c r="O21" s="8">
        <f t="shared" si="0"/>
        <v>3880</v>
      </c>
      <c r="P21" s="41"/>
      <c r="Q21" s="41"/>
      <c r="R21" s="41"/>
      <c r="S21" s="41"/>
      <c r="T21" s="41">
        <v>500</v>
      </c>
      <c r="U21" s="2"/>
      <c r="V21" s="66">
        <v>700</v>
      </c>
      <c r="W21" s="2">
        <v>1400</v>
      </c>
      <c r="X21" s="2"/>
      <c r="Y21" s="2"/>
      <c r="Z21" s="2"/>
      <c r="AA21" s="2">
        <v>4320</v>
      </c>
      <c r="AB21" s="2"/>
      <c r="AC21" s="2"/>
      <c r="AD21" s="2"/>
      <c r="AE21" s="2"/>
      <c r="AF21" s="2"/>
      <c r="AG21" s="2"/>
      <c r="AH21" s="2"/>
      <c r="AI21" s="2"/>
      <c r="AJ21" s="2"/>
      <c r="AK21" s="7">
        <f t="shared" si="1"/>
        <v>0</v>
      </c>
      <c r="AL21" s="8"/>
      <c r="AM21" s="8"/>
      <c r="AN21" s="8"/>
      <c r="AO21" s="8" t="e">
        <f t="shared" si="2"/>
        <v>#DIV/0!</v>
      </c>
      <c r="AP21"/>
      <c r="AQ21"/>
      <c r="AR21"/>
      <c r="AS21"/>
    </row>
    <row r="22" spans="1:45" hidden="1" x14ac:dyDescent="0.25">
      <c r="B22" s="65" t="s">
        <v>55</v>
      </c>
      <c r="C22" s="2" t="s">
        <v>49</v>
      </c>
      <c r="D22" s="66" t="s">
        <v>101</v>
      </c>
      <c r="E22" s="13">
        <v>0.3125</v>
      </c>
      <c r="F22" s="2">
        <v>0.28000000000000003</v>
      </c>
      <c r="G22" s="3"/>
      <c r="H22" s="3"/>
      <c r="I22" s="72">
        <v>6200</v>
      </c>
      <c r="J22" s="2"/>
      <c r="K22" s="2"/>
      <c r="L22" s="2"/>
      <c r="M22" s="2"/>
      <c r="N22" s="2"/>
      <c r="O22" s="8">
        <f>+I22+J22+K22+L22+M22+N22-SUM(P22:AJ22)</f>
        <v>-5800</v>
      </c>
      <c r="P22" s="41"/>
      <c r="Q22" s="78">
        <f>2700+800</f>
        <v>3500</v>
      </c>
      <c r="R22" s="41">
        <v>2000</v>
      </c>
      <c r="S22" s="41"/>
      <c r="T22" s="66">
        <v>2000</v>
      </c>
      <c r="U22" s="2"/>
      <c r="V22" s="66">
        <v>4500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7">
        <f t="shared" si="1"/>
        <v>0</v>
      </c>
      <c r="AL22" s="8"/>
      <c r="AM22" s="8"/>
      <c r="AN22" s="8"/>
      <c r="AO22" s="8" t="e">
        <f t="shared" si="2"/>
        <v>#DIV/0!</v>
      </c>
      <c r="AP22"/>
      <c r="AQ22"/>
      <c r="AR22"/>
      <c r="AS22"/>
    </row>
    <row r="23" spans="1:45" hidden="1" x14ac:dyDescent="0.25">
      <c r="A23" s="26">
        <v>13</v>
      </c>
      <c r="B23" s="65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41"/>
      <c r="Q23" s="41"/>
      <c r="R23" s="41"/>
      <c r="S23" s="41"/>
      <c r="T23" s="2"/>
      <c r="U23" s="2"/>
      <c r="V23" s="66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7">
        <f t="shared" si="1"/>
        <v>0</v>
      </c>
      <c r="AL23" s="8"/>
      <c r="AM23" s="8"/>
      <c r="AN23" s="8"/>
      <c r="AO23" s="8" t="e">
        <f t="shared" si="2"/>
        <v>#DIV/0!</v>
      </c>
      <c r="AP23"/>
      <c r="AQ23"/>
      <c r="AR23"/>
      <c r="AS23"/>
    </row>
    <row r="24" spans="1:45" hidden="1" x14ac:dyDescent="0.25">
      <c r="A24" s="2">
        <v>14</v>
      </c>
      <c r="B24" s="65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-300</v>
      </c>
      <c r="P24" s="66">
        <v>300</v>
      </c>
      <c r="Q24" s="2"/>
      <c r="R24" s="2"/>
      <c r="S24" s="2"/>
      <c r="T24" s="2"/>
      <c r="U24" s="2"/>
      <c r="V24" s="66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>
        <f t="shared" si="1"/>
        <v>0</v>
      </c>
      <c r="AL24" s="8"/>
      <c r="AM24" s="8"/>
      <c r="AN24" s="8"/>
      <c r="AO24" s="8" t="e">
        <f t="shared" si="2"/>
        <v>#DIV/0!</v>
      </c>
      <c r="AP24"/>
      <c r="AQ24"/>
      <c r="AR24"/>
      <c r="AS24"/>
    </row>
    <row r="25" spans="1:45" hidden="1" x14ac:dyDescent="0.25">
      <c r="A25" s="2">
        <v>15</v>
      </c>
      <c r="B25" s="65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2"/>
      <c r="U25" s="2"/>
      <c r="V25" s="66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>
        <f t="shared" si="1"/>
        <v>0</v>
      </c>
      <c r="AL25" s="8"/>
      <c r="AM25" s="8"/>
      <c r="AN25" s="8"/>
      <c r="AO25" s="8" t="e">
        <f t="shared" si="2"/>
        <v>#DIV/0!</v>
      </c>
      <c r="AP25"/>
      <c r="AQ25"/>
      <c r="AR25"/>
      <c r="AS25"/>
    </row>
    <row r="26" spans="1:45" hidden="1" x14ac:dyDescent="0.25">
      <c r="A26" s="2">
        <v>16</v>
      </c>
      <c r="B26" s="65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2"/>
      <c r="U26" s="2"/>
      <c r="V26" s="66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>
        <f t="shared" si="1"/>
        <v>0</v>
      </c>
      <c r="AL26" s="8"/>
      <c r="AM26" s="8"/>
      <c r="AN26" s="8"/>
      <c r="AO26" s="8" t="e">
        <f t="shared" si="2"/>
        <v>#DIV/0!</v>
      </c>
      <c r="AP26"/>
      <c r="AQ26"/>
      <c r="AR26"/>
      <c r="AS26"/>
    </row>
    <row r="27" spans="1:45" hidden="1" x14ac:dyDescent="0.25">
      <c r="A27" s="2">
        <v>17</v>
      </c>
      <c r="B27" s="5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2"/>
      <c r="U27" s="2"/>
      <c r="V27" s="66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>
        <f t="shared" si="1"/>
        <v>0</v>
      </c>
      <c r="AL27" s="8"/>
      <c r="AM27" s="8"/>
      <c r="AN27" s="8"/>
      <c r="AO27" s="8">
        <v>0</v>
      </c>
      <c r="AP27"/>
      <c r="AQ27"/>
      <c r="AR27"/>
      <c r="AS27"/>
    </row>
    <row r="28" spans="1:45" hidden="1" x14ac:dyDescent="0.25">
      <c r="A28" s="2">
        <v>18</v>
      </c>
      <c r="B28" s="5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2"/>
      <c r="U28" s="2"/>
      <c r="V28" s="66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>
        <f t="shared" si="1"/>
        <v>0</v>
      </c>
      <c r="AL28" s="8"/>
      <c r="AM28" s="8"/>
      <c r="AN28" s="8"/>
      <c r="AO28" s="8">
        <v>0</v>
      </c>
      <c r="AP28"/>
    </row>
    <row r="29" spans="1:45" hidden="1" x14ac:dyDescent="0.25">
      <c r="A29" s="2">
        <v>19</v>
      </c>
      <c r="B29" s="55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2"/>
      <c r="U29" s="2"/>
      <c r="V29" s="66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>
        <f t="shared" si="1"/>
        <v>0</v>
      </c>
      <c r="AL29" s="8"/>
      <c r="AM29" s="8"/>
      <c r="AN29" s="8"/>
      <c r="AO29" s="8">
        <v>0</v>
      </c>
      <c r="AP29"/>
    </row>
    <row r="30" spans="1:45" hidden="1" x14ac:dyDescent="0.25">
      <c r="A30" s="2">
        <v>20</v>
      </c>
      <c r="B30" s="55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2"/>
      <c r="U30" s="2"/>
      <c r="V30" s="66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">
        <f t="shared" si="1"/>
        <v>0</v>
      </c>
      <c r="AL30" s="8"/>
      <c r="AM30" s="8"/>
      <c r="AN30" s="8"/>
      <c r="AO30" s="8">
        <v>0</v>
      </c>
      <c r="AP30"/>
    </row>
    <row r="31" spans="1:45" hidden="1" x14ac:dyDescent="0.25">
      <c r="A31" s="2">
        <v>21</v>
      </c>
      <c r="B31" s="55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2"/>
      <c r="U31" s="2"/>
      <c r="V31" s="66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7">
        <f t="shared" si="1"/>
        <v>0</v>
      </c>
      <c r="AL31" s="8"/>
      <c r="AM31" s="8"/>
      <c r="AN31" s="8"/>
      <c r="AO31" s="8">
        <v>0</v>
      </c>
      <c r="AP31"/>
    </row>
    <row r="32" spans="1:45" hidden="1" x14ac:dyDescent="0.25">
      <c r="A32" s="2">
        <v>22</v>
      </c>
      <c r="B32" s="55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2"/>
      <c r="U32" s="2"/>
      <c r="V32" s="66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7">
        <f t="shared" si="1"/>
        <v>0</v>
      </c>
      <c r="AL32" s="8"/>
      <c r="AM32" s="8"/>
      <c r="AN32" s="8"/>
      <c r="AO32" s="8">
        <v>0</v>
      </c>
      <c r="AP32"/>
    </row>
    <row r="33" spans="1:42" hidden="1" x14ac:dyDescent="0.25">
      <c r="A33" s="2">
        <v>23</v>
      </c>
      <c r="B33" s="55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2"/>
      <c r="U33" s="2"/>
      <c r="V33" s="66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7">
        <f t="shared" si="1"/>
        <v>0</v>
      </c>
      <c r="AL33" s="8"/>
      <c r="AM33" s="8"/>
      <c r="AN33" s="8"/>
      <c r="AO33" s="8">
        <v>0</v>
      </c>
      <c r="AP33"/>
    </row>
    <row r="34" spans="1:42" hidden="1" x14ac:dyDescent="0.25">
      <c r="A34" s="2">
        <v>24</v>
      </c>
      <c r="B34" s="55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2"/>
      <c r="U34" s="2"/>
      <c r="V34" s="66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">
        <f t="shared" si="1"/>
        <v>0</v>
      </c>
      <c r="AL34" s="8"/>
      <c r="AM34" s="8"/>
      <c r="AN34" s="8"/>
      <c r="AO34" s="8">
        <v>0</v>
      </c>
      <c r="AP34"/>
    </row>
    <row r="35" spans="1:42" hidden="1" x14ac:dyDescent="0.25">
      <c r="A35" s="2">
        <v>25</v>
      </c>
      <c r="B35" s="55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2"/>
      <c r="U35" s="2"/>
      <c r="V35" s="66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">
        <f t="shared" si="1"/>
        <v>0</v>
      </c>
      <c r="AL35" s="8"/>
      <c r="AM35" s="8"/>
      <c r="AN35" s="8"/>
      <c r="AO35" s="8">
        <v>0</v>
      </c>
      <c r="AP35"/>
    </row>
    <row r="36" spans="1:42" hidden="1" x14ac:dyDescent="0.25">
      <c r="A36" s="2">
        <v>26</v>
      </c>
      <c r="B36" s="55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2"/>
      <c r="U36" s="2"/>
      <c r="V36" s="66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7">
        <f t="shared" si="1"/>
        <v>0</v>
      </c>
      <c r="AL36" s="8"/>
      <c r="AM36" s="8"/>
      <c r="AN36" s="8"/>
      <c r="AO36" s="8">
        <v>0</v>
      </c>
      <c r="AP36"/>
    </row>
    <row r="37" spans="1:42" hidden="1" x14ac:dyDescent="0.25">
      <c r="A37" s="2">
        <v>27</v>
      </c>
      <c r="B37" s="55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2"/>
      <c r="Q37" s="2"/>
      <c r="R37" s="2"/>
      <c r="S37" s="2"/>
      <c r="T37" s="2"/>
      <c r="U37" s="2"/>
      <c r="V37" s="66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>
        <f t="shared" si="1"/>
        <v>0</v>
      </c>
      <c r="AL37" s="8"/>
      <c r="AM37" s="8"/>
      <c r="AN37" s="8"/>
      <c r="AO37" s="8">
        <v>0</v>
      </c>
      <c r="AP37"/>
    </row>
    <row r="38" spans="1:42" hidden="1" x14ac:dyDescent="0.25">
      <c r="A38" s="2"/>
      <c r="B38" s="55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0"/>
        <v>0</v>
      </c>
      <c r="P38" s="2"/>
      <c r="Q38" s="2"/>
      <c r="R38" s="2"/>
      <c r="S38" s="2"/>
      <c r="T38" s="2"/>
      <c r="U38" s="2"/>
      <c r="V38" s="66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>
        <f t="shared" si="1"/>
        <v>0</v>
      </c>
      <c r="AL38" s="8"/>
      <c r="AM38" s="8"/>
      <c r="AN38" s="8"/>
      <c r="AO38" s="8">
        <v>0</v>
      </c>
      <c r="AP38"/>
    </row>
    <row r="39" spans="1:42" hidden="1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0"/>
        <v>0</v>
      </c>
      <c r="P39" s="2"/>
      <c r="Q39" s="2"/>
      <c r="R39" s="2"/>
      <c r="S39" s="2"/>
      <c r="T39" s="2"/>
      <c r="U39" s="2"/>
      <c r="V39" s="66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>
        <f t="shared" si="1"/>
        <v>0</v>
      </c>
      <c r="AL39" s="8"/>
      <c r="AM39" s="8"/>
      <c r="AN39" s="8"/>
      <c r="AO39" s="8">
        <v>0</v>
      </c>
      <c r="AP39"/>
    </row>
    <row r="40" spans="1:42" hidden="1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0"/>
        <v>0</v>
      </c>
      <c r="P40" s="2"/>
      <c r="Q40" s="2"/>
      <c r="R40" s="2"/>
      <c r="S40" s="2"/>
      <c r="T40" s="2"/>
      <c r="U40" s="2"/>
      <c r="V40" s="66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>
        <f t="shared" si="1"/>
        <v>0</v>
      </c>
      <c r="AL40" s="8"/>
      <c r="AM40" s="8"/>
      <c r="AN40" s="8"/>
      <c r="AO40" s="8">
        <v>0</v>
      </c>
      <c r="AP40"/>
    </row>
    <row r="41" spans="1:42" hidden="1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0"/>
        <v>0</v>
      </c>
      <c r="P41" s="2"/>
      <c r="Q41" s="2"/>
      <c r="R41" s="2"/>
      <c r="S41" s="2"/>
      <c r="T41" s="2"/>
      <c r="U41" s="2"/>
      <c r="V41" s="66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>
        <f t="shared" si="1"/>
        <v>0</v>
      </c>
      <c r="AL41" s="8"/>
      <c r="AM41" s="8"/>
      <c r="AN41" s="8"/>
      <c r="AO41" s="8" t="e">
        <f>+SUM(I41:N41)/AM41</f>
        <v>#DIV/0!</v>
      </c>
      <c r="AP41"/>
    </row>
    <row r="42" spans="1:42" x14ac:dyDescent="0.25">
      <c r="H42" s="4" t="s">
        <v>19</v>
      </c>
      <c r="I42" s="9">
        <f>SUM(I11:I41)</f>
        <v>55200</v>
      </c>
      <c r="J42" s="9">
        <f t="shared" ref="J42:AK42" si="3">SUM(J11:J41)</f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0</v>
      </c>
      <c r="O42" s="11">
        <v>18991</v>
      </c>
      <c r="P42" s="9">
        <f t="shared" si="3"/>
        <v>3009</v>
      </c>
      <c r="Q42" s="9">
        <f t="shared" si="3"/>
        <v>6430</v>
      </c>
      <c r="R42" s="9">
        <f t="shared" si="3"/>
        <v>7151</v>
      </c>
      <c r="S42" s="9">
        <f t="shared" si="3"/>
        <v>0</v>
      </c>
      <c r="T42" s="76">
        <f t="shared" si="3"/>
        <v>7151</v>
      </c>
      <c r="U42" s="76">
        <f t="shared" si="3"/>
        <v>0</v>
      </c>
      <c r="V42" s="76">
        <f t="shared" si="3"/>
        <v>12127</v>
      </c>
      <c r="W42" s="76">
        <f t="shared" si="3"/>
        <v>2671</v>
      </c>
      <c r="X42" s="76">
        <f t="shared" si="3"/>
        <v>0</v>
      </c>
      <c r="Y42" s="76">
        <f t="shared" si="3"/>
        <v>3000</v>
      </c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9">
        <f t="shared" si="3"/>
        <v>7400</v>
      </c>
      <c r="AK42" s="9">
        <f t="shared" si="3"/>
        <v>0</v>
      </c>
      <c r="AO42" s="12" t="e">
        <f>SUM(AO11:AO41)</f>
        <v>#DIV/0!</v>
      </c>
    </row>
    <row r="43" spans="1:42" hidden="1" x14ac:dyDescent="0.25">
      <c r="H43" s="4" t="s">
        <v>21</v>
      </c>
      <c r="I43" s="99">
        <f>+I42+J42+K42+L42+M42+N42</f>
        <v>55200</v>
      </c>
      <c r="J43" s="99"/>
      <c r="K43" s="99"/>
      <c r="L43" s="99"/>
      <c r="M43" s="99"/>
      <c r="N43" s="99"/>
      <c r="P43" s="100">
        <f>+P42+Q42</f>
        <v>9439</v>
      </c>
      <c r="Q43" s="101"/>
      <c r="R43" s="100">
        <f>+R42+S42</f>
        <v>7151</v>
      </c>
      <c r="S43" s="101"/>
      <c r="T43" s="102">
        <f>+T42+U42</f>
        <v>7151</v>
      </c>
      <c r="U43" s="91"/>
      <c r="V43" s="102">
        <f>+V42+W42</f>
        <v>14798</v>
      </c>
      <c r="W43" s="91"/>
      <c r="X43" s="102">
        <f>+X42+Y42</f>
        <v>3000</v>
      </c>
      <c r="Y43" s="91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0">
        <f>+AJ42</f>
        <v>7400</v>
      </c>
    </row>
    <row r="45" spans="1:4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42" x14ac:dyDescent="0.25">
      <c r="A46" s="53" t="s">
        <v>108</v>
      </c>
      <c r="B46" s="61">
        <v>49000</v>
      </c>
      <c r="C46" s="2">
        <v>4755</v>
      </c>
      <c r="D46" s="2">
        <v>2377.5</v>
      </c>
      <c r="E46"/>
      <c r="F46"/>
    </row>
    <row r="47" spans="1:42" x14ac:dyDescent="0.25">
      <c r="A47" s="67" t="s">
        <v>109</v>
      </c>
      <c r="B47" s="8">
        <v>12633</v>
      </c>
      <c r="C47" s="2">
        <v>1862</v>
      </c>
      <c r="D47" s="2">
        <v>931</v>
      </c>
      <c r="E47"/>
      <c r="F47"/>
    </row>
    <row r="48" spans="1:42" x14ac:dyDescent="0.25">
      <c r="A48" s="53" t="s">
        <v>110</v>
      </c>
      <c r="B48" s="62">
        <f>B46-B47</f>
        <v>36367</v>
      </c>
      <c r="C48" s="2"/>
      <c r="D48" s="2"/>
      <c r="E48"/>
      <c r="F48"/>
    </row>
    <row r="49" spans="1:15" x14ac:dyDescent="0.25">
      <c r="A49" s="53" t="s">
        <v>111</v>
      </c>
      <c r="B49" s="63">
        <f>B48/B46</f>
        <v>0.74218367346938774</v>
      </c>
      <c r="C49" s="2"/>
      <c r="D49" s="2"/>
      <c r="E49"/>
      <c r="F49"/>
    </row>
    <row r="50" spans="1:15" x14ac:dyDescent="0.25">
      <c r="A50" s="53" t="s">
        <v>112</v>
      </c>
      <c r="B50" s="63">
        <f>B47/B46</f>
        <v>0.25781632653061226</v>
      </c>
      <c r="C50" s="2"/>
      <c r="D50" s="2"/>
      <c r="E50"/>
      <c r="F50"/>
    </row>
    <row r="52" spans="1:15" x14ac:dyDescent="0.25">
      <c r="B52" s="94" t="s">
        <v>123</v>
      </c>
      <c r="C52" s="94"/>
      <c r="D52" s="94"/>
      <c r="E52" s="94"/>
      <c r="F52" s="94"/>
      <c r="H52" s="44"/>
      <c r="I52" s="81"/>
    </row>
    <row r="53" spans="1:15" x14ac:dyDescent="0.25">
      <c r="A53" s="97" t="s">
        <v>125</v>
      </c>
      <c r="B53" s="57">
        <v>46293</v>
      </c>
      <c r="C53" s="57">
        <v>46294</v>
      </c>
      <c r="D53" s="57">
        <v>46295</v>
      </c>
      <c r="E53" s="57">
        <v>46296</v>
      </c>
      <c r="F53" s="58">
        <v>46283</v>
      </c>
      <c r="H53" s="44"/>
      <c r="I53" s="80">
        <v>46297</v>
      </c>
    </row>
    <row r="54" spans="1:15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59" t="s">
        <v>126</v>
      </c>
    </row>
    <row r="55" spans="1:15" x14ac:dyDescent="0.25">
      <c r="A55" s="55" t="s">
        <v>119</v>
      </c>
      <c r="B55" s="54">
        <v>0.19</v>
      </c>
      <c r="C55" s="54">
        <v>0.45</v>
      </c>
      <c r="D55" s="54">
        <v>0.61</v>
      </c>
      <c r="E55" s="60">
        <v>0.61</v>
      </c>
      <c r="F55" s="71"/>
      <c r="H55" s="44"/>
      <c r="I55" s="60">
        <v>0.61</v>
      </c>
    </row>
    <row r="56" spans="1:15" x14ac:dyDescent="0.15">
      <c r="A56" s="56" t="s">
        <v>120</v>
      </c>
      <c r="B56" s="54">
        <v>0.81</v>
      </c>
      <c r="C56" s="54">
        <v>0.55000000000000004</v>
      </c>
      <c r="D56" s="54">
        <v>0.39</v>
      </c>
      <c r="E56" s="60">
        <v>0.39</v>
      </c>
      <c r="F56" s="60"/>
      <c r="H56" s="69"/>
      <c r="I56" s="60">
        <v>0.39</v>
      </c>
      <c r="O56" s="87" t="s">
        <v>128</v>
      </c>
    </row>
    <row r="57" spans="1:15" x14ac:dyDescent="0.25">
      <c r="H57" s="69"/>
      <c r="I57" s="69"/>
    </row>
    <row r="58" spans="1:15" x14ac:dyDescent="0.25">
      <c r="A58" s="97" t="s">
        <v>125</v>
      </c>
      <c r="B58" s="57">
        <v>46300</v>
      </c>
      <c r="C58" s="57">
        <v>46301</v>
      </c>
      <c r="D58" s="57">
        <v>46302</v>
      </c>
      <c r="E58" s="57">
        <v>46303</v>
      </c>
      <c r="F58" s="80">
        <v>46297</v>
      </c>
      <c r="H58" s="69"/>
      <c r="I58" s="69"/>
    </row>
    <row r="59" spans="1:15" x14ac:dyDescent="0.25">
      <c r="A59" s="98"/>
      <c r="B59" s="59" t="s">
        <v>114</v>
      </c>
      <c r="C59" s="59" t="s">
        <v>115</v>
      </c>
      <c r="D59" s="59" t="s">
        <v>116</v>
      </c>
      <c r="E59" s="59" t="s">
        <v>117</v>
      </c>
      <c r="F59" s="59" t="s">
        <v>126</v>
      </c>
      <c r="H59" s="69"/>
      <c r="I59" s="69"/>
    </row>
    <row r="60" spans="1:15" x14ac:dyDescent="0.25">
      <c r="A60" s="55" t="s">
        <v>119</v>
      </c>
      <c r="B60" s="54">
        <v>0.74</v>
      </c>
      <c r="C60" s="54"/>
      <c r="D60" s="54"/>
      <c r="E60" s="60"/>
      <c r="F60" s="60">
        <v>0.61</v>
      </c>
      <c r="H60" s="69"/>
      <c r="I60" s="69"/>
    </row>
    <row r="61" spans="1:15" x14ac:dyDescent="0.25">
      <c r="A61" s="56" t="s">
        <v>120</v>
      </c>
      <c r="B61" s="54">
        <v>0.26</v>
      </c>
      <c r="C61" s="54"/>
      <c r="D61" s="54"/>
      <c r="E61" s="60"/>
      <c r="F61" s="60">
        <v>0.39</v>
      </c>
      <c r="H61" s="44"/>
      <c r="I61" s="69"/>
    </row>
  </sheetData>
  <autoFilter ref="B10:AO43" xr:uid="{00000000-0009-0000-0000-00000D000000}">
    <filterColumn colId="13">
      <customFilters>
        <customFilter operator="greaterThan" val="1"/>
      </customFilters>
    </filterColumn>
  </autoFilter>
  <mergeCells count="23">
    <mergeCell ref="AH9:AI9"/>
    <mergeCell ref="C7:D7"/>
    <mergeCell ref="B8:B9"/>
    <mergeCell ref="E9:F9"/>
    <mergeCell ref="J9:N9"/>
    <mergeCell ref="P9:Q9"/>
    <mergeCell ref="T9:U9"/>
    <mergeCell ref="V9:W9"/>
    <mergeCell ref="X9:Y9"/>
    <mergeCell ref="R9:S9"/>
    <mergeCell ref="A58:A59"/>
    <mergeCell ref="Z9:AA9"/>
    <mergeCell ref="AB9:AC9"/>
    <mergeCell ref="AD9:AE9"/>
    <mergeCell ref="AF9:AG9"/>
    <mergeCell ref="B52:F52"/>
    <mergeCell ref="A53:A54"/>
    <mergeCell ref="I43:N43"/>
    <mergeCell ref="P43:Q43"/>
    <mergeCell ref="R43:S43"/>
    <mergeCell ref="T43:U43"/>
    <mergeCell ref="V43:W43"/>
    <mergeCell ref="X43:Y43"/>
  </mergeCells>
  <pageMargins left="0.7" right="0.7" top="0.75" bottom="0.75" header="0.3" footer="0.3"/>
  <pageSetup paperSize="9" scale="74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8929-42BE-42D0-AEF5-3DA3376B839C}">
  <sheetPr filterMode="1"/>
  <dimension ref="A1:AS61"/>
  <sheetViews>
    <sheetView zoomScaleNormal="100" zoomScaleSheetLayoutView="130" workbookViewId="0">
      <pane xSplit="15" topLeftCell="AA1" activePane="topRight" state="frozen"/>
      <selection activeCell="J16" sqref="J16:J17"/>
      <selection pane="topRight" activeCell="O21" sqref="O21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3" width="5" style="1" hidden="1" customWidth="1"/>
    <col min="14" max="14" width="2.140625" style="1" hidden="1" customWidth="1"/>
    <col min="15" max="15" width="13.7109375" style="1" bestFit="1" customWidth="1"/>
    <col min="16" max="18" width="7.28515625" style="1" hidden="1" customWidth="1"/>
    <col min="19" max="19" width="6.7109375" style="1" hidden="1" customWidth="1"/>
    <col min="20" max="20" width="7.28515625" style="1" hidden="1" customWidth="1"/>
    <col min="21" max="21" width="6.7109375" style="1" hidden="1" customWidth="1"/>
    <col min="22" max="22" width="8.42578125" style="1" hidden="1" customWidth="1"/>
    <col min="23" max="23" width="7.28515625" style="1" hidden="1" customWidth="1"/>
    <col min="24" max="24" width="6.85546875" style="1" hidden="1" customWidth="1"/>
    <col min="25" max="25" width="7.28515625" style="1" hidden="1" customWidth="1"/>
    <col min="26" max="26" width="8.7109375" style="1" hidden="1" customWidth="1"/>
    <col min="27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1" spans="1:45" s="77" customFormat="1" x14ac:dyDescent="0.25"/>
    <row r="2" spans="1:45" s="77" customFormat="1" x14ac:dyDescent="0.25"/>
    <row r="3" spans="1:45" s="77" customFormat="1" x14ac:dyDescent="0.25"/>
    <row r="4" spans="1:45" s="77" customFormat="1" x14ac:dyDescent="0.25"/>
    <row r="5" spans="1:45" s="77" customFormat="1" x14ac:dyDescent="0.25"/>
    <row r="7" spans="1:45" x14ac:dyDescent="0.25">
      <c r="B7" s="4" t="s">
        <v>17</v>
      </c>
      <c r="C7" s="91" t="s">
        <v>18</v>
      </c>
      <c r="D7" s="91"/>
    </row>
    <row r="8" spans="1:4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4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 t="s">
        <v>104</v>
      </c>
      <c r="K9" s="95"/>
      <c r="L9" s="95"/>
      <c r="M9" s="95"/>
      <c r="N9" s="95"/>
      <c r="P9" s="96">
        <v>46293</v>
      </c>
      <c r="Q9" s="96"/>
      <c r="R9" s="96">
        <v>46294</v>
      </c>
      <c r="S9" s="96"/>
      <c r="T9" s="96">
        <v>46295</v>
      </c>
      <c r="U9" s="96"/>
      <c r="V9" s="96">
        <v>46296</v>
      </c>
      <c r="W9" s="96"/>
      <c r="X9" s="96">
        <v>46297</v>
      </c>
      <c r="Y9" s="96"/>
      <c r="Z9" s="89">
        <v>46300</v>
      </c>
      <c r="AA9" s="90"/>
      <c r="AB9" s="89">
        <v>46301</v>
      </c>
      <c r="AC9" s="90"/>
      <c r="AD9" s="89">
        <v>46302</v>
      </c>
      <c r="AE9" s="90"/>
      <c r="AF9" s="89">
        <v>46303</v>
      </c>
      <c r="AG9" s="90"/>
      <c r="AH9" s="89">
        <v>46304</v>
      </c>
      <c r="AI9" s="90"/>
      <c r="AJ9" s="6"/>
    </row>
    <row r="10" spans="1:4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41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" t="s">
        <v>15</v>
      </c>
      <c r="U10" s="4" t="s">
        <v>16</v>
      </c>
      <c r="V10" s="4" t="s">
        <v>15</v>
      </c>
      <c r="W10" s="4" t="s">
        <v>16</v>
      </c>
      <c r="X10" s="4" t="s">
        <v>15</v>
      </c>
      <c r="Y10" s="4" t="s">
        <v>16</v>
      </c>
      <c r="Z10" s="4"/>
      <c r="AA10" s="4"/>
      <c r="AB10" s="4" t="s">
        <v>15</v>
      </c>
      <c r="AC10" s="4" t="s">
        <v>16</v>
      </c>
      <c r="AD10" s="4" t="s">
        <v>15</v>
      </c>
      <c r="AE10" s="4" t="s">
        <v>16</v>
      </c>
      <c r="AF10" s="4" t="s">
        <v>15</v>
      </c>
      <c r="AG10" s="4" t="s">
        <v>16</v>
      </c>
      <c r="AH10" s="4" t="s">
        <v>15</v>
      </c>
      <c r="AI10" s="4" t="s">
        <v>16</v>
      </c>
      <c r="AJ10" s="4" t="s">
        <v>20</v>
      </c>
      <c r="AK10" s="4" t="s">
        <v>8</v>
      </c>
      <c r="AL10" s="4" t="s">
        <v>22</v>
      </c>
      <c r="AM10" s="4" t="s">
        <v>24</v>
      </c>
      <c r="AN10" s="4" t="s">
        <v>23</v>
      </c>
      <c r="AO10" s="4" t="s">
        <v>30</v>
      </c>
      <c r="AP10"/>
      <c r="AQ10" t="s">
        <v>31</v>
      </c>
      <c r="AR10" t="s">
        <v>33</v>
      </c>
      <c r="AS10"/>
    </row>
    <row r="11" spans="1:45" hidden="1" x14ac:dyDescent="0.25">
      <c r="B11" s="41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>+I11+J11+K11+L11+M11+N11-SUM(P11:AJ11)</f>
        <v>-12300</v>
      </c>
      <c r="P11" s="41"/>
      <c r="Q11" s="41"/>
      <c r="R11" s="41"/>
      <c r="S11" s="2"/>
      <c r="T11" s="41"/>
      <c r="U11" s="2"/>
      <c r="V11" s="41"/>
      <c r="W11" s="2"/>
      <c r="X11" s="2"/>
      <c r="Y11" s="2"/>
      <c r="Z11" s="2"/>
      <c r="AA11" s="2"/>
      <c r="AB11" s="2">
        <v>5100</v>
      </c>
      <c r="AC11" s="2">
        <v>5400</v>
      </c>
      <c r="AD11" s="2"/>
      <c r="AE11" s="2">
        <v>5400</v>
      </c>
      <c r="AF11" s="55"/>
      <c r="AG11" s="55">
        <v>1800</v>
      </c>
      <c r="AH11" s="2">
        <v>7200</v>
      </c>
      <c r="AI11" s="2">
        <v>5400</v>
      </c>
      <c r="AJ11" s="2"/>
      <c r="AK11" s="7">
        <f t="shared" ref="AK11:AK41" si="0">+G11*SUM(I11:N11)</f>
        <v>0</v>
      </c>
      <c r="AL11" s="8"/>
      <c r="AM11" s="8"/>
      <c r="AN11" s="8"/>
      <c r="AO11" s="8" t="e">
        <f t="shared" ref="AO11:AO26" si="1">+SUM(I11:N11)/AM11</f>
        <v>#DIV/0!</v>
      </c>
      <c r="AP11"/>
      <c r="AQ11" s="15">
        <v>0</v>
      </c>
      <c r="AR11">
        <v>0</v>
      </c>
      <c r="AS11"/>
    </row>
    <row r="12" spans="1:45" hidden="1" x14ac:dyDescent="0.25">
      <c r="A12" s="70"/>
      <c r="B12" s="41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ref="O12:O41" si="2">+I12+J12+K12+L12+M12+N12-SUM(P12:AJ12)</f>
        <v>0</v>
      </c>
      <c r="P12" s="41"/>
      <c r="Q12" s="41"/>
      <c r="R12" s="41"/>
      <c r="S12" s="2"/>
      <c r="T12" s="41"/>
      <c r="U12" s="2"/>
      <c r="V12" s="4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7">
        <f t="shared" si="0"/>
        <v>0</v>
      </c>
      <c r="AL12" s="8"/>
      <c r="AM12" s="8"/>
      <c r="AN12" s="8"/>
      <c r="AO12" s="8" t="e">
        <f t="shared" si="1"/>
        <v>#DIV/0!</v>
      </c>
      <c r="AP12"/>
      <c r="AQ12" s="15" t="s">
        <v>25</v>
      </c>
      <c r="AR12">
        <v>52</v>
      </c>
      <c r="AS12"/>
    </row>
    <row r="13" spans="1:45" x14ac:dyDescent="0.25">
      <c r="B13" s="41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>
        <v>9054</v>
      </c>
      <c r="J13" s="2"/>
      <c r="K13" s="2"/>
      <c r="L13" s="2"/>
      <c r="M13" s="2"/>
      <c r="N13" s="2"/>
      <c r="O13" s="8">
        <f t="shared" si="2"/>
        <v>504</v>
      </c>
      <c r="P13" s="41"/>
      <c r="Q13" s="41"/>
      <c r="R13" s="41"/>
      <c r="S13" s="2"/>
      <c r="T13" s="41"/>
      <c r="U13" s="2"/>
      <c r="V13" s="41"/>
      <c r="W13" s="2"/>
      <c r="X13" s="2"/>
      <c r="Y13" s="2"/>
      <c r="Z13" s="2"/>
      <c r="AA13" s="2"/>
      <c r="AB13" s="2"/>
      <c r="AC13" s="2"/>
      <c r="AD13" s="2"/>
      <c r="AE13" s="2"/>
      <c r="AF13" s="41">
        <v>1000</v>
      </c>
      <c r="AG13" s="41">
        <v>4550</v>
      </c>
      <c r="AH13" s="2">
        <v>1500</v>
      </c>
      <c r="AI13" s="2">
        <v>1500</v>
      </c>
      <c r="AJ13" s="2"/>
      <c r="AK13" s="7">
        <f t="shared" si="0"/>
        <v>0</v>
      </c>
      <c r="AL13" s="8"/>
      <c r="AM13" s="8"/>
      <c r="AN13" s="8"/>
      <c r="AO13" s="8" t="e">
        <f t="shared" si="1"/>
        <v>#DIV/0!</v>
      </c>
      <c r="AP13"/>
      <c r="AQ13" s="15" t="s">
        <v>29</v>
      </c>
      <c r="AR13">
        <v>0</v>
      </c>
      <c r="AS13"/>
    </row>
    <row r="14" spans="1:45" x14ac:dyDescent="0.25">
      <c r="B14" s="41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>
        <v>6960</v>
      </c>
      <c r="J14" s="2"/>
      <c r="K14" s="2"/>
      <c r="L14" s="2"/>
      <c r="M14" s="2"/>
      <c r="N14" s="2"/>
      <c r="O14" s="8">
        <f t="shared" si="2"/>
        <v>1030</v>
      </c>
      <c r="P14" s="41"/>
      <c r="Q14" s="41"/>
      <c r="R14" s="41"/>
      <c r="S14" s="2"/>
      <c r="T14" s="41"/>
      <c r="U14" s="2"/>
      <c r="V14" s="41"/>
      <c r="W14" s="2"/>
      <c r="X14" s="2"/>
      <c r="Y14" s="2"/>
      <c r="Z14" s="2"/>
      <c r="AA14" s="2"/>
      <c r="AB14" s="2"/>
      <c r="AC14" s="2"/>
      <c r="AD14" s="2"/>
      <c r="AE14" s="2"/>
      <c r="AF14" s="41">
        <v>3000</v>
      </c>
      <c r="AG14" s="41">
        <v>1670</v>
      </c>
      <c r="AH14" s="2">
        <v>322</v>
      </c>
      <c r="AI14" s="2">
        <v>938</v>
      </c>
      <c r="AJ14" s="2"/>
      <c r="AK14" s="7">
        <f t="shared" si="0"/>
        <v>0</v>
      </c>
      <c r="AL14" s="8"/>
      <c r="AM14" s="8"/>
      <c r="AN14" s="8"/>
      <c r="AO14" s="8" t="e">
        <f t="shared" si="1"/>
        <v>#DIV/0!</v>
      </c>
      <c r="AP14"/>
      <c r="AQ14" s="15" t="s">
        <v>26</v>
      </c>
      <c r="AR14">
        <v>116</v>
      </c>
      <c r="AS14"/>
    </row>
    <row r="15" spans="1:45" ht="15" hidden="1" customHeight="1" x14ac:dyDescent="0.25">
      <c r="A15" s="26"/>
      <c r="B15" s="41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2"/>
        <v>0</v>
      </c>
      <c r="P15" s="41"/>
      <c r="Q15" s="41"/>
      <c r="R15" s="41"/>
      <c r="S15" s="2"/>
      <c r="T15" s="41"/>
      <c r="U15" s="2"/>
      <c r="V15" s="4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7">
        <f t="shared" si="0"/>
        <v>0</v>
      </c>
      <c r="AL15" s="8"/>
      <c r="AM15" s="8"/>
      <c r="AN15" s="8"/>
      <c r="AO15" s="8" t="e">
        <f t="shared" si="1"/>
        <v>#DIV/0!</v>
      </c>
      <c r="AP15"/>
      <c r="AQ15" s="15" t="s">
        <v>28</v>
      </c>
      <c r="AR15">
        <v>2</v>
      </c>
      <c r="AS15"/>
    </row>
    <row r="16" spans="1:45" ht="15" hidden="1" customHeight="1" x14ac:dyDescent="0.25">
      <c r="A16" s="30"/>
      <c r="B16" s="41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2"/>
        <v>0</v>
      </c>
      <c r="P16" s="41"/>
      <c r="Q16" s="41"/>
      <c r="R16" s="41"/>
      <c r="S16" s="2"/>
      <c r="T16" s="41"/>
      <c r="U16" s="2"/>
      <c r="V16" s="4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7">
        <f t="shared" si="0"/>
        <v>0</v>
      </c>
      <c r="AL16" s="8"/>
      <c r="AM16" s="8"/>
      <c r="AN16" s="8"/>
      <c r="AO16" s="8" t="e">
        <f t="shared" si="1"/>
        <v>#DIV/0!</v>
      </c>
      <c r="AP16"/>
      <c r="AQ16" s="15" t="s">
        <v>27</v>
      </c>
      <c r="AR16">
        <v>10</v>
      </c>
      <c r="AS16"/>
    </row>
    <row r="17" spans="1:45" x14ac:dyDescent="0.25">
      <c r="B17" s="41" t="s">
        <v>55</v>
      </c>
      <c r="C17" s="2" t="s">
        <v>49</v>
      </c>
      <c r="D17" s="41" t="s">
        <v>96</v>
      </c>
      <c r="E17" s="13">
        <v>0.375</v>
      </c>
      <c r="F17" s="2">
        <v>0.28000000000000003</v>
      </c>
      <c r="G17" s="3"/>
      <c r="H17" s="3"/>
      <c r="I17" s="44">
        <v>2552</v>
      </c>
      <c r="J17" s="2"/>
      <c r="K17" s="2"/>
      <c r="L17" s="2"/>
      <c r="M17" s="2"/>
      <c r="N17" s="2"/>
      <c r="O17" s="8">
        <f t="shared" si="2"/>
        <v>2325</v>
      </c>
      <c r="P17" s="41"/>
      <c r="Q17" s="41"/>
      <c r="R17" s="41"/>
      <c r="S17" s="2"/>
      <c r="T17" s="41"/>
      <c r="U17" s="2"/>
      <c r="V17" s="41"/>
      <c r="W17" s="2"/>
      <c r="X17" s="2"/>
      <c r="Y17" s="2"/>
      <c r="Z17" s="2"/>
      <c r="AA17" s="2"/>
      <c r="AB17" s="2"/>
      <c r="AC17" s="2"/>
      <c r="AD17" s="2"/>
      <c r="AE17" s="2"/>
      <c r="AF17" s="41">
        <v>227</v>
      </c>
      <c r="AG17" s="41"/>
      <c r="AH17" s="2"/>
      <c r="AI17" s="2"/>
      <c r="AJ17" s="2"/>
      <c r="AK17" s="7">
        <f t="shared" si="0"/>
        <v>0</v>
      </c>
      <c r="AL17" s="8"/>
      <c r="AM17" s="8"/>
      <c r="AN17" s="8"/>
      <c r="AO17" s="8" t="e">
        <f t="shared" si="1"/>
        <v>#DIV/0!</v>
      </c>
      <c r="AP17"/>
      <c r="AQ17" s="15" t="s">
        <v>32</v>
      </c>
      <c r="AR17">
        <v>180</v>
      </c>
      <c r="AS17"/>
    </row>
    <row r="18" spans="1:45" x14ac:dyDescent="0.25">
      <c r="B18" s="41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>
        <v>6200</v>
      </c>
      <c r="J18" s="2"/>
      <c r="K18" s="2"/>
      <c r="L18" s="2"/>
      <c r="M18" s="2"/>
      <c r="N18" s="2"/>
      <c r="O18" s="8">
        <f t="shared" si="2"/>
        <v>6200</v>
      </c>
      <c r="P18" s="41"/>
      <c r="Q18" s="41"/>
      <c r="R18" s="41"/>
      <c r="S18" s="41"/>
      <c r="T18" s="41"/>
      <c r="U18" s="2"/>
      <c r="V18" s="41"/>
      <c r="W18" s="2"/>
      <c r="X18" s="2"/>
      <c r="Y18" s="2"/>
      <c r="Z18" s="2"/>
      <c r="AA18" s="2"/>
      <c r="AB18" s="2"/>
      <c r="AC18" s="2"/>
      <c r="AD18" s="2"/>
      <c r="AE18" s="2"/>
      <c r="AF18" s="41"/>
      <c r="AG18" s="41"/>
      <c r="AH18" s="2"/>
      <c r="AI18" s="2"/>
      <c r="AJ18" s="2"/>
      <c r="AK18" s="7">
        <f t="shared" si="0"/>
        <v>0</v>
      </c>
      <c r="AL18" s="8"/>
      <c r="AM18" s="8"/>
      <c r="AN18" s="8"/>
      <c r="AO18" s="8" t="e">
        <f t="shared" si="1"/>
        <v>#DIV/0!</v>
      </c>
      <c r="AP18"/>
      <c r="AQ18"/>
      <c r="AR18"/>
      <c r="AS18"/>
    </row>
    <row r="19" spans="1:45" hidden="1" x14ac:dyDescent="0.25">
      <c r="B19" s="41" t="s">
        <v>55</v>
      </c>
      <c r="C19" s="2" t="s">
        <v>49</v>
      </c>
      <c r="D19" s="41" t="s">
        <v>98</v>
      </c>
      <c r="E19" s="13">
        <v>0.3125</v>
      </c>
      <c r="F19" s="2">
        <v>0.28000000000000003</v>
      </c>
      <c r="G19" s="3"/>
      <c r="H19" s="3"/>
      <c r="I19" s="82">
        <v>8753</v>
      </c>
      <c r="J19" s="2"/>
      <c r="K19" s="2"/>
      <c r="L19" s="2"/>
      <c r="M19" s="2"/>
      <c r="N19" s="2"/>
      <c r="O19" s="8">
        <f t="shared" si="2"/>
        <v>-2022</v>
      </c>
      <c r="P19" s="41"/>
      <c r="Q19" s="41"/>
      <c r="R19" s="41"/>
      <c r="S19" s="41"/>
      <c r="T19" s="41"/>
      <c r="V19" s="41"/>
      <c r="W19" s="2"/>
      <c r="X19" s="2"/>
      <c r="Y19" s="2"/>
      <c r="Z19" s="2"/>
      <c r="AA19" s="2"/>
      <c r="AB19" s="2"/>
      <c r="AC19" s="2"/>
      <c r="AD19" s="2">
        <v>3108</v>
      </c>
      <c r="AE19" s="2">
        <v>7167</v>
      </c>
      <c r="AF19" s="2">
        <v>500</v>
      </c>
      <c r="AG19" s="2"/>
      <c r="AH19" s="2"/>
      <c r="AI19" s="2"/>
      <c r="AJ19" s="2"/>
      <c r="AK19" s="7">
        <f t="shared" si="0"/>
        <v>0</v>
      </c>
      <c r="AL19" s="8"/>
      <c r="AM19" s="8"/>
      <c r="AN19" s="8"/>
      <c r="AO19" s="8" t="e">
        <f t="shared" si="1"/>
        <v>#DIV/0!</v>
      </c>
      <c r="AP19"/>
      <c r="AQ19"/>
      <c r="AR19"/>
      <c r="AS19"/>
    </row>
    <row r="20" spans="1:45" hidden="1" x14ac:dyDescent="0.25">
      <c r="B20" s="41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/>
      <c r="J20" s="2"/>
      <c r="K20" s="2"/>
      <c r="L20" s="2"/>
      <c r="M20" s="2"/>
      <c r="N20" s="2"/>
      <c r="O20" s="8">
        <f t="shared" si="2"/>
        <v>-343</v>
      </c>
      <c r="P20" s="41"/>
      <c r="Q20" s="41"/>
      <c r="R20" s="41"/>
      <c r="S20" s="41"/>
      <c r="T20" s="41"/>
      <c r="U20" s="2"/>
      <c r="V20" s="41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>
        <v>343</v>
      </c>
      <c r="AI20" s="2"/>
      <c r="AJ20" s="2"/>
      <c r="AK20" s="7">
        <f t="shared" si="0"/>
        <v>0</v>
      </c>
      <c r="AL20" s="8"/>
      <c r="AM20" s="8"/>
      <c r="AN20" s="8"/>
      <c r="AO20" s="8" t="e">
        <f t="shared" si="1"/>
        <v>#DIV/0!</v>
      </c>
      <c r="AP20"/>
      <c r="AQ20"/>
      <c r="AR20"/>
      <c r="AS20"/>
    </row>
    <row r="21" spans="1:45" x14ac:dyDescent="0.25">
      <c r="B21" s="41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83">
        <v>3880</v>
      </c>
      <c r="J21" s="2"/>
      <c r="K21" s="2"/>
      <c r="L21" s="2"/>
      <c r="M21" s="2"/>
      <c r="N21" s="2"/>
      <c r="O21" s="8">
        <f t="shared" si="2"/>
        <v>3880</v>
      </c>
      <c r="P21" s="41"/>
      <c r="Q21" s="41"/>
      <c r="R21" s="41"/>
      <c r="S21" s="41"/>
      <c r="T21" s="41"/>
      <c r="U21" s="2"/>
      <c r="V21" s="41"/>
      <c r="W21" s="2"/>
      <c r="X21" s="2"/>
      <c r="Y21" s="2"/>
      <c r="Z21" s="2"/>
      <c r="AA21" s="2"/>
      <c r="AB21" s="2"/>
      <c r="AC21" s="2"/>
      <c r="AD21" s="2"/>
      <c r="AE21" s="2"/>
      <c r="AF21" s="41"/>
      <c r="AG21" s="41"/>
      <c r="AH21" s="2"/>
      <c r="AI21" s="2"/>
      <c r="AJ21" s="2"/>
      <c r="AK21" s="7">
        <f t="shared" si="0"/>
        <v>0</v>
      </c>
      <c r="AL21" s="8"/>
      <c r="AM21" s="8"/>
      <c r="AN21" s="8"/>
      <c r="AO21" s="8" t="e">
        <f t="shared" si="1"/>
        <v>#DIV/0!</v>
      </c>
      <c r="AP21"/>
      <c r="AQ21"/>
      <c r="AR21"/>
      <c r="AS21"/>
    </row>
    <row r="22" spans="1:45" hidden="1" x14ac:dyDescent="0.25">
      <c r="B22" s="41" t="s">
        <v>55</v>
      </c>
      <c r="C22" s="2" t="s">
        <v>49</v>
      </c>
      <c r="D22" s="41" t="s">
        <v>101</v>
      </c>
      <c r="E22" s="13">
        <v>0.3125</v>
      </c>
      <c r="F22" s="2">
        <v>0.28000000000000003</v>
      </c>
      <c r="G22" s="3"/>
      <c r="H22" s="3"/>
      <c r="I22" s="72"/>
      <c r="J22" s="2"/>
      <c r="K22" s="2"/>
      <c r="L22" s="2"/>
      <c r="M22" s="2"/>
      <c r="N22" s="2"/>
      <c r="O22" s="8">
        <f t="shared" si="2"/>
        <v>0</v>
      </c>
      <c r="P22" s="41"/>
      <c r="Q22" s="41"/>
      <c r="R22" s="41"/>
      <c r="S22" s="41"/>
      <c r="T22" s="41"/>
      <c r="U22" s="2"/>
      <c r="V22" s="4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7">
        <f t="shared" si="0"/>
        <v>0</v>
      </c>
      <c r="AL22" s="8"/>
      <c r="AM22" s="8"/>
      <c r="AN22" s="8"/>
      <c r="AO22" s="8" t="e">
        <f t="shared" si="1"/>
        <v>#DIV/0!</v>
      </c>
      <c r="AP22"/>
      <c r="AQ22"/>
      <c r="AR22"/>
      <c r="AS22"/>
    </row>
    <row r="23" spans="1:45" hidden="1" x14ac:dyDescent="0.25">
      <c r="A23" s="26"/>
      <c r="B23" s="41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2"/>
        <v>0</v>
      </c>
      <c r="P23" s="41"/>
      <c r="Q23" s="41"/>
      <c r="R23" s="41"/>
      <c r="S23" s="41"/>
      <c r="T23" s="41"/>
      <c r="U23" s="2"/>
      <c r="V23" s="41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7">
        <f t="shared" si="0"/>
        <v>0</v>
      </c>
      <c r="AL23" s="8"/>
      <c r="AM23" s="8"/>
      <c r="AN23" s="8"/>
      <c r="AO23" s="8" t="e">
        <f t="shared" si="1"/>
        <v>#DIV/0!</v>
      </c>
      <c r="AP23"/>
      <c r="AQ23"/>
      <c r="AR23"/>
      <c r="AS23"/>
    </row>
    <row r="24" spans="1:45" hidden="1" x14ac:dyDescent="0.25">
      <c r="A24" s="2"/>
      <c r="B24" s="41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2"/>
        <v>0</v>
      </c>
      <c r="P24" s="41"/>
      <c r="Q24" s="2"/>
      <c r="R24" s="2"/>
      <c r="S24" s="2"/>
      <c r="T24" s="41"/>
      <c r="U24" s="2"/>
      <c r="V24" s="4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>
        <f t="shared" si="0"/>
        <v>0</v>
      </c>
      <c r="AL24" s="8"/>
      <c r="AM24" s="8"/>
      <c r="AN24" s="8"/>
      <c r="AO24" s="8" t="e">
        <f t="shared" si="1"/>
        <v>#DIV/0!</v>
      </c>
      <c r="AP24"/>
      <c r="AQ24"/>
      <c r="AR24"/>
      <c r="AS24"/>
    </row>
    <row r="25" spans="1:45" hidden="1" x14ac:dyDescent="0.25">
      <c r="A25" s="2"/>
      <c r="B25" s="41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2"/>
        <v>0</v>
      </c>
      <c r="P25" s="41"/>
      <c r="Q25" s="2"/>
      <c r="R25" s="2"/>
      <c r="S25" s="2"/>
      <c r="T25" s="41"/>
      <c r="U25" s="2"/>
      <c r="V25" s="4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>
        <f t="shared" si="0"/>
        <v>0</v>
      </c>
      <c r="AL25" s="8"/>
      <c r="AM25" s="8"/>
      <c r="AN25" s="8"/>
      <c r="AO25" s="8" t="e">
        <f t="shared" si="1"/>
        <v>#DIV/0!</v>
      </c>
      <c r="AP25"/>
      <c r="AQ25"/>
      <c r="AR25"/>
      <c r="AS25"/>
    </row>
    <row r="26" spans="1:45" hidden="1" x14ac:dyDescent="0.25">
      <c r="A26" s="2"/>
      <c r="B26" s="41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2"/>
        <v>0</v>
      </c>
      <c r="P26" s="41"/>
      <c r="Q26" s="2"/>
      <c r="R26" s="2"/>
      <c r="S26" s="2"/>
      <c r="T26" s="41"/>
      <c r="U26" s="2"/>
      <c r="V26" s="4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>
        <f t="shared" si="0"/>
        <v>0</v>
      </c>
      <c r="AL26" s="8"/>
      <c r="AM26" s="8"/>
      <c r="AN26" s="8"/>
      <c r="AO26" s="8" t="e">
        <f t="shared" si="1"/>
        <v>#DIV/0!</v>
      </c>
      <c r="AP26"/>
      <c r="AQ26"/>
      <c r="AR26"/>
      <c r="AS26"/>
    </row>
    <row r="27" spans="1:45" hidden="1" x14ac:dyDescent="0.25">
      <c r="A27" s="2"/>
      <c r="B27" s="4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2"/>
        <v>0</v>
      </c>
      <c r="P27" s="2"/>
      <c r="Q27" s="2"/>
      <c r="R27" s="2"/>
      <c r="S27" s="2"/>
      <c r="T27" s="2"/>
      <c r="U27" s="2"/>
      <c r="V27" s="4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>
        <f t="shared" si="0"/>
        <v>0</v>
      </c>
      <c r="AL27" s="8"/>
      <c r="AM27" s="8"/>
      <c r="AN27" s="8"/>
      <c r="AO27" s="8">
        <v>0</v>
      </c>
      <c r="AP27"/>
      <c r="AQ27"/>
      <c r="AR27"/>
      <c r="AS27"/>
    </row>
    <row r="28" spans="1:45" hidden="1" x14ac:dyDescent="0.25">
      <c r="A28" s="2"/>
      <c r="B28" s="4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2"/>
        <v>0</v>
      </c>
      <c r="P28" s="2"/>
      <c r="Q28" s="2"/>
      <c r="R28" s="2"/>
      <c r="S28" s="2"/>
      <c r="T28" s="2"/>
      <c r="U28" s="2"/>
      <c r="V28" s="4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>
        <f t="shared" si="0"/>
        <v>0</v>
      </c>
      <c r="AL28" s="8"/>
      <c r="AM28" s="8"/>
      <c r="AN28" s="8"/>
      <c r="AO28" s="8">
        <v>0</v>
      </c>
      <c r="AP28"/>
    </row>
    <row r="29" spans="1:45" hidden="1" x14ac:dyDescent="0.25">
      <c r="A29" s="2"/>
      <c r="B29" s="41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2"/>
        <v>0</v>
      </c>
      <c r="P29" s="2"/>
      <c r="Q29" s="2"/>
      <c r="R29" s="2"/>
      <c r="S29" s="2"/>
      <c r="T29" s="2"/>
      <c r="U29" s="2"/>
      <c r="V29" s="4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>
        <f t="shared" si="0"/>
        <v>0</v>
      </c>
      <c r="AL29" s="8"/>
      <c r="AM29" s="8"/>
      <c r="AN29" s="8"/>
      <c r="AO29" s="8">
        <v>0</v>
      </c>
      <c r="AP29"/>
    </row>
    <row r="30" spans="1:45" hidden="1" x14ac:dyDescent="0.25">
      <c r="A30" s="2"/>
      <c r="B30" s="41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2"/>
        <v>0</v>
      </c>
      <c r="P30" s="2"/>
      <c r="Q30" s="2"/>
      <c r="R30" s="2"/>
      <c r="S30" s="2"/>
      <c r="T30" s="2"/>
      <c r="U30" s="2"/>
      <c r="V30" s="4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">
        <f t="shared" si="0"/>
        <v>0</v>
      </c>
      <c r="AL30" s="8"/>
      <c r="AM30" s="8"/>
      <c r="AN30" s="8"/>
      <c r="AO30" s="8">
        <v>0</v>
      </c>
      <c r="AP30"/>
    </row>
    <row r="31" spans="1:45" hidden="1" x14ac:dyDescent="0.25">
      <c r="A31" s="2"/>
      <c r="B31" s="41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2"/>
        <v>0</v>
      </c>
      <c r="P31" s="2"/>
      <c r="Q31" s="2"/>
      <c r="R31" s="2"/>
      <c r="S31" s="2"/>
      <c r="T31" s="2"/>
      <c r="U31" s="2"/>
      <c r="V31" s="4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7">
        <f t="shared" si="0"/>
        <v>0</v>
      </c>
      <c r="AL31" s="8"/>
      <c r="AM31" s="8"/>
      <c r="AN31" s="8"/>
      <c r="AO31" s="8">
        <v>0</v>
      </c>
      <c r="AP31"/>
    </row>
    <row r="32" spans="1:45" hidden="1" x14ac:dyDescent="0.25">
      <c r="A32" s="2"/>
      <c r="B32" s="41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2"/>
        <v>0</v>
      </c>
      <c r="P32" s="2"/>
      <c r="Q32" s="2"/>
      <c r="R32" s="2"/>
      <c r="S32" s="2"/>
      <c r="T32" s="2"/>
      <c r="U32" s="2"/>
      <c r="V32" s="4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7">
        <f t="shared" si="0"/>
        <v>0</v>
      </c>
      <c r="AL32" s="8"/>
      <c r="AM32" s="8"/>
      <c r="AN32" s="8"/>
      <c r="AO32" s="8">
        <v>0</v>
      </c>
      <c r="AP32"/>
    </row>
    <row r="33" spans="1:42" hidden="1" x14ac:dyDescent="0.25">
      <c r="A33" s="2"/>
      <c r="B33" s="41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2"/>
        <v>0</v>
      </c>
      <c r="P33" s="2"/>
      <c r="Q33" s="2"/>
      <c r="R33" s="2"/>
      <c r="S33" s="2"/>
      <c r="T33" s="2"/>
      <c r="U33" s="2"/>
      <c r="V33" s="4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7">
        <f t="shared" si="0"/>
        <v>0</v>
      </c>
      <c r="AL33" s="8"/>
      <c r="AM33" s="8"/>
      <c r="AN33" s="8"/>
      <c r="AO33" s="8">
        <v>0</v>
      </c>
      <c r="AP33"/>
    </row>
    <row r="34" spans="1:42" hidden="1" x14ac:dyDescent="0.25">
      <c r="A34" s="2"/>
      <c r="B34" s="41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2"/>
        <v>0</v>
      </c>
      <c r="P34" s="2"/>
      <c r="Q34" s="2"/>
      <c r="R34" s="2"/>
      <c r="S34" s="2"/>
      <c r="T34" s="2"/>
      <c r="U34" s="2"/>
      <c r="V34" s="4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">
        <f t="shared" si="0"/>
        <v>0</v>
      </c>
      <c r="AL34" s="8"/>
      <c r="AM34" s="8"/>
      <c r="AN34" s="8"/>
      <c r="AO34" s="8">
        <v>0</v>
      </c>
      <c r="AP34"/>
    </row>
    <row r="35" spans="1:42" hidden="1" x14ac:dyDescent="0.25">
      <c r="A35" s="2"/>
      <c r="B35" s="41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2"/>
        <v>0</v>
      </c>
      <c r="P35" s="2"/>
      <c r="Q35" s="2"/>
      <c r="R35" s="2"/>
      <c r="S35" s="2"/>
      <c r="T35" s="2"/>
      <c r="U35" s="2"/>
      <c r="V35" s="4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">
        <f t="shared" si="0"/>
        <v>0</v>
      </c>
      <c r="AL35" s="8"/>
      <c r="AM35" s="8"/>
      <c r="AN35" s="8"/>
      <c r="AO35" s="8">
        <v>0</v>
      </c>
      <c r="AP35"/>
    </row>
    <row r="36" spans="1:42" hidden="1" x14ac:dyDescent="0.25">
      <c r="A36" s="2"/>
      <c r="B36" s="41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2"/>
        <v>0</v>
      </c>
      <c r="P36" s="2"/>
      <c r="Q36" s="2"/>
      <c r="R36" s="2"/>
      <c r="S36" s="2"/>
      <c r="T36" s="2"/>
      <c r="U36" s="2"/>
      <c r="V36" s="4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7">
        <f t="shared" si="0"/>
        <v>0</v>
      </c>
      <c r="AL36" s="8"/>
      <c r="AM36" s="8"/>
      <c r="AN36" s="8"/>
      <c r="AO36" s="8">
        <v>0</v>
      </c>
      <c r="AP36"/>
    </row>
    <row r="37" spans="1:42" hidden="1" x14ac:dyDescent="0.25">
      <c r="A37" s="2"/>
      <c r="B37" s="41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2"/>
        <v>0</v>
      </c>
      <c r="P37" s="2"/>
      <c r="Q37" s="2"/>
      <c r="R37" s="2"/>
      <c r="S37" s="2"/>
      <c r="T37" s="2"/>
      <c r="U37" s="2"/>
      <c r="V37" s="4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>
        <f t="shared" si="0"/>
        <v>0</v>
      </c>
      <c r="AL37" s="8"/>
      <c r="AM37" s="8"/>
      <c r="AN37" s="8"/>
      <c r="AO37" s="8">
        <v>0</v>
      </c>
      <c r="AP37"/>
    </row>
    <row r="38" spans="1:42" hidden="1" x14ac:dyDescent="0.25">
      <c r="A38" s="2"/>
      <c r="B38" s="41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2"/>
        <v>0</v>
      </c>
      <c r="P38" s="2"/>
      <c r="Q38" s="2"/>
      <c r="R38" s="2"/>
      <c r="S38" s="2"/>
      <c r="T38" s="2"/>
      <c r="U38" s="2"/>
      <c r="V38" s="4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>
        <f t="shared" si="0"/>
        <v>0</v>
      </c>
      <c r="AL38" s="8"/>
      <c r="AM38" s="8"/>
      <c r="AN38" s="8"/>
      <c r="AO38" s="8">
        <v>0</v>
      </c>
      <c r="AP38"/>
    </row>
    <row r="39" spans="1:42" hidden="1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2"/>
        <v>0</v>
      </c>
      <c r="P39" s="2"/>
      <c r="Q39" s="2"/>
      <c r="R39" s="2"/>
      <c r="S39" s="2"/>
      <c r="T39" s="2"/>
      <c r="U39" s="2"/>
      <c r="V39" s="4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>
        <f t="shared" si="0"/>
        <v>0</v>
      </c>
      <c r="AL39" s="8"/>
      <c r="AM39" s="8"/>
      <c r="AN39" s="8"/>
      <c r="AO39" s="8">
        <v>0</v>
      </c>
      <c r="AP39"/>
    </row>
    <row r="40" spans="1:42" hidden="1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2"/>
        <v>0</v>
      </c>
      <c r="P40" s="2"/>
      <c r="Q40" s="2"/>
      <c r="R40" s="2"/>
      <c r="S40" s="2"/>
      <c r="T40" s="2"/>
      <c r="U40" s="2"/>
      <c r="V40" s="4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>
        <f t="shared" si="0"/>
        <v>0</v>
      </c>
      <c r="AL40" s="8"/>
      <c r="AM40" s="8"/>
      <c r="AN40" s="8"/>
      <c r="AO40" s="8">
        <v>0</v>
      </c>
      <c r="AP40"/>
    </row>
    <row r="41" spans="1:42" hidden="1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2"/>
        <v>0</v>
      </c>
      <c r="P41" s="2"/>
      <c r="Q41" s="2"/>
      <c r="R41" s="2"/>
      <c r="S41" s="2"/>
      <c r="T41" s="2"/>
      <c r="U41" s="2"/>
      <c r="V41" s="4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>
        <f t="shared" si="0"/>
        <v>0</v>
      </c>
      <c r="AL41" s="8"/>
      <c r="AM41" s="8"/>
      <c r="AN41" s="8"/>
      <c r="AO41" s="8" t="e">
        <f>+SUM(I41:N41)/AM41</f>
        <v>#DIV/0!</v>
      </c>
      <c r="AP41"/>
    </row>
    <row r="42" spans="1:42" hidden="1" x14ac:dyDescent="0.25">
      <c r="H42" s="4" t="s">
        <v>19</v>
      </c>
      <c r="I42" s="9">
        <f t="shared" ref="I42:N42" si="3">SUM(I11:I41)</f>
        <v>55399</v>
      </c>
      <c r="J42" s="9">
        <f t="shared" si="3"/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0</v>
      </c>
      <c r="O42" s="11">
        <v>0</v>
      </c>
      <c r="P42" s="9">
        <f t="shared" ref="P42:Y42" si="4">SUM(P11:P41)</f>
        <v>0</v>
      </c>
      <c r="Q42" s="9">
        <f t="shared" si="4"/>
        <v>0</v>
      </c>
      <c r="R42" s="9">
        <f t="shared" si="4"/>
        <v>0</v>
      </c>
      <c r="S42" s="9">
        <f t="shared" si="4"/>
        <v>0</v>
      </c>
      <c r="T42" s="76">
        <f t="shared" si="4"/>
        <v>0</v>
      </c>
      <c r="U42" s="76">
        <f t="shared" si="4"/>
        <v>0</v>
      </c>
      <c r="V42" s="76">
        <f t="shared" si="4"/>
        <v>0</v>
      </c>
      <c r="W42" s="76">
        <f t="shared" si="4"/>
        <v>0</v>
      </c>
      <c r="X42" s="76">
        <f t="shared" si="4"/>
        <v>0</v>
      </c>
      <c r="Y42" s="76">
        <f t="shared" si="4"/>
        <v>0</v>
      </c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9">
        <f>SUM(AJ11:AJ41)</f>
        <v>0</v>
      </c>
      <c r="AK42" s="9">
        <f>SUM(AK11:AK41)</f>
        <v>0</v>
      </c>
      <c r="AO42" s="12" t="e">
        <f>SUM(AO11:AO41)</f>
        <v>#DIV/0!</v>
      </c>
    </row>
    <row r="43" spans="1:42" hidden="1" x14ac:dyDescent="0.25">
      <c r="H43" s="4" t="s">
        <v>21</v>
      </c>
      <c r="I43" s="99">
        <f>+I42+J42+K42+L42+M42+N42</f>
        <v>55399</v>
      </c>
      <c r="J43" s="99"/>
      <c r="K43" s="99"/>
      <c r="L43" s="99"/>
      <c r="M43" s="99"/>
      <c r="N43" s="99"/>
      <c r="P43" s="100">
        <f>+P42+Q42</f>
        <v>0</v>
      </c>
      <c r="Q43" s="101"/>
      <c r="R43" s="100">
        <f>+R42+S42</f>
        <v>0</v>
      </c>
      <c r="S43" s="101"/>
      <c r="T43" s="102">
        <f>+T42+U42</f>
        <v>0</v>
      </c>
      <c r="U43" s="91"/>
      <c r="V43" s="102">
        <f>+V42+W42</f>
        <v>0</v>
      </c>
      <c r="W43" s="91"/>
      <c r="X43" s="102">
        <f>+X42+Y42</f>
        <v>0</v>
      </c>
      <c r="Y43" s="91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0">
        <f>+AJ42</f>
        <v>0</v>
      </c>
    </row>
    <row r="44" spans="1:42" x14ac:dyDescent="0.25">
      <c r="O44" s="85">
        <v>14166</v>
      </c>
    </row>
    <row r="45" spans="1:4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42" x14ac:dyDescent="0.25">
      <c r="A46" s="53" t="s">
        <v>108</v>
      </c>
      <c r="B46" s="61">
        <v>55399</v>
      </c>
      <c r="C46" s="2">
        <v>4755</v>
      </c>
      <c r="D46" s="2">
        <v>2377.5</v>
      </c>
      <c r="E46"/>
      <c r="F46"/>
    </row>
    <row r="47" spans="1:42" x14ac:dyDescent="0.25">
      <c r="A47" s="67" t="s">
        <v>109</v>
      </c>
      <c r="B47" s="8">
        <v>14166</v>
      </c>
      <c r="C47" s="2">
        <v>1862</v>
      </c>
      <c r="D47" s="2">
        <v>931</v>
      </c>
      <c r="E47"/>
      <c r="F47"/>
    </row>
    <row r="48" spans="1:42" x14ac:dyDescent="0.25">
      <c r="A48" s="53" t="s">
        <v>110</v>
      </c>
      <c r="B48" s="62">
        <f>B46-B47</f>
        <v>41233</v>
      </c>
      <c r="C48" s="2"/>
      <c r="D48" s="2"/>
      <c r="E48"/>
      <c r="F48"/>
    </row>
    <row r="49" spans="1:15" x14ac:dyDescent="0.25">
      <c r="A49" s="53" t="s">
        <v>111</v>
      </c>
      <c r="B49" s="63">
        <f>B48/B46</f>
        <v>0.74429141320240433</v>
      </c>
      <c r="C49" s="2"/>
      <c r="D49" s="2"/>
      <c r="E49"/>
      <c r="F49"/>
    </row>
    <row r="50" spans="1:15" x14ac:dyDescent="0.25">
      <c r="A50" s="53" t="s">
        <v>112</v>
      </c>
      <c r="B50" s="63">
        <f>B47/B46</f>
        <v>0.25570858679759562</v>
      </c>
      <c r="C50" s="2"/>
      <c r="D50" s="2"/>
      <c r="E50"/>
      <c r="F50"/>
    </row>
    <row r="52" spans="1:15" x14ac:dyDescent="0.25">
      <c r="B52" s="94" t="s">
        <v>123</v>
      </c>
      <c r="C52" s="94"/>
      <c r="D52" s="94"/>
      <c r="E52" s="94"/>
      <c r="F52" s="94"/>
      <c r="H52" s="44"/>
      <c r="I52" s="81"/>
    </row>
    <row r="53" spans="1:15" x14ac:dyDescent="0.25">
      <c r="A53" s="97" t="s">
        <v>127</v>
      </c>
      <c r="B53" s="57">
        <v>46300</v>
      </c>
      <c r="C53" s="57">
        <v>46301</v>
      </c>
      <c r="D53" s="57">
        <v>46302</v>
      </c>
      <c r="E53" s="57">
        <v>46303</v>
      </c>
      <c r="F53" s="57">
        <v>46304</v>
      </c>
      <c r="G53" s="57">
        <v>46305</v>
      </c>
      <c r="H53" s="57">
        <v>46306</v>
      </c>
      <c r="I53" s="84">
        <v>46304</v>
      </c>
    </row>
    <row r="54" spans="1:15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59" t="s">
        <v>126</v>
      </c>
    </row>
    <row r="55" spans="1:15" x14ac:dyDescent="0.25">
      <c r="A55" s="55" t="s">
        <v>119</v>
      </c>
      <c r="B55" s="54"/>
      <c r="C55" s="54">
        <v>0.26</v>
      </c>
      <c r="D55" s="54">
        <v>0.42</v>
      </c>
      <c r="E55" s="60">
        <v>0.64</v>
      </c>
      <c r="F55" s="71"/>
      <c r="H55" s="44"/>
      <c r="I55" s="60">
        <v>0.74</v>
      </c>
    </row>
    <row r="56" spans="1:15" x14ac:dyDescent="0.25">
      <c r="A56" s="56" t="s">
        <v>120</v>
      </c>
      <c r="B56" s="54"/>
      <c r="C56" s="54">
        <v>0.74</v>
      </c>
      <c r="D56" s="54">
        <v>0.57999999999999996</v>
      </c>
      <c r="E56" s="60">
        <v>0.36</v>
      </c>
      <c r="F56" s="60"/>
      <c r="H56" s="69"/>
      <c r="I56" s="60">
        <v>0.26</v>
      </c>
    </row>
    <row r="57" spans="1:15" x14ac:dyDescent="0.25">
      <c r="H57" s="69"/>
      <c r="I57" s="69"/>
      <c r="O57" s="86" t="s">
        <v>128</v>
      </c>
    </row>
    <row r="58" spans="1:15" x14ac:dyDescent="0.25">
      <c r="A58" s="97"/>
      <c r="B58" s="57">
        <v>46300</v>
      </c>
      <c r="C58" s="57">
        <v>46301</v>
      </c>
      <c r="D58" s="57">
        <v>46302</v>
      </c>
      <c r="E58" s="57">
        <v>46303</v>
      </c>
      <c r="F58" s="80">
        <v>46297</v>
      </c>
      <c r="H58" s="69"/>
      <c r="I58" s="69"/>
    </row>
    <row r="59" spans="1:15" x14ac:dyDescent="0.25">
      <c r="A59" s="98"/>
      <c r="B59" s="59" t="s">
        <v>114</v>
      </c>
      <c r="C59" s="59" t="s">
        <v>115</v>
      </c>
      <c r="D59" s="59" t="s">
        <v>116</v>
      </c>
      <c r="E59" s="59" t="s">
        <v>117</v>
      </c>
      <c r="F59" s="59" t="s">
        <v>126</v>
      </c>
      <c r="H59" s="69"/>
      <c r="I59" s="69"/>
    </row>
    <row r="60" spans="1:15" x14ac:dyDescent="0.25">
      <c r="A60" s="55" t="s">
        <v>119</v>
      </c>
      <c r="B60" s="54"/>
      <c r="C60" s="54"/>
      <c r="D60" s="54"/>
      <c r="E60" s="60"/>
      <c r="F60" s="60">
        <v>0.61</v>
      </c>
      <c r="H60" s="69"/>
      <c r="I60" s="69"/>
    </row>
    <row r="61" spans="1:15" x14ac:dyDescent="0.25">
      <c r="A61" s="56" t="s">
        <v>120</v>
      </c>
      <c r="B61" s="54"/>
      <c r="C61" s="54"/>
      <c r="D61" s="54"/>
      <c r="E61" s="60"/>
      <c r="F61" s="60">
        <v>0.39</v>
      </c>
      <c r="H61" s="44"/>
      <c r="I61" s="69"/>
    </row>
  </sheetData>
  <autoFilter ref="B10:AO43" xr:uid="{00000000-0009-0000-0000-00000D000000}">
    <filterColumn colId="13">
      <customFilters>
        <customFilter operator="greaterThan" val="1"/>
      </customFilters>
    </filterColumn>
  </autoFilter>
  <mergeCells count="23">
    <mergeCell ref="B52:F52"/>
    <mergeCell ref="A53:A54"/>
    <mergeCell ref="A58:A59"/>
    <mergeCell ref="AF9:AG9"/>
    <mergeCell ref="AH9:AI9"/>
    <mergeCell ref="I43:N43"/>
    <mergeCell ref="P43:Q43"/>
    <mergeCell ref="R43:S43"/>
    <mergeCell ref="T43:U43"/>
    <mergeCell ref="V43:W43"/>
    <mergeCell ref="X43:Y43"/>
    <mergeCell ref="T9:U9"/>
    <mergeCell ref="V9:W9"/>
    <mergeCell ref="X9:Y9"/>
    <mergeCell ref="Z9:AA9"/>
    <mergeCell ref="AB9:AC9"/>
    <mergeCell ref="AD9:AE9"/>
    <mergeCell ref="C7:D7"/>
    <mergeCell ref="B8:B9"/>
    <mergeCell ref="E9:F9"/>
    <mergeCell ref="J9:N9"/>
    <mergeCell ref="P9:Q9"/>
    <mergeCell ref="R9:S9"/>
  </mergeCells>
  <pageMargins left="0.7" right="0.7" top="0.75" bottom="0.75" header="0.3" footer="0.3"/>
  <pageSetup paperSize="9" scale="74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A19C-FE62-456E-8935-5AED8EFEAD95}">
  <dimension ref="A1:AS61"/>
  <sheetViews>
    <sheetView zoomScaleNormal="100" zoomScaleSheetLayoutView="130" workbookViewId="0">
      <pane xSplit="15" topLeftCell="AA1" activePane="topRight" state="frozen"/>
      <selection activeCell="J16" sqref="J16:J17"/>
      <selection pane="topRight" activeCell="AE34" sqref="AE34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4.5703125" style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3" width="5" style="1" hidden="1" customWidth="1"/>
    <col min="14" max="14" width="2.140625" style="1" hidden="1" customWidth="1"/>
    <col min="15" max="15" width="13.7109375" style="1" bestFit="1" customWidth="1"/>
    <col min="16" max="18" width="7.28515625" style="1" hidden="1" customWidth="1"/>
    <col min="19" max="19" width="6.7109375" style="1" hidden="1" customWidth="1"/>
    <col min="20" max="20" width="7.28515625" style="1" hidden="1" customWidth="1"/>
    <col min="21" max="21" width="6.7109375" style="1" hidden="1" customWidth="1"/>
    <col min="22" max="22" width="8.42578125" style="1" hidden="1" customWidth="1"/>
    <col min="23" max="23" width="7.28515625" style="1" hidden="1" customWidth="1"/>
    <col min="24" max="24" width="6.85546875" style="1" hidden="1" customWidth="1"/>
    <col min="25" max="25" width="7.28515625" style="1" hidden="1" customWidth="1"/>
    <col min="26" max="26" width="8.7109375" style="1" hidden="1" customWidth="1"/>
    <col min="27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1" spans="1:45" s="77" customFormat="1" x14ac:dyDescent="0.25"/>
    <row r="2" spans="1:45" s="77" customFormat="1" x14ac:dyDescent="0.25"/>
    <row r="3" spans="1:45" s="77" customFormat="1" x14ac:dyDescent="0.25"/>
    <row r="4" spans="1:45" s="77" customFormat="1" x14ac:dyDescent="0.25"/>
    <row r="5" spans="1:45" s="77" customFormat="1" x14ac:dyDescent="0.25"/>
    <row r="7" spans="1:45" x14ac:dyDescent="0.25">
      <c r="B7" s="4" t="s">
        <v>17</v>
      </c>
      <c r="C7" s="91" t="s">
        <v>18</v>
      </c>
      <c r="D7" s="91"/>
    </row>
    <row r="8" spans="1:4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4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 t="s">
        <v>104</v>
      </c>
      <c r="K9" s="95"/>
      <c r="L9" s="95"/>
      <c r="M9" s="95"/>
      <c r="N9" s="95"/>
      <c r="P9" s="96">
        <v>46293</v>
      </c>
      <c r="Q9" s="96"/>
      <c r="R9" s="96">
        <v>46294</v>
      </c>
      <c r="S9" s="96"/>
      <c r="T9" s="96">
        <v>46295</v>
      </c>
      <c r="U9" s="96"/>
      <c r="V9" s="96">
        <v>46296</v>
      </c>
      <c r="W9" s="96"/>
      <c r="X9" s="96">
        <v>46297</v>
      </c>
      <c r="Y9" s="96"/>
      <c r="Z9" s="89">
        <v>46307</v>
      </c>
      <c r="AA9" s="90"/>
      <c r="AB9" s="89">
        <v>46308</v>
      </c>
      <c r="AC9" s="90"/>
      <c r="AD9" s="89">
        <v>46309</v>
      </c>
      <c r="AE9" s="90"/>
      <c r="AF9" s="89">
        <v>46310</v>
      </c>
      <c r="AG9" s="90"/>
      <c r="AH9" s="89">
        <v>46311</v>
      </c>
      <c r="AI9" s="90"/>
      <c r="AJ9" s="6"/>
    </row>
    <row r="10" spans="1:4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42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" t="s">
        <v>15</v>
      </c>
      <c r="U10" s="4" t="s">
        <v>16</v>
      </c>
      <c r="V10" s="4" t="s">
        <v>15</v>
      </c>
      <c r="W10" s="4" t="s">
        <v>16</v>
      </c>
      <c r="X10" s="4" t="s">
        <v>15</v>
      </c>
      <c r="Y10" s="4" t="s">
        <v>16</v>
      </c>
      <c r="Z10" s="4"/>
      <c r="AA10" s="4"/>
      <c r="AB10" s="4" t="s">
        <v>15</v>
      </c>
      <c r="AC10" s="4" t="s">
        <v>16</v>
      </c>
      <c r="AD10" s="4" t="s">
        <v>15</v>
      </c>
      <c r="AE10" s="4" t="s">
        <v>16</v>
      </c>
      <c r="AF10" s="4" t="s">
        <v>15</v>
      </c>
      <c r="AG10" s="4" t="s">
        <v>16</v>
      </c>
      <c r="AH10" s="4" t="s">
        <v>15</v>
      </c>
      <c r="AI10" s="4" t="s">
        <v>16</v>
      </c>
      <c r="AJ10" s="4" t="s">
        <v>20</v>
      </c>
      <c r="AK10" s="4" t="s">
        <v>8</v>
      </c>
      <c r="AL10" s="4" t="s">
        <v>22</v>
      </c>
      <c r="AM10" s="4" t="s">
        <v>24</v>
      </c>
      <c r="AN10" s="4" t="s">
        <v>23</v>
      </c>
      <c r="AO10" s="4" t="s">
        <v>30</v>
      </c>
      <c r="AP10"/>
      <c r="AQ10" t="s">
        <v>31</v>
      </c>
      <c r="AR10" t="s">
        <v>33</v>
      </c>
      <c r="AS10"/>
    </row>
    <row r="11" spans="1:45" x14ac:dyDescent="0.25">
      <c r="B11" s="41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>+I11+J11+K11+L11+M11+N11-SUM(P11:AJ11)</f>
        <v>17239</v>
      </c>
      <c r="P11" s="41"/>
      <c r="Q11" s="41"/>
      <c r="R11" s="41"/>
      <c r="S11" s="2"/>
      <c r="T11" s="41"/>
      <c r="U11" s="2"/>
      <c r="V11" s="41"/>
      <c r="W11" s="2"/>
      <c r="X11" s="2"/>
      <c r="Y11" s="2"/>
      <c r="Z11" s="2"/>
      <c r="AA11" s="2">
        <v>761</v>
      </c>
      <c r="AB11" s="2"/>
      <c r="AC11" s="2"/>
      <c r="AD11" s="41"/>
      <c r="AE11" s="41"/>
      <c r="AF11" s="41"/>
      <c r="AG11" s="41"/>
      <c r="AH11" s="2"/>
      <c r="AI11" s="2"/>
      <c r="AJ11" s="2"/>
      <c r="AK11" s="7">
        <f t="shared" ref="AK11:AK41" si="0">+G11*SUM(I11:N11)</f>
        <v>0</v>
      </c>
      <c r="AL11" s="8"/>
      <c r="AM11" s="8"/>
      <c r="AN11" s="8"/>
      <c r="AO11" s="8" t="e">
        <f t="shared" ref="AO11:AO26" si="1">+SUM(I11:N11)/AM11</f>
        <v>#DIV/0!</v>
      </c>
      <c r="AP11"/>
      <c r="AQ11" s="15">
        <v>0</v>
      </c>
      <c r="AR11">
        <v>0</v>
      </c>
      <c r="AS11"/>
    </row>
    <row r="12" spans="1:45" x14ac:dyDescent="0.25">
      <c r="A12" s="70"/>
      <c r="B12" s="41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ref="O12:O41" si="2">+I12+J12+K12+L12+M12+N12-SUM(P12:AJ12)</f>
        <v>0</v>
      </c>
      <c r="P12" s="41"/>
      <c r="Q12" s="41"/>
      <c r="R12" s="41"/>
      <c r="S12" s="2"/>
      <c r="T12" s="41"/>
      <c r="U12" s="2"/>
      <c r="V12" s="41"/>
      <c r="W12" s="2"/>
      <c r="X12" s="2"/>
      <c r="Y12" s="2"/>
      <c r="Z12" s="2"/>
      <c r="AA12" s="2"/>
      <c r="AB12" s="2"/>
      <c r="AC12" s="2"/>
      <c r="AD12" s="41"/>
      <c r="AE12" s="41"/>
      <c r="AF12" s="2"/>
      <c r="AG12" s="2"/>
      <c r="AH12" s="2"/>
      <c r="AI12" s="2"/>
      <c r="AJ12" s="2"/>
      <c r="AK12" s="7">
        <f t="shared" si="0"/>
        <v>0</v>
      </c>
      <c r="AL12" s="8"/>
      <c r="AM12" s="8"/>
      <c r="AN12" s="8"/>
      <c r="AO12" s="8" t="e">
        <f t="shared" si="1"/>
        <v>#DIV/0!</v>
      </c>
      <c r="AP12"/>
      <c r="AQ12" s="15" t="s">
        <v>25</v>
      </c>
      <c r="AR12">
        <v>52</v>
      </c>
      <c r="AS12"/>
    </row>
    <row r="13" spans="1:45" x14ac:dyDescent="0.25">
      <c r="B13" s="41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>
        <v>504</v>
      </c>
      <c r="J13" s="2"/>
      <c r="K13" s="2"/>
      <c r="L13" s="2"/>
      <c r="M13" s="2"/>
      <c r="N13" s="2"/>
      <c r="O13" s="8">
        <f t="shared" si="2"/>
        <v>-996</v>
      </c>
      <c r="P13" s="41"/>
      <c r="Q13" s="41"/>
      <c r="R13" s="41"/>
      <c r="S13" s="2"/>
      <c r="T13" s="41"/>
      <c r="U13" s="2"/>
      <c r="V13" s="41"/>
      <c r="W13" s="2"/>
      <c r="X13" s="2"/>
      <c r="Y13" s="2"/>
      <c r="Z13" s="2"/>
      <c r="AA13" s="2"/>
      <c r="AB13" s="2">
        <v>1500</v>
      </c>
      <c r="AC13" s="2"/>
      <c r="AD13" s="41"/>
      <c r="AE13" s="41"/>
      <c r="AF13" s="41"/>
      <c r="AG13" s="41"/>
      <c r="AH13" s="2"/>
      <c r="AI13" s="2"/>
      <c r="AJ13" s="2"/>
      <c r="AK13" s="7">
        <f t="shared" si="0"/>
        <v>0</v>
      </c>
      <c r="AL13" s="8"/>
      <c r="AM13" s="8"/>
      <c r="AN13" s="8"/>
      <c r="AO13" s="8" t="e">
        <f t="shared" si="1"/>
        <v>#DIV/0!</v>
      </c>
      <c r="AP13"/>
      <c r="AQ13" s="15" t="s">
        <v>29</v>
      </c>
      <c r="AR13">
        <v>0</v>
      </c>
      <c r="AS13"/>
    </row>
    <row r="14" spans="1:45" x14ac:dyDescent="0.25">
      <c r="B14" s="41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>
        <v>1030</v>
      </c>
      <c r="J14" s="2"/>
      <c r="K14" s="2"/>
      <c r="L14" s="2"/>
      <c r="M14" s="2"/>
      <c r="N14" s="2"/>
      <c r="O14" s="8">
        <f t="shared" si="2"/>
        <v>1030</v>
      </c>
      <c r="P14" s="41"/>
      <c r="Q14" s="41"/>
      <c r="R14" s="41"/>
      <c r="S14" s="2"/>
      <c r="T14" s="41"/>
      <c r="U14" s="2"/>
      <c r="V14" s="41"/>
      <c r="W14" s="2"/>
      <c r="X14" s="2"/>
      <c r="Y14" s="2"/>
      <c r="Z14" s="2"/>
      <c r="AA14" s="2"/>
      <c r="AB14" s="2"/>
      <c r="AC14" s="2"/>
      <c r="AD14" s="41"/>
      <c r="AE14" s="41"/>
      <c r="AF14" s="41"/>
      <c r="AG14" s="41"/>
      <c r="AH14" s="2"/>
      <c r="AI14" s="2"/>
      <c r="AJ14" s="2"/>
      <c r="AK14" s="7">
        <f t="shared" si="0"/>
        <v>0</v>
      </c>
      <c r="AL14" s="8"/>
      <c r="AM14" s="8"/>
      <c r="AN14" s="8"/>
      <c r="AO14" s="8" t="e">
        <f t="shared" si="1"/>
        <v>#DIV/0!</v>
      </c>
      <c r="AP14"/>
      <c r="AQ14" s="15" t="s">
        <v>26</v>
      </c>
      <c r="AR14">
        <v>116</v>
      </c>
      <c r="AS14"/>
    </row>
    <row r="15" spans="1:45" ht="15" customHeight="1" x14ac:dyDescent="0.25">
      <c r="A15" s="26"/>
      <c r="B15" s="41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2"/>
        <v>0</v>
      </c>
      <c r="P15" s="41"/>
      <c r="Q15" s="41"/>
      <c r="R15" s="41"/>
      <c r="S15" s="2"/>
      <c r="T15" s="41"/>
      <c r="U15" s="2"/>
      <c r="V15" s="41"/>
      <c r="W15" s="2"/>
      <c r="X15" s="2"/>
      <c r="Y15" s="2"/>
      <c r="Z15" s="2"/>
      <c r="AA15" s="2"/>
      <c r="AB15" s="2"/>
      <c r="AC15" s="2"/>
      <c r="AD15" s="41"/>
      <c r="AE15" s="41"/>
      <c r="AF15" s="2"/>
      <c r="AG15" s="2"/>
      <c r="AH15" s="2"/>
      <c r="AI15" s="2"/>
      <c r="AJ15" s="2"/>
      <c r="AK15" s="7">
        <f t="shared" si="0"/>
        <v>0</v>
      </c>
      <c r="AL15" s="8"/>
      <c r="AM15" s="8"/>
      <c r="AN15" s="8"/>
      <c r="AO15" s="8" t="e">
        <f t="shared" si="1"/>
        <v>#DIV/0!</v>
      </c>
      <c r="AP15"/>
      <c r="AQ15" s="15" t="s">
        <v>28</v>
      </c>
      <c r="AR15">
        <v>2</v>
      </c>
      <c r="AS15"/>
    </row>
    <row r="16" spans="1:45" ht="15" customHeight="1" x14ac:dyDescent="0.25">
      <c r="A16" s="30"/>
      <c r="B16" s="41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2"/>
        <v>0</v>
      </c>
      <c r="P16" s="41"/>
      <c r="Q16" s="41"/>
      <c r="R16" s="41"/>
      <c r="S16" s="2"/>
      <c r="T16" s="41"/>
      <c r="U16" s="2"/>
      <c r="V16" s="41"/>
      <c r="W16" s="2"/>
      <c r="X16" s="2"/>
      <c r="Y16" s="2"/>
      <c r="Z16" s="2"/>
      <c r="AA16" s="2"/>
      <c r="AB16" s="2"/>
      <c r="AC16" s="2"/>
      <c r="AD16" s="41"/>
      <c r="AE16" s="41"/>
      <c r="AF16" s="2"/>
      <c r="AG16" s="2"/>
      <c r="AH16" s="2"/>
      <c r="AI16" s="2"/>
      <c r="AJ16" s="2"/>
      <c r="AK16" s="7">
        <f t="shared" si="0"/>
        <v>0</v>
      </c>
      <c r="AL16" s="8"/>
      <c r="AM16" s="8"/>
      <c r="AN16" s="8"/>
      <c r="AO16" s="8" t="e">
        <f t="shared" si="1"/>
        <v>#DIV/0!</v>
      </c>
      <c r="AP16"/>
      <c r="AQ16" s="15" t="s">
        <v>27</v>
      </c>
      <c r="AR16">
        <v>10</v>
      </c>
      <c r="AS16"/>
    </row>
    <row r="17" spans="1:45" x14ac:dyDescent="0.25">
      <c r="B17" s="41" t="s">
        <v>55</v>
      </c>
      <c r="C17" s="2" t="s">
        <v>49</v>
      </c>
      <c r="D17" s="41" t="s">
        <v>96</v>
      </c>
      <c r="E17" s="13">
        <v>0.375</v>
      </c>
      <c r="F17" s="2">
        <v>0.28000000000000003</v>
      </c>
      <c r="G17" s="3"/>
      <c r="H17" s="3"/>
      <c r="I17" s="44">
        <v>2325</v>
      </c>
      <c r="J17" s="2"/>
      <c r="K17" s="2"/>
      <c r="L17" s="2"/>
      <c r="M17" s="2"/>
      <c r="N17" s="2"/>
      <c r="O17" s="8">
        <f>+I17+J17+K17+L17+M17+N17-SUM(P17:AJ17)</f>
        <v>0</v>
      </c>
      <c r="P17" s="41"/>
      <c r="Q17" s="41"/>
      <c r="R17" s="41"/>
      <c r="S17" s="2"/>
      <c r="T17" s="41"/>
      <c r="U17" s="2"/>
      <c r="V17" s="41"/>
      <c r="W17" s="2"/>
      <c r="X17" s="2"/>
      <c r="Y17" s="2"/>
      <c r="Z17" s="2"/>
      <c r="AA17" s="2">
        <v>500</v>
      </c>
      <c r="AB17" s="2">
        <v>1730</v>
      </c>
      <c r="AC17" s="2"/>
      <c r="AD17" s="41"/>
      <c r="AE17" s="41"/>
      <c r="AF17" s="41"/>
      <c r="AG17" s="41"/>
      <c r="AH17" s="2"/>
      <c r="AI17" s="2"/>
      <c r="AJ17" s="2">
        <v>95</v>
      </c>
      <c r="AK17" s="7">
        <f t="shared" si="0"/>
        <v>0</v>
      </c>
      <c r="AL17" s="8"/>
      <c r="AM17" s="8"/>
      <c r="AN17" s="8"/>
      <c r="AO17" s="8" t="e">
        <f t="shared" si="1"/>
        <v>#DIV/0!</v>
      </c>
      <c r="AP17"/>
      <c r="AQ17" s="15" t="s">
        <v>32</v>
      </c>
      <c r="AR17">
        <v>180</v>
      </c>
      <c r="AS17"/>
    </row>
    <row r="18" spans="1:45" x14ac:dyDescent="0.25">
      <c r="B18" s="41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>
        <v>6200</v>
      </c>
      <c r="J18" s="2"/>
      <c r="K18" s="2"/>
      <c r="L18" s="2"/>
      <c r="M18" s="2"/>
      <c r="N18" s="2"/>
      <c r="O18" s="8">
        <f t="shared" si="2"/>
        <v>750</v>
      </c>
      <c r="P18" s="41"/>
      <c r="Q18" s="41"/>
      <c r="R18" s="41"/>
      <c r="S18" s="41"/>
      <c r="T18" s="41"/>
      <c r="U18" s="2"/>
      <c r="V18" s="41"/>
      <c r="W18" s="2"/>
      <c r="X18" s="2"/>
      <c r="Y18" s="2"/>
      <c r="Z18" s="2"/>
      <c r="AA18" s="2">
        <v>1000</v>
      </c>
      <c r="AB18" s="2">
        <v>2050</v>
      </c>
      <c r="AC18" s="2"/>
      <c r="AD18" s="41">
        <v>2400</v>
      </c>
      <c r="AE18" s="41"/>
      <c r="AF18" s="41"/>
      <c r="AG18" s="41"/>
      <c r="AH18" s="2"/>
      <c r="AI18" s="2"/>
      <c r="AJ18" s="2"/>
      <c r="AK18" s="7">
        <f t="shared" si="0"/>
        <v>0</v>
      </c>
      <c r="AL18" s="8"/>
      <c r="AM18" s="8"/>
      <c r="AN18" s="8"/>
      <c r="AO18" s="8" t="e">
        <f t="shared" si="1"/>
        <v>#DIV/0!</v>
      </c>
      <c r="AP18"/>
      <c r="AQ18"/>
      <c r="AR18"/>
      <c r="AS18"/>
    </row>
    <row r="19" spans="1:45" x14ac:dyDescent="0.25">
      <c r="B19" s="41" t="s">
        <v>55</v>
      </c>
      <c r="C19" s="2" t="s">
        <v>49</v>
      </c>
      <c r="D19" s="41" t="s">
        <v>98</v>
      </c>
      <c r="E19" s="13">
        <v>0.3125</v>
      </c>
      <c r="F19" s="2">
        <v>0.28000000000000003</v>
      </c>
      <c r="G19" s="3"/>
      <c r="H19" s="3"/>
      <c r="I19" s="73"/>
      <c r="J19" s="2"/>
      <c r="K19" s="2"/>
      <c r="L19" s="2"/>
      <c r="M19" s="2"/>
      <c r="N19" s="2"/>
      <c r="O19" s="8"/>
      <c r="P19" s="41"/>
      <c r="Q19" s="41"/>
      <c r="R19" s="41"/>
      <c r="S19" s="41"/>
      <c r="T19" s="41"/>
      <c r="V19" s="41"/>
      <c r="W19" s="2"/>
      <c r="X19" s="2"/>
      <c r="Y19" s="2"/>
      <c r="Z19" s="2"/>
      <c r="AA19" s="2"/>
      <c r="AB19" s="2"/>
      <c r="AC19" s="2"/>
      <c r="AD19" s="41"/>
      <c r="AE19" s="41"/>
      <c r="AF19" s="2"/>
      <c r="AG19" s="2"/>
      <c r="AH19" s="2"/>
      <c r="AI19" s="2"/>
      <c r="AJ19" s="2"/>
      <c r="AK19" s="7">
        <f t="shared" si="0"/>
        <v>0</v>
      </c>
      <c r="AL19" s="8"/>
      <c r="AM19" s="8"/>
      <c r="AN19" s="8"/>
      <c r="AO19" s="8" t="e">
        <f t="shared" si="1"/>
        <v>#DIV/0!</v>
      </c>
      <c r="AP19"/>
      <c r="AQ19"/>
      <c r="AR19"/>
      <c r="AS19"/>
    </row>
    <row r="20" spans="1:45" x14ac:dyDescent="0.25">
      <c r="B20" s="41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/>
      <c r="J20" s="2"/>
      <c r="K20" s="2"/>
      <c r="L20" s="2"/>
      <c r="M20" s="2"/>
      <c r="N20" s="2"/>
      <c r="O20" s="8"/>
      <c r="P20" s="41"/>
      <c r="Q20" s="41"/>
      <c r="R20" s="41"/>
      <c r="S20" s="41"/>
      <c r="T20" s="41"/>
      <c r="U20" s="2"/>
      <c r="V20" s="41"/>
      <c r="W20" s="2"/>
      <c r="X20" s="2"/>
      <c r="Y20" s="2"/>
      <c r="Z20" s="2"/>
      <c r="AA20" s="2"/>
      <c r="AB20" s="2"/>
      <c r="AC20" s="2"/>
      <c r="AD20" s="41"/>
      <c r="AE20" s="41">
        <v>100</v>
      </c>
      <c r="AF20" s="2"/>
      <c r="AG20" s="2"/>
      <c r="AH20" s="2"/>
      <c r="AI20" s="2"/>
      <c r="AJ20" s="2"/>
      <c r="AK20" s="7">
        <f t="shared" si="0"/>
        <v>0</v>
      </c>
      <c r="AL20" s="8"/>
      <c r="AM20" s="8"/>
      <c r="AN20" s="8"/>
      <c r="AO20" s="8" t="e">
        <f t="shared" si="1"/>
        <v>#DIV/0!</v>
      </c>
      <c r="AP20"/>
      <c r="AQ20"/>
      <c r="AR20"/>
      <c r="AS20"/>
    </row>
    <row r="21" spans="1:45" x14ac:dyDescent="0.25">
      <c r="B21" s="41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88">
        <v>3880</v>
      </c>
      <c r="J21" s="2"/>
      <c r="K21" s="2"/>
      <c r="L21" s="2"/>
      <c r="M21" s="2"/>
      <c r="N21" s="2"/>
      <c r="O21" s="8">
        <f t="shared" si="2"/>
        <v>2330</v>
      </c>
      <c r="P21" s="41"/>
      <c r="Q21" s="41"/>
      <c r="R21" s="41"/>
      <c r="S21" s="41"/>
      <c r="T21" s="41"/>
      <c r="U21" s="2"/>
      <c r="V21" s="41"/>
      <c r="W21" s="2"/>
      <c r="X21" s="2"/>
      <c r="Y21" s="2"/>
      <c r="Z21" s="2"/>
      <c r="AA21" s="2"/>
      <c r="AB21" s="2"/>
      <c r="AC21" s="2"/>
      <c r="AD21" s="41"/>
      <c r="AE21" s="41">
        <v>1550</v>
      </c>
      <c r="AF21" s="41"/>
      <c r="AG21" s="41"/>
      <c r="AH21" s="2"/>
      <c r="AI21" s="2"/>
      <c r="AJ21" s="2"/>
      <c r="AK21" s="7">
        <f t="shared" si="0"/>
        <v>0</v>
      </c>
      <c r="AL21" s="8"/>
      <c r="AM21" s="8"/>
      <c r="AN21" s="8"/>
      <c r="AO21" s="8" t="e">
        <f t="shared" si="1"/>
        <v>#DIV/0!</v>
      </c>
      <c r="AP21"/>
      <c r="AQ21"/>
      <c r="AR21"/>
      <c r="AS21"/>
    </row>
    <row r="22" spans="1:45" x14ac:dyDescent="0.25">
      <c r="B22" s="41" t="s">
        <v>55</v>
      </c>
      <c r="C22" s="2" t="s">
        <v>49</v>
      </c>
      <c r="D22" s="41" t="s">
        <v>101</v>
      </c>
      <c r="E22" s="13">
        <v>0.3125</v>
      </c>
      <c r="F22" s="2">
        <v>0.28000000000000003</v>
      </c>
      <c r="G22" s="3"/>
      <c r="H22" s="3"/>
      <c r="I22" s="72"/>
      <c r="J22" s="2"/>
      <c r="K22" s="2"/>
      <c r="L22" s="2"/>
      <c r="M22" s="2"/>
      <c r="N22" s="2"/>
      <c r="O22" s="8">
        <f t="shared" si="2"/>
        <v>0</v>
      </c>
      <c r="P22" s="41"/>
      <c r="Q22" s="41"/>
      <c r="R22" s="41"/>
      <c r="S22" s="41"/>
      <c r="T22" s="41"/>
      <c r="U22" s="2"/>
      <c r="V22" s="41"/>
      <c r="W22" s="2"/>
      <c r="X22" s="2"/>
      <c r="Y22" s="2"/>
      <c r="Z22" s="2"/>
      <c r="AA22" s="2"/>
      <c r="AB22" s="2"/>
      <c r="AC22" s="2"/>
      <c r="AD22" s="41"/>
      <c r="AE22" s="41"/>
      <c r="AF22" s="2"/>
      <c r="AG22" s="2"/>
      <c r="AH22" s="2"/>
      <c r="AI22" s="2"/>
      <c r="AJ22" s="2"/>
      <c r="AK22" s="7">
        <f t="shared" si="0"/>
        <v>0</v>
      </c>
      <c r="AL22" s="8"/>
      <c r="AM22" s="8"/>
      <c r="AN22" s="8"/>
      <c r="AO22" s="8" t="e">
        <f t="shared" si="1"/>
        <v>#DIV/0!</v>
      </c>
      <c r="AP22"/>
      <c r="AQ22"/>
      <c r="AR22"/>
      <c r="AS22"/>
    </row>
    <row r="23" spans="1:45" x14ac:dyDescent="0.25">
      <c r="A23" s="26"/>
      <c r="B23" s="41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2"/>
        <v>0</v>
      </c>
      <c r="P23" s="41"/>
      <c r="Q23" s="41"/>
      <c r="R23" s="41"/>
      <c r="S23" s="41"/>
      <c r="T23" s="41"/>
      <c r="U23" s="2"/>
      <c r="V23" s="41"/>
      <c r="W23" s="2"/>
      <c r="X23" s="2"/>
      <c r="Y23" s="2"/>
      <c r="Z23" s="2"/>
      <c r="AA23" s="2"/>
      <c r="AB23" s="2"/>
      <c r="AC23" s="2"/>
      <c r="AD23" s="41"/>
      <c r="AE23" s="41"/>
      <c r="AF23" s="2"/>
      <c r="AG23" s="2"/>
      <c r="AH23" s="2"/>
      <c r="AI23" s="2"/>
      <c r="AJ23" s="2"/>
      <c r="AK23" s="7">
        <f t="shared" si="0"/>
        <v>0</v>
      </c>
      <c r="AL23" s="8"/>
      <c r="AM23" s="8"/>
      <c r="AN23" s="8"/>
      <c r="AO23" s="8" t="e">
        <f t="shared" si="1"/>
        <v>#DIV/0!</v>
      </c>
      <c r="AP23"/>
      <c r="AQ23"/>
      <c r="AR23"/>
      <c r="AS23"/>
    </row>
    <row r="24" spans="1:45" x14ac:dyDescent="0.25">
      <c r="A24" s="2"/>
      <c r="B24" s="41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2"/>
        <v>0</v>
      </c>
      <c r="P24" s="41"/>
      <c r="Q24" s="2"/>
      <c r="R24" s="2"/>
      <c r="S24" s="2"/>
      <c r="T24" s="41"/>
      <c r="U24" s="2"/>
      <c r="V24" s="4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>
        <f t="shared" si="0"/>
        <v>0</v>
      </c>
      <c r="AL24" s="8"/>
      <c r="AM24" s="8"/>
      <c r="AN24" s="8"/>
      <c r="AO24" s="8" t="e">
        <f t="shared" si="1"/>
        <v>#DIV/0!</v>
      </c>
      <c r="AP24"/>
      <c r="AQ24"/>
      <c r="AR24"/>
      <c r="AS24"/>
    </row>
    <row r="25" spans="1:45" x14ac:dyDescent="0.25">
      <c r="A25" s="2"/>
      <c r="B25" s="41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2"/>
        <v>0</v>
      </c>
      <c r="P25" s="41"/>
      <c r="Q25" s="2"/>
      <c r="R25" s="2"/>
      <c r="S25" s="2"/>
      <c r="T25" s="41"/>
      <c r="U25" s="2"/>
      <c r="V25" s="4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>
        <f t="shared" si="0"/>
        <v>0</v>
      </c>
      <c r="AL25" s="8"/>
      <c r="AM25" s="8"/>
      <c r="AN25" s="8"/>
      <c r="AO25" s="8" t="e">
        <f t="shared" si="1"/>
        <v>#DIV/0!</v>
      </c>
      <c r="AP25"/>
      <c r="AQ25"/>
      <c r="AR25"/>
      <c r="AS25"/>
    </row>
    <row r="26" spans="1:45" x14ac:dyDescent="0.25">
      <c r="A26" s="2"/>
      <c r="B26" s="41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2"/>
        <v>0</v>
      </c>
      <c r="P26" s="41"/>
      <c r="Q26" s="2"/>
      <c r="R26" s="2"/>
      <c r="S26" s="2"/>
      <c r="T26" s="41"/>
      <c r="U26" s="2"/>
      <c r="V26" s="4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>
        <f t="shared" si="0"/>
        <v>0</v>
      </c>
      <c r="AL26" s="8"/>
      <c r="AM26" s="8"/>
      <c r="AN26" s="8"/>
      <c r="AO26" s="8" t="e">
        <f t="shared" si="1"/>
        <v>#DIV/0!</v>
      </c>
      <c r="AP26"/>
      <c r="AQ26"/>
      <c r="AR26"/>
      <c r="AS26"/>
    </row>
    <row r="27" spans="1:45" x14ac:dyDescent="0.25">
      <c r="A27" s="2"/>
      <c r="B27" s="4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2"/>
        <v>0</v>
      </c>
      <c r="P27" s="2"/>
      <c r="Q27" s="2"/>
      <c r="R27" s="2"/>
      <c r="S27" s="2"/>
      <c r="T27" s="2"/>
      <c r="U27" s="2"/>
      <c r="V27" s="4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>
        <f t="shared" si="0"/>
        <v>0</v>
      </c>
      <c r="AL27" s="8"/>
      <c r="AM27" s="8"/>
      <c r="AN27" s="8"/>
      <c r="AO27" s="8">
        <v>0</v>
      </c>
      <c r="AP27"/>
      <c r="AQ27"/>
      <c r="AR27"/>
      <c r="AS27"/>
    </row>
    <row r="28" spans="1:45" x14ac:dyDescent="0.25">
      <c r="A28" s="2"/>
      <c r="B28" s="4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2"/>
        <v>0</v>
      </c>
      <c r="P28" s="2"/>
      <c r="Q28" s="2"/>
      <c r="R28" s="2"/>
      <c r="S28" s="2"/>
      <c r="T28" s="2"/>
      <c r="U28" s="2"/>
      <c r="V28" s="4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>
        <f t="shared" si="0"/>
        <v>0</v>
      </c>
      <c r="AL28" s="8"/>
      <c r="AM28" s="8"/>
      <c r="AN28" s="8"/>
      <c r="AO28" s="8">
        <v>0</v>
      </c>
      <c r="AP28"/>
    </row>
    <row r="29" spans="1:45" x14ac:dyDescent="0.25">
      <c r="A29" s="2"/>
      <c r="B29" s="41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2"/>
        <v>0</v>
      </c>
      <c r="P29" s="2"/>
      <c r="Q29" s="2"/>
      <c r="R29" s="2"/>
      <c r="S29" s="2"/>
      <c r="T29" s="2"/>
      <c r="U29" s="2"/>
      <c r="V29" s="4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>
        <f t="shared" si="0"/>
        <v>0</v>
      </c>
      <c r="AL29" s="8"/>
      <c r="AM29" s="8"/>
      <c r="AN29" s="8"/>
      <c r="AO29" s="8">
        <v>0</v>
      </c>
      <c r="AP29"/>
    </row>
    <row r="30" spans="1:45" x14ac:dyDescent="0.25">
      <c r="A30" s="2"/>
      <c r="B30" s="41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2"/>
        <v>0</v>
      </c>
      <c r="P30" s="2"/>
      <c r="Q30" s="2"/>
      <c r="R30" s="2"/>
      <c r="S30" s="2"/>
      <c r="T30" s="2"/>
      <c r="U30" s="2"/>
      <c r="V30" s="4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">
        <f t="shared" si="0"/>
        <v>0</v>
      </c>
      <c r="AL30" s="8"/>
      <c r="AM30" s="8"/>
      <c r="AN30" s="8"/>
      <c r="AO30" s="8">
        <v>0</v>
      </c>
      <c r="AP30"/>
    </row>
    <row r="31" spans="1:45" x14ac:dyDescent="0.25">
      <c r="A31" s="2"/>
      <c r="B31" s="41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2"/>
        <v>0</v>
      </c>
      <c r="P31" s="2"/>
      <c r="Q31" s="2"/>
      <c r="R31" s="2"/>
      <c r="S31" s="2"/>
      <c r="T31" s="2"/>
      <c r="U31" s="2"/>
      <c r="V31" s="4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7">
        <f t="shared" si="0"/>
        <v>0</v>
      </c>
      <c r="AL31" s="8"/>
      <c r="AM31" s="8"/>
      <c r="AN31" s="8"/>
      <c r="AO31" s="8">
        <v>0</v>
      </c>
      <c r="AP31"/>
    </row>
    <row r="32" spans="1:45" x14ac:dyDescent="0.25">
      <c r="A32" s="2"/>
      <c r="B32" s="41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2"/>
        <v>0</v>
      </c>
      <c r="P32" s="2"/>
      <c r="Q32" s="2"/>
      <c r="R32" s="2"/>
      <c r="S32" s="2"/>
      <c r="T32" s="2"/>
      <c r="U32" s="2"/>
      <c r="V32" s="4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7">
        <f t="shared" si="0"/>
        <v>0</v>
      </c>
      <c r="AL32" s="8"/>
      <c r="AM32" s="8"/>
      <c r="AN32" s="8"/>
      <c r="AO32" s="8">
        <v>0</v>
      </c>
      <c r="AP32"/>
    </row>
    <row r="33" spans="1:42" x14ac:dyDescent="0.25">
      <c r="A33" s="2"/>
      <c r="B33" s="41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2"/>
        <v>0</v>
      </c>
      <c r="P33" s="2"/>
      <c r="Q33" s="2"/>
      <c r="R33" s="2"/>
      <c r="S33" s="2"/>
      <c r="T33" s="2"/>
      <c r="U33" s="2"/>
      <c r="V33" s="4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7">
        <f t="shared" si="0"/>
        <v>0</v>
      </c>
      <c r="AL33" s="8"/>
      <c r="AM33" s="8"/>
      <c r="AN33" s="8"/>
      <c r="AO33" s="8">
        <v>0</v>
      </c>
      <c r="AP33"/>
    </row>
    <row r="34" spans="1:42" x14ac:dyDescent="0.25">
      <c r="A34" s="2"/>
      <c r="B34" s="41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2"/>
        <v>0</v>
      </c>
      <c r="P34" s="2"/>
      <c r="Q34" s="2"/>
      <c r="R34" s="2"/>
      <c r="S34" s="2"/>
      <c r="T34" s="2"/>
      <c r="U34" s="2"/>
      <c r="V34" s="4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">
        <f t="shared" si="0"/>
        <v>0</v>
      </c>
      <c r="AL34" s="8"/>
      <c r="AM34" s="8"/>
      <c r="AN34" s="8"/>
      <c r="AO34" s="8">
        <v>0</v>
      </c>
      <c r="AP34"/>
    </row>
    <row r="35" spans="1:42" x14ac:dyDescent="0.25">
      <c r="A35" s="2"/>
      <c r="B35" s="41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2"/>
        <v>0</v>
      </c>
      <c r="P35" s="2"/>
      <c r="Q35" s="2"/>
      <c r="R35" s="2"/>
      <c r="S35" s="2"/>
      <c r="T35" s="2"/>
      <c r="U35" s="2"/>
      <c r="V35" s="4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">
        <f t="shared" si="0"/>
        <v>0</v>
      </c>
      <c r="AL35" s="8"/>
      <c r="AM35" s="8"/>
      <c r="AN35" s="8"/>
      <c r="AO35" s="8">
        <v>0</v>
      </c>
      <c r="AP35"/>
    </row>
    <row r="36" spans="1:42" x14ac:dyDescent="0.25">
      <c r="A36" s="2"/>
      <c r="B36" s="41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2"/>
        <v>0</v>
      </c>
      <c r="P36" s="2"/>
      <c r="Q36" s="2"/>
      <c r="R36" s="2"/>
      <c r="S36" s="2"/>
      <c r="T36" s="2"/>
      <c r="U36" s="2"/>
      <c r="V36" s="4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7">
        <f t="shared" si="0"/>
        <v>0</v>
      </c>
      <c r="AL36" s="8"/>
      <c r="AM36" s="8"/>
      <c r="AN36" s="8"/>
      <c r="AO36" s="8">
        <v>0</v>
      </c>
      <c r="AP36"/>
    </row>
    <row r="37" spans="1:42" x14ac:dyDescent="0.25">
      <c r="A37" s="2"/>
      <c r="B37" s="41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2"/>
        <v>0</v>
      </c>
      <c r="P37" s="2"/>
      <c r="Q37" s="2"/>
      <c r="R37" s="2"/>
      <c r="S37" s="2"/>
      <c r="T37" s="2"/>
      <c r="U37" s="2"/>
      <c r="V37" s="4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>
        <f t="shared" si="0"/>
        <v>0</v>
      </c>
      <c r="AL37" s="8"/>
      <c r="AM37" s="8"/>
      <c r="AN37" s="8"/>
      <c r="AO37" s="8">
        <v>0</v>
      </c>
      <c r="AP37"/>
    </row>
    <row r="38" spans="1:42" x14ac:dyDescent="0.25">
      <c r="A38" s="2"/>
      <c r="B38" s="41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2"/>
        <v>0</v>
      </c>
      <c r="P38" s="2"/>
      <c r="Q38" s="2"/>
      <c r="R38" s="2"/>
      <c r="S38" s="2"/>
      <c r="T38" s="2"/>
      <c r="U38" s="2"/>
      <c r="V38" s="4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>
        <f t="shared" si="0"/>
        <v>0</v>
      </c>
      <c r="AL38" s="8"/>
      <c r="AM38" s="8"/>
      <c r="AN38" s="8"/>
      <c r="AO38" s="8">
        <v>0</v>
      </c>
      <c r="AP38"/>
    </row>
    <row r="39" spans="1:42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2"/>
        <v>0</v>
      </c>
      <c r="P39" s="2"/>
      <c r="Q39" s="2"/>
      <c r="R39" s="2"/>
      <c r="S39" s="2"/>
      <c r="T39" s="2"/>
      <c r="U39" s="2"/>
      <c r="V39" s="4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>
        <f t="shared" si="0"/>
        <v>0</v>
      </c>
      <c r="AL39" s="8"/>
      <c r="AM39" s="8"/>
      <c r="AN39" s="8"/>
      <c r="AO39" s="8">
        <v>0</v>
      </c>
      <c r="AP39"/>
    </row>
    <row r="40" spans="1:42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2"/>
        <v>0</v>
      </c>
      <c r="P40" s="2"/>
      <c r="Q40" s="2"/>
      <c r="R40" s="2"/>
      <c r="S40" s="2"/>
      <c r="T40" s="2"/>
      <c r="U40" s="2"/>
      <c r="V40" s="4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>
        <f t="shared" si="0"/>
        <v>0</v>
      </c>
      <c r="AL40" s="8"/>
      <c r="AM40" s="8"/>
      <c r="AN40" s="8"/>
      <c r="AO40" s="8">
        <v>0</v>
      </c>
      <c r="AP40"/>
    </row>
    <row r="41" spans="1:42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2"/>
        <v>0</v>
      </c>
      <c r="P41" s="2"/>
      <c r="Q41" s="2"/>
      <c r="R41" s="2"/>
      <c r="S41" s="2"/>
      <c r="T41" s="2"/>
      <c r="U41" s="2"/>
      <c r="V41" s="4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>
        <f t="shared" si="0"/>
        <v>0</v>
      </c>
      <c r="AL41" s="8"/>
      <c r="AM41" s="8"/>
      <c r="AN41" s="8"/>
      <c r="AO41" s="8" t="e">
        <f>+SUM(I41:N41)/AM41</f>
        <v>#DIV/0!</v>
      </c>
      <c r="AP41"/>
    </row>
    <row r="42" spans="1:42" x14ac:dyDescent="0.25">
      <c r="H42" s="4" t="s">
        <v>19</v>
      </c>
      <c r="I42" s="9">
        <f t="shared" ref="I42:N42" si="3">SUM(I11:I41)</f>
        <v>31939</v>
      </c>
      <c r="J42" s="9">
        <f t="shared" si="3"/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0</v>
      </c>
      <c r="O42" s="11">
        <v>0</v>
      </c>
      <c r="P42" s="9">
        <f t="shared" ref="P42:Y42" si="4">SUM(P11:P41)</f>
        <v>0</v>
      </c>
      <c r="Q42" s="9">
        <f t="shared" si="4"/>
        <v>0</v>
      </c>
      <c r="R42" s="9">
        <f t="shared" si="4"/>
        <v>0</v>
      </c>
      <c r="S42" s="9">
        <f t="shared" si="4"/>
        <v>0</v>
      </c>
      <c r="T42" s="76">
        <f t="shared" si="4"/>
        <v>0</v>
      </c>
      <c r="U42" s="76">
        <f t="shared" si="4"/>
        <v>0</v>
      </c>
      <c r="V42" s="76">
        <f t="shared" si="4"/>
        <v>0</v>
      </c>
      <c r="W42" s="76">
        <f t="shared" si="4"/>
        <v>0</v>
      </c>
      <c r="X42" s="76">
        <f t="shared" si="4"/>
        <v>0</v>
      </c>
      <c r="Y42" s="76">
        <f t="shared" si="4"/>
        <v>0</v>
      </c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9">
        <f>SUM(AJ11:AJ41)</f>
        <v>95</v>
      </c>
      <c r="AK42" s="9">
        <f>SUM(AK11:AK41)</f>
        <v>0</v>
      </c>
      <c r="AO42" s="12" t="e">
        <f>SUM(AO11:AO41)</f>
        <v>#DIV/0!</v>
      </c>
    </row>
    <row r="43" spans="1:42" x14ac:dyDescent="0.25">
      <c r="H43" s="4" t="s">
        <v>21</v>
      </c>
      <c r="I43" s="99">
        <f>+I42+J42+K42+L42+M42+N42</f>
        <v>31939</v>
      </c>
      <c r="J43" s="99"/>
      <c r="K43" s="99"/>
      <c r="L43" s="99"/>
      <c r="M43" s="99"/>
      <c r="N43" s="99"/>
      <c r="P43" s="100">
        <f>+P42+Q42</f>
        <v>0</v>
      </c>
      <c r="Q43" s="101"/>
      <c r="R43" s="100">
        <f>+R42+S42</f>
        <v>0</v>
      </c>
      <c r="S43" s="101"/>
      <c r="T43" s="102">
        <f>+T42+U42</f>
        <v>0</v>
      </c>
      <c r="U43" s="91"/>
      <c r="V43" s="102">
        <f>+V42+W42</f>
        <v>0</v>
      </c>
      <c r="W43" s="91"/>
      <c r="X43" s="102">
        <f>+X42+Y42</f>
        <v>0</v>
      </c>
      <c r="Y43" s="91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0">
        <f>+AJ42</f>
        <v>95</v>
      </c>
    </row>
    <row r="44" spans="1:42" x14ac:dyDescent="0.25">
      <c r="O44" s="85">
        <v>31939</v>
      </c>
    </row>
    <row r="45" spans="1:4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42" x14ac:dyDescent="0.25">
      <c r="A46" s="53" t="s">
        <v>108</v>
      </c>
      <c r="B46" s="61">
        <v>31939</v>
      </c>
      <c r="C46" s="2">
        <v>4755</v>
      </c>
      <c r="D46" s="2">
        <v>2377.5</v>
      </c>
      <c r="E46"/>
      <c r="F46"/>
    </row>
    <row r="47" spans="1:42" x14ac:dyDescent="0.25">
      <c r="A47" s="67" t="s">
        <v>109</v>
      </c>
      <c r="B47" s="8">
        <v>25394</v>
      </c>
      <c r="C47" s="2">
        <v>1862</v>
      </c>
      <c r="D47" s="2">
        <v>931</v>
      </c>
      <c r="E47"/>
      <c r="F47"/>
    </row>
    <row r="48" spans="1:42" x14ac:dyDescent="0.25">
      <c r="A48" s="53" t="s">
        <v>110</v>
      </c>
      <c r="B48" s="62">
        <f>B46-B47</f>
        <v>6545</v>
      </c>
      <c r="C48" s="2"/>
      <c r="D48" s="2"/>
      <c r="E48"/>
      <c r="F48"/>
    </row>
    <row r="49" spans="1:15" x14ac:dyDescent="0.25">
      <c r="A49" s="53" t="s">
        <v>111</v>
      </c>
      <c r="B49" s="63">
        <f>B48/B46</f>
        <v>0.20492188233820721</v>
      </c>
      <c r="C49" s="2"/>
      <c r="D49" s="2"/>
      <c r="E49"/>
      <c r="F49"/>
    </row>
    <row r="50" spans="1:15" x14ac:dyDescent="0.25">
      <c r="A50" s="53" t="s">
        <v>112</v>
      </c>
      <c r="B50" s="63">
        <f>B47/B46</f>
        <v>0.79507811766179282</v>
      </c>
      <c r="C50" s="2"/>
      <c r="D50" s="2"/>
      <c r="E50"/>
      <c r="F50"/>
    </row>
    <row r="52" spans="1:15" x14ac:dyDescent="0.25">
      <c r="B52" s="94" t="s">
        <v>123</v>
      </c>
      <c r="C52" s="94"/>
      <c r="D52" s="94"/>
      <c r="E52" s="94"/>
      <c r="F52" s="94"/>
      <c r="H52" s="44"/>
      <c r="I52" s="81"/>
    </row>
    <row r="53" spans="1:15" x14ac:dyDescent="0.25">
      <c r="A53" s="97" t="s">
        <v>129</v>
      </c>
      <c r="B53" s="57">
        <v>46307</v>
      </c>
      <c r="C53" s="57">
        <v>46308</v>
      </c>
      <c r="D53" s="57">
        <v>46309</v>
      </c>
      <c r="E53" s="57">
        <v>46310</v>
      </c>
      <c r="F53" s="57">
        <v>46311</v>
      </c>
      <c r="G53" s="57">
        <v>46312</v>
      </c>
      <c r="H53" s="57">
        <v>46313</v>
      </c>
      <c r="I53" s="57">
        <v>46311</v>
      </c>
    </row>
    <row r="54" spans="1:15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59" t="s">
        <v>126</v>
      </c>
    </row>
    <row r="55" spans="1:15" x14ac:dyDescent="0.25">
      <c r="A55" s="55" t="s">
        <v>119</v>
      </c>
      <c r="B55" s="54">
        <v>0.2</v>
      </c>
      <c r="C55" s="54"/>
      <c r="D55" s="54"/>
      <c r="E55" s="60"/>
      <c r="F55" s="71"/>
      <c r="H55" s="44"/>
      <c r="I55" s="60"/>
    </row>
    <row r="56" spans="1:15" x14ac:dyDescent="0.25">
      <c r="A56" s="56" t="s">
        <v>120</v>
      </c>
      <c r="B56" s="54">
        <v>0.8</v>
      </c>
      <c r="C56" s="54"/>
      <c r="D56" s="54"/>
      <c r="E56" s="60"/>
      <c r="F56" s="60"/>
      <c r="H56" s="69"/>
      <c r="I56" s="60"/>
    </row>
    <row r="57" spans="1:15" x14ac:dyDescent="0.25">
      <c r="H57" s="69"/>
      <c r="I57" s="69"/>
      <c r="O57" s="86" t="s">
        <v>128</v>
      </c>
    </row>
    <row r="58" spans="1:15" x14ac:dyDescent="0.25">
      <c r="A58" s="97"/>
      <c r="B58" s="57">
        <v>46300</v>
      </c>
      <c r="C58" s="57">
        <v>46301</v>
      </c>
      <c r="D58" s="57">
        <v>46302</v>
      </c>
      <c r="E58" s="57">
        <v>46303</v>
      </c>
      <c r="F58" s="80">
        <v>46297</v>
      </c>
      <c r="H58" s="69"/>
      <c r="I58" s="69"/>
    </row>
    <row r="59" spans="1:15" x14ac:dyDescent="0.25">
      <c r="A59" s="98"/>
      <c r="B59" s="59" t="s">
        <v>114</v>
      </c>
      <c r="C59" s="59" t="s">
        <v>115</v>
      </c>
      <c r="D59" s="59" t="s">
        <v>116</v>
      </c>
      <c r="E59" s="59" t="s">
        <v>117</v>
      </c>
      <c r="F59" s="59" t="s">
        <v>126</v>
      </c>
      <c r="H59" s="69"/>
      <c r="I59" s="69"/>
    </row>
    <row r="60" spans="1:15" x14ac:dyDescent="0.25">
      <c r="A60" s="55" t="s">
        <v>119</v>
      </c>
      <c r="B60" s="54"/>
      <c r="C60" s="54"/>
      <c r="D60" s="54"/>
      <c r="E60" s="60"/>
      <c r="F60" s="60">
        <v>0.61</v>
      </c>
      <c r="H60" s="69"/>
      <c r="I60" s="69"/>
    </row>
    <row r="61" spans="1:15" x14ac:dyDescent="0.25">
      <c r="A61" s="56" t="s">
        <v>120</v>
      </c>
      <c r="B61" s="54"/>
      <c r="C61" s="54"/>
      <c r="D61" s="54"/>
      <c r="E61" s="60"/>
      <c r="F61" s="60">
        <v>0.39</v>
      </c>
      <c r="H61" s="44"/>
      <c r="I61" s="69"/>
    </row>
  </sheetData>
  <autoFilter ref="B10:AO43" xr:uid="{00000000-0009-0000-0000-00000D000000}"/>
  <mergeCells count="23">
    <mergeCell ref="B52:F52"/>
    <mergeCell ref="A53:A54"/>
    <mergeCell ref="A58:A59"/>
    <mergeCell ref="AF9:AG9"/>
    <mergeCell ref="AH9:AI9"/>
    <mergeCell ref="I43:N43"/>
    <mergeCell ref="P43:Q43"/>
    <mergeCell ref="R43:S43"/>
    <mergeCell ref="T43:U43"/>
    <mergeCell ref="V43:W43"/>
    <mergeCell ref="X43:Y43"/>
    <mergeCell ref="T9:U9"/>
    <mergeCell ref="V9:W9"/>
    <mergeCell ref="X9:Y9"/>
    <mergeCell ref="Z9:AA9"/>
    <mergeCell ref="AB9:AC9"/>
    <mergeCell ref="AD9:AE9"/>
    <mergeCell ref="C7:D7"/>
    <mergeCell ref="B8:B9"/>
    <mergeCell ref="E9:F9"/>
    <mergeCell ref="J9:N9"/>
    <mergeCell ref="P9:Q9"/>
    <mergeCell ref="R9:S9"/>
  </mergeCells>
  <pageMargins left="0.7" right="0.7" top="0.75" bottom="0.75" header="0.3" footer="0.3"/>
  <pageSetup paperSize="9" scale="74" orientation="landscape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9986-BFC9-43C3-9545-18B2DF29F8E1}">
  <sheetPr filterMode="1"/>
  <dimension ref="A1:AS61"/>
  <sheetViews>
    <sheetView tabSelected="1" topLeftCell="A4" zoomScaleNormal="100" zoomScaleSheetLayoutView="130" workbookViewId="0">
      <pane xSplit="15" topLeftCell="AA1" activePane="topRight" state="frozen"/>
      <selection activeCell="J16" sqref="J16:J17"/>
      <selection pane="topRight" activeCell="N50" sqref="N50"/>
    </sheetView>
  </sheetViews>
  <sheetFormatPr baseColWidth="10" defaultColWidth="8.7109375" defaultRowHeight="15" x14ac:dyDescent="0.25"/>
  <cols>
    <col min="1" max="1" width="20.28515625" style="1" customWidth="1"/>
    <col min="2" max="2" width="21.140625" style="1" bestFit="1" customWidth="1"/>
    <col min="3" max="3" width="19.42578125" style="1" bestFit="1" customWidth="1"/>
    <col min="4" max="4" width="17.140625" style="1" customWidth="1"/>
    <col min="5" max="5" width="15.140625" style="1" bestFit="1" customWidth="1"/>
    <col min="6" max="6" width="8.7109375" style="1" hidden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3" width="5" style="1" hidden="1" customWidth="1"/>
    <col min="14" max="14" width="8.85546875" style="1" bestFit="1" customWidth="1"/>
    <col min="15" max="15" width="13.7109375" style="1" bestFit="1" customWidth="1"/>
    <col min="16" max="18" width="7.28515625" style="1" hidden="1" customWidth="1"/>
    <col min="19" max="19" width="6.7109375" style="1" hidden="1" customWidth="1"/>
    <col min="20" max="20" width="7.28515625" style="1" hidden="1" customWidth="1"/>
    <col min="21" max="21" width="6.7109375" style="1" hidden="1" customWidth="1"/>
    <col min="22" max="22" width="8.42578125" style="1" hidden="1" customWidth="1"/>
    <col min="23" max="23" width="7.28515625" style="1" hidden="1" customWidth="1"/>
    <col min="24" max="24" width="6.85546875" style="1" hidden="1" customWidth="1"/>
    <col min="25" max="25" width="7.28515625" style="1" hidden="1" customWidth="1"/>
    <col min="26" max="26" width="8.7109375" style="1" hidden="1" customWidth="1"/>
    <col min="27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1" spans="1:45" s="77" customFormat="1" x14ac:dyDescent="0.25"/>
    <row r="2" spans="1:45" s="77" customFormat="1" x14ac:dyDescent="0.25"/>
    <row r="3" spans="1:45" s="77" customFormat="1" x14ac:dyDescent="0.25"/>
    <row r="4" spans="1:45" s="77" customFormat="1" x14ac:dyDescent="0.25"/>
    <row r="5" spans="1:45" s="77" customFormat="1" x14ac:dyDescent="0.25"/>
    <row r="7" spans="1:45" x14ac:dyDescent="0.25">
      <c r="B7" s="4" t="s">
        <v>17</v>
      </c>
      <c r="C7" s="91" t="s">
        <v>18</v>
      </c>
      <c r="D7" s="91"/>
    </row>
    <row r="8" spans="1:45" x14ac:dyDescent="0.25">
      <c r="B8" s="92">
        <f ca="1">TODAY()</f>
        <v>46309</v>
      </c>
      <c r="C8" s="4" t="s">
        <v>15</v>
      </c>
      <c r="D8" s="2"/>
      <c r="I8" s="4" t="s">
        <v>4</v>
      </c>
    </row>
    <row r="9" spans="1:45" x14ac:dyDescent="0.25">
      <c r="B9" s="92"/>
      <c r="C9" s="4" t="s">
        <v>16</v>
      </c>
      <c r="D9" s="2"/>
      <c r="E9" s="93" t="s">
        <v>123</v>
      </c>
      <c r="F9" s="94"/>
      <c r="I9" s="4" t="s">
        <v>5</v>
      </c>
      <c r="J9" s="95"/>
      <c r="K9" s="95"/>
      <c r="L9" s="95"/>
      <c r="M9" s="95"/>
      <c r="N9" s="95"/>
      <c r="P9" s="96">
        <v>46293</v>
      </c>
      <c r="Q9" s="96"/>
      <c r="R9" s="96">
        <v>46294</v>
      </c>
      <c r="S9" s="96"/>
      <c r="T9" s="96">
        <v>46295</v>
      </c>
      <c r="U9" s="96"/>
      <c r="V9" s="96">
        <v>46296</v>
      </c>
      <c r="W9" s="96"/>
      <c r="X9" s="96">
        <v>46297</v>
      </c>
      <c r="Y9" s="96"/>
      <c r="Z9" s="89">
        <v>46307</v>
      </c>
      <c r="AA9" s="90"/>
      <c r="AB9" s="89">
        <v>46308</v>
      </c>
      <c r="AC9" s="90"/>
      <c r="AD9" s="89">
        <v>46309</v>
      </c>
      <c r="AE9" s="90"/>
      <c r="AF9" s="89">
        <v>46310</v>
      </c>
      <c r="AG9" s="90"/>
      <c r="AH9" s="89">
        <v>46311</v>
      </c>
      <c r="AI9" s="90"/>
      <c r="AJ9" s="6"/>
    </row>
    <row r="10" spans="1:4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34</v>
      </c>
      <c r="I10" s="5">
        <v>42</v>
      </c>
      <c r="J10" s="4" t="s">
        <v>10</v>
      </c>
      <c r="K10" s="4" t="s">
        <v>9</v>
      </c>
      <c r="L10" s="4" t="s">
        <v>11</v>
      </c>
      <c r="M10" s="4" t="s">
        <v>12</v>
      </c>
      <c r="N10" s="4" t="s">
        <v>127</v>
      </c>
      <c r="O10" s="4" t="s">
        <v>14</v>
      </c>
      <c r="P10" s="4" t="s">
        <v>15</v>
      </c>
      <c r="Q10" s="4" t="s">
        <v>16</v>
      </c>
      <c r="R10" s="4" t="s">
        <v>15</v>
      </c>
      <c r="S10" s="4" t="s">
        <v>16</v>
      </c>
      <c r="T10" s="4" t="s">
        <v>15</v>
      </c>
      <c r="U10" s="4" t="s">
        <v>16</v>
      </c>
      <c r="V10" s="4" t="s">
        <v>15</v>
      </c>
      <c r="W10" s="4" t="s">
        <v>16</v>
      </c>
      <c r="X10" s="4" t="s">
        <v>15</v>
      </c>
      <c r="Y10" s="4" t="s">
        <v>16</v>
      </c>
      <c r="Z10" s="4"/>
      <c r="AA10" s="4"/>
      <c r="AB10" s="4" t="s">
        <v>15</v>
      </c>
      <c r="AC10" s="4" t="s">
        <v>16</v>
      </c>
      <c r="AD10" s="4" t="s">
        <v>15</v>
      </c>
      <c r="AE10" s="4" t="s">
        <v>16</v>
      </c>
      <c r="AF10" s="4" t="s">
        <v>15</v>
      </c>
      <c r="AG10" s="4" t="s">
        <v>16</v>
      </c>
      <c r="AH10" s="4" t="s">
        <v>15</v>
      </c>
      <c r="AI10" s="4" t="s">
        <v>16</v>
      </c>
      <c r="AJ10" s="4" t="s">
        <v>20</v>
      </c>
      <c r="AK10" s="4" t="s">
        <v>8</v>
      </c>
      <c r="AL10" s="4" t="s">
        <v>22</v>
      </c>
      <c r="AM10" s="4" t="s">
        <v>24</v>
      </c>
      <c r="AN10" s="4" t="s">
        <v>23</v>
      </c>
      <c r="AO10" s="4" t="s">
        <v>30</v>
      </c>
      <c r="AP10"/>
      <c r="AQ10" t="s">
        <v>31</v>
      </c>
      <c r="AR10" t="s">
        <v>33</v>
      </c>
      <c r="AS10"/>
    </row>
    <row r="11" spans="1:45" x14ac:dyDescent="0.25">
      <c r="B11" s="41" t="s">
        <v>45</v>
      </c>
      <c r="C11" s="2" t="s">
        <v>44</v>
      </c>
      <c r="D11" s="2" t="s">
        <v>43</v>
      </c>
      <c r="E11" s="13">
        <v>0.375</v>
      </c>
      <c r="F11" s="2">
        <v>0.16</v>
      </c>
      <c r="G11" s="3"/>
      <c r="H11" s="3"/>
      <c r="I11" s="2">
        <v>18000</v>
      </c>
      <c r="J11" s="2"/>
      <c r="K11" s="2"/>
      <c r="L11" s="2"/>
      <c r="M11" s="2"/>
      <c r="N11" s="2"/>
      <c r="O11" s="8">
        <f>+I11+J11+K11+L11+M11+N11-SUM(P11:AJ11)</f>
        <v>17239</v>
      </c>
      <c r="P11" s="41"/>
      <c r="Q11" s="41"/>
      <c r="R11" s="41"/>
      <c r="S11" s="2"/>
      <c r="T11" s="41"/>
      <c r="U11" s="2"/>
      <c r="V11" s="41"/>
      <c r="W11" s="2"/>
      <c r="X11" s="2"/>
      <c r="Y11" s="2"/>
      <c r="Z11" s="2"/>
      <c r="AA11" s="2">
        <v>761</v>
      </c>
      <c r="AB11" s="2"/>
      <c r="AC11" s="2"/>
      <c r="AD11" s="41"/>
      <c r="AE11" s="41"/>
      <c r="AF11" s="41"/>
      <c r="AG11" s="41"/>
      <c r="AH11" s="2"/>
      <c r="AI11" s="2"/>
      <c r="AJ11" s="2"/>
      <c r="AK11" s="7">
        <f t="shared" ref="AK11:AK41" si="0">+G11*SUM(I11:N11)</f>
        <v>0</v>
      </c>
      <c r="AL11" s="8"/>
      <c r="AM11" s="8"/>
      <c r="AN11" s="8"/>
      <c r="AO11" s="8" t="e">
        <f t="shared" ref="AO11:AO26" si="1">+SUM(I11:N11)/AM11</f>
        <v>#DIV/0!</v>
      </c>
      <c r="AP11"/>
      <c r="AQ11" s="15">
        <v>0</v>
      </c>
      <c r="AR11">
        <v>0</v>
      </c>
      <c r="AS11"/>
    </row>
    <row r="12" spans="1:45" hidden="1" x14ac:dyDescent="0.25">
      <c r="A12" s="70"/>
      <c r="B12" s="41" t="s">
        <v>46</v>
      </c>
      <c r="C12" s="2" t="s">
        <v>47</v>
      </c>
      <c r="D12" s="2" t="s">
        <v>48</v>
      </c>
      <c r="E12" s="13">
        <v>0.75</v>
      </c>
      <c r="F12" s="2">
        <v>3.5000000000000003E-2</v>
      </c>
      <c r="G12" s="3"/>
      <c r="H12" s="3"/>
      <c r="I12" s="30"/>
      <c r="J12" s="2"/>
      <c r="K12" s="2"/>
      <c r="L12" s="2"/>
      <c r="M12" s="2"/>
      <c r="N12" s="2"/>
      <c r="O12" s="8">
        <f t="shared" ref="O12:O41" si="2">+I12+J12+K12+L12+M12+N12-SUM(P12:AJ12)</f>
        <v>0</v>
      </c>
      <c r="P12" s="41"/>
      <c r="Q12" s="41"/>
      <c r="R12" s="41"/>
      <c r="S12" s="2"/>
      <c r="T12" s="41"/>
      <c r="U12" s="2"/>
      <c r="V12" s="41"/>
      <c r="W12" s="2"/>
      <c r="X12" s="2"/>
      <c r="Y12" s="2"/>
      <c r="Z12" s="2"/>
      <c r="AA12" s="2"/>
      <c r="AB12" s="2"/>
      <c r="AC12" s="2"/>
      <c r="AD12" s="41"/>
      <c r="AE12" s="41"/>
      <c r="AF12" s="2"/>
      <c r="AG12" s="2"/>
      <c r="AH12" s="2"/>
      <c r="AI12" s="2"/>
      <c r="AJ12" s="2"/>
      <c r="AK12" s="7">
        <f t="shared" si="0"/>
        <v>0</v>
      </c>
      <c r="AL12" s="8"/>
      <c r="AM12" s="8"/>
      <c r="AN12" s="8"/>
      <c r="AO12" s="8" t="e">
        <f t="shared" si="1"/>
        <v>#DIV/0!</v>
      </c>
      <c r="AP12"/>
      <c r="AQ12" s="15" t="s">
        <v>25</v>
      </c>
      <c r="AR12">
        <v>52</v>
      </c>
      <c r="AS12"/>
    </row>
    <row r="13" spans="1:45" x14ac:dyDescent="0.25">
      <c r="B13" s="41" t="s">
        <v>55</v>
      </c>
      <c r="C13" s="2" t="s">
        <v>49</v>
      </c>
      <c r="D13" s="2" t="s">
        <v>92</v>
      </c>
      <c r="E13" s="13">
        <v>0.3125</v>
      </c>
      <c r="F13" s="2">
        <v>0.28000000000000003</v>
      </c>
      <c r="G13" s="3"/>
      <c r="H13" s="3"/>
      <c r="I13" s="74">
        <v>9054</v>
      </c>
      <c r="J13" s="2"/>
      <c r="K13" s="2"/>
      <c r="L13" s="2"/>
      <c r="M13" s="2"/>
      <c r="N13" s="74">
        <v>504</v>
      </c>
      <c r="O13" s="8">
        <f t="shared" si="2"/>
        <v>8058</v>
      </c>
      <c r="P13" s="41"/>
      <c r="Q13" s="41"/>
      <c r="R13" s="41"/>
      <c r="S13" s="2"/>
      <c r="T13" s="41"/>
      <c r="U13" s="2"/>
      <c r="V13" s="41"/>
      <c r="W13" s="2"/>
      <c r="X13" s="2"/>
      <c r="Y13" s="2"/>
      <c r="Z13" s="2"/>
      <c r="AA13" s="2"/>
      <c r="AB13" s="2">
        <v>1500</v>
      </c>
      <c r="AC13" s="2"/>
      <c r="AD13" s="41"/>
      <c r="AE13" s="41"/>
      <c r="AF13" s="41"/>
      <c r="AG13" s="41"/>
      <c r="AH13" s="2"/>
      <c r="AI13" s="2"/>
      <c r="AJ13" s="2"/>
      <c r="AK13" s="7">
        <f t="shared" si="0"/>
        <v>0</v>
      </c>
      <c r="AL13" s="8"/>
      <c r="AM13" s="8"/>
      <c r="AN13" s="8"/>
      <c r="AO13" s="8" t="e">
        <f t="shared" si="1"/>
        <v>#DIV/0!</v>
      </c>
      <c r="AP13"/>
      <c r="AQ13" s="15" t="s">
        <v>29</v>
      </c>
      <c r="AR13">
        <v>0</v>
      </c>
      <c r="AS13"/>
    </row>
    <row r="14" spans="1:45" x14ac:dyDescent="0.25">
      <c r="B14" s="41" t="s">
        <v>55</v>
      </c>
      <c r="C14" s="2" t="s">
        <v>49</v>
      </c>
      <c r="D14" s="2" t="s">
        <v>93</v>
      </c>
      <c r="E14" s="13">
        <v>0.375</v>
      </c>
      <c r="F14" s="2">
        <v>0.28000000000000003</v>
      </c>
      <c r="G14" s="3"/>
      <c r="H14" s="3"/>
      <c r="I14" s="74">
        <v>6960</v>
      </c>
      <c r="J14" s="2"/>
      <c r="K14" s="2"/>
      <c r="L14" s="2"/>
      <c r="M14" s="2"/>
      <c r="N14" s="74">
        <v>1030</v>
      </c>
      <c r="O14" s="8">
        <f t="shared" si="2"/>
        <v>7990</v>
      </c>
      <c r="P14" s="41"/>
      <c r="Q14" s="41"/>
      <c r="R14" s="41"/>
      <c r="S14" s="2"/>
      <c r="T14" s="41"/>
      <c r="U14" s="2"/>
      <c r="V14" s="41"/>
      <c r="W14" s="2"/>
      <c r="X14" s="2"/>
      <c r="Y14" s="2"/>
      <c r="Z14" s="2"/>
      <c r="AA14" s="2"/>
      <c r="AB14" s="2"/>
      <c r="AC14" s="2"/>
      <c r="AD14" s="41"/>
      <c r="AE14" s="41"/>
      <c r="AF14" s="41"/>
      <c r="AG14" s="41"/>
      <c r="AH14" s="2"/>
      <c r="AI14" s="2"/>
      <c r="AJ14" s="2"/>
      <c r="AK14" s="7">
        <f t="shared" si="0"/>
        <v>0</v>
      </c>
      <c r="AL14" s="8"/>
      <c r="AM14" s="8"/>
      <c r="AN14" s="8"/>
      <c r="AO14" s="8" t="e">
        <f t="shared" si="1"/>
        <v>#DIV/0!</v>
      </c>
      <c r="AP14"/>
      <c r="AQ14" s="15" t="s">
        <v>26</v>
      </c>
      <c r="AR14">
        <v>116</v>
      </c>
      <c r="AS14"/>
    </row>
    <row r="15" spans="1:45" ht="15" hidden="1" customHeight="1" x14ac:dyDescent="0.25">
      <c r="A15" s="26"/>
      <c r="B15" s="41" t="s">
        <v>55</v>
      </c>
      <c r="C15" s="2" t="s">
        <v>49</v>
      </c>
      <c r="D15" s="2" t="s">
        <v>94</v>
      </c>
      <c r="E15" s="13">
        <v>0.3125</v>
      </c>
      <c r="F15" s="2">
        <v>0.28000000000000003</v>
      </c>
      <c r="G15" s="3"/>
      <c r="H15" s="3"/>
      <c r="I15" s="2"/>
      <c r="J15" s="2"/>
      <c r="K15" s="2"/>
      <c r="L15" s="2"/>
      <c r="M15" s="2"/>
      <c r="N15" s="2"/>
      <c r="O15" s="8">
        <f t="shared" si="2"/>
        <v>0</v>
      </c>
      <c r="P15" s="41"/>
      <c r="Q15" s="41"/>
      <c r="R15" s="41"/>
      <c r="S15" s="2"/>
      <c r="T15" s="41"/>
      <c r="U15" s="2"/>
      <c r="V15" s="41"/>
      <c r="W15" s="2"/>
      <c r="X15" s="2"/>
      <c r="Y15" s="2"/>
      <c r="Z15" s="2"/>
      <c r="AA15" s="2"/>
      <c r="AB15" s="2"/>
      <c r="AC15" s="2"/>
      <c r="AD15" s="41"/>
      <c r="AE15" s="41"/>
      <c r="AF15" s="2"/>
      <c r="AG15" s="2"/>
      <c r="AH15" s="2"/>
      <c r="AI15" s="2"/>
      <c r="AJ15" s="2"/>
      <c r="AK15" s="7">
        <f t="shared" si="0"/>
        <v>0</v>
      </c>
      <c r="AL15" s="8"/>
      <c r="AM15" s="8"/>
      <c r="AN15" s="8"/>
      <c r="AO15" s="8" t="e">
        <f t="shared" si="1"/>
        <v>#DIV/0!</v>
      </c>
      <c r="AP15"/>
      <c r="AQ15" s="15" t="s">
        <v>28</v>
      </c>
      <c r="AR15">
        <v>2</v>
      </c>
      <c r="AS15"/>
    </row>
    <row r="16" spans="1:45" ht="15" hidden="1" customHeight="1" x14ac:dyDescent="0.25">
      <c r="A16" s="30"/>
      <c r="B16" s="41" t="s">
        <v>55</v>
      </c>
      <c r="C16" s="2" t="s">
        <v>49</v>
      </c>
      <c r="D16" s="2" t="s">
        <v>95</v>
      </c>
      <c r="E16" s="13">
        <v>0.3125</v>
      </c>
      <c r="F16" s="2">
        <v>0.28000000000000003</v>
      </c>
      <c r="G16" s="3"/>
      <c r="H16" s="3"/>
      <c r="I16" s="2"/>
      <c r="J16" s="2"/>
      <c r="K16" s="2"/>
      <c r="L16" s="2"/>
      <c r="M16" s="2"/>
      <c r="N16" s="2"/>
      <c r="O16" s="8">
        <f t="shared" si="2"/>
        <v>0</v>
      </c>
      <c r="P16" s="41"/>
      <c r="Q16" s="41"/>
      <c r="R16" s="41"/>
      <c r="S16" s="2"/>
      <c r="T16" s="41"/>
      <c r="U16" s="2"/>
      <c r="V16" s="41"/>
      <c r="W16" s="2"/>
      <c r="X16" s="2"/>
      <c r="Y16" s="2"/>
      <c r="Z16" s="2"/>
      <c r="AA16" s="2"/>
      <c r="AB16" s="2"/>
      <c r="AC16" s="2"/>
      <c r="AD16" s="41"/>
      <c r="AE16" s="41"/>
      <c r="AF16" s="2"/>
      <c r="AG16" s="2"/>
      <c r="AH16" s="2"/>
      <c r="AI16" s="2"/>
      <c r="AJ16" s="2"/>
      <c r="AK16" s="7">
        <f t="shared" si="0"/>
        <v>0</v>
      </c>
      <c r="AL16" s="8"/>
      <c r="AM16" s="8"/>
      <c r="AN16" s="8"/>
      <c r="AO16" s="8" t="e">
        <f t="shared" si="1"/>
        <v>#DIV/0!</v>
      </c>
      <c r="AP16"/>
      <c r="AQ16" s="15" t="s">
        <v>27</v>
      </c>
      <c r="AR16">
        <v>10</v>
      </c>
      <c r="AS16"/>
    </row>
    <row r="17" spans="1:45" x14ac:dyDescent="0.25">
      <c r="B17" s="41" t="s">
        <v>55</v>
      </c>
      <c r="C17" s="2" t="s">
        <v>49</v>
      </c>
      <c r="D17" s="41" t="s">
        <v>96</v>
      </c>
      <c r="E17" s="13">
        <v>0.375</v>
      </c>
      <c r="F17" s="2">
        <v>0.28000000000000003</v>
      </c>
      <c r="G17" s="3"/>
      <c r="H17" s="3"/>
      <c r="I17" s="41">
        <v>2552</v>
      </c>
      <c r="J17" s="2"/>
      <c r="K17" s="2"/>
      <c r="L17" s="2"/>
      <c r="M17" s="2"/>
      <c r="N17" s="41">
        <v>2325</v>
      </c>
      <c r="O17" s="8">
        <f>+I17+J17+K17+L17+M17+N17-SUM(P17:AJ17)</f>
        <v>2552</v>
      </c>
      <c r="P17" s="41"/>
      <c r="Q17" s="41"/>
      <c r="R17" s="41"/>
      <c r="S17" s="2"/>
      <c r="T17" s="41"/>
      <c r="U17" s="2"/>
      <c r="V17" s="41"/>
      <c r="W17" s="2"/>
      <c r="X17" s="2"/>
      <c r="Y17" s="2"/>
      <c r="Z17" s="2"/>
      <c r="AA17" s="2">
        <v>500</v>
      </c>
      <c r="AB17" s="2">
        <v>1730</v>
      </c>
      <c r="AC17" s="2"/>
      <c r="AD17" s="41"/>
      <c r="AE17" s="41"/>
      <c r="AF17" s="41"/>
      <c r="AG17" s="41"/>
      <c r="AH17" s="2"/>
      <c r="AI17" s="2"/>
      <c r="AJ17" s="2">
        <v>95</v>
      </c>
      <c r="AK17" s="7">
        <f t="shared" si="0"/>
        <v>0</v>
      </c>
      <c r="AL17" s="8"/>
      <c r="AM17" s="8"/>
      <c r="AN17" s="8"/>
      <c r="AO17" s="8" t="e">
        <f t="shared" si="1"/>
        <v>#DIV/0!</v>
      </c>
      <c r="AP17"/>
      <c r="AQ17" s="15" t="s">
        <v>32</v>
      </c>
      <c r="AR17">
        <v>180</v>
      </c>
      <c r="AS17"/>
    </row>
    <row r="18" spans="1:45" x14ac:dyDescent="0.25">
      <c r="B18" s="41" t="s">
        <v>55</v>
      </c>
      <c r="C18" s="2" t="s">
        <v>49</v>
      </c>
      <c r="D18" s="2" t="s">
        <v>97</v>
      </c>
      <c r="E18" s="13">
        <v>0.3125</v>
      </c>
      <c r="F18" s="2">
        <v>0.28000000000000003</v>
      </c>
      <c r="G18" s="3"/>
      <c r="H18" s="3"/>
      <c r="I18" s="72">
        <v>6200</v>
      </c>
      <c r="J18" s="2"/>
      <c r="K18" s="2"/>
      <c r="L18" s="2"/>
      <c r="M18" s="2"/>
      <c r="N18" s="72">
        <v>6200</v>
      </c>
      <c r="O18" s="8">
        <f t="shared" si="2"/>
        <v>6950</v>
      </c>
      <c r="P18" s="41"/>
      <c r="Q18" s="41"/>
      <c r="R18" s="41"/>
      <c r="S18" s="41"/>
      <c r="T18" s="41"/>
      <c r="U18" s="2"/>
      <c r="V18" s="41"/>
      <c r="W18" s="2"/>
      <c r="X18" s="2"/>
      <c r="Y18" s="2"/>
      <c r="Z18" s="2"/>
      <c r="AA18" s="2">
        <v>1000</v>
      </c>
      <c r="AB18" s="2">
        <v>2050</v>
      </c>
      <c r="AC18" s="2"/>
      <c r="AD18" s="41">
        <v>2400</v>
      </c>
      <c r="AE18" s="41"/>
      <c r="AF18" s="41"/>
      <c r="AG18" s="41"/>
      <c r="AH18" s="2"/>
      <c r="AI18" s="2"/>
      <c r="AJ18" s="2"/>
      <c r="AK18" s="7">
        <f t="shared" si="0"/>
        <v>0</v>
      </c>
      <c r="AL18" s="8"/>
      <c r="AM18" s="8"/>
      <c r="AN18" s="8"/>
      <c r="AO18" s="8" t="e">
        <f t="shared" si="1"/>
        <v>#DIV/0!</v>
      </c>
      <c r="AP18"/>
      <c r="AQ18"/>
      <c r="AR18"/>
      <c r="AS18"/>
    </row>
    <row r="19" spans="1:45" hidden="1" x14ac:dyDescent="0.25">
      <c r="B19" s="41" t="s">
        <v>55</v>
      </c>
      <c r="C19" s="2" t="s">
        <v>49</v>
      </c>
      <c r="D19" s="41" t="s">
        <v>98</v>
      </c>
      <c r="E19" s="13">
        <v>0.3125</v>
      </c>
      <c r="F19" s="2">
        <v>0.28000000000000003</v>
      </c>
      <c r="G19" s="3"/>
      <c r="H19" s="3"/>
      <c r="I19" s="73"/>
      <c r="J19" s="2"/>
      <c r="K19" s="2"/>
      <c r="L19" s="2"/>
      <c r="M19" s="2"/>
      <c r="N19" s="73"/>
      <c r="O19" s="8"/>
      <c r="P19" s="41"/>
      <c r="Q19" s="41"/>
      <c r="R19" s="41"/>
      <c r="S19" s="41"/>
      <c r="T19" s="41"/>
      <c r="V19" s="41"/>
      <c r="W19" s="2"/>
      <c r="X19" s="2"/>
      <c r="Y19" s="2"/>
      <c r="Z19" s="2"/>
      <c r="AA19" s="2"/>
      <c r="AB19" s="2"/>
      <c r="AC19" s="2"/>
      <c r="AD19" s="41"/>
      <c r="AE19" s="41"/>
      <c r="AF19" s="2"/>
      <c r="AG19" s="2"/>
      <c r="AH19" s="2"/>
      <c r="AI19" s="2"/>
      <c r="AJ19" s="2"/>
      <c r="AK19" s="7">
        <f t="shared" si="0"/>
        <v>0</v>
      </c>
      <c r="AL19" s="8"/>
      <c r="AM19" s="8"/>
      <c r="AN19" s="8"/>
      <c r="AO19" s="8" t="e">
        <f t="shared" si="1"/>
        <v>#DIV/0!</v>
      </c>
      <c r="AP19"/>
      <c r="AQ19"/>
      <c r="AR19"/>
      <c r="AS19"/>
    </row>
    <row r="20" spans="1:45" hidden="1" x14ac:dyDescent="0.25">
      <c r="B20" s="41" t="s">
        <v>55</v>
      </c>
      <c r="C20" s="2" t="s">
        <v>49</v>
      </c>
      <c r="D20" s="2" t="s">
        <v>99</v>
      </c>
      <c r="E20" s="13">
        <v>0.3125</v>
      </c>
      <c r="F20" s="2">
        <v>0.28000000000000003</v>
      </c>
      <c r="G20" s="3"/>
      <c r="H20" s="3"/>
      <c r="I20" s="72"/>
      <c r="J20" s="2"/>
      <c r="K20" s="2"/>
      <c r="L20" s="2"/>
      <c r="M20" s="2"/>
      <c r="N20" s="72"/>
      <c r="O20" s="8"/>
      <c r="P20" s="41"/>
      <c r="Q20" s="41"/>
      <c r="R20" s="41"/>
      <c r="S20" s="41"/>
      <c r="T20" s="41"/>
      <c r="U20" s="2"/>
      <c r="V20" s="41"/>
      <c r="W20" s="2"/>
      <c r="X20" s="2"/>
      <c r="Y20" s="2"/>
      <c r="Z20" s="2"/>
      <c r="AA20" s="2"/>
      <c r="AB20" s="2"/>
      <c r="AC20" s="2"/>
      <c r="AD20" s="41"/>
      <c r="AE20" s="41">
        <v>100</v>
      </c>
      <c r="AF20" s="2"/>
      <c r="AG20" s="2"/>
      <c r="AH20" s="2"/>
      <c r="AI20" s="2"/>
      <c r="AJ20" s="2"/>
      <c r="AK20" s="7">
        <f t="shared" si="0"/>
        <v>0</v>
      </c>
      <c r="AL20" s="8"/>
      <c r="AM20" s="8"/>
      <c r="AN20" s="8"/>
      <c r="AO20" s="8" t="e">
        <f t="shared" si="1"/>
        <v>#DIV/0!</v>
      </c>
      <c r="AP20"/>
      <c r="AQ20"/>
      <c r="AR20"/>
      <c r="AS20"/>
    </row>
    <row r="21" spans="1:45" x14ac:dyDescent="0.25">
      <c r="B21" s="41" t="s">
        <v>55</v>
      </c>
      <c r="C21" s="2" t="s">
        <v>49</v>
      </c>
      <c r="D21" s="2" t="s">
        <v>100</v>
      </c>
      <c r="E21" s="13">
        <v>0.3125</v>
      </c>
      <c r="F21" s="2">
        <v>0.28000000000000003</v>
      </c>
      <c r="G21" s="3"/>
      <c r="H21" s="3"/>
      <c r="I21" s="79"/>
      <c r="J21" s="2"/>
      <c r="K21" s="2"/>
      <c r="L21" s="2"/>
      <c r="M21" s="2"/>
      <c r="N21" s="88">
        <v>3880</v>
      </c>
      <c r="O21" s="8">
        <f t="shared" si="2"/>
        <v>2330</v>
      </c>
      <c r="P21" s="41"/>
      <c r="Q21" s="41"/>
      <c r="R21" s="41"/>
      <c r="S21" s="41"/>
      <c r="T21" s="41"/>
      <c r="U21" s="2"/>
      <c r="V21" s="41"/>
      <c r="W21" s="2"/>
      <c r="X21" s="2"/>
      <c r="Y21" s="2"/>
      <c r="Z21" s="2"/>
      <c r="AA21" s="2"/>
      <c r="AB21" s="2"/>
      <c r="AC21" s="2"/>
      <c r="AD21" s="41"/>
      <c r="AE21" s="41">
        <v>1550</v>
      </c>
      <c r="AF21" s="41"/>
      <c r="AG21" s="41"/>
      <c r="AH21" s="2"/>
      <c r="AI21" s="2"/>
      <c r="AJ21" s="2"/>
      <c r="AK21" s="7">
        <f t="shared" si="0"/>
        <v>0</v>
      </c>
      <c r="AL21" s="8"/>
      <c r="AM21" s="8"/>
      <c r="AN21" s="8"/>
      <c r="AO21" s="8" t="e">
        <f t="shared" si="1"/>
        <v>#DIV/0!</v>
      </c>
      <c r="AP21"/>
      <c r="AQ21"/>
      <c r="AR21"/>
      <c r="AS21"/>
    </row>
    <row r="22" spans="1:45" hidden="1" x14ac:dyDescent="0.25">
      <c r="B22" s="41" t="s">
        <v>55</v>
      </c>
      <c r="C22" s="2" t="s">
        <v>49</v>
      </c>
      <c r="D22" s="41" t="s">
        <v>101</v>
      </c>
      <c r="E22" s="13">
        <v>0.3125</v>
      </c>
      <c r="F22" s="2">
        <v>0.28000000000000003</v>
      </c>
      <c r="G22" s="3"/>
      <c r="H22" s="3"/>
      <c r="I22" s="72"/>
      <c r="J22" s="2"/>
      <c r="K22" s="2"/>
      <c r="L22" s="2"/>
      <c r="M22" s="2"/>
      <c r="N22" s="72"/>
      <c r="O22" s="8">
        <f t="shared" si="2"/>
        <v>0</v>
      </c>
      <c r="P22" s="41"/>
      <c r="Q22" s="41"/>
      <c r="R22" s="41"/>
      <c r="S22" s="41"/>
      <c r="T22" s="41"/>
      <c r="U22" s="2"/>
      <c r="V22" s="41"/>
      <c r="W22" s="2"/>
      <c r="X22" s="2"/>
      <c r="Y22" s="2"/>
      <c r="Z22" s="2"/>
      <c r="AA22" s="2"/>
      <c r="AB22" s="2"/>
      <c r="AC22" s="2"/>
      <c r="AD22" s="41"/>
      <c r="AE22" s="41"/>
      <c r="AF22" s="2"/>
      <c r="AG22" s="2"/>
      <c r="AH22" s="2"/>
      <c r="AI22" s="2"/>
      <c r="AJ22" s="2"/>
      <c r="AK22" s="7">
        <f t="shared" si="0"/>
        <v>0</v>
      </c>
      <c r="AL22" s="8"/>
      <c r="AM22" s="8"/>
      <c r="AN22" s="8"/>
      <c r="AO22" s="8" t="e">
        <f t="shared" si="1"/>
        <v>#DIV/0!</v>
      </c>
      <c r="AP22"/>
      <c r="AQ22"/>
      <c r="AR22"/>
      <c r="AS22"/>
    </row>
    <row r="23" spans="1:45" hidden="1" x14ac:dyDescent="0.25">
      <c r="A23" s="26"/>
      <c r="B23" s="41" t="s">
        <v>63</v>
      </c>
      <c r="C23" s="2" t="s">
        <v>49</v>
      </c>
      <c r="D23" s="2" t="s">
        <v>102</v>
      </c>
      <c r="E23" s="13">
        <v>0.3125</v>
      </c>
      <c r="F23" s="2">
        <v>0.28000000000000003</v>
      </c>
      <c r="G23" s="3"/>
      <c r="H23" s="3"/>
      <c r="I23" s="2"/>
      <c r="J23" s="2"/>
      <c r="K23" s="2"/>
      <c r="L23" s="2"/>
      <c r="M23" s="2"/>
      <c r="N23" s="2"/>
      <c r="O23" s="8">
        <f t="shared" si="2"/>
        <v>0</v>
      </c>
      <c r="P23" s="41"/>
      <c r="Q23" s="41"/>
      <c r="R23" s="41"/>
      <c r="S23" s="41"/>
      <c r="T23" s="41"/>
      <c r="U23" s="2"/>
      <c r="V23" s="41"/>
      <c r="W23" s="2"/>
      <c r="X23" s="2"/>
      <c r="Y23" s="2"/>
      <c r="Z23" s="2"/>
      <c r="AA23" s="2"/>
      <c r="AB23" s="2"/>
      <c r="AC23" s="2"/>
      <c r="AD23" s="41"/>
      <c r="AE23" s="41"/>
      <c r="AF23" s="2"/>
      <c r="AG23" s="2"/>
      <c r="AH23" s="2"/>
      <c r="AI23" s="2"/>
      <c r="AJ23" s="2"/>
      <c r="AK23" s="7">
        <f t="shared" si="0"/>
        <v>0</v>
      </c>
      <c r="AL23" s="8"/>
      <c r="AM23" s="8"/>
      <c r="AN23" s="8"/>
      <c r="AO23" s="8" t="e">
        <f t="shared" si="1"/>
        <v>#DIV/0!</v>
      </c>
      <c r="AP23"/>
      <c r="AQ23"/>
      <c r="AR23"/>
      <c r="AS23"/>
    </row>
    <row r="24" spans="1:45" hidden="1" x14ac:dyDescent="0.25">
      <c r="A24" s="2"/>
      <c r="B24" s="41" t="s">
        <v>63</v>
      </c>
      <c r="C24" s="2" t="s">
        <v>49</v>
      </c>
      <c r="D24" s="2" t="s">
        <v>103</v>
      </c>
      <c r="E24" s="13">
        <v>0.3125</v>
      </c>
      <c r="F24" s="2">
        <v>0.28000000000000003</v>
      </c>
      <c r="G24" s="3"/>
      <c r="H24" s="3"/>
      <c r="I24" s="2"/>
      <c r="J24" s="2"/>
      <c r="K24" s="2"/>
      <c r="L24" s="2"/>
      <c r="M24" s="2"/>
      <c r="N24" s="2"/>
      <c r="O24" s="8">
        <f t="shared" si="2"/>
        <v>0</v>
      </c>
      <c r="P24" s="41"/>
      <c r="Q24" s="2"/>
      <c r="R24" s="2"/>
      <c r="S24" s="2"/>
      <c r="T24" s="41"/>
      <c r="U24" s="2"/>
      <c r="V24" s="4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>
        <f t="shared" si="0"/>
        <v>0</v>
      </c>
      <c r="AL24" s="8"/>
      <c r="AM24" s="8"/>
      <c r="AN24" s="8"/>
      <c r="AO24" s="8" t="e">
        <f t="shared" si="1"/>
        <v>#DIV/0!</v>
      </c>
      <c r="AP24"/>
      <c r="AQ24"/>
      <c r="AR24"/>
      <c r="AS24"/>
    </row>
    <row r="25" spans="1:45" hidden="1" x14ac:dyDescent="0.25">
      <c r="A25" s="2"/>
      <c r="B25" s="41" t="s">
        <v>63</v>
      </c>
      <c r="C25" s="2" t="s">
        <v>49</v>
      </c>
      <c r="D25" s="2" t="s">
        <v>61</v>
      </c>
      <c r="E25" s="13">
        <v>0.3125</v>
      </c>
      <c r="F25" s="2">
        <v>0.28000000000000003</v>
      </c>
      <c r="G25" s="3"/>
      <c r="H25" s="3"/>
      <c r="I25" s="2"/>
      <c r="J25" s="2"/>
      <c r="K25" s="2"/>
      <c r="L25" s="2"/>
      <c r="M25" s="2"/>
      <c r="N25" s="2"/>
      <c r="O25" s="8">
        <f t="shared" si="2"/>
        <v>0</v>
      </c>
      <c r="P25" s="41"/>
      <c r="Q25" s="2"/>
      <c r="R25" s="2"/>
      <c r="S25" s="2"/>
      <c r="T25" s="41"/>
      <c r="U25" s="2"/>
      <c r="V25" s="4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>
        <f t="shared" si="0"/>
        <v>0</v>
      </c>
      <c r="AL25" s="8"/>
      <c r="AM25" s="8"/>
      <c r="AN25" s="8"/>
      <c r="AO25" s="8" t="e">
        <f t="shared" si="1"/>
        <v>#DIV/0!</v>
      </c>
      <c r="AP25"/>
      <c r="AQ25"/>
      <c r="AR25"/>
      <c r="AS25"/>
    </row>
    <row r="26" spans="1:45" hidden="1" x14ac:dyDescent="0.25">
      <c r="A26" s="2"/>
      <c r="B26" s="41" t="s">
        <v>63</v>
      </c>
      <c r="C26" s="2" t="s">
        <v>49</v>
      </c>
      <c r="D26" s="2" t="s">
        <v>62</v>
      </c>
      <c r="E26" s="13">
        <v>0.3125</v>
      </c>
      <c r="F26" s="2">
        <v>0.28000000000000003</v>
      </c>
      <c r="G26" s="3"/>
      <c r="H26" s="3"/>
      <c r="I26" s="2"/>
      <c r="J26" s="2"/>
      <c r="K26" s="2"/>
      <c r="L26" s="2"/>
      <c r="M26" s="2"/>
      <c r="N26" s="2"/>
      <c r="O26" s="8">
        <f t="shared" si="2"/>
        <v>0</v>
      </c>
      <c r="P26" s="41"/>
      <c r="Q26" s="2"/>
      <c r="R26" s="2"/>
      <c r="S26" s="2"/>
      <c r="T26" s="41"/>
      <c r="U26" s="2"/>
      <c r="V26" s="4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>
        <f t="shared" si="0"/>
        <v>0</v>
      </c>
      <c r="AL26" s="8"/>
      <c r="AM26" s="8"/>
      <c r="AN26" s="8"/>
      <c r="AO26" s="8" t="e">
        <f t="shared" si="1"/>
        <v>#DIV/0!</v>
      </c>
      <c r="AP26"/>
      <c r="AQ26"/>
      <c r="AR26"/>
      <c r="AS26"/>
    </row>
    <row r="27" spans="1:45" hidden="1" x14ac:dyDescent="0.25">
      <c r="A27" s="2"/>
      <c r="B27" s="41" t="s">
        <v>66</v>
      </c>
      <c r="C27" s="2" t="s">
        <v>49</v>
      </c>
      <c r="D27" s="2" t="s">
        <v>64</v>
      </c>
      <c r="E27" s="13">
        <v>0.375</v>
      </c>
      <c r="F27" s="2">
        <v>0.28000000000000003</v>
      </c>
      <c r="G27" s="3"/>
      <c r="H27" s="3"/>
      <c r="I27" s="2"/>
      <c r="J27" s="2"/>
      <c r="K27" s="2"/>
      <c r="L27" s="2"/>
      <c r="M27" s="2"/>
      <c r="N27" s="2"/>
      <c r="O27" s="8">
        <f t="shared" si="2"/>
        <v>0</v>
      </c>
      <c r="P27" s="2"/>
      <c r="Q27" s="2"/>
      <c r="R27" s="2"/>
      <c r="S27" s="2"/>
      <c r="T27" s="2"/>
      <c r="U27" s="2"/>
      <c r="V27" s="4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>
        <f t="shared" si="0"/>
        <v>0</v>
      </c>
      <c r="AL27" s="8"/>
      <c r="AM27" s="8"/>
      <c r="AN27" s="8"/>
      <c r="AO27" s="8">
        <v>0</v>
      </c>
      <c r="AP27"/>
      <c r="AQ27"/>
      <c r="AR27"/>
      <c r="AS27"/>
    </row>
    <row r="28" spans="1:45" hidden="1" x14ac:dyDescent="0.25">
      <c r="A28" s="2"/>
      <c r="B28" s="41" t="s">
        <v>66</v>
      </c>
      <c r="C28" s="2" t="s">
        <v>49</v>
      </c>
      <c r="D28" s="2" t="s">
        <v>65</v>
      </c>
      <c r="E28" s="13">
        <v>0.375</v>
      </c>
      <c r="F28" s="2">
        <v>0.28000000000000003</v>
      </c>
      <c r="G28" s="3"/>
      <c r="H28" s="3"/>
      <c r="I28" s="2"/>
      <c r="J28" s="2"/>
      <c r="K28" s="2"/>
      <c r="L28" s="2"/>
      <c r="M28" s="2"/>
      <c r="N28" s="2"/>
      <c r="O28" s="8">
        <f t="shared" si="2"/>
        <v>0</v>
      </c>
      <c r="P28" s="2"/>
      <c r="Q28" s="2"/>
      <c r="R28" s="2"/>
      <c r="S28" s="2"/>
      <c r="T28" s="2"/>
      <c r="U28" s="2"/>
      <c r="V28" s="4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>
        <f t="shared" si="0"/>
        <v>0</v>
      </c>
      <c r="AL28" s="8"/>
      <c r="AM28" s="8"/>
      <c r="AN28" s="8"/>
      <c r="AO28" s="8">
        <v>0</v>
      </c>
      <c r="AP28"/>
    </row>
    <row r="29" spans="1:45" hidden="1" x14ac:dyDescent="0.25">
      <c r="A29" s="2"/>
      <c r="B29" s="41" t="s">
        <v>67</v>
      </c>
      <c r="C29" s="2" t="s">
        <v>68</v>
      </c>
      <c r="D29" s="2" t="s">
        <v>69</v>
      </c>
      <c r="E29" s="13">
        <v>0.75</v>
      </c>
      <c r="F29" s="2">
        <v>0.35</v>
      </c>
      <c r="G29" s="3"/>
      <c r="H29" s="3"/>
      <c r="I29" s="2"/>
      <c r="J29" s="2"/>
      <c r="K29" s="2"/>
      <c r="L29" s="2"/>
      <c r="M29" s="2"/>
      <c r="N29" s="2"/>
      <c r="O29" s="8">
        <f t="shared" si="2"/>
        <v>0</v>
      </c>
      <c r="P29" s="2"/>
      <c r="Q29" s="2"/>
      <c r="R29" s="2"/>
      <c r="S29" s="2"/>
      <c r="T29" s="2"/>
      <c r="U29" s="2"/>
      <c r="V29" s="4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>
        <f t="shared" si="0"/>
        <v>0</v>
      </c>
      <c r="AL29" s="8"/>
      <c r="AM29" s="8"/>
      <c r="AN29" s="8"/>
      <c r="AO29" s="8">
        <v>0</v>
      </c>
      <c r="AP29"/>
    </row>
    <row r="30" spans="1:45" hidden="1" x14ac:dyDescent="0.25">
      <c r="A30" s="2"/>
      <c r="B30" s="41" t="s">
        <v>67</v>
      </c>
      <c r="C30" s="2" t="s">
        <v>68</v>
      </c>
      <c r="D30" s="2" t="s">
        <v>71</v>
      </c>
      <c r="E30" s="13">
        <v>0.75</v>
      </c>
      <c r="F30" s="2">
        <v>0.35</v>
      </c>
      <c r="G30" s="3"/>
      <c r="H30" s="3"/>
      <c r="I30" s="2"/>
      <c r="J30" s="2"/>
      <c r="K30" s="2"/>
      <c r="L30" s="2"/>
      <c r="M30" s="2"/>
      <c r="N30" s="2"/>
      <c r="O30" s="8">
        <f t="shared" si="2"/>
        <v>0</v>
      </c>
      <c r="P30" s="2"/>
      <c r="Q30" s="2"/>
      <c r="R30" s="2"/>
      <c r="S30" s="2"/>
      <c r="T30" s="2"/>
      <c r="U30" s="2"/>
      <c r="V30" s="4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">
        <f t="shared" si="0"/>
        <v>0</v>
      </c>
      <c r="AL30" s="8"/>
      <c r="AM30" s="8"/>
      <c r="AN30" s="8"/>
      <c r="AO30" s="8">
        <v>0</v>
      </c>
      <c r="AP30"/>
    </row>
    <row r="31" spans="1:45" hidden="1" x14ac:dyDescent="0.25">
      <c r="A31" s="2"/>
      <c r="B31" s="41" t="s">
        <v>67</v>
      </c>
      <c r="C31" s="2" t="s">
        <v>68</v>
      </c>
      <c r="D31" s="2" t="s">
        <v>72</v>
      </c>
      <c r="E31" s="13">
        <v>0.75</v>
      </c>
      <c r="F31" s="2">
        <v>0.35</v>
      </c>
      <c r="G31" s="3"/>
      <c r="H31" s="3"/>
      <c r="I31" s="2"/>
      <c r="J31" s="2"/>
      <c r="K31" s="2"/>
      <c r="L31" s="2"/>
      <c r="M31" s="2"/>
      <c r="N31" s="2"/>
      <c r="O31" s="8">
        <f t="shared" si="2"/>
        <v>0</v>
      </c>
      <c r="P31" s="2"/>
      <c r="Q31" s="2"/>
      <c r="R31" s="2"/>
      <c r="S31" s="2"/>
      <c r="T31" s="2"/>
      <c r="U31" s="2"/>
      <c r="V31" s="4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7">
        <f t="shared" si="0"/>
        <v>0</v>
      </c>
      <c r="AL31" s="8"/>
      <c r="AM31" s="8"/>
      <c r="AN31" s="8"/>
      <c r="AO31" s="8">
        <v>0</v>
      </c>
      <c r="AP31"/>
    </row>
    <row r="32" spans="1:45" hidden="1" x14ac:dyDescent="0.25">
      <c r="A32" s="2"/>
      <c r="B32" s="41" t="s">
        <v>67</v>
      </c>
      <c r="C32" s="2" t="s">
        <v>68</v>
      </c>
      <c r="D32" s="2" t="s">
        <v>73</v>
      </c>
      <c r="E32" s="13">
        <v>0.75</v>
      </c>
      <c r="F32" s="2">
        <v>0.35</v>
      </c>
      <c r="G32" s="3"/>
      <c r="H32" s="3"/>
      <c r="I32" s="2"/>
      <c r="J32" s="2"/>
      <c r="K32" s="2"/>
      <c r="L32" s="2"/>
      <c r="M32" s="2"/>
      <c r="N32" s="2"/>
      <c r="O32" s="8">
        <f t="shared" si="2"/>
        <v>0</v>
      </c>
      <c r="P32" s="2"/>
      <c r="Q32" s="2"/>
      <c r="R32" s="2"/>
      <c r="S32" s="2"/>
      <c r="T32" s="2"/>
      <c r="U32" s="2"/>
      <c r="V32" s="4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7">
        <f t="shared" si="0"/>
        <v>0</v>
      </c>
      <c r="AL32" s="8"/>
      <c r="AM32" s="8"/>
      <c r="AN32" s="8"/>
      <c r="AO32" s="8">
        <v>0</v>
      </c>
      <c r="AP32"/>
    </row>
    <row r="33" spans="1:42" hidden="1" x14ac:dyDescent="0.25">
      <c r="A33" s="2"/>
      <c r="B33" s="41" t="s">
        <v>67</v>
      </c>
      <c r="C33" s="2" t="s">
        <v>68</v>
      </c>
      <c r="D33" s="2" t="s">
        <v>76</v>
      </c>
      <c r="E33" s="13">
        <v>0.75</v>
      </c>
      <c r="F33" s="2">
        <v>0.35</v>
      </c>
      <c r="G33" s="3"/>
      <c r="H33" s="3"/>
      <c r="I33" s="2"/>
      <c r="J33" s="2"/>
      <c r="K33" s="2"/>
      <c r="L33" s="2"/>
      <c r="M33" s="2"/>
      <c r="N33" s="2"/>
      <c r="O33" s="8">
        <f t="shared" si="2"/>
        <v>0</v>
      </c>
      <c r="P33" s="2"/>
      <c r="Q33" s="2"/>
      <c r="R33" s="2"/>
      <c r="S33" s="2"/>
      <c r="T33" s="2"/>
      <c r="U33" s="2"/>
      <c r="V33" s="4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7">
        <f t="shared" si="0"/>
        <v>0</v>
      </c>
      <c r="AL33" s="8"/>
      <c r="AM33" s="8"/>
      <c r="AN33" s="8"/>
      <c r="AO33" s="8">
        <v>0</v>
      </c>
      <c r="AP33"/>
    </row>
    <row r="34" spans="1:42" hidden="1" x14ac:dyDescent="0.25">
      <c r="A34" s="2"/>
      <c r="B34" s="41" t="s">
        <v>67</v>
      </c>
      <c r="C34" s="2" t="s">
        <v>68</v>
      </c>
      <c r="D34" s="2" t="s">
        <v>77</v>
      </c>
      <c r="E34" s="13">
        <v>0.75</v>
      </c>
      <c r="F34" s="2">
        <v>0.35</v>
      </c>
      <c r="G34" s="3"/>
      <c r="H34" s="3"/>
      <c r="I34" s="2"/>
      <c r="J34" s="2"/>
      <c r="K34" s="2"/>
      <c r="L34" s="2"/>
      <c r="M34" s="2"/>
      <c r="N34" s="2"/>
      <c r="O34" s="8">
        <f t="shared" si="2"/>
        <v>0</v>
      </c>
      <c r="P34" s="2"/>
      <c r="Q34" s="2"/>
      <c r="R34" s="2"/>
      <c r="S34" s="2"/>
      <c r="T34" s="2"/>
      <c r="U34" s="2"/>
      <c r="V34" s="4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">
        <f t="shared" si="0"/>
        <v>0</v>
      </c>
      <c r="AL34" s="8"/>
      <c r="AM34" s="8"/>
      <c r="AN34" s="8"/>
      <c r="AO34" s="8">
        <v>0</v>
      </c>
      <c r="AP34"/>
    </row>
    <row r="35" spans="1:42" hidden="1" x14ac:dyDescent="0.25">
      <c r="A35" s="2"/>
      <c r="B35" s="41" t="s">
        <v>67</v>
      </c>
      <c r="C35" s="2" t="s">
        <v>68</v>
      </c>
      <c r="D35" s="2" t="s">
        <v>70</v>
      </c>
      <c r="E35" s="13">
        <v>0.875</v>
      </c>
      <c r="F35" s="2">
        <v>0.45</v>
      </c>
      <c r="G35" s="3"/>
      <c r="I35" s="2"/>
      <c r="J35" s="2"/>
      <c r="K35" s="2"/>
      <c r="L35" s="2"/>
      <c r="M35" s="2"/>
      <c r="N35" s="2"/>
      <c r="O35" s="8">
        <f t="shared" si="2"/>
        <v>0</v>
      </c>
      <c r="P35" s="2"/>
      <c r="Q35" s="2"/>
      <c r="R35" s="2"/>
      <c r="S35" s="2"/>
      <c r="T35" s="2"/>
      <c r="U35" s="2"/>
      <c r="V35" s="4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">
        <f t="shared" si="0"/>
        <v>0</v>
      </c>
      <c r="AL35" s="8"/>
      <c r="AM35" s="8"/>
      <c r="AN35" s="8"/>
      <c r="AO35" s="8">
        <v>0</v>
      </c>
      <c r="AP35"/>
    </row>
    <row r="36" spans="1:42" hidden="1" x14ac:dyDescent="0.25">
      <c r="A36" s="2"/>
      <c r="B36" s="41" t="s">
        <v>67</v>
      </c>
      <c r="C36" s="2" t="s">
        <v>68</v>
      </c>
      <c r="D36" s="2" t="s">
        <v>74</v>
      </c>
      <c r="E36" s="13">
        <v>0.875</v>
      </c>
      <c r="F36" s="2">
        <v>0.45</v>
      </c>
      <c r="G36" s="3"/>
      <c r="H36" s="3"/>
      <c r="I36" s="2"/>
      <c r="J36" s="2"/>
      <c r="K36" s="2"/>
      <c r="L36" s="2"/>
      <c r="M36" s="2"/>
      <c r="N36" s="2"/>
      <c r="O36" s="8">
        <f t="shared" si="2"/>
        <v>0</v>
      </c>
      <c r="P36" s="2"/>
      <c r="Q36" s="2"/>
      <c r="R36" s="2"/>
      <c r="S36" s="2"/>
      <c r="T36" s="2"/>
      <c r="U36" s="2"/>
      <c r="V36" s="4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7">
        <f t="shared" si="0"/>
        <v>0</v>
      </c>
      <c r="AL36" s="8"/>
      <c r="AM36" s="8"/>
      <c r="AN36" s="8"/>
      <c r="AO36" s="8">
        <v>0</v>
      </c>
      <c r="AP36"/>
    </row>
    <row r="37" spans="1:42" hidden="1" x14ac:dyDescent="0.25">
      <c r="A37" s="2"/>
      <c r="B37" s="41" t="s">
        <v>67</v>
      </c>
      <c r="C37" s="2" t="s">
        <v>68</v>
      </c>
      <c r="D37" s="2" t="s">
        <v>75</v>
      </c>
      <c r="E37" s="13">
        <v>0.875</v>
      </c>
      <c r="F37" s="2">
        <v>0.45</v>
      </c>
      <c r="G37" s="3"/>
      <c r="H37" s="3"/>
      <c r="I37" s="2"/>
      <c r="J37" s="2"/>
      <c r="K37" s="2"/>
      <c r="L37" s="2"/>
      <c r="M37" s="2"/>
      <c r="N37" s="2"/>
      <c r="O37" s="8">
        <f t="shared" si="2"/>
        <v>0</v>
      </c>
      <c r="P37" s="2"/>
      <c r="Q37" s="2"/>
      <c r="R37" s="2"/>
      <c r="S37" s="2"/>
      <c r="T37" s="2"/>
      <c r="U37" s="2"/>
      <c r="V37" s="4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>
        <f t="shared" si="0"/>
        <v>0</v>
      </c>
      <c r="AL37" s="8"/>
      <c r="AM37" s="8"/>
      <c r="AN37" s="8"/>
      <c r="AO37" s="8">
        <v>0</v>
      </c>
      <c r="AP37"/>
    </row>
    <row r="38" spans="1:42" hidden="1" x14ac:dyDescent="0.25">
      <c r="A38" s="2"/>
      <c r="B38" s="41" t="s">
        <v>67</v>
      </c>
      <c r="C38" s="2" t="s">
        <v>68</v>
      </c>
      <c r="D38" s="2" t="s">
        <v>78</v>
      </c>
      <c r="E38" s="13">
        <v>0.875</v>
      </c>
      <c r="F38" s="2">
        <v>0.45</v>
      </c>
      <c r="G38" s="3"/>
      <c r="H38" s="3"/>
      <c r="I38" s="2"/>
      <c r="J38" s="2"/>
      <c r="K38" s="2"/>
      <c r="L38" s="2"/>
      <c r="M38" s="2"/>
      <c r="N38" s="2"/>
      <c r="O38" s="8">
        <f t="shared" si="2"/>
        <v>0</v>
      </c>
      <c r="P38" s="2"/>
      <c r="Q38" s="2"/>
      <c r="R38" s="2"/>
      <c r="S38" s="2"/>
      <c r="T38" s="2"/>
      <c r="U38" s="2"/>
      <c r="V38" s="4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>
        <f t="shared" si="0"/>
        <v>0</v>
      </c>
      <c r="AL38" s="8"/>
      <c r="AM38" s="8"/>
      <c r="AN38" s="8"/>
      <c r="AO38" s="8">
        <v>0</v>
      </c>
      <c r="AP38"/>
    </row>
    <row r="39" spans="1:42" hidden="1" x14ac:dyDescent="0.25">
      <c r="A39" s="2"/>
      <c r="B39" s="2"/>
      <c r="C39" s="2"/>
      <c r="D39" s="2"/>
      <c r="E39" s="2"/>
      <c r="F39" s="2"/>
      <c r="G39" s="3"/>
      <c r="H39" s="3"/>
      <c r="I39" s="2"/>
      <c r="J39" s="2"/>
      <c r="K39" s="2"/>
      <c r="L39" s="2"/>
      <c r="M39" s="2"/>
      <c r="N39" s="2"/>
      <c r="O39" s="8">
        <f t="shared" si="2"/>
        <v>0</v>
      </c>
      <c r="P39" s="2"/>
      <c r="Q39" s="2"/>
      <c r="R39" s="2"/>
      <c r="S39" s="2"/>
      <c r="T39" s="2"/>
      <c r="U39" s="2"/>
      <c r="V39" s="4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>
        <f t="shared" si="0"/>
        <v>0</v>
      </c>
      <c r="AL39" s="8"/>
      <c r="AM39" s="8"/>
      <c r="AN39" s="8"/>
      <c r="AO39" s="8">
        <v>0</v>
      </c>
      <c r="AP39"/>
    </row>
    <row r="40" spans="1:42" hidden="1" x14ac:dyDescent="0.25">
      <c r="A40" s="2"/>
      <c r="B40" s="2"/>
      <c r="C40" s="2"/>
      <c r="D40" s="2"/>
      <c r="E40" s="2"/>
      <c r="F40" s="2"/>
      <c r="G40" s="3"/>
      <c r="H40" s="3"/>
      <c r="I40" s="2"/>
      <c r="J40" s="2"/>
      <c r="K40" s="2"/>
      <c r="L40" s="2"/>
      <c r="M40" s="2"/>
      <c r="N40" s="2"/>
      <c r="O40" s="8">
        <f t="shared" si="2"/>
        <v>0</v>
      </c>
      <c r="P40" s="2"/>
      <c r="Q40" s="2"/>
      <c r="R40" s="2"/>
      <c r="S40" s="2"/>
      <c r="T40" s="2"/>
      <c r="U40" s="2"/>
      <c r="V40" s="4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>
        <f t="shared" si="0"/>
        <v>0</v>
      </c>
      <c r="AL40" s="8"/>
      <c r="AM40" s="8"/>
      <c r="AN40" s="8"/>
      <c r="AO40" s="8">
        <v>0</v>
      </c>
      <c r="AP40"/>
    </row>
    <row r="41" spans="1:42" hidden="1" x14ac:dyDescent="0.25">
      <c r="A41" s="30"/>
      <c r="B41" s="2"/>
      <c r="C41" s="2"/>
      <c r="D41" s="2"/>
      <c r="E41" s="2"/>
      <c r="F41" s="2"/>
      <c r="G41" s="3"/>
      <c r="H41" s="3"/>
      <c r="I41" s="2"/>
      <c r="J41" s="2"/>
      <c r="K41" s="2"/>
      <c r="L41" s="2"/>
      <c r="M41" s="2"/>
      <c r="N41" s="2"/>
      <c r="O41" s="8">
        <f t="shared" si="2"/>
        <v>0</v>
      </c>
      <c r="P41" s="2"/>
      <c r="Q41" s="2"/>
      <c r="R41" s="2"/>
      <c r="S41" s="2"/>
      <c r="T41" s="2"/>
      <c r="U41" s="2"/>
      <c r="V41" s="4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>
        <f t="shared" si="0"/>
        <v>0</v>
      </c>
      <c r="AL41" s="8"/>
      <c r="AM41" s="8"/>
      <c r="AN41" s="8"/>
      <c r="AO41" s="8" t="e">
        <f>+SUM(I41:N41)/AM41</f>
        <v>#DIV/0!</v>
      </c>
      <c r="AP41"/>
    </row>
    <row r="42" spans="1:42" hidden="1" x14ac:dyDescent="0.25">
      <c r="H42" s="4" t="s">
        <v>19</v>
      </c>
      <c r="I42" s="9">
        <f t="shared" ref="I42:N42" si="3">SUM(I11:I41)</f>
        <v>42766</v>
      </c>
      <c r="J42" s="9">
        <f t="shared" si="3"/>
        <v>0</v>
      </c>
      <c r="K42" s="9">
        <f t="shared" si="3"/>
        <v>0</v>
      </c>
      <c r="L42" s="9">
        <f t="shared" si="3"/>
        <v>0</v>
      </c>
      <c r="M42" s="9">
        <f t="shared" si="3"/>
        <v>0</v>
      </c>
      <c r="N42" s="9">
        <f t="shared" si="3"/>
        <v>13939</v>
      </c>
      <c r="O42" s="11">
        <v>0</v>
      </c>
      <c r="P42" s="9">
        <f t="shared" ref="P42:Y42" si="4">SUM(P11:P41)</f>
        <v>0</v>
      </c>
      <c r="Q42" s="9">
        <f t="shared" si="4"/>
        <v>0</v>
      </c>
      <c r="R42" s="9">
        <f t="shared" si="4"/>
        <v>0</v>
      </c>
      <c r="S42" s="9">
        <f t="shared" si="4"/>
        <v>0</v>
      </c>
      <c r="T42" s="76">
        <f t="shared" si="4"/>
        <v>0</v>
      </c>
      <c r="U42" s="76">
        <f t="shared" si="4"/>
        <v>0</v>
      </c>
      <c r="V42" s="76">
        <f t="shared" si="4"/>
        <v>0</v>
      </c>
      <c r="W42" s="76">
        <f t="shared" si="4"/>
        <v>0</v>
      </c>
      <c r="X42" s="76">
        <f t="shared" si="4"/>
        <v>0</v>
      </c>
      <c r="Y42" s="76">
        <f t="shared" si="4"/>
        <v>0</v>
      </c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9">
        <f>SUM(AJ11:AJ41)</f>
        <v>95</v>
      </c>
      <c r="AK42" s="9">
        <f>SUM(AK11:AK41)</f>
        <v>0</v>
      </c>
      <c r="AO42" s="12" t="e">
        <f>SUM(AO11:AO41)</f>
        <v>#DIV/0!</v>
      </c>
    </row>
    <row r="43" spans="1:42" hidden="1" x14ac:dyDescent="0.25">
      <c r="H43" s="4" t="s">
        <v>21</v>
      </c>
      <c r="I43" s="99">
        <f>+I42+J42+K42+L42+M42+N42</f>
        <v>56705</v>
      </c>
      <c r="J43" s="99"/>
      <c r="K43" s="99"/>
      <c r="L43" s="99"/>
      <c r="M43" s="99"/>
      <c r="N43" s="99"/>
      <c r="P43" s="100">
        <f>+P42+Q42</f>
        <v>0</v>
      </c>
      <c r="Q43" s="101"/>
      <c r="R43" s="100">
        <f>+R42+S42</f>
        <v>0</v>
      </c>
      <c r="S43" s="101"/>
      <c r="T43" s="102">
        <f>+T42+U42</f>
        <v>0</v>
      </c>
      <c r="U43" s="91"/>
      <c r="V43" s="102">
        <f>+V42+W42</f>
        <v>0</v>
      </c>
      <c r="W43" s="91"/>
      <c r="X43" s="102">
        <f>+X42+Y42</f>
        <v>0</v>
      </c>
      <c r="Y43" s="91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0">
        <f>+AJ42</f>
        <v>95</v>
      </c>
    </row>
    <row r="44" spans="1:42" x14ac:dyDescent="0.25">
      <c r="O44" s="85">
        <v>31939</v>
      </c>
    </row>
    <row r="45" spans="1:42" x14ac:dyDescent="0.25">
      <c r="A45"/>
      <c r="B45" s="2" t="s">
        <v>105</v>
      </c>
      <c r="C45" s="2" t="s">
        <v>106</v>
      </c>
      <c r="D45" s="2" t="s">
        <v>107</v>
      </c>
      <c r="E45"/>
      <c r="F45"/>
    </row>
    <row r="46" spans="1:42" x14ac:dyDescent="0.25">
      <c r="A46" s="53" t="s">
        <v>108</v>
      </c>
      <c r="B46" s="61">
        <v>38705</v>
      </c>
      <c r="C46" s="2">
        <v>4755</v>
      </c>
      <c r="D46" s="2">
        <v>2377.5</v>
      </c>
      <c r="E46"/>
      <c r="F46"/>
    </row>
    <row r="47" spans="1:42" x14ac:dyDescent="0.25">
      <c r="A47" s="67" t="s">
        <v>109</v>
      </c>
      <c r="B47" s="8">
        <v>27880</v>
      </c>
      <c r="C47" s="2">
        <v>1862</v>
      </c>
      <c r="D47" s="2">
        <v>931</v>
      </c>
      <c r="E47"/>
      <c r="F47"/>
    </row>
    <row r="48" spans="1:42" x14ac:dyDescent="0.25">
      <c r="A48" s="53" t="s">
        <v>110</v>
      </c>
      <c r="B48" s="62">
        <f>B46-B47</f>
        <v>10825</v>
      </c>
      <c r="C48" s="2"/>
      <c r="D48" s="2"/>
      <c r="E48"/>
      <c r="F48"/>
    </row>
    <row r="49" spans="1:15" x14ac:dyDescent="0.25">
      <c r="A49" s="53" t="s">
        <v>111</v>
      </c>
      <c r="B49" s="63">
        <f>B48/B46</f>
        <v>0.27967962795504459</v>
      </c>
      <c r="C49" s="2"/>
      <c r="D49" s="2"/>
      <c r="E49"/>
      <c r="F49"/>
    </row>
    <row r="50" spans="1:15" x14ac:dyDescent="0.25">
      <c r="A50" s="53" t="s">
        <v>112</v>
      </c>
      <c r="B50" s="63">
        <f>B47/B46</f>
        <v>0.72032037204495547</v>
      </c>
      <c r="C50" s="2"/>
      <c r="D50" s="2"/>
      <c r="E50"/>
      <c r="F50"/>
    </row>
    <row r="52" spans="1:15" x14ac:dyDescent="0.25">
      <c r="B52" s="94" t="s">
        <v>123</v>
      </c>
      <c r="C52" s="94"/>
      <c r="D52" s="94"/>
      <c r="E52" s="94"/>
      <c r="F52" s="94"/>
      <c r="H52" s="44"/>
      <c r="I52" s="81"/>
    </row>
    <row r="53" spans="1:15" x14ac:dyDescent="0.25">
      <c r="A53" s="97"/>
      <c r="B53" s="57">
        <v>46307</v>
      </c>
      <c r="C53" s="57">
        <v>46308</v>
      </c>
      <c r="D53" s="57">
        <v>46309</v>
      </c>
      <c r="E53" s="57">
        <v>46310</v>
      </c>
      <c r="F53" s="57">
        <v>46311</v>
      </c>
      <c r="G53" s="57">
        <v>46312</v>
      </c>
      <c r="H53" s="57">
        <v>46313</v>
      </c>
      <c r="I53" s="57">
        <v>46311</v>
      </c>
    </row>
    <row r="54" spans="1:15" x14ac:dyDescent="0.25">
      <c r="A54" s="98"/>
      <c r="B54" s="59" t="s">
        <v>114</v>
      </c>
      <c r="C54" s="59" t="s">
        <v>115</v>
      </c>
      <c r="D54" s="59" t="s">
        <v>116</v>
      </c>
      <c r="E54" s="59" t="s">
        <v>117</v>
      </c>
      <c r="F54" s="59" t="s">
        <v>118</v>
      </c>
      <c r="H54" s="69"/>
      <c r="I54" s="59" t="s">
        <v>126</v>
      </c>
    </row>
    <row r="55" spans="1:15" x14ac:dyDescent="0.25">
      <c r="A55" s="55" t="s">
        <v>119</v>
      </c>
      <c r="B55" s="54"/>
      <c r="C55" s="54">
        <v>0.28000000000000003</v>
      </c>
      <c r="D55" s="54"/>
      <c r="E55" s="60"/>
      <c r="F55" s="71"/>
      <c r="H55" s="44"/>
      <c r="I55" s="60"/>
    </row>
    <row r="56" spans="1:15" x14ac:dyDescent="0.25">
      <c r="A56" s="56" t="s">
        <v>120</v>
      </c>
      <c r="B56" s="54"/>
      <c r="C56" s="54">
        <v>0.72</v>
      </c>
      <c r="D56" s="54"/>
      <c r="E56" s="60"/>
      <c r="F56" s="60"/>
      <c r="H56" s="69"/>
      <c r="I56" s="60"/>
    </row>
    <row r="57" spans="1:15" x14ac:dyDescent="0.25">
      <c r="H57" s="69"/>
      <c r="I57" s="69"/>
      <c r="O57" s="86" t="s">
        <v>128</v>
      </c>
    </row>
    <row r="58" spans="1:15" x14ac:dyDescent="0.25">
      <c r="A58" s="97"/>
      <c r="B58" s="57">
        <v>46300</v>
      </c>
      <c r="C58" s="57">
        <v>46301</v>
      </c>
      <c r="D58" s="57">
        <v>46302</v>
      </c>
      <c r="E58" s="57">
        <v>46303</v>
      </c>
      <c r="F58" s="80">
        <v>46297</v>
      </c>
      <c r="H58" s="69"/>
      <c r="I58" s="69"/>
    </row>
    <row r="59" spans="1:15" x14ac:dyDescent="0.25">
      <c r="A59" s="98"/>
      <c r="B59" s="59" t="s">
        <v>114</v>
      </c>
      <c r="C59" s="59" t="s">
        <v>115</v>
      </c>
      <c r="D59" s="59" t="s">
        <v>116</v>
      </c>
      <c r="E59" s="59" t="s">
        <v>117</v>
      </c>
      <c r="F59" s="59" t="s">
        <v>126</v>
      </c>
      <c r="H59" s="69"/>
      <c r="I59" s="69"/>
    </row>
    <row r="60" spans="1:15" x14ac:dyDescent="0.25">
      <c r="A60" s="55" t="s">
        <v>119</v>
      </c>
      <c r="B60" s="54"/>
      <c r="C60" s="54"/>
      <c r="D60" s="54"/>
      <c r="E60" s="60"/>
      <c r="F60" s="60">
        <v>0.61</v>
      </c>
      <c r="H60" s="69"/>
      <c r="I60" s="69"/>
    </row>
    <row r="61" spans="1:15" x14ac:dyDescent="0.25">
      <c r="A61" s="56" t="s">
        <v>120</v>
      </c>
      <c r="B61" s="54"/>
      <c r="C61" s="54"/>
      <c r="D61" s="54"/>
      <c r="E61" s="60"/>
      <c r="F61" s="60">
        <v>0.39</v>
      </c>
      <c r="H61" s="44"/>
      <c r="I61" s="69"/>
    </row>
  </sheetData>
  <autoFilter ref="B10:AO43" xr:uid="{00000000-0009-0000-0000-00000D000000}">
    <filterColumn colId="13">
      <customFilters>
        <customFilter operator="greaterThan" val="1"/>
      </customFilters>
    </filterColumn>
  </autoFilter>
  <mergeCells count="23">
    <mergeCell ref="B52:F52"/>
    <mergeCell ref="A53:A54"/>
    <mergeCell ref="A58:A59"/>
    <mergeCell ref="AF9:AG9"/>
    <mergeCell ref="AH9:AI9"/>
    <mergeCell ref="I43:N43"/>
    <mergeCell ref="P43:Q43"/>
    <mergeCell ref="R43:S43"/>
    <mergeCell ref="T43:U43"/>
    <mergeCell ref="V43:W43"/>
    <mergeCell ref="X43:Y43"/>
    <mergeCell ref="T9:U9"/>
    <mergeCell ref="V9:W9"/>
    <mergeCell ref="X9:Y9"/>
    <mergeCell ref="Z9:AA9"/>
    <mergeCell ref="AB9:AC9"/>
    <mergeCell ref="AD9:AE9"/>
    <mergeCell ref="C7:D7"/>
    <mergeCell ref="B8:B9"/>
    <mergeCell ref="E9:F9"/>
    <mergeCell ref="J9:N9"/>
    <mergeCell ref="P9:Q9"/>
    <mergeCell ref="R9:S9"/>
  </mergeCells>
  <pageMargins left="0.7" right="0.7" top="0.75" bottom="0.75" header="0.3" footer="0.3"/>
  <pageSetup paperSize="9" scale="74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13</vt:i4>
      </vt:variant>
    </vt:vector>
  </HeadingPairs>
  <TitlesOfParts>
    <vt:vector size="31" baseType="lpstr">
      <vt:lpstr>EMPAQUE</vt:lpstr>
      <vt:lpstr>HELIAN </vt:lpstr>
      <vt:lpstr>.</vt:lpstr>
      <vt:lpstr>SEMANA 28</vt:lpstr>
      <vt:lpstr>SEMANA 30</vt:lpstr>
      <vt:lpstr>SEMANA 31</vt:lpstr>
      <vt:lpstr>SEMANA 32</vt:lpstr>
      <vt:lpstr>SEMANA 33</vt:lpstr>
      <vt:lpstr>SEMANA 34</vt:lpstr>
      <vt:lpstr>SEMANA 35</vt:lpstr>
      <vt:lpstr>SEMANA 36</vt:lpstr>
      <vt:lpstr>SEMANA 37</vt:lpstr>
      <vt:lpstr>SEMANA 38</vt:lpstr>
      <vt:lpstr>SEMANA 39</vt:lpstr>
      <vt:lpstr>SEMANA 40</vt:lpstr>
      <vt:lpstr>SEMANA 41  </vt:lpstr>
      <vt:lpstr>SEMANA 42</vt:lpstr>
      <vt:lpstr>SEMANA 42 (2)</vt:lpstr>
      <vt:lpstr>EMPAQUE!Área_de_impresión</vt:lpstr>
      <vt:lpstr>'HELIAN '!Área_de_impresión</vt:lpstr>
      <vt:lpstr>'SEMANA 33'!Área_de_impresión</vt:lpstr>
      <vt:lpstr>'SEMANA 34'!Área_de_impresión</vt:lpstr>
      <vt:lpstr>'SEMANA 35'!Área_de_impresión</vt:lpstr>
      <vt:lpstr>'SEMANA 36'!Área_de_impresión</vt:lpstr>
      <vt:lpstr>'SEMANA 37'!Área_de_impresión</vt:lpstr>
      <vt:lpstr>'SEMANA 38'!Área_de_impresión</vt:lpstr>
      <vt:lpstr>'SEMANA 39'!Área_de_impresión</vt:lpstr>
      <vt:lpstr>'SEMANA 40'!Área_de_impresión</vt:lpstr>
      <vt:lpstr>'SEMANA 41  '!Área_de_impresión</vt:lpstr>
      <vt:lpstr>'SEMANA 42'!Área_de_impresión</vt:lpstr>
      <vt:lpstr>'SEMANA 42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Practicante Industrial</cp:lastModifiedBy>
  <cp:lastPrinted>2026-10-14T14:43:10Z</cp:lastPrinted>
  <dcterms:created xsi:type="dcterms:W3CDTF">2026-07-15T02:40:42Z</dcterms:created>
  <dcterms:modified xsi:type="dcterms:W3CDTF">2026-10-14T15:54:10Z</dcterms:modified>
</cp:coreProperties>
</file>