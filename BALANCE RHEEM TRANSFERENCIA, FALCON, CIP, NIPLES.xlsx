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comments3.xml" ContentType="application/vnd.openxmlformats-officedocument.spreadsheetml.comments+xml"/>
  <Override PartName="/xl/pivotTables/pivotTable4.xml" ContentType="application/vnd.openxmlformats-officedocument.spreadsheetml.pivotTable+xml"/>
  <Override PartName="/xl/comments4.xml" ContentType="application/vnd.openxmlformats-officedocument.spreadsheetml.comments+xml"/>
  <Override PartName="/xl/pivotTables/pivotTable5.xml" ContentType="application/vnd.openxmlformats-officedocument.spreadsheetml.pivotTable+xml"/>
  <Override PartName="/xl/comments5.xml" ContentType="application/vnd.openxmlformats-officedocument.spreadsheetml.comments+xml"/>
  <Override PartName="/xl/pivotTables/pivotTable6.xml" ContentType="application/vnd.openxmlformats-officedocument.spreadsheetml.pivotTable+xml"/>
  <Override PartName="/xl/comments6.xml" ContentType="application/vnd.openxmlformats-officedocument.spreadsheetml.comments+xml"/>
  <Override PartName="/xl/pivotTables/pivotTable7.xml" ContentType="application/vnd.openxmlformats-officedocument.spreadsheetml.pivotTable+xml"/>
  <Override PartName="/xl/comments7.xml" ContentType="application/vnd.openxmlformats-officedocument.spreadsheetml.comments+xml"/>
  <Override PartName="/xl/pivotTables/pivotTable8.xml" ContentType="application/vnd.openxmlformats-officedocument.spreadsheetml.pivotTable+xml"/>
  <Override PartName="/xl/comments8.xml" ContentType="application/vnd.openxmlformats-officedocument.spreadsheetml.comments+xml"/>
  <Override PartName="/xl/pivotTables/pivotTable9.xml" ContentType="application/vnd.openxmlformats-officedocument.spreadsheetml.pivotTable+xml"/>
  <Override PartName="/xl/comments9.xml" ContentType="application/vnd.openxmlformats-officedocument.spreadsheetml.comments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omments10.xml" ContentType="application/vnd.openxmlformats-officedocument.spreadsheetml.comments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5.54\Mesa Ramos\PLANEACIÓN\BALANCES Fco\EMPAQUE\"/>
    </mc:Choice>
  </mc:AlternateContent>
  <xr:revisionPtr revIDLastSave="0" documentId="13_ncr:1_{C7C83CFF-D6F8-46B5-BBF4-C40D4E9C0679}" xr6:coauthVersionLast="47" xr6:coauthVersionMax="47" xr10:uidLastSave="{00000000-0000-0000-0000-000000000000}"/>
  <bookViews>
    <workbookView xWindow="-120" yWindow="-120" windowWidth="29040" windowHeight="15720" firstSheet="11" activeTab="13" xr2:uid="{00000000-000D-0000-FFFF-FFFF00000000}"/>
  </bookViews>
  <sheets>
    <sheet name="." sheetId="4" r:id="rId1"/>
    <sheet name="EMPAQUE" sheetId="3" r:id="rId2"/>
    <sheet name="HELIAN " sheetId="5" r:id="rId3"/>
    <sheet name="SEMANA 28" sheetId="1" r:id="rId4"/>
    <sheet name="SEMANA 30" sheetId="2" r:id="rId5"/>
    <sheet name="SEMANA 31" sheetId="8" r:id="rId6"/>
    <sheet name="SEMANA 32" sheetId="9" r:id="rId7"/>
    <sheet name="SEMANA 33" sheetId="11" r:id="rId8"/>
    <sheet name="SEMANA 34" sheetId="14" r:id="rId9"/>
    <sheet name="SEMANA 34 OK" sheetId="15" r:id="rId10"/>
    <sheet name="SEMANA 35" sheetId="17" r:id="rId11"/>
    <sheet name="SEMANA 36" sheetId="13" r:id="rId12"/>
    <sheet name="SEMANA 37" sheetId="19" r:id="rId13"/>
    <sheet name="SEMANA 41" sheetId="22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3" hidden="1">'SEMANA 28'!$B$5:$AO$151</definedName>
    <definedName name="_xlnm._FilterDatabase" localSheetId="4" hidden="1">'SEMANA 30'!$B$5:$AO$151</definedName>
    <definedName name="_xlnm._FilterDatabase" localSheetId="5" hidden="1">'SEMANA 31'!$C$5:$AF$151</definedName>
    <definedName name="_xlnm._FilterDatabase" localSheetId="6" hidden="1">'SEMANA 32'!$C$5:$AF$151</definedName>
    <definedName name="_xlnm._FilterDatabase" localSheetId="7" hidden="1">'SEMANA 33'!$B$5:$AG$151</definedName>
    <definedName name="_xlnm._FilterDatabase" localSheetId="8" hidden="1">'SEMANA 34'!$B$5:$AE$151</definedName>
    <definedName name="_xlnm._FilterDatabase" localSheetId="9" hidden="1">'SEMANA 34 OK'!$B$5:$AE$155</definedName>
    <definedName name="_xlnm._FilterDatabase" localSheetId="10" hidden="1">'SEMANA 35'!$B$5:$AE$155</definedName>
    <definedName name="_xlnm._FilterDatabase" localSheetId="11" hidden="1">'SEMANA 36'!$B$5:$AE$151</definedName>
    <definedName name="_xlnm._FilterDatabase" localSheetId="12" hidden="1">'SEMANA 37'!$B$10:$AE$156</definedName>
    <definedName name="_xlnm._FilterDatabase" localSheetId="13" hidden="1">'SEMANA 41'!$B$10:$AO$156</definedName>
    <definedName name="_xlnm.Print_Area" localSheetId="1">EMPAQUE!$A$1:$R$67</definedName>
    <definedName name="_xlnm.Print_Area" localSheetId="2">'HELIAN '!$A$1:$R$67</definedName>
    <definedName name="_xlnm.Print_Area" localSheetId="5">'SEMANA 31'!$C$1:$P$140</definedName>
    <definedName name="_xlnm.Print_Area" localSheetId="6">'SEMANA 32'!$C$1:$P$143</definedName>
    <definedName name="_xlnm.Print_Area" localSheetId="7">'SEMANA 33'!$B$1:$O$145</definedName>
    <definedName name="_xlnm.Print_Area" localSheetId="8">'SEMANA 34'!$B$1:$O$152</definedName>
    <definedName name="_xlnm.Print_Area" localSheetId="9">'SEMANA 34 OK'!$B$1:$O$156</definedName>
    <definedName name="_xlnm.Print_Area" localSheetId="10">'SEMANA 35'!$B$1:$O$169</definedName>
    <definedName name="_xlnm.Print_Area" localSheetId="13">'SEMANA 41'!$A$7:$U$166</definedName>
  </definedNames>
  <calcPr calcId="191029"/>
  <pivotCaches>
    <pivotCache cacheId="6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6" i="22" l="1"/>
  <c r="O18" i="22"/>
  <c r="AK89" i="22"/>
  <c r="AK141" i="22"/>
  <c r="C164" i="22"/>
  <c r="C162" i="22"/>
  <c r="C163" i="22" s="1"/>
  <c r="D161" i="22"/>
  <c r="E161" i="22" s="1"/>
  <c r="D160" i="22"/>
  <c r="E160" i="22" s="1"/>
  <c r="AJ155" i="22"/>
  <c r="AJ156" i="22" s="1"/>
  <c r="N155" i="22"/>
  <c r="N157" i="22" s="1"/>
  <c r="M155" i="22"/>
  <c r="M157" i="22" s="1"/>
  <c r="L155" i="22"/>
  <c r="L157" i="22" s="1"/>
  <c r="K155" i="22"/>
  <c r="K157" i="22" s="1"/>
  <c r="B8" i="22"/>
  <c r="I123" i="19"/>
  <c r="R9" i="19"/>
  <c r="T9" i="19" s="1"/>
  <c r="V9" i="19" s="1"/>
  <c r="X9" i="19" s="1"/>
  <c r="C155" i="13"/>
  <c r="K152" i="13"/>
  <c r="O16" i="13"/>
  <c r="J21" i="19" s="1"/>
  <c r="O21" i="19" s="1"/>
  <c r="F155" i="13"/>
  <c r="F157" i="13" s="1"/>
  <c r="F158" i="13" s="1"/>
  <c r="D161" i="19"/>
  <c r="E161" i="19" s="1"/>
  <c r="Z155" i="19"/>
  <c r="Z156" i="19" s="1"/>
  <c r="Y155" i="19"/>
  <c r="X155" i="19"/>
  <c r="W155" i="19"/>
  <c r="V155" i="19"/>
  <c r="U155" i="19"/>
  <c r="T155" i="19"/>
  <c r="S155" i="19"/>
  <c r="R155" i="19"/>
  <c r="Q155" i="19"/>
  <c r="P155" i="19"/>
  <c r="N155" i="19"/>
  <c r="N157" i="19" s="1"/>
  <c r="M155" i="19"/>
  <c r="M157" i="19" s="1"/>
  <c r="L155" i="19"/>
  <c r="L157" i="19" s="1"/>
  <c r="K155" i="19"/>
  <c r="K157" i="19" s="1"/>
  <c r="B8" i="19"/>
  <c r="O151" i="22" l="1"/>
  <c r="AO151" i="22"/>
  <c r="AK151" i="22"/>
  <c r="AO136" i="22"/>
  <c r="AK136" i="22"/>
  <c r="O136" i="22"/>
  <c r="O70" i="22"/>
  <c r="AK70" i="22"/>
  <c r="O154" i="22"/>
  <c r="AK154" i="22"/>
  <c r="AO154" i="22"/>
  <c r="O153" i="22"/>
  <c r="AO153" i="22"/>
  <c r="AK153" i="22"/>
  <c r="AK152" i="22"/>
  <c r="AO152" i="22"/>
  <c r="O152" i="22"/>
  <c r="O150" i="22"/>
  <c r="AK150" i="22"/>
  <c r="AO150" i="22"/>
  <c r="AO149" i="22"/>
  <c r="AK149" i="22"/>
  <c r="O149" i="22"/>
  <c r="O148" i="22"/>
  <c r="AO148" i="22"/>
  <c r="AK148" i="22"/>
  <c r="AO147" i="22"/>
  <c r="AK147" i="22"/>
  <c r="O147" i="22"/>
  <c r="AO146" i="22"/>
  <c r="AK146" i="22"/>
  <c r="O146" i="22"/>
  <c r="AK145" i="22"/>
  <c r="O145" i="22"/>
  <c r="AO145" i="22"/>
  <c r="AK144" i="22"/>
  <c r="AO144" i="22"/>
  <c r="O144" i="22"/>
  <c r="AK143" i="22"/>
  <c r="AO143" i="22"/>
  <c r="O143" i="22"/>
  <c r="AK142" i="22"/>
  <c r="AO142" i="22"/>
  <c r="O142" i="22"/>
  <c r="O141" i="22"/>
  <c r="AO141" i="22"/>
  <c r="AK140" i="22"/>
  <c r="AO140" i="22"/>
  <c r="O140" i="22"/>
  <c r="O139" i="22"/>
  <c r="AO139" i="22"/>
  <c r="AK139" i="22"/>
  <c r="AK138" i="22"/>
  <c r="AO138" i="22"/>
  <c r="O138" i="22"/>
  <c r="O137" i="22"/>
  <c r="AO137" i="22"/>
  <c r="AK137" i="22"/>
  <c r="O135" i="22"/>
  <c r="AK135" i="22"/>
  <c r="AO135" i="22"/>
  <c r="O134" i="22"/>
  <c r="AK134" i="22"/>
  <c r="AO134" i="22"/>
  <c r="O133" i="22"/>
  <c r="AK133" i="22"/>
  <c r="AO133" i="22"/>
  <c r="AO132" i="22"/>
  <c r="O132" i="22"/>
  <c r="AK132" i="22"/>
  <c r="AO131" i="22"/>
  <c r="AK131" i="22"/>
  <c r="O131" i="22"/>
  <c r="AK130" i="22"/>
  <c r="O130" i="22"/>
  <c r="AO130" i="22"/>
  <c r="O129" i="22"/>
  <c r="AK129" i="22"/>
  <c r="AO129" i="22"/>
  <c r="O128" i="22"/>
  <c r="AK128" i="22"/>
  <c r="AO128" i="22"/>
  <c r="AK127" i="22"/>
  <c r="O127" i="22"/>
  <c r="AO127" i="22"/>
  <c r="AK126" i="22"/>
  <c r="AO126" i="22"/>
  <c r="O126" i="22"/>
  <c r="AO125" i="22"/>
  <c r="AK125" i="22"/>
  <c r="O125" i="22"/>
  <c r="AO124" i="22"/>
  <c r="AK124" i="22"/>
  <c r="O124" i="22"/>
  <c r="AK123" i="22"/>
  <c r="AO123" i="22"/>
  <c r="O123" i="22"/>
  <c r="I155" i="22"/>
  <c r="I156" i="22" s="1"/>
  <c r="AO122" i="22"/>
  <c r="AK122" i="22"/>
  <c r="O122" i="22"/>
  <c r="AK121" i="22"/>
  <c r="O121" i="22"/>
  <c r="AO121" i="22"/>
  <c r="AK120" i="22"/>
  <c r="AO120" i="22"/>
  <c r="O120" i="22"/>
  <c r="AO119" i="22"/>
  <c r="AK119" i="22"/>
  <c r="O119" i="22"/>
  <c r="O118" i="22"/>
  <c r="AO118" i="22"/>
  <c r="AK118" i="22"/>
  <c r="AO117" i="22"/>
  <c r="O117" i="22"/>
  <c r="AK117" i="22"/>
  <c r="AK116" i="22"/>
  <c r="AO116" i="22"/>
  <c r="O116" i="22"/>
  <c r="AO115" i="22"/>
  <c r="AK115" i="22"/>
  <c r="O115" i="22"/>
  <c r="O114" i="22"/>
  <c r="AK114" i="22"/>
  <c r="AO114" i="22"/>
  <c r="O113" i="22"/>
  <c r="AK113" i="22"/>
  <c r="AO113" i="22"/>
  <c r="AK112" i="22"/>
  <c r="O112" i="22"/>
  <c r="AO112" i="22"/>
  <c r="O111" i="22"/>
  <c r="AK111" i="22"/>
  <c r="AO111" i="22"/>
  <c r="AK110" i="22"/>
  <c r="AO110" i="22"/>
  <c r="O110" i="22"/>
  <c r="AO109" i="22"/>
  <c r="O109" i="22"/>
  <c r="AK109" i="22"/>
  <c r="AO108" i="22"/>
  <c r="AK108" i="22"/>
  <c r="O108" i="22"/>
  <c r="AO107" i="22"/>
  <c r="AK107" i="22"/>
  <c r="O107" i="22"/>
  <c r="AO106" i="22"/>
  <c r="O106" i="22"/>
  <c r="AK106" i="22"/>
  <c r="AK105" i="22"/>
  <c r="AO105" i="22"/>
  <c r="O105" i="22"/>
  <c r="AK104" i="22"/>
  <c r="AO104" i="22"/>
  <c r="O104" i="22"/>
  <c r="O103" i="22"/>
  <c r="AO103" i="22"/>
  <c r="AK103" i="22"/>
  <c r="AO102" i="22"/>
  <c r="O102" i="22"/>
  <c r="AK102" i="22"/>
  <c r="AO101" i="22"/>
  <c r="AK101" i="22"/>
  <c r="O101" i="22"/>
  <c r="O100" i="22"/>
  <c r="AK100" i="22"/>
  <c r="AO100" i="22"/>
  <c r="AO99" i="22"/>
  <c r="O99" i="22"/>
  <c r="AK99" i="22"/>
  <c r="AK98" i="22"/>
  <c r="O98" i="22"/>
  <c r="AO98" i="22"/>
  <c r="AO97" i="22"/>
  <c r="AK97" i="22"/>
  <c r="O97" i="22"/>
  <c r="O96" i="22"/>
  <c r="AO96" i="22"/>
  <c r="AK96" i="22"/>
  <c r="AK95" i="22"/>
  <c r="O95" i="22"/>
  <c r="AK94" i="22"/>
  <c r="O94" i="22"/>
  <c r="O93" i="22"/>
  <c r="AK93" i="22"/>
  <c r="AK92" i="22"/>
  <c r="O92" i="22"/>
  <c r="AK91" i="22"/>
  <c r="O91" i="22"/>
  <c r="AO91" i="22"/>
  <c r="AO90" i="22"/>
  <c r="AK90" i="22"/>
  <c r="O90" i="22"/>
  <c r="AO89" i="22"/>
  <c r="O89" i="22"/>
  <c r="AK88" i="22"/>
  <c r="O88" i="22"/>
  <c r="O87" i="22"/>
  <c r="AK87" i="22"/>
  <c r="O86" i="22"/>
  <c r="AK86" i="22"/>
  <c r="AK85" i="22"/>
  <c r="O85" i="22"/>
  <c r="O84" i="22"/>
  <c r="AK84" i="22"/>
  <c r="AK83" i="22"/>
  <c r="O83" i="22"/>
  <c r="AK82" i="22"/>
  <c r="O82" i="22"/>
  <c r="AK81" i="22"/>
  <c r="O81" i="22"/>
  <c r="O80" i="22"/>
  <c r="AK80" i="22"/>
  <c r="AK79" i="22"/>
  <c r="O79" i="22"/>
  <c r="O78" i="22"/>
  <c r="AK78" i="22"/>
  <c r="AK77" i="22"/>
  <c r="AO77" i="22"/>
  <c r="O77" i="22"/>
  <c r="O76" i="22"/>
  <c r="AO76" i="22"/>
  <c r="AK76" i="22"/>
  <c r="AO75" i="22"/>
  <c r="O75" i="22"/>
  <c r="AK75" i="22"/>
  <c r="O74" i="22"/>
  <c r="AK74" i="22"/>
  <c r="O73" i="22"/>
  <c r="AK73" i="22"/>
  <c r="AO72" i="22"/>
  <c r="AK72" i="22"/>
  <c r="O72" i="22"/>
  <c r="O71" i="22"/>
  <c r="AK71" i="22"/>
  <c r="O69" i="22"/>
  <c r="AK69" i="22"/>
  <c r="O68" i="22"/>
  <c r="AK68" i="22"/>
  <c r="AO68" i="22"/>
  <c r="AO67" i="22"/>
  <c r="AK67" i="22"/>
  <c r="O67" i="22"/>
  <c r="O66" i="22"/>
  <c r="AO66" i="22"/>
  <c r="AK66" i="22"/>
  <c r="AO65" i="22"/>
  <c r="AK65" i="22"/>
  <c r="O65" i="22"/>
  <c r="AO64" i="22"/>
  <c r="AK64" i="22"/>
  <c r="O64" i="22"/>
  <c r="O63" i="22"/>
  <c r="AK63" i="22"/>
  <c r="AO63" i="22"/>
  <c r="AK62" i="22"/>
  <c r="AO62" i="22"/>
  <c r="O62" i="22"/>
  <c r="O61" i="22"/>
  <c r="AK61" i="22"/>
  <c r="O60" i="22"/>
  <c r="AK60" i="22"/>
  <c r="O59" i="22"/>
  <c r="AK59" i="22"/>
  <c r="O58" i="22"/>
  <c r="AK58" i="22"/>
  <c r="O57" i="22"/>
  <c r="AK57" i="22"/>
  <c r="AK56" i="22"/>
  <c r="O56" i="22"/>
  <c r="O55" i="22"/>
  <c r="AK55" i="22"/>
  <c r="O54" i="22"/>
  <c r="AK54" i="22"/>
  <c r="AK53" i="22"/>
  <c r="O53" i="22"/>
  <c r="AK52" i="22"/>
  <c r="O52" i="22"/>
  <c r="O51" i="22"/>
  <c r="AK51" i="22"/>
  <c r="AO50" i="22"/>
  <c r="AK50" i="22"/>
  <c r="O50" i="22"/>
  <c r="AO49" i="22"/>
  <c r="AK49" i="22"/>
  <c r="O49" i="22"/>
  <c r="O48" i="22"/>
  <c r="AO48" i="22"/>
  <c r="AK48" i="22"/>
  <c r="AK47" i="22"/>
  <c r="AO47" i="22"/>
  <c r="O47" i="22"/>
  <c r="AO46" i="22"/>
  <c r="O46" i="22"/>
  <c r="AK46" i="22"/>
  <c r="AK45" i="22"/>
  <c r="AO45" i="22"/>
  <c r="O45" i="22"/>
  <c r="AK44" i="22"/>
  <c r="O44" i="22"/>
  <c r="AO44" i="22"/>
  <c r="AK43" i="22"/>
  <c r="AO43" i="22"/>
  <c r="O43" i="22"/>
  <c r="AO42" i="22"/>
  <c r="AK42" i="22"/>
  <c r="O42" i="22"/>
  <c r="AO41" i="22"/>
  <c r="O41" i="22"/>
  <c r="AK41" i="22"/>
  <c r="O40" i="22"/>
  <c r="AK40" i="22"/>
  <c r="AK39" i="22"/>
  <c r="O39" i="22"/>
  <c r="O38" i="22"/>
  <c r="AK38" i="22"/>
  <c r="O37" i="22"/>
  <c r="AK37" i="22"/>
  <c r="O36" i="22"/>
  <c r="AK36" i="22"/>
  <c r="AK35" i="22"/>
  <c r="O35" i="22"/>
  <c r="O34" i="22"/>
  <c r="AK34" i="22"/>
  <c r="O33" i="22"/>
  <c r="AK33" i="22"/>
  <c r="O32" i="22"/>
  <c r="AK32" i="22"/>
  <c r="O31" i="22"/>
  <c r="AK31" i="22"/>
  <c r="AK30" i="22"/>
  <c r="O30" i="22"/>
  <c r="O29" i="22"/>
  <c r="AK29" i="22"/>
  <c r="AK28" i="22"/>
  <c r="O28" i="22"/>
  <c r="O27" i="22"/>
  <c r="AK27" i="22"/>
  <c r="O26" i="22"/>
  <c r="AK26" i="22"/>
  <c r="AO26" i="22"/>
  <c r="AK25" i="22"/>
  <c r="AO25" i="22"/>
  <c r="O25" i="22"/>
  <c r="AO24" i="22"/>
  <c r="O24" i="22"/>
  <c r="AK24" i="22"/>
  <c r="O23" i="22"/>
  <c r="AO23" i="22"/>
  <c r="AK23" i="22"/>
  <c r="AO22" i="22"/>
  <c r="AK22" i="22"/>
  <c r="O22" i="22"/>
  <c r="AK21" i="22"/>
  <c r="O21" i="22"/>
  <c r="AO21" i="22"/>
  <c r="AK20" i="22"/>
  <c r="O20" i="22"/>
  <c r="AO20" i="22"/>
  <c r="O19" i="22"/>
  <c r="AO19" i="22"/>
  <c r="AK19" i="22"/>
  <c r="AK18" i="22"/>
  <c r="AO18" i="22"/>
  <c r="AO17" i="22"/>
  <c r="AK17" i="22"/>
  <c r="O17" i="22"/>
  <c r="O16" i="22"/>
  <c r="AK16" i="22"/>
  <c r="AO15" i="22"/>
  <c r="O15" i="22"/>
  <c r="AK15" i="22"/>
  <c r="AO14" i="22"/>
  <c r="AK14" i="22"/>
  <c r="O14" i="22"/>
  <c r="AO13" i="22"/>
  <c r="O13" i="22"/>
  <c r="AK13" i="22"/>
  <c r="AO12" i="22"/>
  <c r="AK12" i="22"/>
  <c r="O12" i="22"/>
  <c r="O11" i="22"/>
  <c r="AO11" i="22"/>
  <c r="AK11" i="22"/>
  <c r="X159" i="19"/>
  <c r="Y159" i="19"/>
  <c r="W159" i="19"/>
  <c r="S159" i="19"/>
  <c r="I155" i="19"/>
  <c r="C164" i="19"/>
  <c r="C162" i="19"/>
  <c r="C163" i="19" s="1"/>
  <c r="D160" i="19"/>
  <c r="E160" i="19" s="1"/>
  <c r="X156" i="19"/>
  <c r="V159" i="19"/>
  <c r="V156" i="19"/>
  <c r="T159" i="19"/>
  <c r="T156" i="19"/>
  <c r="R159" i="19"/>
  <c r="R156" i="19"/>
  <c r="P159" i="19"/>
  <c r="P156" i="19"/>
  <c r="O155" i="22" l="1"/>
  <c r="AO155" i="22"/>
  <c r="AK155" i="22"/>
  <c r="AA21" i="19"/>
  <c r="AE21" i="19"/>
  <c r="Q159" i="19"/>
  <c r="U159" i="19"/>
  <c r="L154" i="17"/>
  <c r="L156" i="17" s="1"/>
  <c r="C161" i="17"/>
  <c r="C162" i="17" s="1"/>
  <c r="I154" i="17"/>
  <c r="J156" i="15"/>
  <c r="Z154" i="15"/>
  <c r="Z155" i="15" s="1"/>
  <c r="J155" i="17"/>
  <c r="C163" i="17"/>
  <c r="D160" i="17"/>
  <c r="E160" i="17" s="1"/>
  <c r="D159" i="17"/>
  <c r="E159" i="17" s="1"/>
  <c r="Y154" i="17"/>
  <c r="X154" i="17"/>
  <c r="W154" i="17"/>
  <c r="V154" i="17"/>
  <c r="U154" i="17"/>
  <c r="T154" i="17"/>
  <c r="S154" i="17"/>
  <c r="R154" i="17"/>
  <c r="Q154" i="17"/>
  <c r="P154" i="17"/>
  <c r="N154" i="17"/>
  <c r="N156" i="17" s="1"/>
  <c r="M154" i="17"/>
  <c r="M156" i="17" s="1"/>
  <c r="K154" i="17"/>
  <c r="K156" i="17" s="1"/>
  <c r="Z154" i="17"/>
  <c r="Z155" i="17" s="1"/>
  <c r="B3" i="17"/>
  <c r="O33" i="15"/>
  <c r="J33" i="17" s="1"/>
  <c r="O122" i="15"/>
  <c r="J122" i="17" s="1"/>
  <c r="O122" i="17" s="1"/>
  <c r="O123" i="15"/>
  <c r="J123" i="17" s="1"/>
  <c r="O123" i="17" s="1"/>
  <c r="O124" i="15"/>
  <c r="J124" i="17" s="1"/>
  <c r="O124" i="17" s="1"/>
  <c r="O125" i="15"/>
  <c r="J125" i="17" s="1"/>
  <c r="O125" i="17" s="1"/>
  <c r="I109" i="15"/>
  <c r="AE109" i="15" s="1"/>
  <c r="I110" i="15"/>
  <c r="AE110" i="15" s="1"/>
  <c r="I111" i="15"/>
  <c r="AE111" i="15" s="1"/>
  <c r="I112" i="15"/>
  <c r="AE112" i="15" s="1"/>
  <c r="I113" i="15"/>
  <c r="AE113" i="15" s="1"/>
  <c r="I114" i="15"/>
  <c r="AE114" i="15" s="1"/>
  <c r="I115" i="15"/>
  <c r="AE115" i="15" s="1"/>
  <c r="I116" i="15"/>
  <c r="I117" i="15"/>
  <c r="AE117" i="15" s="1"/>
  <c r="I118" i="15"/>
  <c r="AE118" i="15" s="1"/>
  <c r="I119" i="15"/>
  <c r="AE119" i="15" s="1"/>
  <c r="I120" i="15"/>
  <c r="AE120" i="15" s="1"/>
  <c r="I121" i="15"/>
  <c r="AE121" i="15" s="1"/>
  <c r="I126" i="15"/>
  <c r="AE126" i="15" s="1"/>
  <c r="O39" i="15"/>
  <c r="J39" i="17" s="1"/>
  <c r="O37" i="15"/>
  <c r="J37" i="17" s="1"/>
  <c r="O36" i="15"/>
  <c r="J36" i="17" s="1"/>
  <c r="AA33" i="15"/>
  <c r="O32" i="15"/>
  <c r="J32" i="17" s="1"/>
  <c r="AA30" i="15"/>
  <c r="O29" i="15"/>
  <c r="J29" i="17" s="1"/>
  <c r="O28" i="15"/>
  <c r="J28" i="17" s="1"/>
  <c r="AA25" i="15"/>
  <c r="AE21" i="15"/>
  <c r="AE20" i="15"/>
  <c r="AE19" i="15"/>
  <c r="AE18" i="15"/>
  <c r="AA17" i="15"/>
  <c r="AE16" i="15"/>
  <c r="AE15" i="15"/>
  <c r="AE14" i="15"/>
  <c r="AE13" i="15"/>
  <c r="AE12" i="15"/>
  <c r="AA11" i="15"/>
  <c r="AE10" i="15"/>
  <c r="AA9" i="15"/>
  <c r="AE8" i="15"/>
  <c r="AE7" i="15"/>
  <c r="O38" i="15"/>
  <c r="AE67" i="15"/>
  <c r="O44" i="15"/>
  <c r="J44" i="17" s="1"/>
  <c r="O43" i="15"/>
  <c r="J43" i="17" s="1"/>
  <c r="O41" i="15"/>
  <c r="J41" i="17" s="1"/>
  <c r="C163" i="15"/>
  <c r="C161" i="15"/>
  <c r="C162" i="15" s="1"/>
  <c r="D160" i="15"/>
  <c r="E160" i="15" s="1"/>
  <c r="D159" i="15"/>
  <c r="E159" i="15" s="1"/>
  <c r="Y154" i="15"/>
  <c r="X154" i="15"/>
  <c r="W154" i="15"/>
  <c r="V154" i="15"/>
  <c r="U154" i="15"/>
  <c r="T154" i="15"/>
  <c r="T155" i="15" s="1"/>
  <c r="S154" i="15"/>
  <c r="R154" i="15"/>
  <c r="R155" i="15" s="1"/>
  <c r="Q154" i="15"/>
  <c r="P154" i="15"/>
  <c r="N154" i="15"/>
  <c r="N156" i="15" s="1"/>
  <c r="M154" i="15"/>
  <c r="M156" i="15" s="1"/>
  <c r="L154" i="15"/>
  <c r="L156" i="15" s="1"/>
  <c r="K154" i="15"/>
  <c r="K156" i="15" s="1"/>
  <c r="AE153" i="15"/>
  <c r="AE152" i="15"/>
  <c r="AE151" i="15"/>
  <c r="AE150" i="15"/>
  <c r="AE149" i="15"/>
  <c r="AE148" i="15"/>
  <c r="O148" i="15"/>
  <c r="J148" i="17" s="1"/>
  <c r="AA148" i="15"/>
  <c r="AE147" i="15"/>
  <c r="AE146" i="15"/>
  <c r="AE145" i="15"/>
  <c r="AE144" i="15"/>
  <c r="AE143" i="15"/>
  <c r="AE142" i="15"/>
  <c r="AE141" i="15"/>
  <c r="AE140" i="15"/>
  <c r="AE139" i="15"/>
  <c r="AE138" i="15"/>
  <c r="AE137" i="15"/>
  <c r="AE136" i="15"/>
  <c r="AE135" i="15"/>
  <c r="AE134" i="15"/>
  <c r="AE133" i="15"/>
  <c r="AE132" i="15"/>
  <c r="AE131" i="15"/>
  <c r="AE130" i="15"/>
  <c r="AE129" i="15"/>
  <c r="AE128" i="15"/>
  <c r="AE127" i="15"/>
  <c r="AE108" i="15"/>
  <c r="AE107" i="15"/>
  <c r="AE106" i="15"/>
  <c r="AE105" i="15"/>
  <c r="AE104" i="15"/>
  <c r="AE103" i="15"/>
  <c r="AE102" i="15"/>
  <c r="AE101" i="15"/>
  <c r="AE100" i="15"/>
  <c r="AE99" i="15"/>
  <c r="AE98" i="15"/>
  <c r="AE97" i="15"/>
  <c r="AE96" i="15"/>
  <c r="AE95" i="15"/>
  <c r="AE94" i="15"/>
  <c r="AE93" i="15"/>
  <c r="AE92" i="15"/>
  <c r="AE91" i="15"/>
  <c r="AA90" i="15"/>
  <c r="AA89" i="15"/>
  <c r="O89" i="15"/>
  <c r="J89" i="17" s="1"/>
  <c r="O88" i="15"/>
  <c r="J88" i="17" s="1"/>
  <c r="AA88" i="15"/>
  <c r="AA87" i="15"/>
  <c r="AE86" i="15"/>
  <c r="AE85" i="15"/>
  <c r="AE84" i="15"/>
  <c r="AA83" i="15"/>
  <c r="AA82" i="15"/>
  <c r="O82" i="15"/>
  <c r="J82" i="17" s="1"/>
  <c r="O81" i="15"/>
  <c r="J81" i="17" s="1"/>
  <c r="AA81" i="15"/>
  <c r="AA80" i="15"/>
  <c r="AA79" i="15"/>
  <c r="AA78" i="15"/>
  <c r="O78" i="15"/>
  <c r="J78" i="17" s="1"/>
  <c r="O77" i="15"/>
  <c r="J77" i="17" s="1"/>
  <c r="AA77" i="15"/>
  <c r="AA76" i="15"/>
  <c r="AA75" i="15"/>
  <c r="AA74" i="15"/>
  <c r="O74" i="15"/>
  <c r="J74" i="17" s="1"/>
  <c r="O73" i="15"/>
  <c r="J73" i="17" s="1"/>
  <c r="AA73" i="15"/>
  <c r="O72" i="15"/>
  <c r="J72" i="17" s="1"/>
  <c r="AE72" i="15"/>
  <c r="AA71" i="15"/>
  <c r="O71" i="15"/>
  <c r="J71" i="17" s="1"/>
  <c r="AE71" i="15"/>
  <c r="O70" i="15"/>
  <c r="J70" i="17" s="1"/>
  <c r="AE70" i="15"/>
  <c r="AA69" i="15"/>
  <c r="AA68" i="15"/>
  <c r="AA66" i="15"/>
  <c r="O66" i="15"/>
  <c r="J66" i="17" s="1"/>
  <c r="O65" i="15"/>
  <c r="J65" i="17" s="1"/>
  <c r="AA65" i="15"/>
  <c r="AA64" i="15"/>
  <c r="AE63" i="15"/>
  <c r="AE62" i="15"/>
  <c r="AE61" i="15"/>
  <c r="AE60" i="15"/>
  <c r="AE59" i="15"/>
  <c r="AE58" i="15"/>
  <c r="AE57" i="15"/>
  <c r="AA56" i="15"/>
  <c r="O56" i="15"/>
  <c r="J56" i="17" s="1"/>
  <c r="AA55" i="15"/>
  <c r="O55" i="15"/>
  <c r="J55" i="17" s="1"/>
  <c r="AA54" i="15"/>
  <c r="O54" i="15"/>
  <c r="J54" i="17" s="1"/>
  <c r="AA53" i="15"/>
  <c r="AA52" i="15"/>
  <c r="O52" i="15"/>
  <c r="J52" i="17" s="1"/>
  <c r="AA51" i="15"/>
  <c r="O51" i="15"/>
  <c r="J51" i="17" s="1"/>
  <c r="O50" i="15"/>
  <c r="J50" i="17" s="1"/>
  <c r="AA50" i="15"/>
  <c r="AA49" i="15"/>
  <c r="AA48" i="15"/>
  <c r="O48" i="15"/>
  <c r="J48" i="17" s="1"/>
  <c r="AA47" i="15"/>
  <c r="O47" i="15"/>
  <c r="J47" i="17" s="1"/>
  <c r="AA46" i="15"/>
  <c r="O46" i="15"/>
  <c r="J46" i="17" s="1"/>
  <c r="O45" i="15"/>
  <c r="J45" i="17" s="1"/>
  <c r="AE45" i="15"/>
  <c r="O42" i="15"/>
  <c r="J42" i="17" s="1"/>
  <c r="AA40" i="15"/>
  <c r="O40" i="15"/>
  <c r="J40" i="17" s="1"/>
  <c r="AE40" i="15"/>
  <c r="B3" i="15"/>
  <c r="J7" i="14"/>
  <c r="J8" i="14"/>
  <c r="J9" i="14"/>
  <c r="O9" i="14" s="1"/>
  <c r="J10" i="14"/>
  <c r="O10" i="14" s="1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6" i="14"/>
  <c r="AC23" i="11"/>
  <c r="AC24" i="11"/>
  <c r="AC25" i="11"/>
  <c r="AC26" i="11"/>
  <c r="AC27" i="11"/>
  <c r="AC28" i="11"/>
  <c r="AC29" i="11"/>
  <c r="AC33" i="11"/>
  <c r="AC34" i="11"/>
  <c r="AC46" i="11"/>
  <c r="AC47" i="11"/>
  <c r="AC51" i="11"/>
  <c r="AC52" i="11"/>
  <c r="AC53" i="11"/>
  <c r="AC67" i="11"/>
  <c r="AC73" i="11"/>
  <c r="AC75" i="11"/>
  <c r="AC76" i="11"/>
  <c r="AC77" i="11"/>
  <c r="AC78" i="11"/>
  <c r="AC79" i="11"/>
  <c r="AC81" i="11"/>
  <c r="AC86" i="11"/>
  <c r="AC87" i="11"/>
  <c r="AC88" i="11"/>
  <c r="AC89" i="11"/>
  <c r="AC90" i="11"/>
  <c r="AC91" i="11"/>
  <c r="AC92" i="11"/>
  <c r="AC98" i="11"/>
  <c r="AC99" i="11"/>
  <c r="AC104" i="11"/>
  <c r="AC106" i="11"/>
  <c r="AC110" i="11"/>
  <c r="AC111" i="11"/>
  <c r="AC112" i="11"/>
  <c r="AC115" i="11"/>
  <c r="AC116" i="11"/>
  <c r="AC121" i="11"/>
  <c r="AC122" i="11"/>
  <c r="AC123" i="11"/>
  <c r="AC125" i="11"/>
  <c r="AC127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Q158" i="17" l="1"/>
  <c r="W158" i="17"/>
  <c r="S158" i="17"/>
  <c r="U158" i="17"/>
  <c r="Y158" i="17"/>
  <c r="X155" i="15"/>
  <c r="O148" i="17"/>
  <c r="AA148" i="17"/>
  <c r="AE148" i="17"/>
  <c r="AA28" i="17"/>
  <c r="O28" i="17"/>
  <c r="AA29" i="17"/>
  <c r="O29" i="17"/>
  <c r="O32" i="17"/>
  <c r="AA32" i="17"/>
  <c r="O33" i="17"/>
  <c r="AA33" i="17"/>
  <c r="AA36" i="17"/>
  <c r="O36" i="17"/>
  <c r="AE36" i="17"/>
  <c r="AE37" i="17"/>
  <c r="AA37" i="17"/>
  <c r="O37" i="17"/>
  <c r="O38" i="17"/>
  <c r="AA38" i="17"/>
  <c r="AE38" i="17"/>
  <c r="O39" i="17"/>
  <c r="AA39" i="17"/>
  <c r="AE39" i="17"/>
  <c r="O40" i="17"/>
  <c r="AA40" i="17"/>
  <c r="AE40" i="17"/>
  <c r="O41" i="17"/>
  <c r="AA41" i="17"/>
  <c r="AE41" i="17"/>
  <c r="AA42" i="17"/>
  <c r="O42" i="17"/>
  <c r="AE42" i="17"/>
  <c r="AE43" i="17"/>
  <c r="O43" i="17"/>
  <c r="AA43" i="17"/>
  <c r="AE44" i="17"/>
  <c r="O44" i="17"/>
  <c r="AA44" i="17"/>
  <c r="O45" i="17"/>
  <c r="AA45" i="17"/>
  <c r="AE45" i="17"/>
  <c r="O46" i="17"/>
  <c r="AA46" i="17"/>
  <c r="AA47" i="17"/>
  <c r="O47" i="17"/>
  <c r="O48" i="17"/>
  <c r="AA48" i="17"/>
  <c r="O50" i="17"/>
  <c r="AA50" i="17"/>
  <c r="O51" i="17"/>
  <c r="AA51" i="17"/>
  <c r="O52" i="17"/>
  <c r="AA52" i="17"/>
  <c r="O54" i="17"/>
  <c r="AA54" i="17"/>
  <c r="O55" i="17"/>
  <c r="AA55" i="17"/>
  <c r="O56" i="17"/>
  <c r="AA56" i="17"/>
  <c r="O65" i="17"/>
  <c r="AA65" i="17"/>
  <c r="O66" i="17"/>
  <c r="AA66" i="17"/>
  <c r="O70" i="17"/>
  <c r="AE70" i="17"/>
  <c r="AA70" i="17"/>
  <c r="O71" i="17"/>
  <c r="AA71" i="17"/>
  <c r="AE71" i="17"/>
  <c r="O72" i="17"/>
  <c r="AA72" i="17"/>
  <c r="AE72" i="17"/>
  <c r="O73" i="17"/>
  <c r="AA73" i="17"/>
  <c r="O74" i="17"/>
  <c r="AA74" i="17"/>
  <c r="O77" i="17"/>
  <c r="AA77" i="17"/>
  <c r="O78" i="17"/>
  <c r="AA78" i="17"/>
  <c r="O81" i="17"/>
  <c r="AA81" i="17"/>
  <c r="O82" i="17"/>
  <c r="AA82" i="17"/>
  <c r="O88" i="17"/>
  <c r="AA88" i="17"/>
  <c r="O89" i="17"/>
  <c r="AA89" i="17"/>
  <c r="X158" i="17"/>
  <c r="X155" i="17"/>
  <c r="V158" i="17"/>
  <c r="V155" i="17"/>
  <c r="T158" i="17"/>
  <c r="T155" i="17"/>
  <c r="R158" i="17"/>
  <c r="R155" i="17"/>
  <c r="P158" i="17"/>
  <c r="P155" i="17"/>
  <c r="I155" i="17"/>
  <c r="V155" i="15"/>
  <c r="U158" i="15"/>
  <c r="P155" i="15"/>
  <c r="I154" i="15"/>
  <c r="I155" i="15" s="1"/>
  <c r="AE116" i="15"/>
  <c r="AE36" i="15"/>
  <c r="AA34" i="15"/>
  <c r="AE39" i="15"/>
  <c r="AA31" i="15"/>
  <c r="AA29" i="15"/>
  <c r="O10" i="15"/>
  <c r="J10" i="17" s="1"/>
  <c r="AA10" i="15"/>
  <c r="AE38" i="15"/>
  <c r="O11" i="15"/>
  <c r="O11" i="17" s="1"/>
  <c r="AA19" i="15"/>
  <c r="AA32" i="15"/>
  <c r="AA18" i="15"/>
  <c r="O30" i="15"/>
  <c r="J30" i="17" s="1"/>
  <c r="AE43" i="15"/>
  <c r="O18" i="15"/>
  <c r="J18" i="17" s="1"/>
  <c r="AE11" i="15"/>
  <c r="O20" i="15"/>
  <c r="J20" i="17" s="1"/>
  <c r="AA12" i="15"/>
  <c r="AA20" i="15"/>
  <c r="O12" i="15"/>
  <c r="J12" i="17" s="1"/>
  <c r="AA35" i="15"/>
  <c r="AA13" i="15"/>
  <c r="O21" i="15"/>
  <c r="J21" i="17" s="1"/>
  <c r="AA21" i="15"/>
  <c r="O14" i="15"/>
  <c r="J14" i="17" s="1"/>
  <c r="AE37" i="15"/>
  <c r="AA6" i="15"/>
  <c r="AA14" i="15"/>
  <c r="AA22" i="15"/>
  <c r="AE9" i="15"/>
  <c r="AE17" i="15"/>
  <c r="AE6" i="15"/>
  <c r="AA24" i="15"/>
  <c r="O6" i="15"/>
  <c r="J6" i="17" s="1"/>
  <c r="AA23" i="15"/>
  <c r="AE44" i="15"/>
  <c r="O15" i="15"/>
  <c r="J15" i="17" s="1"/>
  <c r="O25" i="15"/>
  <c r="J25" i="17" s="1"/>
  <c r="AA15" i="15"/>
  <c r="O8" i="15"/>
  <c r="J8" i="17" s="1"/>
  <c r="AA26" i="15"/>
  <c r="AA8" i="15"/>
  <c r="O16" i="15"/>
  <c r="J16" i="17" s="1"/>
  <c r="O16" i="17" s="1"/>
  <c r="AA27" i="15"/>
  <c r="AA16" i="15"/>
  <c r="AA28" i="15"/>
  <c r="AA67" i="15"/>
  <c r="AE41" i="15"/>
  <c r="O67" i="15"/>
  <c r="J67" i="17" s="1"/>
  <c r="O9" i="15"/>
  <c r="J9" i="17" s="1"/>
  <c r="O17" i="15"/>
  <c r="J17" i="17" s="1"/>
  <c r="AE42" i="15"/>
  <c r="Q158" i="15"/>
  <c r="S158" i="15"/>
  <c r="W158" i="15"/>
  <c r="X158" i="15"/>
  <c r="Y158" i="15"/>
  <c r="T158" i="15"/>
  <c r="P158" i="15"/>
  <c r="O96" i="15"/>
  <c r="J96" i="17" s="1"/>
  <c r="O102" i="15"/>
  <c r="J102" i="17" s="1"/>
  <c r="O108" i="15"/>
  <c r="J108" i="17" s="1"/>
  <c r="O114" i="15"/>
  <c r="O120" i="15"/>
  <c r="J120" i="17" s="1"/>
  <c r="O130" i="15"/>
  <c r="J130" i="17" s="1"/>
  <c r="O136" i="15"/>
  <c r="J136" i="17" s="1"/>
  <c r="O142" i="15"/>
  <c r="J142" i="17" s="1"/>
  <c r="O61" i="15"/>
  <c r="J61" i="17" s="1"/>
  <c r="O7" i="15"/>
  <c r="J7" i="17" s="1"/>
  <c r="O13" i="15"/>
  <c r="J13" i="17" s="1"/>
  <c r="O19" i="15"/>
  <c r="J19" i="17" s="1"/>
  <c r="O26" i="15"/>
  <c r="J26" i="17" s="1"/>
  <c r="O34" i="15"/>
  <c r="J34" i="17" s="1"/>
  <c r="AA61" i="15"/>
  <c r="O68" i="15"/>
  <c r="J68" i="17" s="1"/>
  <c r="O75" i="15"/>
  <c r="J75" i="17" s="1"/>
  <c r="O83" i="15"/>
  <c r="J83" i="17" s="1"/>
  <c r="O90" i="15"/>
  <c r="J90" i="17" s="1"/>
  <c r="AA96" i="15"/>
  <c r="AA102" i="15"/>
  <c r="AA108" i="15"/>
  <c r="AA114" i="15"/>
  <c r="AA120" i="15"/>
  <c r="AA130" i="15"/>
  <c r="AA136" i="15"/>
  <c r="AA142" i="15"/>
  <c r="AA7" i="15"/>
  <c r="O24" i="15"/>
  <c r="J24" i="17" s="1"/>
  <c r="O27" i="15"/>
  <c r="J27" i="17" s="1"/>
  <c r="O35" i="15"/>
  <c r="J35" i="17" s="1"/>
  <c r="AA41" i="15"/>
  <c r="O62" i="15"/>
  <c r="J62" i="17" s="1"/>
  <c r="O69" i="15"/>
  <c r="J69" i="17" s="1"/>
  <c r="O76" i="15"/>
  <c r="J76" i="17" s="1"/>
  <c r="O84" i="15"/>
  <c r="J84" i="17" s="1"/>
  <c r="O91" i="15"/>
  <c r="J91" i="17" s="1"/>
  <c r="O97" i="15"/>
  <c r="J97" i="17" s="1"/>
  <c r="O103" i="15"/>
  <c r="J103" i="17" s="1"/>
  <c r="O109" i="15"/>
  <c r="J109" i="17" s="1"/>
  <c r="O115" i="15"/>
  <c r="O121" i="15"/>
  <c r="O131" i="15"/>
  <c r="J131" i="17" s="1"/>
  <c r="O137" i="15"/>
  <c r="J137" i="17" s="1"/>
  <c r="O143" i="15"/>
  <c r="J143" i="17" s="1"/>
  <c r="O149" i="15"/>
  <c r="J149" i="17" s="1"/>
  <c r="AA62" i="15"/>
  <c r="AA84" i="15"/>
  <c r="AA91" i="15"/>
  <c r="AA97" i="15"/>
  <c r="AA103" i="15"/>
  <c r="AA109" i="15"/>
  <c r="AA115" i="15"/>
  <c r="AA121" i="15"/>
  <c r="AA131" i="15"/>
  <c r="AA137" i="15"/>
  <c r="AA143" i="15"/>
  <c r="AA149" i="15"/>
  <c r="AA36" i="15"/>
  <c r="AA42" i="15"/>
  <c r="O49" i="15"/>
  <c r="J49" i="17" s="1"/>
  <c r="O57" i="15"/>
  <c r="J57" i="17" s="1"/>
  <c r="O63" i="15"/>
  <c r="J63" i="17" s="1"/>
  <c r="AA70" i="15"/>
  <c r="O85" i="15"/>
  <c r="J85" i="17" s="1"/>
  <c r="O92" i="15"/>
  <c r="J92" i="17" s="1"/>
  <c r="O98" i="15"/>
  <c r="J98" i="17" s="1"/>
  <c r="O104" i="15"/>
  <c r="J104" i="17" s="1"/>
  <c r="O110" i="15"/>
  <c r="J110" i="17" s="1"/>
  <c r="O116" i="15"/>
  <c r="O126" i="15"/>
  <c r="O132" i="15"/>
  <c r="J132" i="17" s="1"/>
  <c r="O138" i="15"/>
  <c r="J138" i="17" s="1"/>
  <c r="O144" i="15"/>
  <c r="J144" i="17" s="1"/>
  <c r="O150" i="15"/>
  <c r="J150" i="17" s="1"/>
  <c r="AA57" i="15"/>
  <c r="AA63" i="15"/>
  <c r="AA85" i="15"/>
  <c r="AA92" i="15"/>
  <c r="AA98" i="15"/>
  <c r="AA104" i="15"/>
  <c r="AA110" i="15"/>
  <c r="AA116" i="15"/>
  <c r="AA126" i="15"/>
  <c r="AA132" i="15"/>
  <c r="AA138" i="15"/>
  <c r="AA144" i="15"/>
  <c r="AA150" i="15"/>
  <c r="R158" i="15"/>
  <c r="O86" i="15"/>
  <c r="J86" i="17" s="1"/>
  <c r="O93" i="15"/>
  <c r="J93" i="17" s="1"/>
  <c r="O99" i="15"/>
  <c r="J99" i="17" s="1"/>
  <c r="O105" i="15"/>
  <c r="J105" i="17" s="1"/>
  <c r="O111" i="15"/>
  <c r="O117" i="15"/>
  <c r="O127" i="15"/>
  <c r="J127" i="17" s="1"/>
  <c r="O133" i="15"/>
  <c r="J133" i="17" s="1"/>
  <c r="O139" i="15"/>
  <c r="J139" i="17" s="1"/>
  <c r="O145" i="15"/>
  <c r="J145" i="17" s="1"/>
  <c r="O151" i="15"/>
  <c r="J151" i="17" s="1"/>
  <c r="AA37" i="15"/>
  <c r="AA43" i="15"/>
  <c r="O58" i="15"/>
  <c r="J58" i="17" s="1"/>
  <c r="O64" i="15"/>
  <c r="J64" i="17" s="1"/>
  <c r="O22" i="15"/>
  <c r="J22" i="17" s="1"/>
  <c r="AA58" i="15"/>
  <c r="O79" i="15"/>
  <c r="J79" i="17" s="1"/>
  <c r="AA86" i="15"/>
  <c r="AA93" i="15"/>
  <c r="AA99" i="15"/>
  <c r="AA105" i="15"/>
  <c r="AA111" i="15"/>
  <c r="AA117" i="15"/>
  <c r="AA127" i="15"/>
  <c r="AA133" i="15"/>
  <c r="AA139" i="15"/>
  <c r="AA145" i="15"/>
  <c r="AA151" i="15"/>
  <c r="V158" i="15"/>
  <c r="O59" i="15"/>
  <c r="J59" i="17" s="1"/>
  <c r="AA72" i="15"/>
  <c r="O80" i="15"/>
  <c r="J80" i="17" s="1"/>
  <c r="O87" i="15"/>
  <c r="J87" i="17" s="1"/>
  <c r="O94" i="15"/>
  <c r="J94" i="17" s="1"/>
  <c r="O100" i="15"/>
  <c r="J100" i="17" s="1"/>
  <c r="O106" i="15"/>
  <c r="J106" i="17" s="1"/>
  <c r="O112" i="15"/>
  <c r="O118" i="15"/>
  <c r="O128" i="15"/>
  <c r="J128" i="17" s="1"/>
  <c r="O134" i="15"/>
  <c r="J134" i="17" s="1"/>
  <c r="O140" i="15"/>
  <c r="J140" i="17" s="1"/>
  <c r="O146" i="15"/>
  <c r="J146" i="17" s="1"/>
  <c r="O152" i="15"/>
  <c r="J152" i="17" s="1"/>
  <c r="O23" i="15"/>
  <c r="J23" i="17" s="1"/>
  <c r="O31" i="15"/>
  <c r="J31" i="17" s="1"/>
  <c r="AA38" i="15"/>
  <c r="AA44" i="15"/>
  <c r="AA59" i="15"/>
  <c r="AA94" i="15"/>
  <c r="AA100" i="15"/>
  <c r="AA106" i="15"/>
  <c r="AA112" i="15"/>
  <c r="AA118" i="15"/>
  <c r="AA128" i="15"/>
  <c r="AA134" i="15"/>
  <c r="AA140" i="15"/>
  <c r="AA146" i="15"/>
  <c r="AA152" i="15"/>
  <c r="AA39" i="15"/>
  <c r="AA45" i="15"/>
  <c r="O53" i="15"/>
  <c r="J53" i="17" s="1"/>
  <c r="O60" i="15"/>
  <c r="J60" i="17" s="1"/>
  <c r="O95" i="15"/>
  <c r="J95" i="17" s="1"/>
  <c r="O101" i="15"/>
  <c r="J101" i="17" s="1"/>
  <c r="O107" i="15"/>
  <c r="J107" i="17" s="1"/>
  <c r="O113" i="15"/>
  <c r="J113" i="17" s="1"/>
  <c r="O119" i="15"/>
  <c r="J119" i="17" s="1"/>
  <c r="O129" i="15"/>
  <c r="J129" i="17" s="1"/>
  <c r="O135" i="15"/>
  <c r="J135" i="17" s="1"/>
  <c r="O141" i="15"/>
  <c r="J141" i="17" s="1"/>
  <c r="O147" i="15"/>
  <c r="J147" i="17" s="1"/>
  <c r="O153" i="15"/>
  <c r="J153" i="17" s="1"/>
  <c r="AA60" i="15"/>
  <c r="AA95" i="15"/>
  <c r="AA101" i="15"/>
  <c r="AA107" i="15"/>
  <c r="AA113" i="15"/>
  <c r="AA119" i="15"/>
  <c r="AA129" i="15"/>
  <c r="AA135" i="15"/>
  <c r="AA141" i="15"/>
  <c r="AA147" i="15"/>
  <c r="AA153" i="15"/>
  <c r="J152" i="14"/>
  <c r="C159" i="14"/>
  <c r="C157" i="14"/>
  <c r="C158" i="14" s="1"/>
  <c r="AE10" i="17" l="1"/>
  <c r="O10" i="17"/>
  <c r="AA10" i="17"/>
  <c r="AA11" i="17"/>
  <c r="AE11" i="17"/>
  <c r="AA30" i="17"/>
  <c r="O30" i="17"/>
  <c r="O18" i="17"/>
  <c r="AA18" i="17"/>
  <c r="AE18" i="17"/>
  <c r="O20" i="17"/>
  <c r="AA20" i="17"/>
  <c r="AE20" i="17"/>
  <c r="O12" i="17"/>
  <c r="AA12" i="17"/>
  <c r="AE12" i="17"/>
  <c r="O21" i="17"/>
  <c r="AE21" i="17"/>
  <c r="AA21" i="17"/>
  <c r="O14" i="17"/>
  <c r="AA14" i="17"/>
  <c r="AE14" i="17"/>
  <c r="O6" i="17"/>
  <c r="AA6" i="17"/>
  <c r="AE6" i="17"/>
  <c r="O15" i="17"/>
  <c r="AA15" i="17"/>
  <c r="AE15" i="17"/>
  <c r="AA25" i="17"/>
  <c r="O25" i="17"/>
  <c r="O8" i="17"/>
  <c r="AA8" i="17"/>
  <c r="AE8" i="17"/>
  <c r="AA16" i="17"/>
  <c r="AE16" i="17"/>
  <c r="AE67" i="17"/>
  <c r="AA67" i="17"/>
  <c r="O67" i="17"/>
  <c r="O9" i="17"/>
  <c r="AA9" i="17"/>
  <c r="AE9" i="17"/>
  <c r="O17" i="17"/>
  <c r="AA17" i="17"/>
  <c r="AE17" i="17"/>
  <c r="AA96" i="17"/>
  <c r="O96" i="17"/>
  <c r="AE96" i="17"/>
  <c r="AE102" i="17"/>
  <c r="AA102" i="17"/>
  <c r="O102" i="17"/>
  <c r="AE108" i="17"/>
  <c r="AA108" i="17"/>
  <c r="O108" i="17"/>
  <c r="O114" i="17"/>
  <c r="AA114" i="17"/>
  <c r="AE114" i="17"/>
  <c r="O120" i="17"/>
  <c r="AE120" i="17"/>
  <c r="AA120" i="17"/>
  <c r="AE130" i="17"/>
  <c r="AA130" i="17"/>
  <c r="O130" i="17"/>
  <c r="O136" i="17"/>
  <c r="AA136" i="17"/>
  <c r="AE136" i="17"/>
  <c r="O142" i="17"/>
  <c r="AA142" i="17"/>
  <c r="AE142" i="17"/>
  <c r="AE61" i="17"/>
  <c r="AA61" i="17"/>
  <c r="O61" i="17"/>
  <c r="O7" i="17"/>
  <c r="AA7" i="17"/>
  <c r="AE7" i="17"/>
  <c r="AA13" i="17"/>
  <c r="O13" i="17"/>
  <c r="AE13" i="17"/>
  <c r="O19" i="17"/>
  <c r="AA19" i="17"/>
  <c r="AE19" i="17"/>
  <c r="AA26" i="17"/>
  <c r="O26" i="17"/>
  <c r="AA34" i="17"/>
  <c r="O34" i="17"/>
  <c r="AA68" i="17"/>
  <c r="O68" i="17"/>
  <c r="AA75" i="17"/>
  <c r="O75" i="17"/>
  <c r="O83" i="17"/>
  <c r="AA83" i="17"/>
  <c r="AA90" i="17"/>
  <c r="O90" i="17"/>
  <c r="AA24" i="17"/>
  <c r="O24" i="17"/>
  <c r="AA27" i="17"/>
  <c r="O27" i="17"/>
  <c r="AA35" i="17"/>
  <c r="O35" i="17"/>
  <c r="AE62" i="17"/>
  <c r="AA62" i="17"/>
  <c r="O62" i="17"/>
  <c r="O69" i="17"/>
  <c r="AA69" i="17"/>
  <c r="O76" i="17"/>
  <c r="AA76" i="17"/>
  <c r="AA84" i="17"/>
  <c r="AE84" i="17"/>
  <c r="O84" i="17"/>
  <c r="AE91" i="17"/>
  <c r="O91" i="17"/>
  <c r="AA91" i="17"/>
  <c r="AE97" i="17"/>
  <c r="O97" i="17"/>
  <c r="AA97" i="17"/>
  <c r="AA103" i="17"/>
  <c r="AE103" i="17"/>
  <c r="O103" i="17"/>
  <c r="AE109" i="17"/>
  <c r="AA109" i="17"/>
  <c r="O109" i="17"/>
  <c r="O115" i="17"/>
  <c r="AA115" i="17"/>
  <c r="AE115" i="17"/>
  <c r="AE121" i="17"/>
  <c r="O121" i="17"/>
  <c r="AA121" i="17"/>
  <c r="AA131" i="17"/>
  <c r="O131" i="17"/>
  <c r="AE131" i="17"/>
  <c r="O137" i="17"/>
  <c r="AA137" i="17"/>
  <c r="AE137" i="17"/>
  <c r="O143" i="17"/>
  <c r="AA143" i="17"/>
  <c r="AE143" i="17"/>
  <c r="O149" i="17"/>
  <c r="AA149" i="17"/>
  <c r="AE149" i="17"/>
  <c r="AA49" i="17"/>
  <c r="O49" i="17"/>
  <c r="AA57" i="17"/>
  <c r="O57" i="17"/>
  <c r="AE57" i="17"/>
  <c r="AE63" i="17"/>
  <c r="AA63" i="17"/>
  <c r="O63" i="17"/>
  <c r="AE85" i="17"/>
  <c r="AA85" i="17"/>
  <c r="O85" i="17"/>
  <c r="AE92" i="17"/>
  <c r="AA92" i="17"/>
  <c r="O92" i="17"/>
  <c r="AE98" i="17"/>
  <c r="AA98" i="17"/>
  <c r="O98" i="17"/>
  <c r="AE104" i="17"/>
  <c r="O104" i="17"/>
  <c r="AA104" i="17"/>
  <c r="O110" i="17"/>
  <c r="AA110" i="17"/>
  <c r="AE110" i="17"/>
  <c r="O116" i="17"/>
  <c r="AA116" i="17"/>
  <c r="AE116" i="17"/>
  <c r="AA126" i="17"/>
  <c r="AE126" i="17"/>
  <c r="O126" i="17"/>
  <c r="O132" i="17"/>
  <c r="AA132" i="17"/>
  <c r="AE132" i="17"/>
  <c r="O138" i="17"/>
  <c r="AA138" i="17"/>
  <c r="AE138" i="17"/>
  <c r="O144" i="17"/>
  <c r="AA144" i="17"/>
  <c r="AE144" i="17"/>
  <c r="O150" i="17"/>
  <c r="AA150" i="17"/>
  <c r="AE150" i="17"/>
  <c r="AA86" i="17"/>
  <c r="AE86" i="17"/>
  <c r="O86" i="17"/>
  <c r="AE93" i="17"/>
  <c r="AA93" i="17"/>
  <c r="O93" i="17"/>
  <c r="AA99" i="17"/>
  <c r="AE99" i="17"/>
  <c r="O99" i="17"/>
  <c r="O105" i="17"/>
  <c r="AA105" i="17"/>
  <c r="AE105" i="17"/>
  <c r="AA111" i="17"/>
  <c r="AE111" i="17"/>
  <c r="O111" i="17"/>
  <c r="O117" i="17"/>
  <c r="AA117" i="17"/>
  <c r="AE117" i="17"/>
  <c r="AE127" i="17"/>
  <c r="AA127" i="17"/>
  <c r="O127" i="17"/>
  <c r="O133" i="17"/>
  <c r="AA133" i="17"/>
  <c r="AE133" i="17"/>
  <c r="O139" i="17"/>
  <c r="AA139" i="17"/>
  <c r="AE139" i="17"/>
  <c r="O145" i="17"/>
  <c r="AA145" i="17"/>
  <c r="AE145" i="17"/>
  <c r="O151" i="17"/>
  <c r="AA151" i="17"/>
  <c r="AE151" i="17"/>
  <c r="AE58" i="17"/>
  <c r="O58" i="17"/>
  <c r="AA58" i="17"/>
  <c r="AA64" i="17"/>
  <c r="O64" i="17"/>
  <c r="AA22" i="17"/>
  <c r="O22" i="17"/>
  <c r="AA79" i="17"/>
  <c r="O79" i="17"/>
  <c r="AE59" i="17"/>
  <c r="AA59" i="17"/>
  <c r="O59" i="17"/>
  <c r="AA80" i="17"/>
  <c r="O80" i="17"/>
  <c r="AA87" i="17"/>
  <c r="O87" i="17"/>
  <c r="AA94" i="17"/>
  <c r="O94" i="17"/>
  <c r="AE94" i="17"/>
  <c r="O100" i="17"/>
  <c r="AE100" i="17"/>
  <c r="AA100" i="17"/>
  <c r="AE106" i="17"/>
  <c r="AA106" i="17"/>
  <c r="O106" i="17"/>
  <c r="O112" i="17"/>
  <c r="AE112" i="17"/>
  <c r="AA112" i="17"/>
  <c r="O118" i="17"/>
  <c r="AA118" i="17"/>
  <c r="AE118" i="17"/>
  <c r="AE128" i="17"/>
  <c r="AA128" i="17"/>
  <c r="O128" i="17"/>
  <c r="O134" i="17"/>
  <c r="AA134" i="17"/>
  <c r="AE134" i="17"/>
  <c r="O140" i="17"/>
  <c r="AA140" i="17"/>
  <c r="AE140" i="17"/>
  <c r="O146" i="17"/>
  <c r="AA146" i="17"/>
  <c r="AE146" i="17"/>
  <c r="O152" i="17"/>
  <c r="AA152" i="17"/>
  <c r="AE152" i="17"/>
  <c r="O23" i="17"/>
  <c r="AA23" i="17"/>
  <c r="O31" i="17"/>
  <c r="AA31" i="17"/>
  <c r="AA53" i="17"/>
  <c r="O53" i="17"/>
  <c r="AE60" i="17"/>
  <c r="AA60" i="17"/>
  <c r="O60" i="17"/>
  <c r="AE95" i="17"/>
  <c r="AA95" i="17"/>
  <c r="O95" i="17"/>
  <c r="AE101" i="17"/>
  <c r="O101" i="17"/>
  <c r="AA101" i="17"/>
  <c r="AE107" i="17"/>
  <c r="AA107" i="17"/>
  <c r="O107" i="17"/>
  <c r="O113" i="17"/>
  <c r="AA113" i="17"/>
  <c r="AE113" i="17"/>
  <c r="AE119" i="17"/>
  <c r="AA119" i="17"/>
  <c r="O119" i="17"/>
  <c r="AE129" i="17"/>
  <c r="AA129" i="17"/>
  <c r="O129" i="17"/>
  <c r="O135" i="17"/>
  <c r="AA135" i="17"/>
  <c r="AE135" i="17"/>
  <c r="O141" i="17"/>
  <c r="AA141" i="17"/>
  <c r="AE141" i="17"/>
  <c r="O147" i="17"/>
  <c r="AA147" i="17"/>
  <c r="AE147" i="17"/>
  <c r="O153" i="17"/>
  <c r="AA153" i="17"/>
  <c r="AE153" i="17"/>
  <c r="AE154" i="15"/>
  <c r="O154" i="15"/>
  <c r="AA154" i="15"/>
  <c r="D155" i="14"/>
  <c r="AE154" i="17" l="1"/>
  <c r="AA154" i="17"/>
  <c r="O154" i="17"/>
  <c r="D156" i="14"/>
  <c r="E156" i="14" s="1"/>
  <c r="E155" i="14"/>
  <c r="Z150" i="14"/>
  <c r="Z151" i="14" s="1"/>
  <c r="Y150" i="14"/>
  <c r="Y154" i="14" s="1"/>
  <c r="X150" i="14"/>
  <c r="X154" i="14" s="1"/>
  <c r="W150" i="14"/>
  <c r="V150" i="14"/>
  <c r="U150" i="14"/>
  <c r="T150" i="14"/>
  <c r="S150" i="14"/>
  <c r="R150" i="14"/>
  <c r="Q150" i="14"/>
  <c r="P150" i="14"/>
  <c r="N150" i="14"/>
  <c r="N152" i="14" s="1"/>
  <c r="M150" i="14"/>
  <c r="M152" i="14" s="1"/>
  <c r="L150" i="14"/>
  <c r="L152" i="14" s="1"/>
  <c r="K150" i="14"/>
  <c r="K152" i="14" s="1"/>
  <c r="AE149" i="14"/>
  <c r="AA149" i="14"/>
  <c r="O149" i="14"/>
  <c r="AE148" i="14"/>
  <c r="AA148" i="14"/>
  <c r="O148" i="14"/>
  <c r="AE147" i="14"/>
  <c r="AA147" i="14"/>
  <c r="O147" i="14"/>
  <c r="AE146" i="14"/>
  <c r="AA146" i="14"/>
  <c r="O146" i="14"/>
  <c r="AE145" i="14"/>
  <c r="AA145" i="14"/>
  <c r="O145" i="14"/>
  <c r="AE144" i="14"/>
  <c r="AA144" i="14"/>
  <c r="O144" i="14"/>
  <c r="AE143" i="14"/>
  <c r="AA143" i="14"/>
  <c r="O143" i="14"/>
  <c r="AE142" i="14"/>
  <c r="AA142" i="14"/>
  <c r="O142" i="14"/>
  <c r="AE141" i="14"/>
  <c r="AA141" i="14"/>
  <c r="O141" i="14"/>
  <c r="AE140" i="14"/>
  <c r="AA140" i="14"/>
  <c r="O140" i="14"/>
  <c r="AE139" i="14"/>
  <c r="AA139" i="14"/>
  <c r="O139" i="14"/>
  <c r="AE138" i="14"/>
  <c r="AA138" i="14"/>
  <c r="O138" i="14"/>
  <c r="AE137" i="14"/>
  <c r="AA137" i="14"/>
  <c r="O137" i="14"/>
  <c r="AE136" i="14"/>
  <c r="AA136" i="14"/>
  <c r="O136" i="14"/>
  <c r="AE135" i="14"/>
  <c r="AA135" i="14"/>
  <c r="O135" i="14"/>
  <c r="AE134" i="14"/>
  <c r="AA134" i="14"/>
  <c r="O134" i="14"/>
  <c r="AE133" i="14"/>
  <c r="AA133" i="14"/>
  <c r="O133" i="14"/>
  <c r="AE132" i="14"/>
  <c r="AA132" i="14"/>
  <c r="O132" i="14"/>
  <c r="AE131" i="14"/>
  <c r="AA131" i="14"/>
  <c r="O131" i="14"/>
  <c r="AE130" i="14"/>
  <c r="AA130" i="14"/>
  <c r="O130" i="14"/>
  <c r="AE129" i="14"/>
  <c r="AA129" i="14"/>
  <c r="O129" i="14"/>
  <c r="AE128" i="14"/>
  <c r="AE127" i="14"/>
  <c r="AA127" i="14"/>
  <c r="O127" i="14"/>
  <c r="AA126" i="14"/>
  <c r="AE125" i="14"/>
  <c r="AA125" i="14"/>
  <c r="O125" i="14"/>
  <c r="AA124" i="14"/>
  <c r="AE123" i="14"/>
  <c r="AA123" i="14"/>
  <c r="O123" i="14"/>
  <c r="AE122" i="14"/>
  <c r="AA122" i="14"/>
  <c r="O122" i="14"/>
  <c r="AE121" i="14"/>
  <c r="AA121" i="14"/>
  <c r="O121" i="14"/>
  <c r="O120" i="14"/>
  <c r="AA119" i="14"/>
  <c r="AE118" i="14"/>
  <c r="AE117" i="14"/>
  <c r="AE116" i="14"/>
  <c r="AA116" i="14"/>
  <c r="O116" i="14"/>
  <c r="AE115" i="14"/>
  <c r="AA115" i="14"/>
  <c r="O115" i="14"/>
  <c r="AA114" i="14"/>
  <c r="O113" i="14"/>
  <c r="AE112" i="14"/>
  <c r="AA112" i="14"/>
  <c r="O112" i="14"/>
  <c r="AE111" i="14"/>
  <c r="AA111" i="14"/>
  <c r="O111" i="14"/>
  <c r="AE110" i="14"/>
  <c r="AA110" i="14"/>
  <c r="O110" i="14"/>
  <c r="AA109" i="14"/>
  <c r="AE108" i="14"/>
  <c r="AE106" i="14"/>
  <c r="AA106" i="14"/>
  <c r="O106" i="14"/>
  <c r="AE105" i="14"/>
  <c r="AE104" i="14"/>
  <c r="AA104" i="14"/>
  <c r="O104" i="14"/>
  <c r="O103" i="14"/>
  <c r="AE102" i="14"/>
  <c r="AE101" i="14"/>
  <c r="AA100" i="14"/>
  <c r="AE99" i="14"/>
  <c r="AA99" i="14"/>
  <c r="O99" i="14"/>
  <c r="AE98" i="14"/>
  <c r="AA98" i="14"/>
  <c r="O98" i="14"/>
  <c r="AA97" i="14"/>
  <c r="AE96" i="14"/>
  <c r="AA96" i="14"/>
  <c r="AA95" i="14"/>
  <c r="AE93" i="14"/>
  <c r="AE92" i="14"/>
  <c r="AA92" i="14"/>
  <c r="O92" i="14"/>
  <c r="AE91" i="14"/>
  <c r="AA91" i="14"/>
  <c r="O91" i="14"/>
  <c r="AA90" i="14"/>
  <c r="O90" i="14"/>
  <c r="AA89" i="14"/>
  <c r="O89" i="14"/>
  <c r="AA88" i="14"/>
  <c r="O88" i="14"/>
  <c r="AA87" i="14"/>
  <c r="O87" i="14"/>
  <c r="AE86" i="14"/>
  <c r="AA86" i="14"/>
  <c r="O86" i="14"/>
  <c r="AE85" i="14"/>
  <c r="AA85" i="14"/>
  <c r="O85" i="14"/>
  <c r="AE84" i="14"/>
  <c r="AA83" i="14"/>
  <c r="O82" i="14"/>
  <c r="AA81" i="14"/>
  <c r="O81" i="14"/>
  <c r="AA80" i="14"/>
  <c r="AA79" i="14"/>
  <c r="O79" i="14"/>
  <c r="AA78" i="14"/>
  <c r="O78" i="14"/>
  <c r="AA77" i="14"/>
  <c r="O77" i="14"/>
  <c r="AA76" i="14"/>
  <c r="O76" i="14"/>
  <c r="AA75" i="14"/>
  <c r="O75" i="14"/>
  <c r="AA74" i="14"/>
  <c r="AA73" i="14"/>
  <c r="O73" i="14"/>
  <c r="AE72" i="14"/>
  <c r="AE71" i="14"/>
  <c r="AA71" i="14"/>
  <c r="O70" i="14"/>
  <c r="AA69" i="14"/>
  <c r="AA68" i="14"/>
  <c r="AE67" i="14"/>
  <c r="AA67" i="14"/>
  <c r="O67" i="14"/>
  <c r="AA66" i="14"/>
  <c r="AA65" i="14"/>
  <c r="AA64" i="14"/>
  <c r="O64" i="14"/>
  <c r="AE63" i="14"/>
  <c r="AE62" i="14"/>
  <c r="AA61" i="14"/>
  <c r="AE60" i="14"/>
  <c r="O59" i="14"/>
  <c r="AE58" i="14"/>
  <c r="AA58" i="14"/>
  <c r="O58" i="14"/>
  <c r="AE57" i="14"/>
  <c r="AA56" i="14"/>
  <c r="AA55" i="14"/>
  <c r="AA54" i="14"/>
  <c r="AA53" i="14"/>
  <c r="O53" i="14"/>
  <c r="AA52" i="14"/>
  <c r="O52" i="14"/>
  <c r="AA51" i="14"/>
  <c r="O51" i="14"/>
  <c r="AA50" i="14"/>
  <c r="AA49" i="14"/>
  <c r="AA48" i="14"/>
  <c r="AA47" i="14"/>
  <c r="O47" i="14"/>
  <c r="AA46" i="14"/>
  <c r="O46" i="14"/>
  <c r="AE45" i="14"/>
  <c r="AA45" i="14"/>
  <c r="O45" i="14"/>
  <c r="AE44" i="14"/>
  <c r="O43" i="14"/>
  <c r="AA42" i="14"/>
  <c r="AE41" i="14"/>
  <c r="O40" i="14"/>
  <c r="AE39" i="14"/>
  <c r="AA39" i="14"/>
  <c r="O39" i="14"/>
  <c r="AE38" i="14"/>
  <c r="O37" i="14"/>
  <c r="O36" i="14"/>
  <c r="AA35" i="14"/>
  <c r="AA34" i="14"/>
  <c r="O34" i="14"/>
  <c r="AA33" i="14"/>
  <c r="O33" i="14"/>
  <c r="O32" i="14"/>
  <c r="O31" i="14"/>
  <c r="O30" i="14"/>
  <c r="AA29" i="14"/>
  <c r="O29" i="14"/>
  <c r="AA28" i="14"/>
  <c r="O28" i="14"/>
  <c r="AA27" i="14"/>
  <c r="O27" i="14"/>
  <c r="AA26" i="14"/>
  <c r="O26" i="14"/>
  <c r="AA25" i="14"/>
  <c r="O25" i="14"/>
  <c r="AA24" i="14"/>
  <c r="O24" i="14"/>
  <c r="AA23" i="14"/>
  <c r="O23" i="14"/>
  <c r="AA22" i="14"/>
  <c r="AE21" i="14"/>
  <c r="AA21" i="14"/>
  <c r="O21" i="14"/>
  <c r="O20" i="14"/>
  <c r="AA19" i="14"/>
  <c r="AE18" i="14"/>
  <c r="AA17" i="14"/>
  <c r="AA16" i="14"/>
  <c r="AE15" i="14"/>
  <c r="AA15" i="14"/>
  <c r="O15" i="14"/>
  <c r="O14" i="14"/>
  <c r="AA13" i="14"/>
  <c r="O12" i="14"/>
  <c r="O11" i="14"/>
  <c r="AE10" i="14"/>
  <c r="O8" i="14"/>
  <c r="AA7" i="14"/>
  <c r="AE6" i="14"/>
  <c r="B3" i="14"/>
  <c r="W154" i="14" l="1"/>
  <c r="V154" i="14"/>
  <c r="S154" i="14"/>
  <c r="P151" i="14"/>
  <c r="R154" i="14"/>
  <c r="Q154" i="14"/>
  <c r="U154" i="14"/>
  <c r="AE109" i="14"/>
  <c r="AE113" i="14"/>
  <c r="X151" i="14"/>
  <c r="O18" i="14"/>
  <c r="AA18" i="14"/>
  <c r="AE36" i="14"/>
  <c r="AA12" i="14"/>
  <c r="O49" i="14"/>
  <c r="AE61" i="14"/>
  <c r="O68" i="14"/>
  <c r="I150" i="14"/>
  <c r="AE12" i="14"/>
  <c r="AA31" i="14"/>
  <c r="O94" i="14"/>
  <c r="O100" i="14"/>
  <c r="AA6" i="14"/>
  <c r="AE100" i="14"/>
  <c r="AA9" i="14"/>
  <c r="AA103" i="14"/>
  <c r="AE9" i="14"/>
  <c r="AE103" i="14"/>
  <c r="O109" i="14"/>
  <c r="AA113" i="14"/>
  <c r="AA36" i="14"/>
  <c r="O61" i="14"/>
  <c r="AE42" i="14"/>
  <c r="O42" i="14"/>
  <c r="O54" i="14"/>
  <c r="AE107" i="14"/>
  <c r="V151" i="14"/>
  <c r="T154" i="14"/>
  <c r="AE119" i="14"/>
  <c r="AE126" i="14"/>
  <c r="AA117" i="14"/>
  <c r="AA120" i="14"/>
  <c r="O124" i="14"/>
  <c r="AE124" i="14"/>
  <c r="O128" i="14"/>
  <c r="AE114" i="14"/>
  <c r="O118" i="14"/>
  <c r="AA128" i="14"/>
  <c r="AE95" i="14"/>
  <c r="O102" i="14"/>
  <c r="O105" i="14"/>
  <c r="O108" i="14"/>
  <c r="AA118" i="14"/>
  <c r="P154" i="14"/>
  <c r="O50" i="14"/>
  <c r="O55" i="14"/>
  <c r="O7" i="14"/>
  <c r="O16" i="14"/>
  <c r="O19" i="14"/>
  <c r="O22" i="14"/>
  <c r="AA32" i="14"/>
  <c r="O65" i="14"/>
  <c r="O69" i="14"/>
  <c r="AA82" i="14"/>
  <c r="AA94" i="14"/>
  <c r="O117" i="14"/>
  <c r="AA10" i="14"/>
  <c r="AE94" i="14"/>
  <c r="AE97" i="14"/>
  <c r="O101" i="14"/>
  <c r="O107" i="14"/>
  <c r="AE7" i="14"/>
  <c r="AE13" i="14"/>
  <c r="AE16" i="14"/>
  <c r="AE19" i="14"/>
  <c r="AA37" i="14"/>
  <c r="AA40" i="14"/>
  <c r="AA43" i="14"/>
  <c r="O56" i="14"/>
  <c r="AA59" i="14"/>
  <c r="AA62" i="14"/>
  <c r="AE40" i="14"/>
  <c r="AE59" i="14"/>
  <c r="O66" i="14"/>
  <c r="O95" i="14"/>
  <c r="AA70" i="14"/>
  <c r="AA8" i="14"/>
  <c r="AA11" i="14"/>
  <c r="AA14" i="14"/>
  <c r="AA20" i="14"/>
  <c r="O38" i="14"/>
  <c r="O41" i="14"/>
  <c r="O44" i="14"/>
  <c r="O48" i="14"/>
  <c r="O57" i="14"/>
  <c r="O60" i="14"/>
  <c r="O63" i="14"/>
  <c r="AE70" i="14"/>
  <c r="O74" i="14"/>
  <c r="O84" i="14"/>
  <c r="AE8" i="14"/>
  <c r="AE11" i="14"/>
  <c r="AE14" i="14"/>
  <c r="AE17" i="14"/>
  <c r="AE20" i="14"/>
  <c r="AA30" i="14"/>
  <c r="O35" i="14"/>
  <c r="AA38" i="14"/>
  <c r="AA41" i="14"/>
  <c r="AA44" i="14"/>
  <c r="AA57" i="14"/>
  <c r="AA60" i="14"/>
  <c r="AA63" i="14"/>
  <c r="O80" i="14"/>
  <c r="AA84" i="14"/>
  <c r="O93" i="14"/>
  <c r="AA102" i="14"/>
  <c r="AA105" i="14"/>
  <c r="AA108" i="14"/>
  <c r="AE43" i="14"/>
  <c r="O71" i="14"/>
  <c r="AA93" i="14"/>
  <c r="O96" i="14"/>
  <c r="R151" i="14"/>
  <c r="O13" i="14"/>
  <c r="AA72" i="14"/>
  <c r="O62" i="14"/>
  <c r="O83" i="14"/>
  <c r="AA101" i="14"/>
  <c r="AA107" i="14"/>
  <c r="O114" i="14"/>
  <c r="AE120" i="14"/>
  <c r="AE37" i="14"/>
  <c r="O17" i="14"/>
  <c r="O6" i="14"/>
  <c r="O119" i="14"/>
  <c r="O126" i="14"/>
  <c r="T151" i="14"/>
  <c r="O72" i="14"/>
  <c r="O97" i="14"/>
  <c r="J119" i="11"/>
  <c r="AC119" i="11" s="1"/>
  <c r="J118" i="11"/>
  <c r="AC118" i="11" s="1"/>
  <c r="AA150" i="14" l="1"/>
  <c r="AE150" i="14"/>
  <c r="O150" i="14"/>
  <c r="I151" i="14"/>
  <c r="J93" i="11"/>
  <c r="J94" i="11"/>
  <c r="J96" i="11"/>
  <c r="AC96" i="11" s="1"/>
  <c r="J97" i="11"/>
  <c r="AC97" i="11" s="1"/>
  <c r="J102" i="11"/>
  <c r="AC102" i="11" s="1"/>
  <c r="J103" i="11"/>
  <c r="J105" i="11"/>
  <c r="AC105" i="11" s="1"/>
  <c r="J107" i="11"/>
  <c r="J108" i="11"/>
  <c r="AC108" i="11" s="1"/>
  <c r="J109" i="11"/>
  <c r="AC109" i="11" s="1"/>
  <c r="J113" i="11"/>
  <c r="AC113" i="11" s="1"/>
  <c r="J114" i="11"/>
  <c r="AC114" i="11" s="1"/>
  <c r="J117" i="11"/>
  <c r="AC117" i="11" s="1"/>
  <c r="J120" i="11"/>
  <c r="AC120" i="11" s="1"/>
  <c r="J124" i="11"/>
  <c r="AC124" i="11" s="1"/>
  <c r="J126" i="11"/>
  <c r="AC126" i="11" s="1"/>
  <c r="J128" i="11"/>
  <c r="AC128" i="11" s="1"/>
  <c r="AC93" i="11" l="1"/>
  <c r="J150" i="11"/>
  <c r="J152" i="11" s="1"/>
  <c r="I7" i="11"/>
  <c r="AC7" i="11" s="1"/>
  <c r="I8" i="11"/>
  <c r="AC8" i="11" s="1"/>
  <c r="I9" i="11"/>
  <c r="AC9" i="11" s="1"/>
  <c r="I10" i="11"/>
  <c r="AC10" i="11" s="1"/>
  <c r="I11" i="11"/>
  <c r="AC11" i="11" s="1"/>
  <c r="I12" i="11"/>
  <c r="AC12" i="11" s="1"/>
  <c r="I13" i="11"/>
  <c r="AC13" i="11" s="1"/>
  <c r="I14" i="11"/>
  <c r="AC14" i="11" s="1"/>
  <c r="I15" i="11"/>
  <c r="AC15" i="11" s="1"/>
  <c r="I16" i="11"/>
  <c r="AC16" i="11" s="1"/>
  <c r="I17" i="11"/>
  <c r="AC17" i="11" s="1"/>
  <c r="I18" i="11"/>
  <c r="AC18" i="11" s="1"/>
  <c r="I19" i="11"/>
  <c r="AC19" i="11" s="1"/>
  <c r="I20" i="11"/>
  <c r="AC20" i="11" s="1"/>
  <c r="I21" i="11"/>
  <c r="AC21" i="11" s="1"/>
  <c r="I22" i="11"/>
  <c r="AC22" i="11" s="1"/>
  <c r="I30" i="11"/>
  <c r="AC30" i="11" s="1"/>
  <c r="I31" i="11"/>
  <c r="AC31" i="11" s="1"/>
  <c r="I32" i="11"/>
  <c r="AC32" i="11" s="1"/>
  <c r="I35" i="11"/>
  <c r="AC35" i="11" s="1"/>
  <c r="I36" i="11"/>
  <c r="AC36" i="11" s="1"/>
  <c r="I37" i="11"/>
  <c r="AC37" i="11" s="1"/>
  <c r="I38" i="11"/>
  <c r="AC38" i="11" s="1"/>
  <c r="I39" i="11"/>
  <c r="AC39" i="11" s="1"/>
  <c r="I40" i="11"/>
  <c r="AC40" i="11" s="1"/>
  <c r="I41" i="11"/>
  <c r="AC41" i="11" s="1"/>
  <c r="I42" i="11"/>
  <c r="AC42" i="11" s="1"/>
  <c r="I43" i="11"/>
  <c r="AC43" i="11" s="1"/>
  <c r="I44" i="11"/>
  <c r="AC44" i="11" s="1"/>
  <c r="I45" i="11"/>
  <c r="AC45" i="11" s="1"/>
  <c r="I48" i="11"/>
  <c r="AC48" i="11" s="1"/>
  <c r="I49" i="11"/>
  <c r="AC49" i="11" s="1"/>
  <c r="I50" i="11"/>
  <c r="AC50" i="11" s="1"/>
  <c r="I54" i="11"/>
  <c r="AC54" i="11" s="1"/>
  <c r="I55" i="11"/>
  <c r="AC55" i="11" s="1"/>
  <c r="I56" i="11"/>
  <c r="AC56" i="11" s="1"/>
  <c r="I57" i="11"/>
  <c r="AC57" i="11" s="1"/>
  <c r="I58" i="11"/>
  <c r="AC58" i="11" s="1"/>
  <c r="I59" i="11"/>
  <c r="AC59" i="11" s="1"/>
  <c r="I60" i="11"/>
  <c r="AC60" i="11" s="1"/>
  <c r="I61" i="11"/>
  <c r="AC61" i="11" s="1"/>
  <c r="I62" i="11"/>
  <c r="AC62" i="11" s="1"/>
  <c r="I63" i="11"/>
  <c r="AC63" i="11" s="1"/>
  <c r="I64" i="11"/>
  <c r="AC64" i="11" s="1"/>
  <c r="I65" i="11"/>
  <c r="AC65" i="11" s="1"/>
  <c r="I66" i="11"/>
  <c r="AC66" i="11" s="1"/>
  <c r="I68" i="11"/>
  <c r="AC68" i="11" s="1"/>
  <c r="I69" i="11"/>
  <c r="AC69" i="11" s="1"/>
  <c r="I70" i="11"/>
  <c r="AC70" i="11" s="1"/>
  <c r="I71" i="11"/>
  <c r="AC71" i="11" s="1"/>
  <c r="I72" i="11"/>
  <c r="AC72" i="11" s="1"/>
  <c r="I74" i="11"/>
  <c r="AC74" i="11" s="1"/>
  <c r="I80" i="11"/>
  <c r="AC80" i="11" s="1"/>
  <c r="I82" i="11"/>
  <c r="AC82" i="11" s="1"/>
  <c r="I83" i="11"/>
  <c r="AC83" i="11" s="1"/>
  <c r="I6" i="11"/>
  <c r="AC6" i="11" s="1"/>
  <c r="I85" i="11"/>
  <c r="AC85" i="11" s="1"/>
  <c r="I94" i="11"/>
  <c r="AC94" i="11" s="1"/>
  <c r="I95" i="11"/>
  <c r="AC95" i="11" s="1"/>
  <c r="I100" i="11"/>
  <c r="AC100" i="11" s="1"/>
  <c r="I101" i="11"/>
  <c r="AC101" i="11" s="1"/>
  <c r="I103" i="11"/>
  <c r="AC103" i="11" s="1"/>
  <c r="I107" i="11"/>
  <c r="AC107" i="11" s="1"/>
  <c r="I84" i="11"/>
  <c r="AC84" i="11" s="1"/>
  <c r="AC150" i="11" l="1"/>
  <c r="I150" i="11"/>
  <c r="D157" i="9"/>
  <c r="O150" i="9"/>
  <c r="Y150" i="8"/>
  <c r="J150" i="9"/>
  <c r="J152" i="9" s="1"/>
  <c r="P91" i="9"/>
  <c r="P101" i="9"/>
  <c r="P102" i="9"/>
  <c r="P100" i="9"/>
  <c r="P99" i="9"/>
  <c r="K150" i="8"/>
  <c r="L150" i="8" l="1"/>
  <c r="C159" i="13" l="1"/>
  <c r="C157" i="13"/>
  <c r="C158" i="13" s="1"/>
  <c r="D156" i="13"/>
  <c r="D155" i="13"/>
  <c r="E155" i="13" s="1"/>
  <c r="Z150" i="13"/>
  <c r="Z151" i="13" s="1"/>
  <c r="Y150" i="13"/>
  <c r="X150" i="13"/>
  <c r="W150" i="13"/>
  <c r="W154" i="13" s="1"/>
  <c r="V150" i="13"/>
  <c r="V154" i="13" s="1"/>
  <c r="U150" i="13"/>
  <c r="U154" i="13" s="1"/>
  <c r="T150" i="13"/>
  <c r="T154" i="13" s="1"/>
  <c r="S150" i="13"/>
  <c r="R150" i="13"/>
  <c r="R154" i="13" s="1"/>
  <c r="Q150" i="13"/>
  <c r="Q154" i="13" s="1"/>
  <c r="P150" i="13"/>
  <c r="P154" i="13" s="1"/>
  <c r="N150" i="13"/>
  <c r="N152" i="13" s="1"/>
  <c r="M150" i="13"/>
  <c r="M152" i="13" s="1"/>
  <c r="L150" i="13"/>
  <c r="J150" i="13"/>
  <c r="J152" i="13" s="1"/>
  <c r="I150" i="13"/>
  <c r="AE149" i="13"/>
  <c r="AA149" i="13"/>
  <c r="O149" i="13"/>
  <c r="J154" i="19" s="1"/>
  <c r="O154" i="19" s="1"/>
  <c r="AE148" i="13"/>
  <c r="AA148" i="13"/>
  <c r="O148" i="13"/>
  <c r="J153" i="19" s="1"/>
  <c r="O153" i="19" s="1"/>
  <c r="AE147" i="13"/>
  <c r="AA147" i="13"/>
  <c r="O147" i="13"/>
  <c r="J152" i="19" s="1"/>
  <c r="O152" i="19" s="1"/>
  <c r="AE146" i="13"/>
  <c r="AA146" i="13"/>
  <c r="O146" i="13"/>
  <c r="J151" i="19" s="1"/>
  <c r="O151" i="19" s="1"/>
  <c r="AE145" i="13"/>
  <c r="AA145" i="13"/>
  <c r="O145" i="13"/>
  <c r="J150" i="19" s="1"/>
  <c r="O150" i="19" s="1"/>
  <c r="AE144" i="13"/>
  <c r="AA144" i="13"/>
  <c r="O144" i="13"/>
  <c r="J149" i="19" s="1"/>
  <c r="O149" i="19" s="1"/>
  <c r="AE143" i="13"/>
  <c r="AA143" i="13"/>
  <c r="O143" i="13"/>
  <c r="J148" i="19" s="1"/>
  <c r="O148" i="19" s="1"/>
  <c r="AE142" i="13"/>
  <c r="AA142" i="13"/>
  <c r="O142" i="13"/>
  <c r="J147" i="19" s="1"/>
  <c r="O147" i="19" s="1"/>
  <c r="AE141" i="13"/>
  <c r="AA141" i="13"/>
  <c r="O141" i="13"/>
  <c r="J146" i="19" s="1"/>
  <c r="O146" i="19" s="1"/>
  <c r="AE140" i="13"/>
  <c r="AA140" i="13"/>
  <c r="O140" i="13"/>
  <c r="J145" i="19" s="1"/>
  <c r="O145" i="19" s="1"/>
  <c r="AE139" i="13"/>
  <c r="AA139" i="13"/>
  <c r="O139" i="13"/>
  <c r="J144" i="19" s="1"/>
  <c r="O144" i="19" s="1"/>
  <c r="AE138" i="13"/>
  <c r="AA138" i="13"/>
  <c r="O138" i="13"/>
  <c r="J143" i="19" s="1"/>
  <c r="O143" i="19" s="1"/>
  <c r="AE137" i="13"/>
  <c r="AA137" i="13"/>
  <c r="O137" i="13"/>
  <c r="J142" i="19" s="1"/>
  <c r="O142" i="19" s="1"/>
  <c r="AE136" i="13"/>
  <c r="AA136" i="13"/>
  <c r="O136" i="13"/>
  <c r="J141" i="19" s="1"/>
  <c r="O141" i="19" s="1"/>
  <c r="AE135" i="13"/>
  <c r="AA135" i="13"/>
  <c r="O135" i="13"/>
  <c r="J140" i="19" s="1"/>
  <c r="O140" i="19" s="1"/>
  <c r="AE134" i="13"/>
  <c r="AA134" i="13"/>
  <c r="O134" i="13"/>
  <c r="J139" i="19" s="1"/>
  <c r="O139" i="19" s="1"/>
  <c r="AE133" i="13"/>
  <c r="AA133" i="13"/>
  <c r="O133" i="13"/>
  <c r="J138" i="19" s="1"/>
  <c r="O138" i="19" s="1"/>
  <c r="AE132" i="13"/>
  <c r="AA132" i="13"/>
  <c r="O132" i="13"/>
  <c r="J137" i="19" s="1"/>
  <c r="O137" i="19" s="1"/>
  <c r="AE131" i="13"/>
  <c r="AA131" i="13"/>
  <c r="O131" i="13"/>
  <c r="J136" i="19" s="1"/>
  <c r="O136" i="19" s="1"/>
  <c r="AE130" i="13"/>
  <c r="AA130" i="13"/>
  <c r="O130" i="13"/>
  <c r="J135" i="19" s="1"/>
  <c r="O135" i="19" s="1"/>
  <c r="AE129" i="13"/>
  <c r="AA129" i="13"/>
  <c r="O129" i="13"/>
  <c r="J134" i="19" s="1"/>
  <c r="O134" i="19" s="1"/>
  <c r="AE128" i="13"/>
  <c r="AA128" i="13"/>
  <c r="O128" i="13"/>
  <c r="J133" i="19" s="1"/>
  <c r="O133" i="19" s="1"/>
  <c r="AE127" i="13"/>
  <c r="AA127" i="13"/>
  <c r="O127" i="13"/>
  <c r="J132" i="19" s="1"/>
  <c r="O132" i="19" s="1"/>
  <c r="AE126" i="13"/>
  <c r="AA126" i="13"/>
  <c r="O126" i="13"/>
  <c r="J131" i="19" s="1"/>
  <c r="O131" i="19" s="1"/>
  <c r="AE125" i="13"/>
  <c r="AA125" i="13"/>
  <c r="O125" i="13"/>
  <c r="J130" i="19" s="1"/>
  <c r="O130" i="19" s="1"/>
  <c r="AE124" i="13"/>
  <c r="AA124" i="13"/>
  <c r="O124" i="13"/>
  <c r="J129" i="19" s="1"/>
  <c r="O129" i="19" s="1"/>
  <c r="AE123" i="13"/>
  <c r="AA123" i="13"/>
  <c r="O123" i="13"/>
  <c r="J128" i="19" s="1"/>
  <c r="O128" i="19" s="1"/>
  <c r="AE122" i="13"/>
  <c r="AA122" i="13"/>
  <c r="O122" i="13"/>
  <c r="J127" i="19" s="1"/>
  <c r="O127" i="19" s="1"/>
  <c r="AE121" i="13"/>
  <c r="AA121" i="13"/>
  <c r="O121" i="13"/>
  <c r="J126" i="19" s="1"/>
  <c r="O126" i="19" s="1"/>
  <c r="AE120" i="13"/>
  <c r="AA120" i="13"/>
  <c r="O120" i="13"/>
  <c r="J125" i="19" s="1"/>
  <c r="O125" i="19" s="1"/>
  <c r="AE119" i="13"/>
  <c r="AA119" i="13"/>
  <c r="O119" i="13"/>
  <c r="J124" i="19" s="1"/>
  <c r="O124" i="19" s="1"/>
  <c r="AE118" i="13"/>
  <c r="AA118" i="13"/>
  <c r="O118" i="13"/>
  <c r="J123" i="19" s="1"/>
  <c r="O123" i="19" s="1"/>
  <c r="AE117" i="13"/>
  <c r="AA117" i="13"/>
  <c r="O117" i="13"/>
  <c r="J122" i="19" s="1"/>
  <c r="O122" i="19" s="1"/>
  <c r="AE116" i="13"/>
  <c r="AA116" i="13"/>
  <c r="O116" i="13"/>
  <c r="J121" i="19" s="1"/>
  <c r="O121" i="19" s="1"/>
  <c r="AE115" i="13"/>
  <c r="AA115" i="13"/>
  <c r="O115" i="13"/>
  <c r="J120" i="19" s="1"/>
  <c r="O120" i="19" s="1"/>
  <c r="AE114" i="13"/>
  <c r="AA114" i="13"/>
  <c r="O114" i="13"/>
  <c r="J119" i="19" s="1"/>
  <c r="O119" i="19" s="1"/>
  <c r="AE113" i="13"/>
  <c r="AA113" i="13"/>
  <c r="O113" i="13"/>
  <c r="J118" i="19" s="1"/>
  <c r="O118" i="19" s="1"/>
  <c r="AE112" i="13"/>
  <c r="AA112" i="13"/>
  <c r="O112" i="13"/>
  <c r="J117" i="19" s="1"/>
  <c r="O117" i="19" s="1"/>
  <c r="AE111" i="13"/>
  <c r="AA111" i="13"/>
  <c r="O111" i="13"/>
  <c r="J116" i="19" s="1"/>
  <c r="O116" i="19" s="1"/>
  <c r="AE110" i="13"/>
  <c r="AA110" i="13"/>
  <c r="O110" i="13"/>
  <c r="J115" i="19" s="1"/>
  <c r="O115" i="19" s="1"/>
  <c r="AE109" i="13"/>
  <c r="AA109" i="13"/>
  <c r="O109" i="13"/>
  <c r="J114" i="19" s="1"/>
  <c r="O114" i="19" s="1"/>
  <c r="AE108" i="13"/>
  <c r="AA108" i="13"/>
  <c r="O108" i="13"/>
  <c r="J113" i="19" s="1"/>
  <c r="O113" i="19" s="1"/>
  <c r="AE107" i="13"/>
  <c r="AA107" i="13"/>
  <c r="O107" i="13"/>
  <c r="J112" i="19" s="1"/>
  <c r="O112" i="19" s="1"/>
  <c r="AE106" i="13"/>
  <c r="AA106" i="13"/>
  <c r="O106" i="13"/>
  <c r="J111" i="19" s="1"/>
  <c r="O111" i="19" s="1"/>
  <c r="AE105" i="13"/>
  <c r="AA105" i="13"/>
  <c r="O105" i="13"/>
  <c r="J110" i="19" s="1"/>
  <c r="O110" i="19" s="1"/>
  <c r="AE104" i="13"/>
  <c r="AA104" i="13"/>
  <c r="O104" i="13"/>
  <c r="J109" i="19" s="1"/>
  <c r="O109" i="19" s="1"/>
  <c r="AE103" i="13"/>
  <c r="AA103" i="13"/>
  <c r="O103" i="13"/>
  <c r="J108" i="19" s="1"/>
  <c r="O108" i="19" s="1"/>
  <c r="AE102" i="13"/>
  <c r="AA102" i="13"/>
  <c r="O102" i="13"/>
  <c r="J107" i="19" s="1"/>
  <c r="O107" i="19" s="1"/>
  <c r="AE101" i="13"/>
  <c r="AA101" i="13"/>
  <c r="O101" i="13"/>
  <c r="J106" i="19" s="1"/>
  <c r="O106" i="19" s="1"/>
  <c r="AE100" i="13"/>
  <c r="AA100" i="13"/>
  <c r="O100" i="13"/>
  <c r="J105" i="19" s="1"/>
  <c r="O105" i="19" s="1"/>
  <c r="AE99" i="13"/>
  <c r="AA99" i="13"/>
  <c r="O99" i="13"/>
  <c r="J104" i="19" s="1"/>
  <c r="O104" i="19" s="1"/>
  <c r="AE98" i="13"/>
  <c r="AA98" i="13"/>
  <c r="O98" i="13"/>
  <c r="J103" i="19" s="1"/>
  <c r="O103" i="19" s="1"/>
  <c r="AE97" i="13"/>
  <c r="AA97" i="13"/>
  <c r="O97" i="13"/>
  <c r="J102" i="19" s="1"/>
  <c r="O102" i="19" s="1"/>
  <c r="AE96" i="13"/>
  <c r="AA96" i="13"/>
  <c r="O96" i="13"/>
  <c r="J101" i="19" s="1"/>
  <c r="O101" i="19" s="1"/>
  <c r="AE95" i="13"/>
  <c r="AA95" i="13"/>
  <c r="O95" i="13"/>
  <c r="J100" i="19" s="1"/>
  <c r="O100" i="19" s="1"/>
  <c r="AE94" i="13"/>
  <c r="AA94" i="13"/>
  <c r="O94" i="13"/>
  <c r="J99" i="19" s="1"/>
  <c r="O99" i="19" s="1"/>
  <c r="AE93" i="13"/>
  <c r="AA93" i="13"/>
  <c r="O93" i="13"/>
  <c r="J98" i="19" s="1"/>
  <c r="O98" i="19" s="1"/>
  <c r="AE92" i="13"/>
  <c r="AA92" i="13"/>
  <c r="O92" i="13"/>
  <c r="J97" i="19" s="1"/>
  <c r="O97" i="19" s="1"/>
  <c r="AE91" i="13"/>
  <c r="AA91" i="13"/>
  <c r="O91" i="13"/>
  <c r="J96" i="19" s="1"/>
  <c r="O96" i="19" s="1"/>
  <c r="AA90" i="13"/>
  <c r="O90" i="13"/>
  <c r="J95" i="19" s="1"/>
  <c r="O95" i="19" s="1"/>
  <c r="AA89" i="13"/>
  <c r="O89" i="13"/>
  <c r="J94" i="19" s="1"/>
  <c r="O94" i="19" s="1"/>
  <c r="AA88" i="13"/>
  <c r="O88" i="13"/>
  <c r="J93" i="19" s="1"/>
  <c r="O93" i="19" s="1"/>
  <c r="AA87" i="13"/>
  <c r="O87" i="13"/>
  <c r="J92" i="19" s="1"/>
  <c r="O92" i="19" s="1"/>
  <c r="AE86" i="13"/>
  <c r="AA86" i="13"/>
  <c r="O86" i="13"/>
  <c r="J91" i="19" s="1"/>
  <c r="O91" i="19" s="1"/>
  <c r="AE85" i="13"/>
  <c r="AA85" i="13"/>
  <c r="O85" i="13"/>
  <c r="J90" i="19" s="1"/>
  <c r="O90" i="19" s="1"/>
  <c r="AE84" i="13"/>
  <c r="AA84" i="13"/>
  <c r="O84" i="13"/>
  <c r="J89" i="19" s="1"/>
  <c r="O89" i="19" s="1"/>
  <c r="AA83" i="13"/>
  <c r="O83" i="13"/>
  <c r="J88" i="19" s="1"/>
  <c r="O88" i="19" s="1"/>
  <c r="AA82" i="13"/>
  <c r="O82" i="13"/>
  <c r="J87" i="19" s="1"/>
  <c r="O87" i="19" s="1"/>
  <c r="AA81" i="13"/>
  <c r="O81" i="13"/>
  <c r="J86" i="19" s="1"/>
  <c r="O86" i="19" s="1"/>
  <c r="AA80" i="13"/>
  <c r="O80" i="13"/>
  <c r="J85" i="19" s="1"/>
  <c r="O85" i="19" s="1"/>
  <c r="AA79" i="13"/>
  <c r="O79" i="13"/>
  <c r="J84" i="19" s="1"/>
  <c r="O84" i="19" s="1"/>
  <c r="AA78" i="13"/>
  <c r="O78" i="13"/>
  <c r="J83" i="19" s="1"/>
  <c r="O83" i="19" s="1"/>
  <c r="AA77" i="13"/>
  <c r="O77" i="13"/>
  <c r="J82" i="19" s="1"/>
  <c r="O82" i="19" s="1"/>
  <c r="AA76" i="13"/>
  <c r="O76" i="13"/>
  <c r="J81" i="19" s="1"/>
  <c r="O81" i="19" s="1"/>
  <c r="AA75" i="13"/>
  <c r="O75" i="13"/>
  <c r="J80" i="19" s="1"/>
  <c r="O80" i="19" s="1"/>
  <c r="AA74" i="13"/>
  <c r="O74" i="13"/>
  <c r="J79" i="19" s="1"/>
  <c r="O79" i="19" s="1"/>
  <c r="AA73" i="13"/>
  <c r="O73" i="13"/>
  <c r="J78" i="19" s="1"/>
  <c r="O78" i="19" s="1"/>
  <c r="AE72" i="13"/>
  <c r="AA72" i="13"/>
  <c r="O72" i="13"/>
  <c r="J77" i="19" s="1"/>
  <c r="O77" i="19" s="1"/>
  <c r="AE71" i="13"/>
  <c r="AA71" i="13"/>
  <c r="O71" i="13"/>
  <c r="J76" i="19" s="1"/>
  <c r="O76" i="19" s="1"/>
  <c r="AE70" i="13"/>
  <c r="AA70" i="13"/>
  <c r="O70" i="13"/>
  <c r="J75" i="19" s="1"/>
  <c r="O75" i="19" s="1"/>
  <c r="AA69" i="13"/>
  <c r="O69" i="13"/>
  <c r="J74" i="19" s="1"/>
  <c r="O74" i="19" s="1"/>
  <c r="AA68" i="13"/>
  <c r="O68" i="13"/>
  <c r="J73" i="19" s="1"/>
  <c r="O73" i="19" s="1"/>
  <c r="AE67" i="13"/>
  <c r="AA67" i="13"/>
  <c r="O67" i="13"/>
  <c r="J72" i="19" s="1"/>
  <c r="O72" i="19" s="1"/>
  <c r="AA66" i="13"/>
  <c r="O66" i="13"/>
  <c r="J71" i="19" s="1"/>
  <c r="O71" i="19" s="1"/>
  <c r="AA65" i="13"/>
  <c r="O65" i="13"/>
  <c r="J70" i="19" s="1"/>
  <c r="O70" i="19" s="1"/>
  <c r="AA64" i="13"/>
  <c r="O64" i="13"/>
  <c r="J69" i="19" s="1"/>
  <c r="O69" i="19" s="1"/>
  <c r="AE63" i="13"/>
  <c r="AA63" i="13"/>
  <c r="O63" i="13"/>
  <c r="J68" i="19" s="1"/>
  <c r="O68" i="19" s="1"/>
  <c r="AE62" i="13"/>
  <c r="AA62" i="13"/>
  <c r="O62" i="13"/>
  <c r="J67" i="19" s="1"/>
  <c r="O67" i="19" s="1"/>
  <c r="AE61" i="13"/>
  <c r="AA61" i="13"/>
  <c r="O61" i="13"/>
  <c r="J66" i="19" s="1"/>
  <c r="O66" i="19" s="1"/>
  <c r="AE60" i="13"/>
  <c r="AA60" i="13"/>
  <c r="O60" i="13"/>
  <c r="J65" i="19" s="1"/>
  <c r="O65" i="19" s="1"/>
  <c r="AE59" i="13"/>
  <c r="AA59" i="13"/>
  <c r="O59" i="13"/>
  <c r="J64" i="19" s="1"/>
  <c r="O64" i="19" s="1"/>
  <c r="AE58" i="13"/>
  <c r="AA58" i="13"/>
  <c r="O58" i="13"/>
  <c r="J63" i="19" s="1"/>
  <c r="O63" i="19" s="1"/>
  <c r="AE57" i="13"/>
  <c r="AA57" i="13"/>
  <c r="O57" i="13"/>
  <c r="J62" i="19" s="1"/>
  <c r="O62" i="19" s="1"/>
  <c r="AA56" i="13"/>
  <c r="O56" i="13"/>
  <c r="J61" i="19" s="1"/>
  <c r="O61" i="19" s="1"/>
  <c r="AA55" i="13"/>
  <c r="O55" i="13"/>
  <c r="J60" i="19" s="1"/>
  <c r="O60" i="19" s="1"/>
  <c r="AA54" i="13"/>
  <c r="O54" i="13"/>
  <c r="J59" i="19" s="1"/>
  <c r="O59" i="19" s="1"/>
  <c r="AA53" i="13"/>
  <c r="O53" i="13"/>
  <c r="J58" i="19" s="1"/>
  <c r="O58" i="19" s="1"/>
  <c r="AA52" i="13"/>
  <c r="O52" i="13"/>
  <c r="J57" i="19" s="1"/>
  <c r="O57" i="19" s="1"/>
  <c r="AA51" i="13"/>
  <c r="O51" i="13"/>
  <c r="J56" i="19" s="1"/>
  <c r="O56" i="19" s="1"/>
  <c r="AA50" i="13"/>
  <c r="O50" i="13"/>
  <c r="J55" i="19" s="1"/>
  <c r="O55" i="19" s="1"/>
  <c r="AA49" i="13"/>
  <c r="O49" i="13"/>
  <c r="J54" i="19" s="1"/>
  <c r="O54" i="19" s="1"/>
  <c r="AA48" i="13"/>
  <c r="O48" i="13"/>
  <c r="J53" i="19" s="1"/>
  <c r="O53" i="19" s="1"/>
  <c r="AA47" i="13"/>
  <c r="O47" i="13"/>
  <c r="J52" i="19" s="1"/>
  <c r="O52" i="19" s="1"/>
  <c r="AA46" i="13"/>
  <c r="O46" i="13"/>
  <c r="J51" i="19" s="1"/>
  <c r="O51" i="19" s="1"/>
  <c r="AE45" i="13"/>
  <c r="AA45" i="13"/>
  <c r="O45" i="13"/>
  <c r="J50" i="19" s="1"/>
  <c r="O50" i="19" s="1"/>
  <c r="AE44" i="13"/>
  <c r="AA44" i="13"/>
  <c r="O44" i="13"/>
  <c r="J49" i="19" s="1"/>
  <c r="O49" i="19" s="1"/>
  <c r="AE43" i="13"/>
  <c r="AA43" i="13"/>
  <c r="O43" i="13"/>
  <c r="J48" i="19" s="1"/>
  <c r="O48" i="19" s="1"/>
  <c r="AE42" i="13"/>
  <c r="AA42" i="13"/>
  <c r="O42" i="13"/>
  <c r="J47" i="19" s="1"/>
  <c r="O47" i="19" s="1"/>
  <c r="AE41" i="13"/>
  <c r="AA41" i="13"/>
  <c r="O41" i="13"/>
  <c r="J46" i="19" s="1"/>
  <c r="O46" i="19" s="1"/>
  <c r="AE40" i="13"/>
  <c r="AA40" i="13"/>
  <c r="O40" i="13"/>
  <c r="J45" i="19" s="1"/>
  <c r="O45" i="19" s="1"/>
  <c r="AE39" i="13"/>
  <c r="AA39" i="13"/>
  <c r="O39" i="13"/>
  <c r="J44" i="19" s="1"/>
  <c r="O44" i="19" s="1"/>
  <c r="AE38" i="13"/>
  <c r="AA38" i="13"/>
  <c r="O38" i="13"/>
  <c r="J43" i="19" s="1"/>
  <c r="O43" i="19" s="1"/>
  <c r="AE37" i="13"/>
  <c r="AA37" i="13"/>
  <c r="O37" i="13"/>
  <c r="J42" i="19" s="1"/>
  <c r="O42" i="19" s="1"/>
  <c r="AE36" i="13"/>
  <c r="AA36" i="13"/>
  <c r="O36" i="13"/>
  <c r="J41" i="19" s="1"/>
  <c r="O41" i="19" s="1"/>
  <c r="AA35" i="13"/>
  <c r="O35" i="13"/>
  <c r="J40" i="19" s="1"/>
  <c r="O40" i="19" s="1"/>
  <c r="AA34" i="13"/>
  <c r="O34" i="13"/>
  <c r="J39" i="19" s="1"/>
  <c r="O39" i="19" s="1"/>
  <c r="AA33" i="13"/>
  <c r="O33" i="13"/>
  <c r="J38" i="19" s="1"/>
  <c r="O38" i="19" s="1"/>
  <c r="AA32" i="13"/>
  <c r="O32" i="13"/>
  <c r="J37" i="19" s="1"/>
  <c r="O37" i="19" s="1"/>
  <c r="AA31" i="13"/>
  <c r="O31" i="13"/>
  <c r="J36" i="19" s="1"/>
  <c r="O36" i="19" s="1"/>
  <c r="AA30" i="13"/>
  <c r="O30" i="13"/>
  <c r="J35" i="19" s="1"/>
  <c r="O35" i="19" s="1"/>
  <c r="AA29" i="13"/>
  <c r="O29" i="13"/>
  <c r="J34" i="19" s="1"/>
  <c r="O34" i="19" s="1"/>
  <c r="AA28" i="13"/>
  <c r="O28" i="13"/>
  <c r="J33" i="19" s="1"/>
  <c r="O33" i="19" s="1"/>
  <c r="AA27" i="13"/>
  <c r="O27" i="13"/>
  <c r="J32" i="19" s="1"/>
  <c r="O32" i="19" s="1"/>
  <c r="AA26" i="13"/>
  <c r="O26" i="13"/>
  <c r="J31" i="19" s="1"/>
  <c r="O31" i="19" s="1"/>
  <c r="AA25" i="13"/>
  <c r="O25" i="13"/>
  <c r="J30" i="19" s="1"/>
  <c r="O30" i="19" s="1"/>
  <c r="AA24" i="13"/>
  <c r="O24" i="13"/>
  <c r="J29" i="19" s="1"/>
  <c r="O29" i="19" s="1"/>
  <c r="AA23" i="13"/>
  <c r="O23" i="13"/>
  <c r="J28" i="19" s="1"/>
  <c r="O28" i="19" s="1"/>
  <c r="AA22" i="13"/>
  <c r="O22" i="13"/>
  <c r="J27" i="19" s="1"/>
  <c r="O27" i="19" s="1"/>
  <c r="AE21" i="13"/>
  <c r="AA21" i="13"/>
  <c r="O21" i="13"/>
  <c r="J26" i="19" s="1"/>
  <c r="O26" i="19" s="1"/>
  <c r="AE20" i="13"/>
  <c r="AA20" i="13"/>
  <c r="O20" i="13"/>
  <c r="J25" i="19" s="1"/>
  <c r="O25" i="19" s="1"/>
  <c r="AE19" i="13"/>
  <c r="AA19" i="13"/>
  <c r="O19" i="13"/>
  <c r="J24" i="19" s="1"/>
  <c r="O24" i="19" s="1"/>
  <c r="AE18" i="13"/>
  <c r="AA18" i="13"/>
  <c r="O18" i="13"/>
  <c r="J23" i="19" s="1"/>
  <c r="O23" i="19" s="1"/>
  <c r="AE17" i="13"/>
  <c r="AA17" i="13"/>
  <c r="O17" i="13"/>
  <c r="J22" i="19" s="1"/>
  <c r="O22" i="19" s="1"/>
  <c r="AE16" i="13"/>
  <c r="AA16" i="13"/>
  <c r="AE15" i="13"/>
  <c r="AA15" i="13"/>
  <c r="O15" i="13"/>
  <c r="J20" i="19" s="1"/>
  <c r="O20" i="19" s="1"/>
  <c r="AE14" i="13"/>
  <c r="AA14" i="13"/>
  <c r="O14" i="13"/>
  <c r="J19" i="19" s="1"/>
  <c r="O19" i="19" s="1"/>
  <c r="AE13" i="13"/>
  <c r="AA13" i="13"/>
  <c r="O13" i="13"/>
  <c r="J18" i="19" s="1"/>
  <c r="O18" i="19" s="1"/>
  <c r="AE12" i="13"/>
  <c r="AA12" i="13"/>
  <c r="O12" i="13"/>
  <c r="J17" i="19" s="1"/>
  <c r="O17" i="19" s="1"/>
  <c r="AE11" i="13"/>
  <c r="AA11" i="13"/>
  <c r="O11" i="13"/>
  <c r="J16" i="19" s="1"/>
  <c r="O16" i="19" s="1"/>
  <c r="AE10" i="13"/>
  <c r="AA10" i="13"/>
  <c r="O10" i="13"/>
  <c r="J15" i="19" s="1"/>
  <c r="O15" i="19" s="1"/>
  <c r="AE9" i="13"/>
  <c r="AA9" i="13"/>
  <c r="O9" i="13"/>
  <c r="J14" i="19" s="1"/>
  <c r="O14" i="19" s="1"/>
  <c r="AE8" i="13"/>
  <c r="AA8" i="13"/>
  <c r="O8" i="13"/>
  <c r="J13" i="19" s="1"/>
  <c r="O13" i="19" s="1"/>
  <c r="AE7" i="13"/>
  <c r="AA7" i="13"/>
  <c r="O7" i="13"/>
  <c r="J12" i="19" s="1"/>
  <c r="O12" i="19" s="1"/>
  <c r="AE6" i="13"/>
  <c r="AA6" i="13"/>
  <c r="O6" i="13"/>
  <c r="J11" i="19" s="1"/>
  <c r="B3" i="13"/>
  <c r="C159" i="11"/>
  <c r="C157" i="11"/>
  <c r="C158" i="11" s="1"/>
  <c r="D156" i="11"/>
  <c r="E156" i="11" s="1"/>
  <c r="D155" i="11"/>
  <c r="E155" i="11" s="1"/>
  <c r="AB150" i="11"/>
  <c r="Y150" i="11"/>
  <c r="Y154" i="11" s="1"/>
  <c r="X150" i="11"/>
  <c r="X154" i="11" s="1"/>
  <c r="W150" i="11"/>
  <c r="V150" i="11"/>
  <c r="U150" i="11"/>
  <c r="U154" i="11" s="1"/>
  <c r="T150" i="11"/>
  <c r="T154" i="11" s="1"/>
  <c r="S150" i="11"/>
  <c r="R150" i="11"/>
  <c r="R154" i="11" s="1"/>
  <c r="Q150" i="11"/>
  <c r="Q154" i="11" s="1"/>
  <c r="P150" i="11"/>
  <c r="P154" i="11" s="1"/>
  <c r="N150" i="11"/>
  <c r="N152" i="11" s="1"/>
  <c r="M150" i="11"/>
  <c r="M152" i="11" s="1"/>
  <c r="L150" i="11"/>
  <c r="L152" i="11" s="1"/>
  <c r="K150" i="11"/>
  <c r="AG149" i="11"/>
  <c r="O149" i="11"/>
  <c r="AG148" i="11"/>
  <c r="O148" i="11"/>
  <c r="AG147" i="11"/>
  <c r="O147" i="11"/>
  <c r="AG146" i="11"/>
  <c r="O146" i="11"/>
  <c r="AG145" i="11"/>
  <c r="O145" i="11"/>
  <c r="AG144" i="11"/>
  <c r="O144" i="11"/>
  <c r="AG143" i="11"/>
  <c r="O143" i="11"/>
  <c r="AG142" i="11"/>
  <c r="O142" i="11"/>
  <c r="AG141" i="11"/>
  <c r="O141" i="11"/>
  <c r="AG140" i="11"/>
  <c r="O140" i="11"/>
  <c r="AG139" i="11"/>
  <c r="O139" i="11"/>
  <c r="AG138" i="11"/>
  <c r="O138" i="11"/>
  <c r="AG137" i="11"/>
  <c r="O137" i="11"/>
  <c r="AG136" i="11"/>
  <c r="O136" i="11"/>
  <c r="AG135" i="11"/>
  <c r="O135" i="11"/>
  <c r="AG134" i="11"/>
  <c r="O134" i="11"/>
  <c r="AG133" i="11"/>
  <c r="O133" i="11"/>
  <c r="AG132" i="11"/>
  <c r="O132" i="11"/>
  <c r="AG131" i="11"/>
  <c r="O131" i="11"/>
  <c r="AG130" i="11"/>
  <c r="O130" i="11"/>
  <c r="AG129" i="11"/>
  <c r="O129" i="11"/>
  <c r="AG128" i="11"/>
  <c r="O128" i="11"/>
  <c r="AG127" i="11"/>
  <c r="O127" i="11"/>
  <c r="AG126" i="11"/>
  <c r="O126" i="11"/>
  <c r="AG125" i="11"/>
  <c r="O125" i="11"/>
  <c r="AG124" i="11"/>
  <c r="O124" i="11"/>
  <c r="AG123" i="11"/>
  <c r="O123" i="11"/>
  <c r="AG122" i="11"/>
  <c r="O122" i="11"/>
  <c r="AG121" i="11"/>
  <c r="O121" i="11"/>
  <c r="AG120" i="11"/>
  <c r="O120" i="11"/>
  <c r="AG119" i="11"/>
  <c r="O119" i="11"/>
  <c r="AG118" i="11"/>
  <c r="O118" i="11"/>
  <c r="AG117" i="11"/>
  <c r="O117" i="11"/>
  <c r="AG116" i="11"/>
  <c r="O116" i="11"/>
  <c r="AG115" i="11"/>
  <c r="O115" i="11"/>
  <c r="AG114" i="11"/>
  <c r="O114" i="11"/>
  <c r="AG113" i="11"/>
  <c r="O113" i="11"/>
  <c r="AG112" i="11"/>
  <c r="O112" i="11"/>
  <c r="AG111" i="11"/>
  <c r="O111" i="11"/>
  <c r="AG110" i="11"/>
  <c r="O110" i="11"/>
  <c r="AG109" i="11"/>
  <c r="O109" i="11"/>
  <c r="AG108" i="11"/>
  <c r="O108" i="11"/>
  <c r="AG107" i="11"/>
  <c r="O107" i="11"/>
  <c r="AG106" i="11"/>
  <c r="O106" i="11"/>
  <c r="AG105" i="11"/>
  <c r="O105" i="11"/>
  <c r="AG104" i="11"/>
  <c r="O104" i="11"/>
  <c r="AG103" i="11"/>
  <c r="O103" i="11"/>
  <c r="AG102" i="11"/>
  <c r="O102" i="11"/>
  <c r="AG101" i="11"/>
  <c r="O101" i="11"/>
  <c r="AG100" i="11"/>
  <c r="O100" i="11"/>
  <c r="AG99" i="11"/>
  <c r="O99" i="11"/>
  <c r="AG98" i="11"/>
  <c r="O98" i="11"/>
  <c r="AG97" i="11"/>
  <c r="O97" i="11"/>
  <c r="AG96" i="11"/>
  <c r="O96" i="11"/>
  <c r="AG95" i="11"/>
  <c r="O95" i="11"/>
  <c r="AG94" i="11"/>
  <c r="O94" i="11"/>
  <c r="AG93" i="11"/>
  <c r="O93" i="11"/>
  <c r="AG92" i="11"/>
  <c r="O92" i="11"/>
  <c r="AG91" i="11"/>
  <c r="O91" i="11"/>
  <c r="O90" i="11"/>
  <c r="O89" i="11"/>
  <c r="O88" i="11"/>
  <c r="O87" i="11"/>
  <c r="AG86" i="11"/>
  <c r="O86" i="11"/>
  <c r="AG85" i="11"/>
  <c r="O85" i="11"/>
  <c r="AG84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AG72" i="11"/>
  <c r="O72" i="11"/>
  <c r="AG71" i="11"/>
  <c r="O71" i="11"/>
  <c r="AG70" i="11"/>
  <c r="O70" i="11"/>
  <c r="O69" i="11"/>
  <c r="O68" i="11"/>
  <c r="AG67" i="11"/>
  <c r="O67" i="11"/>
  <c r="O66" i="11"/>
  <c r="O65" i="11"/>
  <c r="O64" i="11"/>
  <c r="AG63" i="11"/>
  <c r="O63" i="11"/>
  <c r="AG62" i="11"/>
  <c r="O62" i="11"/>
  <c r="AG61" i="11"/>
  <c r="O61" i="11"/>
  <c r="AG60" i="11"/>
  <c r="O60" i="11"/>
  <c r="AG59" i="11"/>
  <c r="O59" i="11"/>
  <c r="AG58" i="11"/>
  <c r="O58" i="11"/>
  <c r="AG57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AG45" i="11"/>
  <c r="O45" i="11"/>
  <c r="AG44" i="11"/>
  <c r="O44" i="11"/>
  <c r="AG43" i="11"/>
  <c r="O43" i="11"/>
  <c r="AG42" i="11"/>
  <c r="O42" i="11"/>
  <c r="AG41" i="11"/>
  <c r="O41" i="11"/>
  <c r="AG40" i="11"/>
  <c r="O40" i="11"/>
  <c r="AG39" i="11"/>
  <c r="O39" i="11"/>
  <c r="AG38" i="11"/>
  <c r="O38" i="11"/>
  <c r="AG37" i="11"/>
  <c r="O37" i="11"/>
  <c r="AG36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AG21" i="11"/>
  <c r="O21" i="11"/>
  <c r="AG20" i="11"/>
  <c r="O20" i="11"/>
  <c r="AG19" i="11"/>
  <c r="O19" i="11"/>
  <c r="AG18" i="11"/>
  <c r="O18" i="11"/>
  <c r="AG17" i="11"/>
  <c r="O17" i="11"/>
  <c r="AG16" i="11"/>
  <c r="O16" i="11"/>
  <c r="AG15" i="11"/>
  <c r="O15" i="11"/>
  <c r="AG14" i="11"/>
  <c r="O14" i="11"/>
  <c r="AG13" i="11"/>
  <c r="O13" i="11"/>
  <c r="AG12" i="11"/>
  <c r="O12" i="11"/>
  <c r="AG11" i="11"/>
  <c r="O11" i="11"/>
  <c r="AG10" i="11"/>
  <c r="O10" i="11"/>
  <c r="AG9" i="11"/>
  <c r="O9" i="11"/>
  <c r="AG8" i="11"/>
  <c r="O8" i="11"/>
  <c r="AG7" i="11"/>
  <c r="O7" i="11"/>
  <c r="AG6" i="11"/>
  <c r="O6" i="11"/>
  <c r="B3" i="11"/>
  <c r="D159" i="9"/>
  <c r="D158" i="9"/>
  <c r="E156" i="9"/>
  <c r="F156" i="9" s="1"/>
  <c r="E155" i="9"/>
  <c r="F155" i="9" s="1"/>
  <c r="AA150" i="9"/>
  <c r="AA151" i="9" s="1"/>
  <c r="Z150" i="9"/>
  <c r="Z156" i="9" s="1"/>
  <c r="Y150" i="9"/>
  <c r="Y156" i="9" s="1"/>
  <c r="X150" i="9"/>
  <c r="X156" i="9" s="1"/>
  <c r="W150" i="9"/>
  <c r="W156" i="9" s="1"/>
  <c r="V150" i="9"/>
  <c r="V156" i="9" s="1"/>
  <c r="U150" i="9"/>
  <c r="T150" i="9"/>
  <c r="S150" i="9"/>
  <c r="R150" i="9"/>
  <c r="R156" i="9" s="1"/>
  <c r="Q150" i="9"/>
  <c r="Q152" i="9" s="1"/>
  <c r="O152" i="9"/>
  <c r="N150" i="9"/>
  <c r="N152" i="9" s="1"/>
  <c r="M150" i="9"/>
  <c r="L150" i="9"/>
  <c r="L152" i="9" s="1"/>
  <c r="K150" i="9"/>
  <c r="K152" i="9" s="1"/>
  <c r="AF149" i="9"/>
  <c r="AB149" i="9"/>
  <c r="P149" i="9"/>
  <c r="AF148" i="9"/>
  <c r="AB148" i="9"/>
  <c r="P148" i="9"/>
  <c r="AF147" i="9"/>
  <c r="AB147" i="9"/>
  <c r="P147" i="9"/>
  <c r="AF146" i="9"/>
  <c r="AB146" i="9"/>
  <c r="P146" i="9"/>
  <c r="AF145" i="9"/>
  <c r="AB145" i="9"/>
  <c r="P145" i="9"/>
  <c r="AF144" i="9"/>
  <c r="AB144" i="9"/>
  <c r="P144" i="9"/>
  <c r="AF143" i="9"/>
  <c r="AB143" i="9"/>
  <c r="P143" i="9"/>
  <c r="AF142" i="9"/>
  <c r="AB142" i="9"/>
  <c r="P142" i="9"/>
  <c r="AF141" i="9"/>
  <c r="AB141" i="9"/>
  <c r="P141" i="9"/>
  <c r="AF140" i="9"/>
  <c r="AB140" i="9"/>
  <c r="P140" i="9"/>
  <c r="AF139" i="9"/>
  <c r="AB139" i="9"/>
  <c r="P139" i="9"/>
  <c r="AF138" i="9"/>
  <c r="AB138" i="9"/>
  <c r="P138" i="9"/>
  <c r="AF137" i="9"/>
  <c r="AB137" i="9"/>
  <c r="P137" i="9"/>
  <c r="AF136" i="9"/>
  <c r="AB136" i="9"/>
  <c r="P136" i="9"/>
  <c r="AF135" i="9"/>
  <c r="AB135" i="9"/>
  <c r="P135" i="9"/>
  <c r="AF134" i="9"/>
  <c r="AB134" i="9"/>
  <c r="P134" i="9"/>
  <c r="AF133" i="9"/>
  <c r="AB133" i="9"/>
  <c r="P133" i="9"/>
  <c r="AF132" i="9"/>
  <c r="AB132" i="9"/>
  <c r="P132" i="9"/>
  <c r="AF131" i="9"/>
  <c r="AB131" i="9"/>
  <c r="P131" i="9"/>
  <c r="AF130" i="9"/>
  <c r="AB130" i="9"/>
  <c r="P130" i="9"/>
  <c r="AF129" i="9"/>
  <c r="AB129" i="9"/>
  <c r="P129" i="9"/>
  <c r="AF128" i="9"/>
  <c r="AB128" i="9"/>
  <c r="P128" i="9"/>
  <c r="AF127" i="9"/>
  <c r="AB127" i="9"/>
  <c r="P127" i="9"/>
  <c r="AF126" i="9"/>
  <c r="AB126" i="9"/>
  <c r="P126" i="9"/>
  <c r="AF125" i="9"/>
  <c r="AB125" i="9"/>
  <c r="P125" i="9"/>
  <c r="AF124" i="9"/>
  <c r="AB124" i="9"/>
  <c r="P124" i="9"/>
  <c r="AF123" i="9"/>
  <c r="AB123" i="9"/>
  <c r="P123" i="9"/>
  <c r="AF122" i="9"/>
  <c r="AB122" i="9"/>
  <c r="P122" i="9"/>
  <c r="AF121" i="9"/>
  <c r="AB121" i="9"/>
  <c r="P121" i="9"/>
  <c r="AF120" i="9"/>
  <c r="AB120" i="9"/>
  <c r="P120" i="9"/>
  <c r="AF119" i="9"/>
  <c r="AB119" i="9"/>
  <c r="P119" i="9"/>
  <c r="AF118" i="9"/>
  <c r="AB118" i="9"/>
  <c r="P118" i="9"/>
  <c r="AF117" i="9"/>
  <c r="AB117" i="9"/>
  <c r="P117" i="9"/>
  <c r="AF116" i="9"/>
  <c r="AB116" i="9"/>
  <c r="P116" i="9"/>
  <c r="AF115" i="9"/>
  <c r="AB115" i="9"/>
  <c r="P115" i="9"/>
  <c r="AF114" i="9"/>
  <c r="AB114" i="9"/>
  <c r="P114" i="9"/>
  <c r="AF113" i="9"/>
  <c r="AB113" i="9"/>
  <c r="P113" i="9"/>
  <c r="AF112" i="9"/>
  <c r="AB112" i="9"/>
  <c r="P112" i="9"/>
  <c r="AF111" i="9"/>
  <c r="AB111" i="9"/>
  <c r="P111" i="9"/>
  <c r="AF110" i="9"/>
  <c r="AB110" i="9"/>
  <c r="P110" i="9"/>
  <c r="AF109" i="9"/>
  <c r="AB109" i="9"/>
  <c r="P109" i="9"/>
  <c r="AF108" i="9"/>
  <c r="AB108" i="9"/>
  <c r="P108" i="9"/>
  <c r="AF107" i="9"/>
  <c r="AB107" i="9"/>
  <c r="P107" i="9"/>
  <c r="AF106" i="9"/>
  <c r="AB106" i="9"/>
  <c r="P106" i="9"/>
  <c r="AF105" i="9"/>
  <c r="AB105" i="9"/>
  <c r="P105" i="9"/>
  <c r="AF104" i="9"/>
  <c r="AB104" i="9"/>
  <c r="P104" i="9"/>
  <c r="AF103" i="9"/>
  <c r="AB103" i="9"/>
  <c r="P103" i="9"/>
  <c r="AF102" i="9"/>
  <c r="AB102" i="9"/>
  <c r="AF101" i="9"/>
  <c r="AB101" i="9"/>
  <c r="AF100" i="9"/>
  <c r="AB100" i="9"/>
  <c r="AF99" i="9"/>
  <c r="AB99" i="9"/>
  <c r="AF98" i="9"/>
  <c r="AB98" i="9"/>
  <c r="P98" i="9"/>
  <c r="AF97" i="9"/>
  <c r="AB97" i="9"/>
  <c r="P97" i="9"/>
  <c r="AF96" i="9"/>
  <c r="AB96" i="9"/>
  <c r="P96" i="9"/>
  <c r="AF95" i="9"/>
  <c r="AB95" i="9"/>
  <c r="P95" i="9"/>
  <c r="AF94" i="9"/>
  <c r="AB94" i="9"/>
  <c r="P94" i="9"/>
  <c r="AF93" i="9"/>
  <c r="AB93" i="9"/>
  <c r="P93" i="9"/>
  <c r="AF92" i="9"/>
  <c r="AB92" i="9"/>
  <c r="P92" i="9"/>
  <c r="AF91" i="9"/>
  <c r="AB91" i="9"/>
  <c r="AB90" i="9"/>
  <c r="P90" i="9"/>
  <c r="AB89" i="9"/>
  <c r="P89" i="9"/>
  <c r="AB88" i="9"/>
  <c r="P88" i="9"/>
  <c r="AB87" i="9"/>
  <c r="P87" i="9"/>
  <c r="AF86" i="9"/>
  <c r="AB86" i="9"/>
  <c r="P86" i="9"/>
  <c r="AF85" i="9"/>
  <c r="AB85" i="9"/>
  <c r="P85" i="9"/>
  <c r="AF84" i="9"/>
  <c r="AB84" i="9"/>
  <c r="P84" i="9"/>
  <c r="AB83" i="9"/>
  <c r="P83" i="9"/>
  <c r="AB82" i="9"/>
  <c r="P82" i="9"/>
  <c r="AB81" i="9"/>
  <c r="P81" i="9"/>
  <c r="AB80" i="9"/>
  <c r="P80" i="9"/>
  <c r="AB79" i="9"/>
  <c r="P79" i="9"/>
  <c r="AB78" i="9"/>
  <c r="P78" i="9"/>
  <c r="AB77" i="9"/>
  <c r="P77" i="9"/>
  <c r="AB76" i="9"/>
  <c r="P76" i="9"/>
  <c r="AB75" i="9"/>
  <c r="P75" i="9"/>
  <c r="AB74" i="9"/>
  <c r="P74" i="9"/>
  <c r="AB73" i="9"/>
  <c r="P73" i="9"/>
  <c r="AF72" i="9"/>
  <c r="AB72" i="9"/>
  <c r="P72" i="9"/>
  <c r="AF71" i="9"/>
  <c r="AB71" i="9"/>
  <c r="P71" i="9"/>
  <c r="AF70" i="9"/>
  <c r="AB70" i="9"/>
  <c r="P70" i="9"/>
  <c r="AB69" i="9"/>
  <c r="P69" i="9"/>
  <c r="AB68" i="9"/>
  <c r="P68" i="9"/>
  <c r="AF67" i="9"/>
  <c r="AB67" i="9"/>
  <c r="P67" i="9"/>
  <c r="AB66" i="9"/>
  <c r="P66" i="9"/>
  <c r="AB65" i="9"/>
  <c r="P65" i="9"/>
  <c r="AB64" i="9"/>
  <c r="P64" i="9"/>
  <c r="AF63" i="9"/>
  <c r="AB63" i="9"/>
  <c r="P63" i="9"/>
  <c r="AF62" i="9"/>
  <c r="AB62" i="9"/>
  <c r="P62" i="9"/>
  <c r="AF61" i="9"/>
  <c r="AB61" i="9"/>
  <c r="P61" i="9"/>
  <c r="AF60" i="9"/>
  <c r="AB60" i="9"/>
  <c r="P60" i="9"/>
  <c r="AF59" i="9"/>
  <c r="AB59" i="9"/>
  <c r="P59" i="9"/>
  <c r="AF58" i="9"/>
  <c r="AB58" i="9"/>
  <c r="P58" i="9"/>
  <c r="AF57" i="9"/>
  <c r="AB57" i="9"/>
  <c r="P57" i="9"/>
  <c r="AB56" i="9"/>
  <c r="P56" i="9"/>
  <c r="AB55" i="9"/>
  <c r="P55" i="9"/>
  <c r="AB54" i="9"/>
  <c r="P54" i="9"/>
  <c r="AB53" i="9"/>
  <c r="P53" i="9"/>
  <c r="AB52" i="9"/>
  <c r="P52" i="9"/>
  <c r="AB51" i="9"/>
  <c r="P51" i="9"/>
  <c r="AB50" i="9"/>
  <c r="P50" i="9"/>
  <c r="AB49" i="9"/>
  <c r="P49" i="9"/>
  <c r="AB48" i="9"/>
  <c r="P48" i="9"/>
  <c r="AB47" i="9"/>
  <c r="P47" i="9"/>
  <c r="AB46" i="9"/>
  <c r="P46" i="9"/>
  <c r="AF45" i="9"/>
  <c r="AB45" i="9"/>
  <c r="P45" i="9"/>
  <c r="AF44" i="9"/>
  <c r="AB44" i="9"/>
  <c r="P44" i="9"/>
  <c r="AF43" i="9"/>
  <c r="AB43" i="9"/>
  <c r="P43" i="9"/>
  <c r="AF42" i="9"/>
  <c r="AB42" i="9"/>
  <c r="P42" i="9"/>
  <c r="AF41" i="9"/>
  <c r="AB41" i="9"/>
  <c r="P41" i="9"/>
  <c r="AF40" i="9"/>
  <c r="AB40" i="9"/>
  <c r="P40" i="9"/>
  <c r="AF39" i="9"/>
  <c r="AB39" i="9"/>
  <c r="P39" i="9"/>
  <c r="AF38" i="9"/>
  <c r="AB38" i="9"/>
  <c r="P38" i="9"/>
  <c r="AF37" i="9"/>
  <c r="AB37" i="9"/>
  <c r="P37" i="9"/>
  <c r="AF36" i="9"/>
  <c r="AB36" i="9"/>
  <c r="P36" i="9"/>
  <c r="AB35" i="9"/>
  <c r="P35" i="9"/>
  <c r="AB34" i="9"/>
  <c r="P34" i="9"/>
  <c r="AB33" i="9"/>
  <c r="P33" i="9"/>
  <c r="AB32" i="9"/>
  <c r="P32" i="9"/>
  <c r="AB31" i="9"/>
  <c r="P31" i="9"/>
  <c r="AB30" i="9"/>
  <c r="P30" i="9"/>
  <c r="AB29" i="9"/>
  <c r="P29" i="9"/>
  <c r="AB28" i="9"/>
  <c r="P28" i="9"/>
  <c r="AB27" i="9"/>
  <c r="P27" i="9"/>
  <c r="AB26" i="9"/>
  <c r="P26" i="9"/>
  <c r="AB25" i="9"/>
  <c r="P25" i="9"/>
  <c r="AB24" i="9"/>
  <c r="P24" i="9"/>
  <c r="AB23" i="9"/>
  <c r="P23" i="9"/>
  <c r="AB22" i="9"/>
  <c r="P22" i="9"/>
  <c r="AF21" i="9"/>
  <c r="AB21" i="9"/>
  <c r="P21" i="9"/>
  <c r="AF20" i="9"/>
  <c r="AB20" i="9"/>
  <c r="P20" i="9"/>
  <c r="AF19" i="9"/>
  <c r="AB19" i="9"/>
  <c r="P19" i="9"/>
  <c r="AF18" i="9"/>
  <c r="AB18" i="9"/>
  <c r="P18" i="9"/>
  <c r="AF17" i="9"/>
  <c r="AB17" i="9"/>
  <c r="P17" i="9"/>
  <c r="AF16" i="9"/>
  <c r="AB16" i="9"/>
  <c r="P16" i="9"/>
  <c r="AF15" i="9"/>
  <c r="AB15" i="9"/>
  <c r="P15" i="9"/>
  <c r="AF14" i="9"/>
  <c r="AB14" i="9"/>
  <c r="P14" i="9"/>
  <c r="AF13" i="9"/>
  <c r="AB13" i="9"/>
  <c r="P13" i="9"/>
  <c r="AF12" i="9"/>
  <c r="AB12" i="9"/>
  <c r="P12" i="9"/>
  <c r="AF11" i="9"/>
  <c r="AB11" i="9"/>
  <c r="P11" i="9"/>
  <c r="AF10" i="9"/>
  <c r="AB10" i="9"/>
  <c r="P10" i="9"/>
  <c r="AF9" i="9"/>
  <c r="AB9" i="9"/>
  <c r="P9" i="9"/>
  <c r="AF8" i="9"/>
  <c r="AB8" i="9"/>
  <c r="P8" i="9"/>
  <c r="AF7" i="9"/>
  <c r="AB7" i="9"/>
  <c r="P7" i="9"/>
  <c r="AF6" i="9"/>
  <c r="AB6" i="9"/>
  <c r="P6" i="9"/>
  <c r="C3" i="9"/>
  <c r="AA150" i="8"/>
  <c r="AA151" i="8" s="1"/>
  <c r="Z150" i="8"/>
  <c r="X150" i="8"/>
  <c r="W150" i="8"/>
  <c r="V150" i="8"/>
  <c r="U150" i="8"/>
  <c r="T150" i="8"/>
  <c r="S150" i="8"/>
  <c r="R150" i="8"/>
  <c r="Q150" i="8"/>
  <c r="O150" i="8"/>
  <c r="O152" i="8" s="1"/>
  <c r="N150" i="8"/>
  <c r="N152" i="8" s="1"/>
  <c r="M150" i="8"/>
  <c r="M152" i="8" s="1"/>
  <c r="L152" i="8"/>
  <c r="K152" i="8"/>
  <c r="J150" i="8"/>
  <c r="D155" i="8" s="1"/>
  <c r="D157" i="8" s="1"/>
  <c r="AF149" i="8"/>
  <c r="AB149" i="8"/>
  <c r="P149" i="8"/>
  <c r="AF148" i="8"/>
  <c r="AB148" i="8"/>
  <c r="P148" i="8"/>
  <c r="AF147" i="8"/>
  <c r="AB147" i="8"/>
  <c r="P147" i="8"/>
  <c r="AF146" i="8"/>
  <c r="AB146" i="8"/>
  <c r="P146" i="8"/>
  <c r="AF145" i="8"/>
  <c r="AB145" i="8"/>
  <c r="P145" i="8"/>
  <c r="AF144" i="8"/>
  <c r="AB144" i="8"/>
  <c r="P144" i="8"/>
  <c r="AF143" i="8"/>
  <c r="AB143" i="8"/>
  <c r="P143" i="8"/>
  <c r="AF142" i="8"/>
  <c r="AB142" i="8"/>
  <c r="P142" i="8"/>
  <c r="AF141" i="8"/>
  <c r="AB141" i="8"/>
  <c r="P141" i="8"/>
  <c r="AF140" i="8"/>
  <c r="AB140" i="8"/>
  <c r="P140" i="8"/>
  <c r="AF139" i="8"/>
  <c r="AB139" i="8"/>
  <c r="P139" i="8"/>
  <c r="AF138" i="8"/>
  <c r="AB138" i="8"/>
  <c r="P138" i="8"/>
  <c r="AF137" i="8"/>
  <c r="AB137" i="8"/>
  <c r="P137" i="8"/>
  <c r="AF136" i="8"/>
  <c r="AB136" i="8"/>
  <c r="P136" i="8"/>
  <c r="AF135" i="8"/>
  <c r="AB135" i="8"/>
  <c r="P135" i="8"/>
  <c r="AF134" i="8"/>
  <c r="AB134" i="8"/>
  <c r="P134" i="8"/>
  <c r="AF133" i="8"/>
  <c r="AB133" i="8"/>
  <c r="P133" i="8"/>
  <c r="AF132" i="8"/>
  <c r="AB132" i="8"/>
  <c r="P132" i="8"/>
  <c r="AF131" i="8"/>
  <c r="AB131" i="8"/>
  <c r="P131" i="8"/>
  <c r="AF130" i="8"/>
  <c r="AB130" i="8"/>
  <c r="P130" i="8"/>
  <c r="AF129" i="8"/>
  <c r="AB129" i="8"/>
  <c r="P129" i="8"/>
  <c r="AF128" i="8"/>
  <c r="AB128" i="8"/>
  <c r="P128" i="8"/>
  <c r="AF127" i="8"/>
  <c r="AB127" i="8"/>
  <c r="P127" i="8"/>
  <c r="AF126" i="8"/>
  <c r="AB126" i="8"/>
  <c r="P126" i="8"/>
  <c r="AF125" i="8"/>
  <c r="AB125" i="8"/>
  <c r="P125" i="8"/>
  <c r="AF124" i="8"/>
  <c r="AB124" i="8"/>
  <c r="P124" i="8"/>
  <c r="AF123" i="8"/>
  <c r="AB123" i="8"/>
  <c r="P123" i="8"/>
  <c r="AF122" i="8"/>
  <c r="AB122" i="8"/>
  <c r="P122" i="8"/>
  <c r="AF121" i="8"/>
  <c r="AB121" i="8"/>
  <c r="P121" i="8"/>
  <c r="AF120" i="8"/>
  <c r="AB120" i="8"/>
  <c r="P120" i="8"/>
  <c r="AF119" i="8"/>
  <c r="AB119" i="8"/>
  <c r="P119" i="8"/>
  <c r="AF118" i="8"/>
  <c r="AB118" i="8"/>
  <c r="P118" i="8"/>
  <c r="AF117" i="8"/>
  <c r="AB117" i="8"/>
  <c r="P117" i="8"/>
  <c r="AF116" i="8"/>
  <c r="AB116" i="8"/>
  <c r="P116" i="8"/>
  <c r="AF115" i="8"/>
  <c r="AB115" i="8"/>
  <c r="P115" i="8"/>
  <c r="AF114" i="8"/>
  <c r="AB114" i="8"/>
  <c r="P114" i="8"/>
  <c r="AF113" i="8"/>
  <c r="AB113" i="8"/>
  <c r="P113" i="8"/>
  <c r="AF112" i="8"/>
  <c r="AB112" i="8"/>
  <c r="P112" i="8"/>
  <c r="AF111" i="8"/>
  <c r="AB111" i="8"/>
  <c r="P111" i="8"/>
  <c r="AF110" i="8"/>
  <c r="AB110" i="8"/>
  <c r="P110" i="8"/>
  <c r="AF109" i="8"/>
  <c r="AB109" i="8"/>
  <c r="P109" i="8"/>
  <c r="AF108" i="8"/>
  <c r="AB108" i="8"/>
  <c r="P108" i="8"/>
  <c r="AF107" i="8"/>
  <c r="AB107" i="8"/>
  <c r="P107" i="8"/>
  <c r="AF106" i="8"/>
  <c r="AB106" i="8"/>
  <c r="P106" i="8"/>
  <c r="AF105" i="8"/>
  <c r="AB105" i="8"/>
  <c r="P105" i="8"/>
  <c r="AF104" i="8"/>
  <c r="AB104" i="8"/>
  <c r="P104" i="8"/>
  <c r="AF103" i="8"/>
  <c r="AB103" i="8"/>
  <c r="P103" i="8"/>
  <c r="AF102" i="8"/>
  <c r="AB102" i="8"/>
  <c r="P102" i="8"/>
  <c r="AF101" i="8"/>
  <c r="AB101" i="8"/>
  <c r="P101" i="8"/>
  <c r="AF100" i="8"/>
  <c r="AB100" i="8"/>
  <c r="P100" i="8"/>
  <c r="AF99" i="8"/>
  <c r="AB99" i="8"/>
  <c r="P99" i="8"/>
  <c r="AF98" i="8"/>
  <c r="AB98" i="8"/>
  <c r="P98" i="8"/>
  <c r="AF97" i="8"/>
  <c r="AB97" i="8"/>
  <c r="P97" i="8"/>
  <c r="AF96" i="8"/>
  <c r="AB96" i="8"/>
  <c r="P96" i="8"/>
  <c r="AF95" i="8"/>
  <c r="AB95" i="8"/>
  <c r="P95" i="8"/>
  <c r="AF94" i="8"/>
  <c r="AB94" i="8"/>
  <c r="P94" i="8"/>
  <c r="AF93" i="8"/>
  <c r="AB93" i="8"/>
  <c r="P93" i="8"/>
  <c r="AF92" i="8"/>
  <c r="AB92" i="8"/>
  <c r="P92" i="8"/>
  <c r="AF91" i="8"/>
  <c r="AB91" i="8"/>
  <c r="P91" i="8"/>
  <c r="AB90" i="8"/>
  <c r="P90" i="8"/>
  <c r="AB89" i="8"/>
  <c r="P89" i="8"/>
  <c r="AB88" i="8"/>
  <c r="P88" i="8"/>
  <c r="AB87" i="8"/>
  <c r="P87" i="8"/>
  <c r="AF86" i="8"/>
  <c r="AB86" i="8"/>
  <c r="P86" i="8"/>
  <c r="AF85" i="8"/>
  <c r="AB85" i="8"/>
  <c r="P85" i="8"/>
  <c r="AF84" i="8"/>
  <c r="AB84" i="8"/>
  <c r="P84" i="8"/>
  <c r="AB83" i="8"/>
  <c r="P83" i="8"/>
  <c r="AB82" i="8"/>
  <c r="P82" i="8"/>
  <c r="AB81" i="8"/>
  <c r="P81" i="8"/>
  <c r="AB80" i="8"/>
  <c r="P80" i="8"/>
  <c r="AB79" i="8"/>
  <c r="P79" i="8"/>
  <c r="AB78" i="8"/>
  <c r="P78" i="8"/>
  <c r="AB77" i="8"/>
  <c r="P77" i="8"/>
  <c r="AB76" i="8"/>
  <c r="P76" i="8"/>
  <c r="AB75" i="8"/>
  <c r="P75" i="8"/>
  <c r="AB74" i="8"/>
  <c r="P74" i="8"/>
  <c r="AB73" i="8"/>
  <c r="P73" i="8"/>
  <c r="AF72" i="8"/>
  <c r="AB72" i="8"/>
  <c r="P72" i="8"/>
  <c r="AF71" i="8"/>
  <c r="AB71" i="8"/>
  <c r="P71" i="8"/>
  <c r="AF70" i="8"/>
  <c r="AB70" i="8"/>
  <c r="P70" i="8"/>
  <c r="AB69" i="8"/>
  <c r="P69" i="8"/>
  <c r="AB68" i="8"/>
  <c r="P68" i="8"/>
  <c r="AF67" i="8"/>
  <c r="AB67" i="8"/>
  <c r="P67" i="8"/>
  <c r="AB66" i="8"/>
  <c r="P66" i="8"/>
  <c r="AB65" i="8"/>
  <c r="P65" i="8"/>
  <c r="AB64" i="8"/>
  <c r="P64" i="8"/>
  <c r="AF63" i="8"/>
  <c r="AB63" i="8"/>
  <c r="P63" i="8"/>
  <c r="AF62" i="8"/>
  <c r="AB62" i="8"/>
  <c r="P62" i="8"/>
  <c r="AF61" i="8"/>
  <c r="AB61" i="8"/>
  <c r="P61" i="8"/>
  <c r="AF60" i="8"/>
  <c r="AB60" i="8"/>
  <c r="P60" i="8"/>
  <c r="AF59" i="8"/>
  <c r="AB59" i="8"/>
  <c r="P59" i="8"/>
  <c r="AF58" i="8"/>
  <c r="AB58" i="8"/>
  <c r="P58" i="8"/>
  <c r="AF57" i="8"/>
  <c r="AB57" i="8"/>
  <c r="P57" i="8"/>
  <c r="AB56" i="8"/>
  <c r="P56" i="8"/>
  <c r="AB55" i="8"/>
  <c r="P55" i="8"/>
  <c r="AB54" i="8"/>
  <c r="P54" i="8"/>
  <c r="AB53" i="8"/>
  <c r="P53" i="8"/>
  <c r="AB52" i="8"/>
  <c r="P52" i="8"/>
  <c r="AB51" i="8"/>
  <c r="P51" i="8"/>
  <c r="AB50" i="8"/>
  <c r="P50" i="8"/>
  <c r="AB49" i="8"/>
  <c r="P49" i="8"/>
  <c r="AB48" i="8"/>
  <c r="P48" i="8"/>
  <c r="AB47" i="8"/>
  <c r="P47" i="8"/>
  <c r="AB46" i="8"/>
  <c r="P46" i="8"/>
  <c r="AF45" i="8"/>
  <c r="AB45" i="8"/>
  <c r="P45" i="8"/>
  <c r="AF44" i="8"/>
  <c r="AB44" i="8"/>
  <c r="P44" i="8"/>
  <c r="AF43" i="8"/>
  <c r="AB43" i="8"/>
  <c r="P43" i="8"/>
  <c r="AF42" i="8"/>
  <c r="AB42" i="8"/>
  <c r="P42" i="8"/>
  <c r="AF41" i="8"/>
  <c r="AB41" i="8"/>
  <c r="P41" i="8"/>
  <c r="AF40" i="8"/>
  <c r="AB40" i="8"/>
  <c r="P40" i="8"/>
  <c r="AF39" i="8"/>
  <c r="AB39" i="8"/>
  <c r="P39" i="8"/>
  <c r="AF38" i="8"/>
  <c r="AB38" i="8"/>
  <c r="P38" i="8"/>
  <c r="AF37" i="8"/>
  <c r="AB37" i="8"/>
  <c r="P37" i="8"/>
  <c r="AF36" i="8"/>
  <c r="AB36" i="8"/>
  <c r="P36" i="8"/>
  <c r="AB35" i="8"/>
  <c r="P35" i="8"/>
  <c r="AB34" i="8"/>
  <c r="P34" i="8"/>
  <c r="AB33" i="8"/>
  <c r="P33" i="8"/>
  <c r="AB32" i="8"/>
  <c r="P32" i="8"/>
  <c r="AB31" i="8"/>
  <c r="P31" i="8"/>
  <c r="AB30" i="8"/>
  <c r="P30" i="8"/>
  <c r="AB29" i="8"/>
  <c r="P29" i="8"/>
  <c r="AB28" i="8"/>
  <c r="P28" i="8"/>
  <c r="AB27" i="8"/>
  <c r="P27" i="8"/>
  <c r="AB26" i="8"/>
  <c r="P26" i="8"/>
  <c r="AB25" i="8"/>
  <c r="P25" i="8"/>
  <c r="AB24" i="8"/>
  <c r="P24" i="8"/>
  <c r="AB23" i="8"/>
  <c r="P23" i="8"/>
  <c r="AB22" i="8"/>
  <c r="P22" i="8"/>
  <c r="AF21" i="8"/>
  <c r="AB21" i="8"/>
  <c r="P21" i="8"/>
  <c r="AF20" i="8"/>
  <c r="AB20" i="8"/>
  <c r="P20" i="8"/>
  <c r="AF19" i="8"/>
  <c r="AB19" i="8"/>
  <c r="P19" i="8"/>
  <c r="AF18" i="8"/>
  <c r="AB18" i="8"/>
  <c r="P18" i="8"/>
  <c r="AF17" i="8"/>
  <c r="AB17" i="8"/>
  <c r="P17" i="8"/>
  <c r="AF16" i="8"/>
  <c r="AB16" i="8"/>
  <c r="P16" i="8"/>
  <c r="AF15" i="8"/>
  <c r="AB15" i="8"/>
  <c r="P15" i="8"/>
  <c r="AF14" i="8"/>
  <c r="AB14" i="8"/>
  <c r="P14" i="8"/>
  <c r="AF13" i="8"/>
  <c r="AB13" i="8"/>
  <c r="P13" i="8"/>
  <c r="AF12" i="8"/>
  <c r="AB12" i="8"/>
  <c r="P12" i="8"/>
  <c r="AF11" i="8"/>
  <c r="AB11" i="8"/>
  <c r="P11" i="8"/>
  <c r="AF10" i="8"/>
  <c r="AB10" i="8"/>
  <c r="P10" i="8"/>
  <c r="AF9" i="8"/>
  <c r="AB9" i="8"/>
  <c r="P9" i="8"/>
  <c r="AF8" i="8"/>
  <c r="AB8" i="8"/>
  <c r="P8" i="8"/>
  <c r="AF7" i="8"/>
  <c r="AB7" i="8"/>
  <c r="P7" i="8"/>
  <c r="AF6" i="8"/>
  <c r="AB6" i="8"/>
  <c r="P6" i="8"/>
  <c r="C3" i="8"/>
  <c r="D156" i="2"/>
  <c r="E156" i="2" s="1"/>
  <c r="D155" i="2"/>
  <c r="E155" i="2" s="1"/>
  <c r="C159" i="2"/>
  <c r="C157" i="2"/>
  <c r="C158" i="2" s="1"/>
  <c r="E156" i="13" l="1"/>
  <c r="AA154" i="19"/>
  <c r="AE154" i="19"/>
  <c r="AA153" i="19"/>
  <c r="AE153" i="19"/>
  <c r="AE152" i="19"/>
  <c r="AA152" i="19"/>
  <c r="AA151" i="19"/>
  <c r="AE151" i="19"/>
  <c r="AA150" i="19"/>
  <c r="AE150" i="19"/>
  <c r="AE149" i="19"/>
  <c r="AA149" i="19"/>
  <c r="AE148" i="19"/>
  <c r="AA148" i="19"/>
  <c r="AA147" i="19"/>
  <c r="AE147" i="19"/>
  <c r="AA146" i="19"/>
  <c r="AE146" i="19"/>
  <c r="AE145" i="19"/>
  <c r="AA145" i="19"/>
  <c r="AA144" i="19"/>
  <c r="AE144" i="19"/>
  <c r="AE143" i="19"/>
  <c r="AA143" i="19"/>
  <c r="AA142" i="19"/>
  <c r="AE142" i="19"/>
  <c r="AE141" i="19"/>
  <c r="AA141" i="19"/>
  <c r="AA140" i="19"/>
  <c r="AE140" i="19"/>
  <c r="AA139" i="19"/>
  <c r="AE139" i="19"/>
  <c r="AE138" i="19"/>
  <c r="AA138" i="19"/>
  <c r="AE137" i="19"/>
  <c r="AA137" i="19"/>
  <c r="AE136" i="19"/>
  <c r="AA136" i="19"/>
  <c r="AA135" i="19"/>
  <c r="AE135" i="19"/>
  <c r="AA134" i="19"/>
  <c r="AE134" i="19"/>
  <c r="AA133" i="19"/>
  <c r="AE133" i="19"/>
  <c r="AA132" i="19"/>
  <c r="AE132" i="19"/>
  <c r="AA131" i="19"/>
  <c r="AE131" i="19"/>
  <c r="AE130" i="19"/>
  <c r="AA130" i="19"/>
  <c r="AE129" i="19"/>
  <c r="AA129" i="19"/>
  <c r="AA128" i="19"/>
  <c r="AE128" i="19"/>
  <c r="AE127" i="19"/>
  <c r="AA127" i="19"/>
  <c r="AE126" i="19"/>
  <c r="AA126" i="19"/>
  <c r="AA125" i="19"/>
  <c r="AE125" i="19"/>
  <c r="AA124" i="19"/>
  <c r="AE124" i="19"/>
  <c r="AE123" i="19"/>
  <c r="AA123" i="19"/>
  <c r="AE122" i="19"/>
  <c r="AA122" i="19"/>
  <c r="AE121" i="19"/>
  <c r="AA121" i="19"/>
  <c r="AA120" i="19"/>
  <c r="AE120" i="19"/>
  <c r="AA119" i="19"/>
  <c r="AE119" i="19"/>
  <c r="AE118" i="19"/>
  <c r="AA118" i="19"/>
  <c r="AE117" i="19"/>
  <c r="AA117" i="19"/>
  <c r="AE116" i="19"/>
  <c r="AA116" i="19"/>
  <c r="AA115" i="19"/>
  <c r="AE115" i="19"/>
  <c r="AE114" i="19"/>
  <c r="AA114" i="19"/>
  <c r="AA113" i="19"/>
  <c r="AE113" i="19"/>
  <c r="AA112" i="19"/>
  <c r="AE112" i="19"/>
  <c r="AA111" i="19"/>
  <c r="AE111" i="19"/>
  <c r="AA110" i="19"/>
  <c r="AE110" i="19"/>
  <c r="AE109" i="19"/>
  <c r="AA109" i="19"/>
  <c r="AA108" i="19"/>
  <c r="AE108" i="19"/>
  <c r="AE107" i="19"/>
  <c r="AA107" i="19"/>
  <c r="AA106" i="19"/>
  <c r="AE106" i="19"/>
  <c r="AA105" i="19"/>
  <c r="AE105" i="19"/>
  <c r="AA104" i="19"/>
  <c r="AE104" i="19"/>
  <c r="AA103" i="19"/>
  <c r="AE103" i="19"/>
  <c r="AA102" i="19"/>
  <c r="AE102" i="19"/>
  <c r="AA101" i="19"/>
  <c r="AE101" i="19"/>
  <c r="AE100" i="19"/>
  <c r="AA100" i="19"/>
  <c r="AA99" i="19"/>
  <c r="AE99" i="19"/>
  <c r="AE98" i="19"/>
  <c r="AA98" i="19"/>
  <c r="AA97" i="19"/>
  <c r="AE97" i="19"/>
  <c r="AA96" i="19"/>
  <c r="AE96" i="19"/>
  <c r="AA95" i="19"/>
  <c r="AA94" i="19"/>
  <c r="AA93" i="19"/>
  <c r="AA92" i="19"/>
  <c r="AE91" i="19"/>
  <c r="AA91" i="19"/>
  <c r="AA90" i="19"/>
  <c r="AE90" i="19"/>
  <c r="AE89" i="19"/>
  <c r="AA89" i="19"/>
  <c r="AA88" i="19"/>
  <c r="AA87" i="19"/>
  <c r="AA86" i="19"/>
  <c r="AA85" i="19"/>
  <c r="AA84" i="19"/>
  <c r="AA83" i="19"/>
  <c r="AA82" i="19"/>
  <c r="AA81" i="19"/>
  <c r="AA80" i="19"/>
  <c r="AA79" i="19"/>
  <c r="AA78" i="19"/>
  <c r="AE77" i="19"/>
  <c r="AA77" i="19"/>
  <c r="AA76" i="19"/>
  <c r="AE76" i="19"/>
  <c r="AA75" i="19"/>
  <c r="AE75" i="19"/>
  <c r="AA74" i="19"/>
  <c r="AA73" i="19"/>
  <c r="AE72" i="19"/>
  <c r="AA72" i="19"/>
  <c r="AA71" i="19"/>
  <c r="AA70" i="19"/>
  <c r="AA69" i="19"/>
  <c r="AE68" i="19"/>
  <c r="AA68" i="19"/>
  <c r="AA67" i="19"/>
  <c r="AE67" i="19"/>
  <c r="AA65" i="19"/>
  <c r="AE65" i="19"/>
  <c r="AE64" i="19"/>
  <c r="AA64" i="19"/>
  <c r="AE63" i="19"/>
  <c r="AA63" i="19"/>
  <c r="AE62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E50" i="19"/>
  <c r="AA49" i="19"/>
  <c r="AE49" i="19"/>
  <c r="AE48" i="19"/>
  <c r="AA48" i="19"/>
  <c r="AE47" i="19"/>
  <c r="AA47" i="19"/>
  <c r="AA46" i="19"/>
  <c r="AE46" i="19"/>
  <c r="AE44" i="19"/>
  <c r="AA44" i="19"/>
  <c r="AA43" i="19"/>
  <c r="AE43" i="19"/>
  <c r="AE42" i="19"/>
  <c r="AA42" i="19"/>
  <c r="AE41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E26" i="19"/>
  <c r="AA26" i="19"/>
  <c r="AE25" i="19"/>
  <c r="AA25" i="19"/>
  <c r="AE24" i="19"/>
  <c r="AA24" i="19"/>
  <c r="AE23" i="19"/>
  <c r="AA23" i="19"/>
  <c r="AE22" i="19"/>
  <c r="AA22" i="19"/>
  <c r="AE18" i="19"/>
  <c r="AA18" i="19"/>
  <c r="AE16" i="19"/>
  <c r="AA16" i="19"/>
  <c r="AE14" i="19"/>
  <c r="AA14" i="19"/>
  <c r="AE13" i="19"/>
  <c r="AA13" i="19"/>
  <c r="AE66" i="19"/>
  <c r="AA66" i="19"/>
  <c r="AE45" i="19"/>
  <c r="AA45" i="19"/>
  <c r="AA20" i="19"/>
  <c r="AE20" i="19"/>
  <c r="AA19" i="19"/>
  <c r="AE19" i="19"/>
  <c r="AE17" i="19"/>
  <c r="AA17" i="19"/>
  <c r="AE15" i="19"/>
  <c r="AA15" i="19"/>
  <c r="AA11" i="19"/>
  <c r="O11" i="19"/>
  <c r="AE11" i="19"/>
  <c r="AE12" i="19"/>
  <c r="AA12" i="19"/>
  <c r="R151" i="13"/>
  <c r="X151" i="13"/>
  <c r="S154" i="11"/>
  <c r="V154" i="11"/>
  <c r="W154" i="11"/>
  <c r="AB151" i="11"/>
  <c r="U156" i="9"/>
  <c r="T156" i="9"/>
  <c r="S156" i="9"/>
  <c r="X151" i="11"/>
  <c r="T151" i="11"/>
  <c r="V151" i="11"/>
  <c r="Q156" i="9"/>
  <c r="I151" i="11"/>
  <c r="U151" i="9"/>
  <c r="P151" i="11"/>
  <c r="I151" i="13"/>
  <c r="V151" i="13"/>
  <c r="P150" i="8"/>
  <c r="W151" i="9"/>
  <c r="Y151" i="8"/>
  <c r="E155" i="8"/>
  <c r="F155" i="8" s="1"/>
  <c r="Y155" i="8" s="1"/>
  <c r="Y151" i="9"/>
  <c r="R151" i="11"/>
  <c r="P151" i="13"/>
  <c r="T151" i="13"/>
  <c r="Q151" i="9"/>
  <c r="S151" i="9"/>
  <c r="AG150" i="11"/>
  <c r="W151" i="8"/>
  <c r="O150" i="13"/>
  <c r="AA150" i="13"/>
  <c r="AE150" i="13"/>
  <c r="O150" i="11"/>
  <c r="J151" i="8"/>
  <c r="L152" i="13"/>
  <c r="K152" i="11"/>
  <c r="P150" i="9"/>
  <c r="AB150" i="9"/>
  <c r="J151" i="9"/>
  <c r="AF150" i="9"/>
  <c r="M152" i="9"/>
  <c r="Q151" i="8"/>
  <c r="S151" i="8"/>
  <c r="U151" i="8"/>
  <c r="AF150" i="8"/>
  <c r="E156" i="8"/>
  <c r="F156" i="8" s="1"/>
  <c r="AB150" i="8"/>
  <c r="C159" i="1"/>
  <c r="E155" i="1"/>
  <c r="D155" i="1"/>
  <c r="C157" i="1"/>
  <c r="C158" i="1" s="1"/>
  <c r="S154" i="13" l="1"/>
  <c r="Y154" i="13"/>
  <c r="X154" i="13"/>
  <c r="O155" i="19"/>
  <c r="AE155" i="19"/>
  <c r="AA155" i="19"/>
  <c r="I156" i="19"/>
  <c r="Z155" i="8"/>
  <c r="Q155" i="8"/>
  <c r="W155" i="8"/>
  <c r="R155" i="8"/>
  <c r="X155" i="8"/>
  <c r="V155" i="8"/>
  <c r="T155" i="8"/>
  <c r="U155" i="8"/>
  <c r="S155" i="8"/>
  <c r="D159" i="8"/>
  <c r="D158" i="8"/>
  <c r="J150" i="1"/>
  <c r="J152" i="1" s="1"/>
  <c r="K150" i="1"/>
  <c r="K152" i="1" s="1"/>
  <c r="L150" i="1"/>
  <c r="L152" i="1" s="1"/>
  <c r="M150" i="1"/>
  <c r="M152" i="1" s="1"/>
  <c r="N150" i="1"/>
  <c r="N152" i="1" s="1"/>
  <c r="I150" i="1"/>
  <c r="I152" i="1" s="1"/>
  <c r="O111" i="2" l="1"/>
  <c r="O112" i="2"/>
  <c r="O113" i="2"/>
  <c r="O114" i="2"/>
  <c r="O115" i="2"/>
  <c r="O116" i="2"/>
  <c r="O117" i="2"/>
  <c r="O118" i="2"/>
  <c r="O119" i="2"/>
  <c r="AJ150" i="2" l="1"/>
  <c r="AJ151" i="2" s="1"/>
  <c r="AI150" i="2"/>
  <c r="AH150" i="2"/>
  <c r="AG150" i="2"/>
  <c r="AF150" i="2"/>
  <c r="AE150" i="2"/>
  <c r="AD150" i="2"/>
  <c r="AD151" i="2" s="1"/>
  <c r="AC150" i="2"/>
  <c r="AB150" i="2"/>
  <c r="AA150" i="2"/>
  <c r="Z150" i="2"/>
  <c r="Y150" i="2"/>
  <c r="X150" i="2"/>
  <c r="W150" i="2"/>
  <c r="V150" i="2"/>
  <c r="U150" i="2"/>
  <c r="T150" i="2"/>
  <c r="S150" i="2"/>
  <c r="R150" i="2"/>
  <c r="R151" i="2" s="1"/>
  <c r="Q150" i="2"/>
  <c r="P150" i="2"/>
  <c r="N150" i="2"/>
  <c r="N152" i="2" s="1"/>
  <c r="M150" i="2"/>
  <c r="M152" i="2" s="1"/>
  <c r="L150" i="2"/>
  <c r="L152" i="2" s="1"/>
  <c r="K150" i="2"/>
  <c r="K152" i="2" s="1"/>
  <c r="J150" i="2"/>
  <c r="J152" i="2" s="1"/>
  <c r="I150" i="2"/>
  <c r="AO149" i="2"/>
  <c r="AK149" i="2"/>
  <c r="O149" i="2"/>
  <c r="AO148" i="2"/>
  <c r="AK148" i="2"/>
  <c r="O148" i="2"/>
  <c r="AO147" i="2"/>
  <c r="AK147" i="2"/>
  <c r="O147" i="2"/>
  <c r="AO146" i="2"/>
  <c r="AK146" i="2"/>
  <c r="O146" i="2"/>
  <c r="AO145" i="2"/>
  <c r="AK145" i="2"/>
  <c r="O145" i="2"/>
  <c r="AO144" i="2"/>
  <c r="AK144" i="2"/>
  <c r="O144" i="2"/>
  <c r="AO143" i="2"/>
  <c r="AK143" i="2"/>
  <c r="O143" i="2"/>
  <c r="AO142" i="2"/>
  <c r="AK142" i="2"/>
  <c r="O142" i="2"/>
  <c r="AO141" i="2"/>
  <c r="AK141" i="2"/>
  <c r="O141" i="2"/>
  <c r="AO140" i="2"/>
  <c r="AK140" i="2"/>
  <c r="O140" i="2"/>
  <c r="AO139" i="2"/>
  <c r="AK139" i="2"/>
  <c r="O139" i="2"/>
  <c r="AO138" i="2"/>
  <c r="AK138" i="2"/>
  <c r="O138" i="2"/>
  <c r="AO137" i="2"/>
  <c r="AK137" i="2"/>
  <c r="O137" i="2"/>
  <c r="AO136" i="2"/>
  <c r="AK136" i="2"/>
  <c r="O136" i="2"/>
  <c r="AO135" i="2"/>
  <c r="AK135" i="2"/>
  <c r="O135" i="2"/>
  <c r="AO134" i="2"/>
  <c r="AK134" i="2"/>
  <c r="O134" i="2"/>
  <c r="AO133" i="2"/>
  <c r="AK133" i="2"/>
  <c r="O133" i="2"/>
  <c r="AO132" i="2"/>
  <c r="AK132" i="2"/>
  <c r="O132" i="2"/>
  <c r="AO131" i="2"/>
  <c r="AK131" i="2"/>
  <c r="O131" i="2"/>
  <c r="AO130" i="2"/>
  <c r="AK130" i="2"/>
  <c r="O130" i="2"/>
  <c r="AO129" i="2"/>
  <c r="AK129" i="2"/>
  <c r="O129" i="2"/>
  <c r="AO128" i="2"/>
  <c r="AK128" i="2"/>
  <c r="O128" i="2"/>
  <c r="AO127" i="2"/>
  <c r="AK127" i="2"/>
  <c r="O127" i="2"/>
  <c r="AO126" i="2"/>
  <c r="AK126" i="2"/>
  <c r="O126" i="2"/>
  <c r="AO125" i="2"/>
  <c r="AK125" i="2"/>
  <c r="O125" i="2"/>
  <c r="AO124" i="2"/>
  <c r="AK124" i="2"/>
  <c r="O124" i="2"/>
  <c r="AO123" i="2"/>
  <c r="AK123" i="2"/>
  <c r="O123" i="2"/>
  <c r="AO122" i="2"/>
  <c r="AK122" i="2"/>
  <c r="O122" i="2"/>
  <c r="AO121" i="2"/>
  <c r="AK121" i="2"/>
  <c r="O121" i="2"/>
  <c r="AO120" i="2"/>
  <c r="AK120" i="2"/>
  <c r="O120" i="2"/>
  <c r="AO119" i="2"/>
  <c r="AK119" i="2"/>
  <c r="AO118" i="2"/>
  <c r="AK118" i="2"/>
  <c r="AO117" i="2"/>
  <c r="AK117" i="2"/>
  <c r="AO116" i="2"/>
  <c r="AK116" i="2"/>
  <c r="AO115" i="2"/>
  <c r="AK115" i="2"/>
  <c r="AO114" i="2"/>
  <c r="AK114" i="2"/>
  <c r="AO113" i="2"/>
  <c r="AK113" i="2"/>
  <c r="AO112" i="2"/>
  <c r="AK112" i="2"/>
  <c r="AO111" i="2"/>
  <c r="AK111" i="2"/>
  <c r="AO110" i="2"/>
  <c r="AK110" i="2"/>
  <c r="O110" i="2"/>
  <c r="AO109" i="2"/>
  <c r="AK109" i="2"/>
  <c r="O109" i="2"/>
  <c r="AO108" i="2"/>
  <c r="AK108" i="2"/>
  <c r="O108" i="2"/>
  <c r="AO107" i="2"/>
  <c r="AK107" i="2"/>
  <c r="O107" i="2"/>
  <c r="AO106" i="2"/>
  <c r="AK106" i="2"/>
  <c r="O106" i="2"/>
  <c r="AO105" i="2"/>
  <c r="AK105" i="2"/>
  <c r="O105" i="2"/>
  <c r="AO104" i="2"/>
  <c r="AK104" i="2"/>
  <c r="O104" i="2"/>
  <c r="AO103" i="2"/>
  <c r="AK103" i="2"/>
  <c r="O103" i="2"/>
  <c r="AO102" i="2"/>
  <c r="AK102" i="2"/>
  <c r="O102" i="2"/>
  <c r="AO101" i="2"/>
  <c r="AK101" i="2"/>
  <c r="O101" i="2"/>
  <c r="AO100" i="2"/>
  <c r="AK100" i="2"/>
  <c r="O100" i="2"/>
  <c r="AO99" i="2"/>
  <c r="AK99" i="2"/>
  <c r="O99" i="2"/>
  <c r="AO98" i="2"/>
  <c r="AK98" i="2"/>
  <c r="O98" i="2"/>
  <c r="AO97" i="2"/>
  <c r="AK97" i="2"/>
  <c r="O97" i="2"/>
  <c r="AO96" i="2"/>
  <c r="AK96" i="2"/>
  <c r="O96" i="2"/>
  <c r="AO95" i="2"/>
  <c r="AK95" i="2"/>
  <c r="O95" i="2"/>
  <c r="AO94" i="2"/>
  <c r="AK94" i="2"/>
  <c r="O94" i="2"/>
  <c r="AO93" i="2"/>
  <c r="AK93" i="2"/>
  <c r="O93" i="2"/>
  <c r="AO92" i="2"/>
  <c r="AK92" i="2"/>
  <c r="O92" i="2"/>
  <c r="AO91" i="2"/>
  <c r="AK91" i="2"/>
  <c r="O91" i="2"/>
  <c r="AK90" i="2"/>
  <c r="O90" i="2"/>
  <c r="AK89" i="2"/>
  <c r="O89" i="2"/>
  <c r="AK88" i="2"/>
  <c r="O88" i="2"/>
  <c r="AK87" i="2"/>
  <c r="O87" i="2"/>
  <c r="AO86" i="2"/>
  <c r="AK86" i="2"/>
  <c r="O86" i="2"/>
  <c r="AO85" i="2"/>
  <c r="AK85" i="2"/>
  <c r="O85" i="2"/>
  <c r="AO84" i="2"/>
  <c r="AK84" i="2"/>
  <c r="O84" i="2"/>
  <c r="AK83" i="2"/>
  <c r="O83" i="2"/>
  <c r="AK82" i="2"/>
  <c r="O82" i="2"/>
  <c r="AK81" i="2"/>
  <c r="O81" i="2"/>
  <c r="AK80" i="2"/>
  <c r="O80" i="2"/>
  <c r="AK79" i="2"/>
  <c r="O79" i="2"/>
  <c r="AK78" i="2"/>
  <c r="O78" i="2"/>
  <c r="AK77" i="2"/>
  <c r="O77" i="2"/>
  <c r="AK76" i="2"/>
  <c r="O76" i="2"/>
  <c r="AK75" i="2"/>
  <c r="O75" i="2"/>
  <c r="AK74" i="2"/>
  <c r="O74" i="2"/>
  <c r="AK73" i="2"/>
  <c r="O73" i="2"/>
  <c r="AO72" i="2"/>
  <c r="AK72" i="2"/>
  <c r="O72" i="2"/>
  <c r="AO71" i="2"/>
  <c r="AK71" i="2"/>
  <c r="O71" i="2"/>
  <c r="AO70" i="2"/>
  <c r="AK70" i="2"/>
  <c r="O70" i="2"/>
  <c r="AK69" i="2"/>
  <c r="O69" i="2"/>
  <c r="AK68" i="2"/>
  <c r="O68" i="2"/>
  <c r="AO67" i="2"/>
  <c r="AK67" i="2"/>
  <c r="O67" i="2"/>
  <c r="AK66" i="2"/>
  <c r="O66" i="2"/>
  <c r="AK65" i="2"/>
  <c r="O65" i="2"/>
  <c r="AK64" i="2"/>
  <c r="O64" i="2"/>
  <c r="AO63" i="2"/>
  <c r="AK63" i="2"/>
  <c r="O63" i="2"/>
  <c r="AO62" i="2"/>
  <c r="AK62" i="2"/>
  <c r="O62" i="2"/>
  <c r="AO61" i="2"/>
  <c r="AK61" i="2"/>
  <c r="O61" i="2"/>
  <c r="AO60" i="2"/>
  <c r="AK60" i="2"/>
  <c r="O60" i="2"/>
  <c r="AO59" i="2"/>
  <c r="AK59" i="2"/>
  <c r="O59" i="2"/>
  <c r="AO58" i="2"/>
  <c r="AK58" i="2"/>
  <c r="O58" i="2"/>
  <c r="AO57" i="2"/>
  <c r="AK57" i="2"/>
  <c r="O57" i="2"/>
  <c r="AK56" i="2"/>
  <c r="O56" i="2"/>
  <c r="AK55" i="2"/>
  <c r="O55" i="2"/>
  <c r="AK54" i="2"/>
  <c r="O54" i="2"/>
  <c r="AK53" i="2"/>
  <c r="O53" i="2"/>
  <c r="AK52" i="2"/>
  <c r="O52" i="2"/>
  <c r="AK51" i="2"/>
  <c r="O51" i="2"/>
  <c r="AK50" i="2"/>
  <c r="O50" i="2"/>
  <c r="AK49" i="2"/>
  <c r="O49" i="2"/>
  <c r="AK48" i="2"/>
  <c r="O48" i="2"/>
  <c r="AK47" i="2"/>
  <c r="O47" i="2"/>
  <c r="AK46" i="2"/>
  <c r="O46" i="2"/>
  <c r="AO45" i="2"/>
  <c r="AK45" i="2"/>
  <c r="O45" i="2"/>
  <c r="AO44" i="2"/>
  <c r="AK44" i="2"/>
  <c r="O44" i="2"/>
  <c r="AO43" i="2"/>
  <c r="AK43" i="2"/>
  <c r="O43" i="2"/>
  <c r="AO42" i="2"/>
  <c r="AK42" i="2"/>
  <c r="O42" i="2"/>
  <c r="AO41" i="2"/>
  <c r="AK41" i="2"/>
  <c r="O41" i="2"/>
  <c r="AO40" i="2"/>
  <c r="AK40" i="2"/>
  <c r="O40" i="2"/>
  <c r="AO39" i="2"/>
  <c r="AK39" i="2"/>
  <c r="O39" i="2"/>
  <c r="AO38" i="2"/>
  <c r="AK38" i="2"/>
  <c r="O38" i="2"/>
  <c r="AO37" i="2"/>
  <c r="AK37" i="2"/>
  <c r="O37" i="2"/>
  <c r="AO36" i="2"/>
  <c r="AK36" i="2"/>
  <c r="O36" i="2"/>
  <c r="AK35" i="2"/>
  <c r="O35" i="2"/>
  <c r="AK34" i="2"/>
  <c r="O34" i="2"/>
  <c r="AK33" i="2"/>
  <c r="O33" i="2"/>
  <c r="AK32" i="2"/>
  <c r="O32" i="2"/>
  <c r="AK31" i="2"/>
  <c r="O31" i="2"/>
  <c r="AK30" i="2"/>
  <c r="O30" i="2"/>
  <c r="AK29" i="2"/>
  <c r="O29" i="2"/>
  <c r="AK28" i="2"/>
  <c r="O28" i="2"/>
  <c r="AK27" i="2"/>
  <c r="O27" i="2"/>
  <c r="AK26" i="2"/>
  <c r="O26" i="2"/>
  <c r="AK25" i="2"/>
  <c r="O25" i="2"/>
  <c r="AK24" i="2"/>
  <c r="O24" i="2"/>
  <c r="AK23" i="2"/>
  <c r="O23" i="2"/>
  <c r="AK22" i="2"/>
  <c r="O22" i="2"/>
  <c r="AO21" i="2"/>
  <c r="AK21" i="2"/>
  <c r="O21" i="2"/>
  <c r="AO20" i="2"/>
  <c r="AK20" i="2"/>
  <c r="O20" i="2"/>
  <c r="AO19" i="2"/>
  <c r="AK19" i="2"/>
  <c r="O19" i="2"/>
  <c r="AO18" i="2"/>
  <c r="AK18" i="2"/>
  <c r="O18" i="2"/>
  <c r="AO17" i="2"/>
  <c r="AK17" i="2"/>
  <c r="O17" i="2"/>
  <c r="AO16" i="2"/>
  <c r="AK16" i="2"/>
  <c r="O16" i="2"/>
  <c r="AO15" i="2"/>
  <c r="AK15" i="2"/>
  <c r="O15" i="2"/>
  <c r="AO14" i="2"/>
  <c r="AK14" i="2"/>
  <c r="O14" i="2"/>
  <c r="AO13" i="2"/>
  <c r="AK13" i="2"/>
  <c r="O13" i="2"/>
  <c r="AO12" i="2"/>
  <c r="AK12" i="2"/>
  <c r="O12" i="2"/>
  <c r="AO11" i="2"/>
  <c r="AK11" i="2"/>
  <c r="O11" i="2"/>
  <c r="AO10" i="2"/>
  <c r="AK10" i="2"/>
  <c r="O10" i="2"/>
  <c r="AO9" i="2"/>
  <c r="AK9" i="2"/>
  <c r="O9" i="2"/>
  <c r="AO8" i="2"/>
  <c r="AK8" i="2"/>
  <c r="O8" i="2"/>
  <c r="AO7" i="2"/>
  <c r="AK7" i="2"/>
  <c r="O7" i="2"/>
  <c r="AO6" i="2"/>
  <c r="AK6" i="2"/>
  <c r="O6" i="2"/>
  <c r="B3" i="2"/>
  <c r="T151" i="2" l="1"/>
  <c r="AF151" i="2"/>
  <c r="I151" i="2"/>
  <c r="V151" i="2"/>
  <c r="AH151" i="2"/>
  <c r="X151" i="2"/>
  <c r="Z151" i="2"/>
  <c r="P151" i="2"/>
  <c r="AB151" i="2"/>
  <c r="AK150" i="2"/>
  <c r="AO150" i="2"/>
  <c r="O150" i="2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K149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O123" i="1"/>
  <c r="AO7" i="1" l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36" i="1"/>
  <c r="AO37" i="1"/>
  <c r="AO38" i="1"/>
  <c r="AO39" i="1"/>
  <c r="AO40" i="1"/>
  <c r="AO41" i="1"/>
  <c r="AO42" i="1"/>
  <c r="AO43" i="1"/>
  <c r="AO44" i="1"/>
  <c r="AO45" i="1"/>
  <c r="AO57" i="1"/>
  <c r="AO58" i="1"/>
  <c r="AO59" i="1"/>
  <c r="AO60" i="1"/>
  <c r="AO61" i="1"/>
  <c r="AO62" i="1"/>
  <c r="AO63" i="1"/>
  <c r="AO67" i="1"/>
  <c r="AO70" i="1"/>
  <c r="AO71" i="1"/>
  <c r="AO72" i="1"/>
  <c r="AO84" i="1"/>
  <c r="AO85" i="1"/>
  <c r="AO86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6" i="1"/>
  <c r="AO150" i="1" l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AB150" i="1" l="1"/>
  <c r="AC150" i="1"/>
  <c r="AD150" i="1"/>
  <c r="AE150" i="1"/>
  <c r="AF150" i="1"/>
  <c r="AG150" i="1"/>
  <c r="AH150" i="1"/>
  <c r="AI150" i="1"/>
  <c r="O18" i="1"/>
  <c r="AK103" i="1"/>
  <c r="AK117" i="1"/>
  <c r="B3" i="1"/>
  <c r="AK104" i="1" l="1"/>
  <c r="AK16" i="1"/>
  <c r="AK114" i="1"/>
  <c r="AK102" i="1"/>
  <c r="AK15" i="1"/>
  <c r="AK115" i="1"/>
  <c r="O17" i="1"/>
  <c r="AK17" i="1"/>
  <c r="AK113" i="1"/>
  <c r="AK101" i="1"/>
  <c r="AK14" i="1"/>
  <c r="AK112" i="1"/>
  <c r="AK13" i="1"/>
  <c r="AK111" i="1"/>
  <c r="AK99" i="1"/>
  <c r="AK12" i="1"/>
  <c r="AK122" i="1"/>
  <c r="AK110" i="1"/>
  <c r="AK98" i="1"/>
  <c r="AK11" i="1"/>
  <c r="AK121" i="1"/>
  <c r="AK109" i="1"/>
  <c r="AK22" i="1"/>
  <c r="AK10" i="1"/>
  <c r="AK120" i="1"/>
  <c r="AK21" i="1"/>
  <c r="AK9" i="1"/>
  <c r="AK119" i="1"/>
  <c r="AK107" i="1"/>
  <c r="AK20" i="1"/>
  <c r="AK8" i="1"/>
  <c r="AK105" i="1"/>
  <c r="AK18" i="1"/>
  <c r="AK108" i="1"/>
  <c r="AK6" i="1"/>
  <c r="AK118" i="1"/>
  <c r="AK106" i="1"/>
  <c r="AK19" i="1"/>
  <c r="AK7" i="1"/>
  <c r="AK116" i="1"/>
  <c r="O15" i="1"/>
  <c r="O14" i="1"/>
  <c r="O10" i="1"/>
  <c r="O22" i="1"/>
  <c r="O9" i="1"/>
  <c r="O21" i="1"/>
  <c r="O8" i="1"/>
  <c r="O13" i="1"/>
  <c r="AK100" i="1"/>
  <c r="O20" i="1"/>
  <c r="O7" i="1"/>
  <c r="O12" i="1"/>
  <c r="O11" i="1"/>
  <c r="O6" i="1"/>
  <c r="O19" i="1"/>
  <c r="O16" i="1"/>
  <c r="AB151" i="1"/>
  <c r="AJ150" i="1"/>
  <c r="AJ151" i="1" s="1"/>
  <c r="AH151" i="1"/>
  <c r="AF151" i="1"/>
  <c r="AD151" i="1"/>
  <c r="P150" i="1"/>
  <c r="Q150" i="1"/>
  <c r="T150" i="1"/>
  <c r="Z150" i="1"/>
  <c r="Y150" i="1"/>
  <c r="X150" i="1"/>
  <c r="W150" i="1"/>
  <c r="R150" i="1"/>
  <c r="S150" i="1"/>
  <c r="U150" i="1"/>
  <c r="V150" i="1"/>
  <c r="AA150" i="1"/>
  <c r="I151" i="1" l="1"/>
  <c r="AK150" i="1"/>
  <c r="V151" i="1"/>
  <c r="P151" i="1"/>
  <c r="X151" i="1"/>
  <c r="R151" i="1"/>
  <c r="Z151" i="1"/>
  <c r="T151" i="1"/>
  <c r="O1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I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RHEEM TRANSFERENCIA</t>
        </r>
      </text>
    </comment>
    <comment ref="J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RHEEM FALCON</t>
        </r>
      </text>
    </comment>
    <comment ref="K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LO QUE FALTABA DE FALCON POR HTAL</t>
        </r>
      </text>
    </comment>
    <comment ref="L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FALCON CIP</t>
        </r>
      </text>
    </comment>
    <comment ref="AJ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inventartio</t>
        </r>
      </text>
    </comment>
    <comment ref="AJ10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inventario</t>
        </r>
      </text>
    </comment>
    <comment ref="N15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No se toma en cuenta en porcentaje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I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RHEEM TRANSFERENCIA</t>
        </r>
      </text>
    </comment>
    <comment ref="J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RHEEM TRANS</t>
        </r>
      </text>
    </comment>
    <comment ref="K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21 07 26 FALCON 100%</t>
        </r>
      </text>
    </comment>
    <comment ref="L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CIP100%  ULTIMO NUMERO DE PARTE</t>
        </r>
      </text>
    </comment>
    <comment ref="M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21 07 26 FALCON 100%</t>
        </r>
      </text>
    </comment>
    <comment ref="N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Aumento Jorge barrios</t>
        </r>
      </text>
    </comment>
    <comment ref="I152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saldo de sem 28 y 29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  <author>Auxiliar Planeacion Ramos</author>
  </authors>
  <commentList>
    <comment ref="K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Para completar Rheem transferencia</t>
        </r>
      </text>
    </comment>
    <comment ref="L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Completar negativos de Miriam</t>
        </r>
      </text>
    </comment>
    <comment ref="K96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Auxiliar Planeacion Ramos:</t>
        </r>
        <r>
          <rPr>
            <sz val="9"/>
            <color indexed="81"/>
            <rFont val="Tahoma"/>
            <family val="2"/>
          </rPr>
          <t xml:space="preserve">
CALIDAD</t>
        </r>
      </text>
    </comment>
    <comment ref="K97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Auxiliar Planeacion Ramos:</t>
        </r>
        <r>
          <rPr>
            <sz val="9"/>
            <color indexed="81"/>
            <rFont val="Tahoma"/>
            <family val="2"/>
          </rPr>
          <t xml:space="preserve">
CALIDAD </t>
        </r>
      </text>
    </comment>
    <comment ref="J152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saldo de sem 30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</authors>
  <commentList>
    <comment ref="AA8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W31</t>
        </r>
      </text>
    </comment>
    <comment ref="AA9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W31
</t>
        </r>
      </text>
    </comment>
    <comment ref="AA10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0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2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W31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15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w31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Auxiliar Planeacion Ramos</author>
    <author>Omar Martinez</author>
  </authors>
  <commentList>
    <comment ref="AB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W32 Se realizo el Jueves 06/08/2026</t>
        </r>
      </text>
    </comment>
    <comment ref="X7" authorId="0" shapeId="0" xr:uid="{00000000-0006-0000-0700-000002000000}">
      <text/>
    </comment>
    <comment ref="AB7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W32 Se realizo 06/08/2026 al 07/08/2026</t>
        </r>
      </text>
    </comment>
    <comment ref="AB8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W32 Se realizo el Viernes 07/08/2026</t>
        </r>
      </text>
    </comment>
    <comment ref="AB9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W32 Se realizo el Viernes 07/08/2026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0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W32 Se realizo el 06/8/2026 a 07/08/2026</t>
        </r>
      </text>
    </comment>
    <comment ref="AB1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W32 Se realizo el 06/8/2026 a 06/08/2026</t>
        </r>
      </text>
    </comment>
    <comment ref="AB12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W32 Se realizo el Viernes 06/08/2026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3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 xml:space="preserve">W32 Se realizo el Jueves 06/08/2026
</t>
        </r>
      </text>
    </comment>
    <comment ref="AB1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 xml:space="preserve">W32 Se realizo el Jueves 06/08/2026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6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W32 
Se realizo en W32 del 05/08/2026 al 07/08/2026</t>
        </r>
      </text>
    </comment>
    <comment ref="AB18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W32 Se realizo el Viernes 07/08/2026</t>
        </r>
      </text>
    </comment>
    <comment ref="AB37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Se realizo w32  jueves 06/08/2026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2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saldo de sem 33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Cabello</author>
    <author>Omar Martinez</author>
  </authors>
  <commentList>
    <comment ref="Z2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2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0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2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5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69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75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I152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saldo de sem 33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Cabello</author>
    <author>Omar Martinez</author>
  </authors>
  <commentList>
    <comment ref="Z2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2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0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2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5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38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 xml:space="preserve">270 PIEZAS EL DIA LUNES 24 DE AGOSTO Y 725 PIEZAS DEL MISMO DIA PERO DE LA TARDE 
</t>
        </r>
      </text>
    </comment>
    <comment ref="Z69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Z75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HEADER</t>
        </r>
      </text>
    </comment>
    <comment ref="I156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saldo de sem 33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I156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saldo de sem 33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I152" authorId="0" shapeId="0" xr:uid="{00000000-0006-0000-0B00-000001000000}">
      <text>
        <r>
          <rPr>
            <sz val="9"/>
            <color indexed="81"/>
            <rFont val="Tahoma"/>
            <family val="2"/>
          </rPr>
          <t xml:space="preserve">Saldo de semana 35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 Martinez</author>
  </authors>
  <commentList>
    <comment ref="I157" authorId="0" shapeId="0" xr:uid="{00000000-0006-0000-0C00-000001000000}">
      <text>
        <r>
          <rPr>
            <sz val="9"/>
            <color indexed="81"/>
            <rFont val="Tahoma"/>
            <family val="2"/>
          </rPr>
          <t xml:space="preserve">Saldo de semana 35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Cabello</author>
    <author>Omar Martinez</author>
  </authors>
  <commentList>
    <comment ref="AJ118" authorId="0" shapeId="0" xr:uid="{0EEF4A6C-E9C5-46FB-BA77-D77B3EF50442}">
      <text>
        <r>
          <rPr>
            <b/>
            <sz val="9"/>
            <color indexed="81"/>
            <rFont val="Tahoma"/>
            <family val="2"/>
          </rPr>
          <t>Se agg a la siguiente semana</t>
        </r>
      </text>
    </comment>
    <comment ref="AJ120" authorId="0" shapeId="0" xr:uid="{20A1D027-064D-426E-A6CF-9A7857DB5E5C}">
      <text>
        <r>
          <rPr>
            <b/>
            <sz val="9"/>
            <color indexed="81"/>
            <rFont val="Tahoma"/>
            <family val="2"/>
          </rPr>
          <t>Se agg a la siguiente semana</t>
        </r>
      </text>
    </comment>
    <comment ref="I157" authorId="1" shapeId="0" xr:uid="{00000000-0006-0000-0D00-000001000000}">
      <text>
        <r>
          <rPr>
            <sz val="9"/>
            <color indexed="81"/>
            <rFont val="Tahoma"/>
            <family val="2"/>
          </rPr>
          <t xml:space="preserve">Saldo de semana 35
</t>
        </r>
      </text>
    </comment>
  </commentList>
</comments>
</file>

<file path=xl/sharedStrings.xml><?xml version="1.0" encoding="utf-8"?>
<sst xmlns="http://schemas.openxmlformats.org/spreadsheetml/2006/main" count="9620" uniqueCount="249">
  <si>
    <t>CLIENTE</t>
  </si>
  <si>
    <t>DIAMETRO</t>
  </si>
  <si>
    <t>PARED</t>
  </si>
  <si>
    <t>PESO</t>
  </si>
  <si>
    <t>PROGRAMA</t>
  </si>
  <si>
    <t>SEMANA</t>
  </si>
  <si>
    <t>DESTINO</t>
  </si>
  <si>
    <t>NÚMERO DE PARTE</t>
  </si>
  <si>
    <t>KG</t>
  </si>
  <si>
    <t>Ag2</t>
  </si>
  <si>
    <t>Ag1</t>
  </si>
  <si>
    <t>Ag3</t>
  </si>
  <si>
    <t>Ag4</t>
  </si>
  <si>
    <t>Ag5</t>
  </si>
  <si>
    <t>BALANCE</t>
  </si>
  <si>
    <t>A</t>
  </si>
  <si>
    <t>B</t>
  </si>
  <si>
    <t>DÍA</t>
  </si>
  <si>
    <t>TURNO</t>
  </si>
  <si>
    <t>TOTAL</t>
  </si>
  <si>
    <t>AYB</t>
  </si>
  <si>
    <t>MAS AGREGADO</t>
  </si>
  <si>
    <t>CAJA</t>
  </si>
  <si>
    <t>HOJA COLOR</t>
  </si>
  <si>
    <t>RHEEM TRANSFERENCIA</t>
  </si>
  <si>
    <t>82-104987-15</t>
  </si>
  <si>
    <t>82-104987-13</t>
  </si>
  <si>
    <t>82-104987-14</t>
  </si>
  <si>
    <t>82-104986-88</t>
  </si>
  <si>
    <t>82-104986-61</t>
  </si>
  <si>
    <t>82-104986-59</t>
  </si>
  <si>
    <t>82-104986-72</t>
  </si>
  <si>
    <t>82-104986-89</t>
  </si>
  <si>
    <t>82-104986-71</t>
  </si>
  <si>
    <t>82-104986-60</t>
  </si>
  <si>
    <t>82-104985-41</t>
  </si>
  <si>
    <t>82-104985-25</t>
  </si>
  <si>
    <t>82-104748-68</t>
  </si>
  <si>
    <t>82-104985-39</t>
  </si>
  <si>
    <t>82-108427-01</t>
  </si>
  <si>
    <t>82-104748-69</t>
  </si>
  <si>
    <t>82-104894-08</t>
  </si>
  <si>
    <t>82-104894-02</t>
  </si>
  <si>
    <t>82-104895-02</t>
  </si>
  <si>
    <t>82-100797-16</t>
  </si>
  <si>
    <t>82-104895-06</t>
  </si>
  <si>
    <t>82-104894-07</t>
  </si>
  <si>
    <t>82-100797-23</t>
  </si>
  <si>
    <t>82-104894-10</t>
  </si>
  <si>
    <t>82-104895-07</t>
  </si>
  <si>
    <t>82-104895-17</t>
  </si>
  <si>
    <t>82-104894-13</t>
  </si>
  <si>
    <t>82-104894-01</t>
  </si>
  <si>
    <t>82-104895-01</t>
  </si>
  <si>
    <t>82-104894-09</t>
  </si>
  <si>
    <t>82-104984-140</t>
  </si>
  <si>
    <t>82-104984-116</t>
  </si>
  <si>
    <t>82-104984-142</t>
  </si>
  <si>
    <t>82-104984-114</t>
  </si>
  <si>
    <t>82-104984-147</t>
  </si>
  <si>
    <t>82-104984-122</t>
  </si>
  <si>
    <t>82-104984-189</t>
  </si>
  <si>
    <t>82-104984-190</t>
  </si>
  <si>
    <t>82-104984-124</t>
  </si>
  <si>
    <t>82-104984-143</t>
  </si>
  <si>
    <t>82-100351-01</t>
  </si>
  <si>
    <t>82-103227-15</t>
  </si>
  <si>
    <t>82-100351-02</t>
  </si>
  <si>
    <t>82-104982-06</t>
  </si>
  <si>
    <t>82-100797-02</t>
  </si>
  <si>
    <t>82-100797-01</t>
  </si>
  <si>
    <t>82-100797-06</t>
  </si>
  <si>
    <t>82-101183-03</t>
  </si>
  <si>
    <t>82-104982-02</t>
  </si>
  <si>
    <t>82-104895-08</t>
  </si>
  <si>
    <t>82-104982-01</t>
  </si>
  <si>
    <t>82-104984-120</t>
  </si>
  <si>
    <t>82-104984-118</t>
  </si>
  <si>
    <t>82-104984-149</t>
  </si>
  <si>
    <t>82-104984-148</t>
  </si>
  <si>
    <t>82-104984-156</t>
  </si>
  <si>
    <t>82-104984-126</t>
  </si>
  <si>
    <t>82-104984-191</t>
  </si>
  <si>
    <t>82-108426-01</t>
  </si>
  <si>
    <t>82-100351-03</t>
  </si>
  <si>
    <t>82-108451-01</t>
  </si>
  <si>
    <t>82-108430-01</t>
  </si>
  <si>
    <t>82-100797-04</t>
  </si>
  <si>
    <t>82-100351-04</t>
  </si>
  <si>
    <t>82-108430-03</t>
  </si>
  <si>
    <t>82-104984-46</t>
  </si>
  <si>
    <t>82-104984-216</t>
  </si>
  <si>
    <t>82-101183-04</t>
  </si>
  <si>
    <t>82-104982-04</t>
  </si>
  <si>
    <t>82-104982-05</t>
  </si>
  <si>
    <t>82-103015-09</t>
  </si>
  <si>
    <t>82-106374-02</t>
  </si>
  <si>
    <t>82-104982-08</t>
  </si>
  <si>
    <t>82-100797-05</t>
  </si>
  <si>
    <t>82-104982-03</t>
  </si>
  <si>
    <t>82-101183-16</t>
  </si>
  <si>
    <t>82-104895-09</t>
  </si>
  <si>
    <t>82-109836-01</t>
  </si>
  <si>
    <t>82-109026-21</t>
  </si>
  <si>
    <t>82-109026-22</t>
  </si>
  <si>
    <t>82-110968-01</t>
  </si>
  <si>
    <t>82-105077-15</t>
  </si>
  <si>
    <t>82-105077-16</t>
  </si>
  <si>
    <t>82-105077-17</t>
  </si>
  <si>
    <t>82-105077-18</t>
  </si>
  <si>
    <t>82-104985-49</t>
  </si>
  <si>
    <t>82-104985-52</t>
  </si>
  <si>
    <t>82-104985-53</t>
  </si>
  <si>
    <t>82-104985-54</t>
  </si>
  <si>
    <t>82-104985-55</t>
  </si>
  <si>
    <t>82-110939-01</t>
  </si>
  <si>
    <t>82-110939-02</t>
  </si>
  <si>
    <t>82-104984-249</t>
  </si>
  <si>
    <t>82-104984-250</t>
  </si>
  <si>
    <t>82-104984-252</t>
  </si>
  <si>
    <t>82-104984-255</t>
  </si>
  <si>
    <t>82-104984-245</t>
  </si>
  <si>
    <t>82-104984-256</t>
  </si>
  <si>
    <t>82-110951-04</t>
  </si>
  <si>
    <t>82-110951-05</t>
  </si>
  <si>
    <t>82-104984-246</t>
  </si>
  <si>
    <t>82-104984-247</t>
  </si>
  <si>
    <t>82-110951-01</t>
  </si>
  <si>
    <t>RHEEM FALCON</t>
  </si>
  <si>
    <t>EZO / MIRIAM</t>
  </si>
  <si>
    <t>RHEEM CIP-3501</t>
  </si>
  <si>
    <t>82-111023-02</t>
  </si>
  <si>
    <t>82-111023-04</t>
  </si>
  <si>
    <t>82-111023-10</t>
  </si>
  <si>
    <t>82-110915-01</t>
  </si>
  <si>
    <t>82-110915-02</t>
  </si>
  <si>
    <t>82-110915-06</t>
  </si>
  <si>
    <t>82-110915-09</t>
  </si>
  <si>
    <t>82-110915-11</t>
  </si>
  <si>
    <t>82-110915-13</t>
  </si>
  <si>
    <t>82-110915-16</t>
  </si>
  <si>
    <t>82-110915-04</t>
  </si>
  <si>
    <t>82-110915-10</t>
  </si>
  <si>
    <t>82-110915-20</t>
  </si>
  <si>
    <t>82-110915-22</t>
  </si>
  <si>
    <t>CANT. X CAJA</t>
  </si>
  <si>
    <t>12.5X12.5X12.5</t>
  </si>
  <si>
    <t>30X20X7</t>
  </si>
  <si>
    <t>12.5x12.5x12.5</t>
  </si>
  <si>
    <t>44x41x12</t>
  </si>
  <si>
    <t>42X45X20</t>
  </si>
  <si>
    <t>42x45x20</t>
  </si>
  <si>
    <t>VERDE</t>
  </si>
  <si>
    <t>NARANJA</t>
  </si>
  <si>
    <t>AZUL</t>
  </si>
  <si>
    <t>25x20x12.5</t>
  </si>
  <si>
    <t>TOTAL CAJAS</t>
  </si>
  <si>
    <t>Row Labels</t>
  </si>
  <si>
    <t>Grand Total</t>
  </si>
  <si>
    <t>Sum of TOTAL CAJAS</t>
  </si>
  <si>
    <t>82-100351-02H3</t>
  </si>
  <si>
    <t>82-100351-02H4</t>
  </si>
  <si>
    <t>82-100351-03H3</t>
  </si>
  <si>
    <t>82-100351-03H4</t>
  </si>
  <si>
    <t>82-100351-04H3</t>
  </si>
  <si>
    <t>82-100351-04H4</t>
  </si>
  <si>
    <t>82-101183-02H3</t>
  </si>
  <si>
    <t>82-101183-02H4</t>
  </si>
  <si>
    <t>82-101183-02H5</t>
  </si>
  <si>
    <t>82-101183-02H6</t>
  </si>
  <si>
    <t>82-101183-02H7</t>
  </si>
  <si>
    <t>82-101183-02H8</t>
  </si>
  <si>
    <t>82-101183-03H3</t>
  </si>
  <si>
    <t>82-101183-03H4</t>
  </si>
  <si>
    <t>82-101183-03H5</t>
  </si>
  <si>
    <t>82-101183-03H6</t>
  </si>
  <si>
    <t>82-101183-03H7</t>
  </si>
  <si>
    <t>82-101183-03H8</t>
  </si>
  <si>
    <t>82-101183-16H3</t>
  </si>
  <si>
    <t>82-101183-16H4</t>
  </si>
  <si>
    <t>82-101183-16H5</t>
  </si>
  <si>
    <t>82-101183-16H6</t>
  </si>
  <si>
    <t>82-101183-16H7</t>
  </si>
  <si>
    <t>82-101183-16H8</t>
  </si>
  <si>
    <t>82-101183-16H9</t>
  </si>
  <si>
    <t>82-101183-16H10</t>
  </si>
  <si>
    <t>82-101183-16H11</t>
  </si>
  <si>
    <t>PRECIO</t>
  </si>
  <si>
    <t>RHEEM NIPLES</t>
  </si>
  <si>
    <t>BLANCA</t>
  </si>
  <si>
    <t>RHEEM</t>
  </si>
  <si>
    <t>CANTIDAD</t>
  </si>
  <si>
    <t xml:space="preserve">FECHA: </t>
  </si>
  <si>
    <t>LÍNEA:</t>
  </si>
  <si>
    <t>TURNO:</t>
  </si>
  <si>
    <t>COORDINADOR:</t>
  </si>
  <si>
    <t xml:space="preserve">TRANSFERENCIA </t>
  </si>
  <si>
    <t>TRANSFERENCIA</t>
  </si>
  <si>
    <t xml:space="preserve">FALCON </t>
  </si>
  <si>
    <t xml:space="preserve">CIP </t>
  </si>
  <si>
    <t xml:space="preserve">NIPLES </t>
  </si>
  <si>
    <t>REPORTE DE PIEZAS ENTREGADAS  (EMPAQUE)</t>
  </si>
  <si>
    <t>P</t>
  </si>
  <si>
    <r>
      <t xml:space="preserve">RHEEM </t>
    </r>
    <r>
      <rPr>
        <b/>
        <sz val="15"/>
        <color theme="1"/>
        <rFont val="Calibri"/>
        <family val="2"/>
        <scheme val="minor"/>
      </rPr>
      <t>TRANSFERENCIA</t>
    </r>
  </si>
  <si>
    <r>
      <t xml:space="preserve">RHEEM </t>
    </r>
    <r>
      <rPr>
        <b/>
        <i/>
        <sz val="15"/>
        <color theme="1"/>
        <rFont val="Calibri"/>
        <family val="2"/>
        <scheme val="minor"/>
      </rPr>
      <t>CIP</t>
    </r>
    <r>
      <rPr>
        <sz val="15"/>
        <color theme="1"/>
        <rFont val="Calibri"/>
        <family val="2"/>
        <scheme val="minor"/>
      </rPr>
      <t>-3501</t>
    </r>
  </si>
  <si>
    <r>
      <t xml:space="preserve">RHEEM </t>
    </r>
    <r>
      <rPr>
        <b/>
        <i/>
        <sz val="15"/>
        <color theme="1"/>
        <rFont val="Calibri"/>
        <family val="2"/>
        <scheme val="minor"/>
      </rPr>
      <t>CIP</t>
    </r>
    <r>
      <rPr>
        <sz val="15"/>
        <color theme="1"/>
        <rFont val="Calibri"/>
        <family val="2"/>
        <scheme val="minor"/>
      </rPr>
      <t>-3501</t>
    </r>
    <r>
      <rPr>
        <sz val="11"/>
        <color theme="1"/>
        <rFont val="Calibri"/>
        <family val="2"/>
        <scheme val="minor"/>
      </rPr>
      <t/>
    </r>
  </si>
  <si>
    <r>
      <t xml:space="preserve">RHEEM </t>
    </r>
    <r>
      <rPr>
        <b/>
        <i/>
        <sz val="15"/>
        <color theme="1"/>
        <rFont val="Calibri"/>
        <family val="2"/>
        <scheme val="minor"/>
      </rPr>
      <t>NIPLES</t>
    </r>
  </si>
  <si>
    <r>
      <t xml:space="preserve">RHEEM </t>
    </r>
    <r>
      <rPr>
        <b/>
        <i/>
        <sz val="15"/>
        <color theme="1"/>
        <rFont val="Calibri"/>
        <family val="2"/>
        <scheme val="minor"/>
      </rPr>
      <t>FALCON</t>
    </r>
  </si>
  <si>
    <t>REPORTE DE PIEZAS - MÁQUINAS INTEGRADORAS (HELIAN)</t>
  </si>
  <si>
    <t>X</t>
  </si>
  <si>
    <t>EZO</t>
  </si>
  <si>
    <t>Convertirlo a horas</t>
  </si>
  <si>
    <t>programado</t>
  </si>
  <si>
    <t>pendiente / balance</t>
  </si>
  <si>
    <t>entregado</t>
  </si>
  <si>
    <t>avance</t>
  </si>
  <si>
    <t xml:space="preserve">pendiente </t>
  </si>
  <si>
    <t>META</t>
  </si>
  <si>
    <t>X DÍA</t>
  </si>
  <si>
    <t>X TURNO</t>
  </si>
  <si>
    <t>Avance</t>
  </si>
  <si>
    <t xml:space="preserve">Pendiente </t>
  </si>
  <si>
    <t xml:space="preserve">Lunes </t>
  </si>
  <si>
    <t xml:space="preserve">Martes </t>
  </si>
  <si>
    <t>Miércoles</t>
  </si>
  <si>
    <t>Jueves</t>
  </si>
  <si>
    <t>Viernes</t>
  </si>
  <si>
    <t>W31</t>
  </si>
  <si>
    <t>Ag</t>
  </si>
  <si>
    <t xml:space="preserve">Viernes </t>
  </si>
  <si>
    <t>Atraso W32</t>
  </si>
  <si>
    <t>W35</t>
  </si>
  <si>
    <t>W34</t>
  </si>
  <si>
    <t>82-110915-08</t>
  </si>
  <si>
    <t>82-110915-18</t>
  </si>
  <si>
    <t>82-111023-11</t>
  </si>
  <si>
    <t>82-111023-12</t>
  </si>
  <si>
    <t>w35</t>
  </si>
  <si>
    <t>W36</t>
  </si>
  <si>
    <t xml:space="preserve">EMPAQUE </t>
  </si>
  <si>
    <t>Lunes</t>
  </si>
  <si>
    <t>AG1</t>
  </si>
  <si>
    <t>AG2</t>
  </si>
  <si>
    <t>AG3</t>
  </si>
  <si>
    <t>AG4</t>
  </si>
  <si>
    <t>AG5</t>
  </si>
  <si>
    <t>W41</t>
  </si>
  <si>
    <t>FO-CP-03</t>
  </si>
  <si>
    <t>W42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</si>
</sst>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dd/mm/yy;@"/>
    <numFmt numFmtId="167" formatCode="#\ ???/???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3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2" fillId="6" borderId="1" xfId="1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3" fontId="9" fillId="0" borderId="1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6" borderId="0" xfId="0" applyFill="1"/>
    <xf numFmtId="14" fontId="0" fillId="6" borderId="0" xfId="0" applyNumberFormat="1" applyFill="1" applyAlignment="1">
      <alignment horizontal="center" vertical="center"/>
    </xf>
    <xf numFmtId="9" fontId="0" fillId="6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13" fillId="10" borderId="1" xfId="0" applyNumberFormat="1" applyFont="1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6" borderId="1" xfId="0" applyFill="1" applyBorder="1" applyAlignment="1">
      <alignment vertical="center"/>
    </xf>
    <xf numFmtId="9" fontId="0" fillId="6" borderId="1" xfId="2" applyFont="1" applyFill="1" applyBorder="1" applyAlignment="1">
      <alignment vertical="center"/>
    </xf>
    <xf numFmtId="165" fontId="0" fillId="6" borderId="0" xfId="0" applyNumberFormat="1" applyFill="1" applyAlignment="1">
      <alignment horizontal="center" vertical="center"/>
    </xf>
    <xf numFmtId="13" fontId="0" fillId="7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3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9" fontId="2" fillId="6" borderId="1" xfId="2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5" fontId="2" fillId="7" borderId="1" xfId="1" applyNumberFormat="1" applyFont="1" applyFill="1" applyBorder="1" applyAlignment="1">
      <alignment horizontal="center" vertical="center"/>
    </xf>
    <xf numFmtId="9" fontId="0" fillId="7" borderId="1" xfId="2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5" fontId="2" fillId="2" borderId="1" xfId="1" applyNumberFormat="1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5" fillId="6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65" fontId="16" fillId="6" borderId="1" xfId="1" applyNumberFormat="1" applyFont="1" applyFill="1" applyBorder="1" applyAlignment="1">
      <alignment horizontal="center" vertical="center"/>
    </xf>
    <xf numFmtId="9" fontId="15" fillId="6" borderId="1" xfId="2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6" borderId="0" xfId="0" applyFont="1" applyFill="1" applyAlignment="1">
      <alignment vertical="center"/>
    </xf>
    <xf numFmtId="0" fontId="0" fillId="18" borderId="0" xfId="0" applyFill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166" fontId="2" fillId="0" borderId="1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2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41F828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41F82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BALANCE%20MTY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RHEEM%20TRANSFERENCIA,%20FALCON,%20CIP,%20NIPLES.xlsx" TargetMode="External"/><Relationship Id="rId4" Type="http://schemas.openxmlformats.org/officeDocument/2006/relationships/hyperlink" Target="BALANCE%20LENNOX%201.xlsx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BALANCE%20MTY.xlsx" TargetMode="External"/><Relationship Id="rId2" Type="http://schemas.openxmlformats.org/officeDocument/2006/relationships/hyperlink" Target="BALANCE%20DAIKIN%20SLP,%20EUA.xlsx" TargetMode="External"/><Relationship Id="rId1" Type="http://schemas.openxmlformats.org/officeDocument/2006/relationships/hyperlink" Target="BALANCE%20RHEEM%20TRANSFERENCIA,%20FALCON,%20CIP,%20NIPLES.xlsx" TargetMode="External"/><Relationship Id="rId4" Type="http://schemas.openxmlformats.org/officeDocument/2006/relationships/hyperlink" Target="BALANCE%20LENNOX%201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560615</xdr:colOff>
      <xdr:row>0</xdr:row>
      <xdr:rowOff>163285</xdr:rowOff>
    </xdr:from>
    <xdr:to>
      <xdr:col>9</xdr:col>
      <xdr:colOff>43543</xdr:colOff>
      <xdr:row>4</xdr:row>
      <xdr:rowOff>16329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637D03-2295-434F-90B2-792EAC720E56}"/>
            </a:ext>
          </a:extLst>
        </xdr:cNvPr>
        <xdr:cNvSpPr/>
      </xdr:nvSpPr>
      <xdr:spPr>
        <a:xfrm>
          <a:off x="4833258" y="163285"/>
          <a:ext cx="2122714" cy="615044"/>
        </a:xfrm>
        <a:prstGeom prst="roundRect">
          <a:avLst/>
        </a:prstGeom>
        <a:solidFill>
          <a:srgbClr val="00B05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2</xdr:col>
      <xdr:colOff>326570</xdr:colOff>
      <xdr:row>0</xdr:row>
      <xdr:rowOff>176893</xdr:rowOff>
    </xdr:from>
    <xdr:to>
      <xdr:col>4</xdr:col>
      <xdr:colOff>340177</xdr:colOff>
      <xdr:row>4</xdr:row>
      <xdr:rowOff>27213</xdr:rowOff>
    </xdr:to>
    <xdr:sp macro="" textlink="">
      <xdr:nvSpPr>
        <xdr:cNvPr id="15" name="Rectángulo: esquinas redondeada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73E2C9-D603-4131-B4E6-D2684C4B3244}"/>
            </a:ext>
          </a:extLst>
        </xdr:cNvPr>
        <xdr:cNvSpPr/>
      </xdr:nvSpPr>
      <xdr:spPr>
        <a:xfrm>
          <a:off x="2490106" y="176893"/>
          <a:ext cx="2122714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9</xdr:col>
      <xdr:colOff>225879</xdr:colOff>
      <xdr:row>1</xdr:row>
      <xdr:rowOff>0</xdr:rowOff>
    </xdr:from>
    <xdr:to>
      <xdr:col>16</xdr:col>
      <xdr:colOff>375558</xdr:colOff>
      <xdr:row>4</xdr:row>
      <xdr:rowOff>40820</xdr:rowOff>
    </xdr:to>
    <xdr:sp macro="" textlink="">
      <xdr:nvSpPr>
        <xdr:cNvPr id="16" name="Rectángulo: esquinas redondeada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CF9B3C-6603-4C45-922A-06A340541F9A}"/>
            </a:ext>
          </a:extLst>
        </xdr:cNvPr>
        <xdr:cNvSpPr/>
      </xdr:nvSpPr>
      <xdr:spPr>
        <a:xfrm>
          <a:off x="7138308" y="190500"/>
          <a:ext cx="2122714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0</xdr:col>
      <xdr:colOff>108857</xdr:colOff>
      <xdr:row>0</xdr:row>
      <xdr:rowOff>179614</xdr:rowOff>
    </xdr:from>
    <xdr:to>
      <xdr:col>2</xdr:col>
      <xdr:colOff>68035</xdr:colOff>
      <xdr:row>4</xdr:row>
      <xdr:rowOff>32655</xdr:rowOff>
    </xdr:to>
    <xdr:sp macro="" textlink="">
      <xdr:nvSpPr>
        <xdr:cNvPr id="17" name="Rectángulo: esquinas redondeada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92C9A4-CC75-4427-8978-F59EEC62AD86}"/>
            </a:ext>
          </a:extLst>
        </xdr:cNvPr>
        <xdr:cNvSpPr/>
      </xdr:nvSpPr>
      <xdr:spPr>
        <a:xfrm>
          <a:off x="108857" y="179614"/>
          <a:ext cx="2122714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560615</xdr:colOff>
      <xdr:row>0</xdr:row>
      <xdr:rowOff>163285</xdr:rowOff>
    </xdr:from>
    <xdr:to>
      <xdr:col>9</xdr:col>
      <xdr:colOff>43543</xdr:colOff>
      <xdr:row>4</xdr:row>
      <xdr:rowOff>16329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6BBE3-EC0B-485A-9E95-B11314E35D0B}"/>
            </a:ext>
          </a:extLst>
        </xdr:cNvPr>
        <xdr:cNvSpPr/>
      </xdr:nvSpPr>
      <xdr:spPr>
        <a:xfrm>
          <a:off x="4827815" y="163285"/>
          <a:ext cx="2121353" cy="615044"/>
        </a:xfrm>
        <a:prstGeom prst="roundRect">
          <a:avLst/>
        </a:prstGeom>
        <a:solidFill>
          <a:srgbClr val="00B05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RHEEM</a:t>
          </a:r>
        </a:p>
      </xdr:txBody>
    </xdr:sp>
    <xdr:clientData/>
  </xdr:twoCellAnchor>
  <xdr:twoCellAnchor>
    <xdr:from>
      <xdr:col>2</xdr:col>
      <xdr:colOff>326570</xdr:colOff>
      <xdr:row>0</xdr:row>
      <xdr:rowOff>176893</xdr:rowOff>
    </xdr:from>
    <xdr:to>
      <xdr:col>4</xdr:col>
      <xdr:colOff>340177</xdr:colOff>
      <xdr:row>4</xdr:row>
      <xdr:rowOff>27213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55C65D-00D3-4D44-8B47-1643704C94AD}"/>
            </a:ext>
          </a:extLst>
        </xdr:cNvPr>
        <xdr:cNvSpPr/>
      </xdr:nvSpPr>
      <xdr:spPr>
        <a:xfrm>
          <a:off x="2488745" y="176893"/>
          <a:ext cx="2118632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bg2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DAIKIN</a:t>
          </a:r>
        </a:p>
      </xdr:txBody>
    </xdr:sp>
    <xdr:clientData/>
  </xdr:twoCellAnchor>
  <xdr:twoCellAnchor>
    <xdr:from>
      <xdr:col>9</xdr:col>
      <xdr:colOff>225879</xdr:colOff>
      <xdr:row>1</xdr:row>
      <xdr:rowOff>0</xdr:rowOff>
    </xdr:from>
    <xdr:to>
      <xdr:col>15</xdr:col>
      <xdr:colOff>0</xdr:colOff>
      <xdr:row>4</xdr:row>
      <xdr:rowOff>40820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B55386-4988-4EF4-846C-6AEBA9F2BBB5}"/>
            </a:ext>
          </a:extLst>
        </xdr:cNvPr>
        <xdr:cNvSpPr/>
      </xdr:nvSpPr>
      <xdr:spPr>
        <a:xfrm>
          <a:off x="7131504" y="190500"/>
          <a:ext cx="2111829" cy="612320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MTY</a:t>
          </a:r>
        </a:p>
      </xdr:txBody>
    </xdr:sp>
    <xdr:clientData/>
  </xdr:twoCellAnchor>
  <xdr:twoCellAnchor>
    <xdr:from>
      <xdr:col>0</xdr:col>
      <xdr:colOff>108857</xdr:colOff>
      <xdr:row>0</xdr:row>
      <xdr:rowOff>179614</xdr:rowOff>
    </xdr:from>
    <xdr:to>
      <xdr:col>2</xdr:col>
      <xdr:colOff>68035</xdr:colOff>
      <xdr:row>4</xdr:row>
      <xdr:rowOff>32655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43A25C-E891-4C54-967F-D6719F0FA580}"/>
            </a:ext>
          </a:extLst>
        </xdr:cNvPr>
        <xdr:cNvSpPr/>
      </xdr:nvSpPr>
      <xdr:spPr>
        <a:xfrm>
          <a:off x="108857" y="179614"/>
          <a:ext cx="2121353" cy="615041"/>
        </a:xfrm>
        <a:prstGeom prst="roundRect">
          <a:avLst/>
        </a:prstGeom>
        <a:solidFill>
          <a:schemeClr val="accent1">
            <a:alpha val="42000"/>
          </a:schemeClr>
        </a:solidFill>
        <a:ln>
          <a:solidFill>
            <a:schemeClr val="accent1">
              <a:shade val="15000"/>
              <a:alpha val="3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>
              <a:solidFill>
                <a:schemeClr val="lt1">
                  <a:alpha val="48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LENNOX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xplaneacion.ramos\AppData\Local\Microsoft\Windows\INetCache\Content.Outlook\IVFSD1IV\Pronostico%208%20-%2004%20-%2026%20RHEEM%20(003).XLSX" TargetMode="External"/><Relationship Id="rId1" Type="http://schemas.openxmlformats.org/officeDocument/2006/relationships/externalLinkPath" Target="file:///C:\Users\auxplaneacion.ramos\AppData\Local\Microsoft\Windows\INetCache\Content.Outlook\IVFSD1IV\Pronostico%208%20-%2004%20-%2026%20RHEEM%20(00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cabello\Desktop\LENNOX%201,%20RHEEM%20WKS\LENNOX%201%20WK3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saesp-my.sharepoint.com/personal/practicante_manu_mesa_ms/Documents/W35%20RHEEM%20C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D CIP"/>
      <sheetName val="STD"/>
      <sheetName val="BD"/>
      <sheetName val="DIA-PES"/>
      <sheetName val="INVENTARIO FALCON"/>
      <sheetName val="INVENTARIO CIP"/>
      <sheetName val="INV TRANSFERENCIA"/>
      <sheetName val="175"/>
      <sheetName val="CIP"/>
      <sheetName val="FALCON"/>
      <sheetName val="TRANSFERENCIA"/>
      <sheetName val="PROGRAMA S33 FALCON"/>
      <sheetName val="PROGRAMA S33 CIP"/>
      <sheetName val="PROGRAMA S33 TRANSF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82-104984-247</v>
          </cell>
          <cell r="C3">
            <v>450</v>
          </cell>
          <cell r="D3">
            <v>50</v>
          </cell>
          <cell r="E3" t="str">
            <v>25x20x12.5</v>
          </cell>
          <cell r="F3">
            <v>9</v>
          </cell>
          <cell r="G3">
            <v>0.875</v>
          </cell>
          <cell r="H3">
            <v>4.4999999999999998E-2</v>
          </cell>
          <cell r="I3">
            <v>0.58299999999999996</v>
          </cell>
          <cell r="J3">
            <v>262.34999999999997</v>
          </cell>
        </row>
        <row r="4">
          <cell r="B4" t="str">
            <v>82-104984-252</v>
          </cell>
          <cell r="C4">
            <v>300</v>
          </cell>
          <cell r="D4">
            <v>150</v>
          </cell>
          <cell r="E4" t="str">
            <v>30X20X7</v>
          </cell>
          <cell r="F4">
            <v>2</v>
          </cell>
          <cell r="G4">
            <v>0.625</v>
          </cell>
          <cell r="H4">
            <v>3.5000000000000003E-2</v>
          </cell>
          <cell r="I4">
            <v>0.122</v>
          </cell>
          <cell r="J4">
            <v>36.6</v>
          </cell>
        </row>
        <row r="5">
          <cell r="B5" t="str">
            <v>82-104984-255</v>
          </cell>
          <cell r="C5">
            <v>150</v>
          </cell>
          <cell r="D5">
            <v>150</v>
          </cell>
          <cell r="E5" t="str">
            <v>30X20X7</v>
          </cell>
          <cell r="F5">
            <v>1</v>
          </cell>
          <cell r="G5">
            <v>0.625</v>
          </cell>
          <cell r="H5">
            <v>3.5000000000000003E-2</v>
          </cell>
          <cell r="I5">
            <v>9.2999999999999999E-2</v>
          </cell>
          <cell r="J5">
            <v>13.95</v>
          </cell>
        </row>
        <row r="6">
          <cell r="B6" t="str">
            <v>82-104984-256</v>
          </cell>
          <cell r="C6">
            <v>880</v>
          </cell>
          <cell r="D6">
            <v>80</v>
          </cell>
          <cell r="E6" t="str">
            <v>30X20X7</v>
          </cell>
          <cell r="F6">
            <v>11</v>
          </cell>
          <cell r="G6">
            <v>0.75</v>
          </cell>
          <cell r="H6">
            <v>3.5000000000000003E-2</v>
          </cell>
          <cell r="I6">
            <v>0.16700000000000001</v>
          </cell>
          <cell r="J6">
            <v>146.96</v>
          </cell>
        </row>
        <row r="7">
          <cell r="B7" t="str">
            <v>82-104985-54</v>
          </cell>
          <cell r="C7">
            <v>800</v>
          </cell>
          <cell r="D7">
            <v>200</v>
          </cell>
          <cell r="E7" t="str">
            <v>30X20X7</v>
          </cell>
          <cell r="F7">
            <v>4</v>
          </cell>
          <cell r="G7">
            <v>0.5</v>
          </cell>
          <cell r="H7">
            <v>2.8000000000000001E-2</v>
          </cell>
          <cell r="I7">
            <v>8.3000000000000004E-2</v>
          </cell>
          <cell r="J7">
            <v>66.400000000000006</v>
          </cell>
        </row>
        <row r="8">
          <cell r="B8" t="str">
            <v>82-104985-55</v>
          </cell>
          <cell r="C8">
            <v>400</v>
          </cell>
          <cell r="D8">
            <v>200</v>
          </cell>
          <cell r="E8" t="str">
            <v>30X20X7</v>
          </cell>
          <cell r="F8">
            <v>2</v>
          </cell>
          <cell r="G8">
            <v>0.5</v>
          </cell>
          <cell r="H8">
            <v>2.8000000000000001E-2</v>
          </cell>
          <cell r="I8">
            <v>0.107</v>
          </cell>
          <cell r="J8">
            <v>42.8</v>
          </cell>
        </row>
        <row r="9">
          <cell r="B9" t="str">
            <v>82-109026-21</v>
          </cell>
          <cell r="C9">
            <v>600</v>
          </cell>
          <cell r="D9">
            <v>200</v>
          </cell>
          <cell r="E9" t="str">
            <v>12.5X12.5X12.5</v>
          </cell>
          <cell r="F9">
            <v>3</v>
          </cell>
          <cell r="G9">
            <v>0.25</v>
          </cell>
          <cell r="H9">
            <v>2.8000000000000001E-2</v>
          </cell>
          <cell r="I9">
            <v>0.02</v>
          </cell>
          <cell r="J9">
            <v>12</v>
          </cell>
        </row>
        <row r="10">
          <cell r="B10" t="str">
            <v>82-109026-22</v>
          </cell>
          <cell r="C10">
            <v>2000</v>
          </cell>
          <cell r="D10">
            <v>200</v>
          </cell>
          <cell r="E10" t="str">
            <v>12.5X12.5X12.5</v>
          </cell>
          <cell r="F10">
            <v>10</v>
          </cell>
          <cell r="G10">
            <v>0.25</v>
          </cell>
          <cell r="H10">
            <v>2.8000000000000001E-2</v>
          </cell>
          <cell r="I10">
            <v>3.4000000000000002E-2</v>
          </cell>
          <cell r="J10">
            <v>68</v>
          </cell>
        </row>
      </sheetData>
      <sheetData sheetId="12"/>
      <sheetData sheetId="13">
        <row r="3">
          <cell r="B3" t="str">
            <v>82-100351-02</v>
          </cell>
          <cell r="C3">
            <v>100</v>
          </cell>
          <cell r="D3">
            <v>0</v>
          </cell>
          <cell r="E3">
            <v>0</v>
          </cell>
          <cell r="F3" t="e">
            <v>#DIV/0!</v>
          </cell>
          <cell r="G3">
            <v>0.75</v>
          </cell>
          <cell r="H3">
            <v>0.11899999999999999</v>
          </cell>
          <cell r="I3">
            <v>0.47655999999999998</v>
          </cell>
          <cell r="J3">
            <v>47.655999999999999</v>
          </cell>
          <cell r="K3">
            <v>0</v>
          </cell>
        </row>
        <row r="4">
          <cell r="B4" t="str">
            <v>82-100351-03</v>
          </cell>
          <cell r="C4">
            <v>313</v>
          </cell>
          <cell r="D4">
            <v>0</v>
          </cell>
          <cell r="E4">
            <v>0</v>
          </cell>
          <cell r="F4" t="e">
            <v>#DIV/0!</v>
          </cell>
          <cell r="G4">
            <v>0.875</v>
          </cell>
          <cell r="H4">
            <v>0.129</v>
          </cell>
          <cell r="I4">
            <v>0.76661999999999997</v>
          </cell>
          <cell r="J4">
            <v>239.95205999999999</v>
          </cell>
          <cell r="K4">
            <v>0</v>
          </cell>
        </row>
        <row r="5">
          <cell r="B5" t="str">
            <v>82-100351-04</v>
          </cell>
          <cell r="C5">
            <v>493</v>
          </cell>
          <cell r="D5">
            <v>0</v>
          </cell>
          <cell r="E5">
            <v>0</v>
          </cell>
          <cell r="F5" t="e">
            <v>#DIV/0!</v>
          </cell>
          <cell r="G5">
            <v>0.875</v>
          </cell>
          <cell r="H5">
            <v>0.129</v>
          </cell>
          <cell r="I5">
            <v>0.94921999999999995</v>
          </cell>
          <cell r="J5">
            <v>467.96545999999995</v>
          </cell>
          <cell r="K5">
            <v>0</v>
          </cell>
        </row>
        <row r="6">
          <cell r="B6" t="str">
            <v>82-100797-02</v>
          </cell>
          <cell r="C6">
            <v>100</v>
          </cell>
          <cell r="D6">
            <v>0</v>
          </cell>
          <cell r="E6">
            <v>0</v>
          </cell>
          <cell r="F6" t="e">
            <v>#DIV/0!</v>
          </cell>
          <cell r="G6">
            <v>0.75</v>
          </cell>
          <cell r="H6">
            <v>0.11899999999999999</v>
          </cell>
          <cell r="I6">
            <v>0.20200000000000001</v>
          </cell>
          <cell r="J6">
            <v>20.200000000000003</v>
          </cell>
          <cell r="K6">
            <v>0</v>
          </cell>
        </row>
        <row r="7">
          <cell r="B7" t="str">
            <v>82-100797-04</v>
          </cell>
          <cell r="C7">
            <v>134</v>
          </cell>
          <cell r="D7">
            <v>0</v>
          </cell>
          <cell r="E7">
            <v>0</v>
          </cell>
          <cell r="F7" t="e">
            <v>#DIV/0!</v>
          </cell>
          <cell r="G7">
            <v>0.875</v>
          </cell>
          <cell r="H7">
            <v>0.129</v>
          </cell>
          <cell r="I7">
            <v>0.29207</v>
          </cell>
          <cell r="J7">
            <v>39.13738</v>
          </cell>
          <cell r="K7">
            <v>0</v>
          </cell>
        </row>
        <row r="8">
          <cell r="B8" t="str">
            <v>82-104748-68</v>
          </cell>
          <cell r="C8">
            <v>1134</v>
          </cell>
          <cell r="D8">
            <v>100</v>
          </cell>
          <cell r="E8" t="str">
            <v>44x41x12</v>
          </cell>
          <cell r="F8">
            <v>11.34</v>
          </cell>
          <cell r="G8">
            <v>0.5</v>
          </cell>
          <cell r="H8">
            <v>2.8000000000000001E-2</v>
          </cell>
          <cell r="I8">
            <v>0.13300000000000001</v>
          </cell>
          <cell r="J8">
            <v>150.822</v>
          </cell>
          <cell r="K8">
            <v>0</v>
          </cell>
        </row>
        <row r="9">
          <cell r="B9" t="str">
            <v>82-104748-69</v>
          </cell>
          <cell r="C9">
            <v>200</v>
          </cell>
          <cell r="D9">
            <v>100</v>
          </cell>
          <cell r="E9" t="str">
            <v>44x41x12</v>
          </cell>
          <cell r="F9">
            <v>2</v>
          </cell>
          <cell r="G9">
            <v>0.5</v>
          </cell>
          <cell r="H9">
            <v>2.8000000000000001E-2</v>
          </cell>
          <cell r="I9">
            <v>0.11899999999999999</v>
          </cell>
          <cell r="J9">
            <v>23.799999999999997</v>
          </cell>
          <cell r="K9">
            <v>500</v>
          </cell>
        </row>
        <row r="10">
          <cell r="B10" t="str">
            <v>82-104894-08</v>
          </cell>
          <cell r="C10">
            <v>180</v>
          </cell>
          <cell r="D10">
            <v>0</v>
          </cell>
          <cell r="E10">
            <v>0</v>
          </cell>
          <cell r="F10" t="e">
            <v>#DIV/0!</v>
          </cell>
          <cell r="G10">
            <v>0.5</v>
          </cell>
          <cell r="H10">
            <v>8.4000000000000005E-2</v>
          </cell>
          <cell r="I10">
            <v>0.26300000000000001</v>
          </cell>
          <cell r="J10">
            <v>47.34</v>
          </cell>
          <cell r="K10">
            <v>0</v>
          </cell>
        </row>
        <row r="11">
          <cell r="B11" t="str">
            <v>82-104894-09</v>
          </cell>
          <cell r="C11">
            <v>100</v>
          </cell>
          <cell r="D11">
            <v>0</v>
          </cell>
          <cell r="E11">
            <v>0</v>
          </cell>
          <cell r="F11" t="e">
            <v>#DIV/0!</v>
          </cell>
          <cell r="G11">
            <v>0.5</v>
          </cell>
          <cell r="H11">
            <v>8.4000000000000005E-2</v>
          </cell>
          <cell r="I11">
            <v>0.33200000000000002</v>
          </cell>
          <cell r="J11">
            <v>33.200000000000003</v>
          </cell>
          <cell r="K11">
            <v>0</v>
          </cell>
        </row>
        <row r="12">
          <cell r="B12" t="str">
            <v>82-104894-13</v>
          </cell>
          <cell r="C12">
            <v>100</v>
          </cell>
          <cell r="D12">
            <v>0</v>
          </cell>
          <cell r="E12">
            <v>0</v>
          </cell>
          <cell r="F12" t="e">
            <v>#DIV/0!</v>
          </cell>
          <cell r="G12">
            <v>0.5</v>
          </cell>
          <cell r="H12">
            <v>8.4000000000000005E-2</v>
          </cell>
          <cell r="I12">
            <v>0.32500000000000001</v>
          </cell>
          <cell r="J12">
            <v>32.5</v>
          </cell>
          <cell r="K12">
            <v>0</v>
          </cell>
        </row>
        <row r="13">
          <cell r="B13" t="str">
            <v>82-104895-07</v>
          </cell>
          <cell r="C13">
            <v>180</v>
          </cell>
          <cell r="D13">
            <v>0</v>
          </cell>
          <cell r="E13">
            <v>0</v>
          </cell>
          <cell r="F13" t="e">
            <v>#DIV/0!</v>
          </cell>
          <cell r="G13">
            <v>0.5</v>
          </cell>
          <cell r="H13">
            <v>8.4000000000000005E-2</v>
          </cell>
          <cell r="I13">
            <v>0.21099999999999999</v>
          </cell>
          <cell r="J13">
            <v>37.979999999999997</v>
          </cell>
          <cell r="K13">
            <v>0</v>
          </cell>
        </row>
        <row r="14">
          <cell r="B14" t="str">
            <v>82-104895-08</v>
          </cell>
          <cell r="C14">
            <v>100</v>
          </cell>
          <cell r="D14">
            <v>0</v>
          </cell>
          <cell r="E14">
            <v>0</v>
          </cell>
          <cell r="F14" t="e">
            <v>#DIV/0!</v>
          </cell>
          <cell r="G14">
            <v>0.75</v>
          </cell>
          <cell r="H14">
            <v>9.0999999999999998E-2</v>
          </cell>
          <cell r="I14">
            <v>0.372</v>
          </cell>
          <cell r="J14">
            <v>37.200000000000003</v>
          </cell>
          <cell r="K14">
            <v>0</v>
          </cell>
        </row>
        <row r="15">
          <cell r="B15" t="str">
            <v>82-104895-09</v>
          </cell>
          <cell r="C15">
            <v>100</v>
          </cell>
          <cell r="D15">
            <v>0</v>
          </cell>
          <cell r="E15">
            <v>0</v>
          </cell>
          <cell r="F15" t="e">
            <v>#DIV/0!</v>
          </cell>
          <cell r="G15">
            <v>0.875</v>
          </cell>
          <cell r="H15">
            <v>6.3E-2</v>
          </cell>
          <cell r="I15">
            <v>0.20799999999999999</v>
          </cell>
          <cell r="J15">
            <v>20.8</v>
          </cell>
          <cell r="K15">
            <v>0</v>
          </cell>
        </row>
        <row r="16">
          <cell r="B16" t="str">
            <v>82-104895-17</v>
          </cell>
          <cell r="C16">
            <v>100</v>
          </cell>
          <cell r="D16">
            <v>0</v>
          </cell>
          <cell r="E16">
            <v>0</v>
          </cell>
          <cell r="F16" t="e">
            <v>#DIV/0!</v>
          </cell>
          <cell r="G16">
            <v>0.5</v>
          </cell>
          <cell r="H16">
            <v>8.4000000000000005E-2</v>
          </cell>
          <cell r="I16">
            <v>0.27</v>
          </cell>
          <cell r="J16">
            <v>27</v>
          </cell>
          <cell r="K16">
            <v>0</v>
          </cell>
        </row>
        <row r="17">
          <cell r="B17" t="str">
            <v>82-104982-01</v>
          </cell>
          <cell r="C17">
            <v>100</v>
          </cell>
          <cell r="D17">
            <v>0</v>
          </cell>
          <cell r="E17">
            <v>0</v>
          </cell>
          <cell r="F17" t="e">
            <v>#DIV/0!</v>
          </cell>
          <cell r="G17">
            <v>0.75</v>
          </cell>
          <cell r="H17">
            <v>6.3E-2</v>
          </cell>
          <cell r="I17">
            <v>0.105</v>
          </cell>
          <cell r="J17">
            <v>10.5</v>
          </cell>
          <cell r="K17">
            <v>0</v>
          </cell>
        </row>
        <row r="18">
          <cell r="B18" t="str">
            <v>82-104982-02</v>
          </cell>
          <cell r="C18">
            <v>100</v>
          </cell>
          <cell r="D18">
            <v>0</v>
          </cell>
          <cell r="E18">
            <v>0</v>
          </cell>
          <cell r="F18" t="e">
            <v>#DIV/0!</v>
          </cell>
          <cell r="G18">
            <v>0.75</v>
          </cell>
          <cell r="H18">
            <v>6.3E-2</v>
          </cell>
          <cell r="I18">
            <v>9.3679999999999999E-2</v>
          </cell>
          <cell r="J18">
            <v>9.3680000000000003</v>
          </cell>
          <cell r="K18">
            <v>0</v>
          </cell>
        </row>
        <row r="19">
          <cell r="B19" t="str">
            <v>82-104982-03</v>
          </cell>
          <cell r="C19">
            <v>100</v>
          </cell>
          <cell r="D19">
            <v>0</v>
          </cell>
          <cell r="E19">
            <v>0</v>
          </cell>
          <cell r="F19" t="e">
            <v>#DIV/0!</v>
          </cell>
          <cell r="G19">
            <v>0.875</v>
          </cell>
          <cell r="H19">
            <v>7.2999999999999995E-2</v>
          </cell>
          <cell r="I19">
            <v>0.25033</v>
          </cell>
          <cell r="J19">
            <v>25.033000000000001</v>
          </cell>
          <cell r="K19">
            <v>0</v>
          </cell>
        </row>
        <row r="20">
          <cell r="B20" t="str">
            <v>82-104982-04</v>
          </cell>
          <cell r="C20">
            <v>100</v>
          </cell>
          <cell r="D20">
            <v>0</v>
          </cell>
          <cell r="E20">
            <v>0</v>
          </cell>
          <cell r="F20" t="e">
            <v>#DIV/0!</v>
          </cell>
          <cell r="G20">
            <v>0.875</v>
          </cell>
          <cell r="H20">
            <v>7.2999999999999995E-2</v>
          </cell>
          <cell r="I20">
            <v>0.16952999999999999</v>
          </cell>
          <cell r="J20">
            <v>16.952999999999999</v>
          </cell>
          <cell r="K20">
            <v>0</v>
          </cell>
        </row>
        <row r="21">
          <cell r="B21" t="str">
            <v>82-104982-06</v>
          </cell>
          <cell r="C21">
            <v>163</v>
          </cell>
          <cell r="D21">
            <v>0</v>
          </cell>
          <cell r="E21">
            <v>0</v>
          </cell>
          <cell r="F21" t="e">
            <v>#DIV/0!</v>
          </cell>
          <cell r="G21">
            <v>0.75</v>
          </cell>
          <cell r="H21">
            <v>6.3E-2</v>
          </cell>
          <cell r="I21" t="e">
            <v>#N/A</v>
          </cell>
          <cell r="J21" t="e">
            <v>#N/A</v>
          </cell>
          <cell r="K21">
            <v>0</v>
          </cell>
        </row>
        <row r="22">
          <cell r="B22" t="str">
            <v>82-104984-114</v>
          </cell>
          <cell r="C22">
            <v>855</v>
          </cell>
          <cell r="D22">
            <v>2000</v>
          </cell>
          <cell r="E22" t="str">
            <v>42X45X20</v>
          </cell>
          <cell r="F22">
            <v>0.42749999999999999</v>
          </cell>
          <cell r="G22">
            <v>0.75</v>
          </cell>
          <cell r="H22">
            <v>3.5000000000000003E-2</v>
          </cell>
          <cell r="I22">
            <v>6.4000000000000001E-2</v>
          </cell>
          <cell r="J22">
            <v>54.72</v>
          </cell>
          <cell r="K22">
            <v>1600</v>
          </cell>
        </row>
        <row r="23">
          <cell r="B23" t="str">
            <v>82-104984-116</v>
          </cell>
          <cell r="C23">
            <v>855</v>
          </cell>
          <cell r="D23">
            <v>100</v>
          </cell>
          <cell r="E23" t="str">
            <v>44x41x12</v>
          </cell>
          <cell r="F23">
            <v>8.5500000000000007</v>
          </cell>
          <cell r="G23">
            <v>0.625</v>
          </cell>
          <cell r="H23">
            <v>3.5000000000000003E-2</v>
          </cell>
          <cell r="I23">
            <v>0.193</v>
          </cell>
          <cell r="J23">
            <v>165.01500000000001</v>
          </cell>
          <cell r="K23">
            <v>1500</v>
          </cell>
        </row>
        <row r="24">
          <cell r="B24" t="str">
            <v>82-104984-118</v>
          </cell>
          <cell r="C24">
            <v>461</v>
          </cell>
          <cell r="D24">
            <v>200</v>
          </cell>
          <cell r="E24" t="str">
            <v>42x45x20</v>
          </cell>
          <cell r="F24">
            <v>2.3050000000000002</v>
          </cell>
          <cell r="G24">
            <v>0.875</v>
          </cell>
          <cell r="H24">
            <v>4.4999999999999998E-2</v>
          </cell>
          <cell r="I24">
            <v>0.37413313115420155</v>
          </cell>
          <cell r="J24">
            <v>172.47537346208691</v>
          </cell>
          <cell r="K24">
            <v>0</v>
          </cell>
        </row>
        <row r="25">
          <cell r="B25" t="str">
            <v>82-104984-120</v>
          </cell>
          <cell r="C25">
            <v>2239</v>
          </cell>
          <cell r="D25">
            <v>1000</v>
          </cell>
          <cell r="E25" t="str">
            <v>42X45X20</v>
          </cell>
          <cell r="F25">
            <v>2.2389999999999999</v>
          </cell>
          <cell r="G25">
            <v>0.875</v>
          </cell>
          <cell r="H25">
            <v>4.4999999999999998E-2</v>
          </cell>
          <cell r="I25">
            <v>0.11600000000000001</v>
          </cell>
          <cell r="J25">
            <v>259.72399999999999</v>
          </cell>
          <cell r="K25">
            <v>0</v>
          </cell>
        </row>
        <row r="26">
          <cell r="B26" t="str">
            <v>82-104984-122</v>
          </cell>
          <cell r="C26">
            <v>100</v>
          </cell>
          <cell r="D26">
            <v>250</v>
          </cell>
          <cell r="E26" t="str">
            <v>42X45X20</v>
          </cell>
          <cell r="F26">
            <v>0.4</v>
          </cell>
          <cell r="G26">
            <v>0.75</v>
          </cell>
          <cell r="H26">
            <v>3.5000000000000003E-2</v>
          </cell>
          <cell r="I26">
            <v>0.24697421806337283</v>
          </cell>
          <cell r="J26">
            <v>24.697421806337282</v>
          </cell>
          <cell r="K26">
            <v>0</v>
          </cell>
        </row>
        <row r="27">
          <cell r="B27" t="str">
            <v>82-104984-124</v>
          </cell>
          <cell r="C27">
            <v>100</v>
          </cell>
          <cell r="D27">
            <v>2000</v>
          </cell>
          <cell r="E27" t="str">
            <v>42X45X20</v>
          </cell>
          <cell r="F27">
            <v>0.05</v>
          </cell>
          <cell r="G27">
            <v>0.75</v>
          </cell>
          <cell r="H27">
            <v>3.5000000000000003E-2</v>
          </cell>
          <cell r="I27">
            <v>7.5387261318969612E-2</v>
          </cell>
          <cell r="J27">
            <v>7.5387261318969614</v>
          </cell>
          <cell r="K27">
            <v>900</v>
          </cell>
        </row>
        <row r="28">
          <cell r="B28" t="str">
            <v>82-104984-126</v>
          </cell>
          <cell r="C28">
            <v>179</v>
          </cell>
          <cell r="D28">
            <v>200</v>
          </cell>
          <cell r="E28" t="str">
            <v>42x45x20</v>
          </cell>
          <cell r="F28">
            <v>0.89500000000000002</v>
          </cell>
          <cell r="G28">
            <v>0.875</v>
          </cell>
          <cell r="H28">
            <v>4.4999999999999998E-2</v>
          </cell>
          <cell r="I28">
            <v>0.39500000000000002</v>
          </cell>
          <cell r="J28">
            <v>70.704999999999998</v>
          </cell>
          <cell r="K28">
            <v>50</v>
          </cell>
        </row>
        <row r="29">
          <cell r="B29" t="str">
            <v>82-104984-140</v>
          </cell>
          <cell r="C29">
            <v>855</v>
          </cell>
          <cell r="D29">
            <v>200</v>
          </cell>
          <cell r="E29" t="str">
            <v>44x41x12</v>
          </cell>
          <cell r="F29">
            <v>4.2750000000000004</v>
          </cell>
          <cell r="G29">
            <v>0.625</v>
          </cell>
          <cell r="H29">
            <v>3.5000000000000003E-2</v>
          </cell>
          <cell r="I29">
            <v>9.1999999999999998E-2</v>
          </cell>
          <cell r="J29">
            <v>78.66</v>
          </cell>
          <cell r="K29">
            <v>1500</v>
          </cell>
        </row>
        <row r="30">
          <cell r="B30" t="str">
            <v>82-104984-142</v>
          </cell>
          <cell r="C30">
            <v>1438</v>
          </cell>
          <cell r="D30">
            <v>100</v>
          </cell>
          <cell r="E30" t="str">
            <v>44x41x12</v>
          </cell>
          <cell r="F30">
            <v>14.38</v>
          </cell>
          <cell r="G30">
            <v>0.625</v>
          </cell>
          <cell r="H30">
            <v>3.5000000000000003E-2</v>
          </cell>
          <cell r="I30">
            <v>0.19082107416960001</v>
          </cell>
          <cell r="J30">
            <v>274.40070465588479</v>
          </cell>
          <cell r="K30">
            <v>1100</v>
          </cell>
        </row>
        <row r="31">
          <cell r="B31" t="str">
            <v>82-104984-143</v>
          </cell>
          <cell r="C31">
            <v>100</v>
          </cell>
          <cell r="D31">
            <v>1000</v>
          </cell>
          <cell r="E31" t="str">
            <v>42X45X20</v>
          </cell>
          <cell r="F31">
            <v>0.1</v>
          </cell>
          <cell r="G31">
            <v>0.75</v>
          </cell>
          <cell r="H31">
            <v>3.5000000000000003E-2</v>
          </cell>
          <cell r="I31">
            <v>0.13412457535276803</v>
          </cell>
          <cell r="J31">
            <v>13.412457535276804</v>
          </cell>
          <cell r="K31">
            <v>1400</v>
          </cell>
        </row>
        <row r="32">
          <cell r="B32" t="str">
            <v>82-104984-147</v>
          </cell>
          <cell r="C32">
            <v>1174</v>
          </cell>
          <cell r="D32">
            <v>500</v>
          </cell>
          <cell r="E32" t="str">
            <v>42X45X20</v>
          </cell>
          <cell r="F32">
            <v>2.3479999999999999</v>
          </cell>
          <cell r="G32">
            <v>0.75</v>
          </cell>
          <cell r="H32">
            <v>3.5000000000000003E-2</v>
          </cell>
          <cell r="I32">
            <v>0.10591216467511681</v>
          </cell>
          <cell r="J32">
            <v>124.34088132858714</v>
          </cell>
          <cell r="K32">
            <v>2800</v>
          </cell>
        </row>
        <row r="33">
          <cell r="B33" t="str">
            <v>82-104984-148</v>
          </cell>
          <cell r="C33">
            <v>435</v>
          </cell>
          <cell r="D33">
            <v>500</v>
          </cell>
          <cell r="E33" t="str">
            <v>42x45x20</v>
          </cell>
          <cell r="F33">
            <v>0.87</v>
          </cell>
          <cell r="G33">
            <v>0.875</v>
          </cell>
          <cell r="H33">
            <v>4.4999999999999998E-2</v>
          </cell>
          <cell r="I33">
            <v>0.32581335406786555</v>
          </cell>
          <cell r="J33">
            <v>141.72880901952152</v>
          </cell>
          <cell r="K33">
            <v>0</v>
          </cell>
        </row>
        <row r="34">
          <cell r="B34" t="str">
            <v>82-104984-149</v>
          </cell>
          <cell r="C34">
            <v>455</v>
          </cell>
          <cell r="D34">
            <v>1000</v>
          </cell>
          <cell r="E34" t="str">
            <v>42X45X20</v>
          </cell>
          <cell r="F34">
            <v>0.45500000000000002</v>
          </cell>
          <cell r="G34">
            <v>0.875</v>
          </cell>
          <cell r="H34">
            <v>4.4999999999999998E-2</v>
          </cell>
          <cell r="I34">
            <v>0.22986408242499837</v>
          </cell>
          <cell r="J34">
            <v>104.58815750337426</v>
          </cell>
          <cell r="K34">
            <v>1000</v>
          </cell>
        </row>
        <row r="35">
          <cell r="B35" t="str">
            <v>82-104984-156</v>
          </cell>
          <cell r="C35">
            <v>342</v>
          </cell>
          <cell r="D35">
            <v>1000</v>
          </cell>
          <cell r="E35" t="str">
            <v>42X45X20</v>
          </cell>
          <cell r="F35">
            <v>0.34200000000000003</v>
          </cell>
          <cell r="G35">
            <v>0.875</v>
          </cell>
          <cell r="H35">
            <v>4.4999999999999998E-2</v>
          </cell>
          <cell r="I35">
            <v>0.17</v>
          </cell>
          <cell r="J35">
            <v>58.140000000000008</v>
          </cell>
          <cell r="K35">
            <v>99</v>
          </cell>
        </row>
        <row r="36">
          <cell r="B36" t="str">
            <v>82-104984-189</v>
          </cell>
          <cell r="C36">
            <v>875</v>
          </cell>
          <cell r="D36">
            <v>300</v>
          </cell>
          <cell r="E36" t="str">
            <v>42X45X20</v>
          </cell>
          <cell r="F36">
            <v>2.9166666666666665</v>
          </cell>
          <cell r="G36">
            <v>0.75</v>
          </cell>
          <cell r="H36">
            <v>3.5000000000000003E-2</v>
          </cell>
          <cell r="I36">
            <v>0.21413682202872963</v>
          </cell>
          <cell r="J36">
            <v>187.36971927513844</v>
          </cell>
          <cell r="K36">
            <v>2769</v>
          </cell>
        </row>
        <row r="37">
          <cell r="B37" t="str">
            <v>82-104984-190</v>
          </cell>
          <cell r="C37">
            <v>875</v>
          </cell>
          <cell r="D37">
            <v>300</v>
          </cell>
          <cell r="E37" t="str">
            <v>42X45X20</v>
          </cell>
          <cell r="F37">
            <v>2.9166666666666665</v>
          </cell>
          <cell r="G37">
            <v>0.75</v>
          </cell>
          <cell r="H37">
            <v>3.5000000000000003E-2</v>
          </cell>
          <cell r="I37">
            <v>0.17112445820870403</v>
          </cell>
          <cell r="J37">
            <v>149.73390093261602</v>
          </cell>
          <cell r="K37">
            <v>2769</v>
          </cell>
        </row>
        <row r="38">
          <cell r="B38" t="str">
            <v>82-104984-191</v>
          </cell>
          <cell r="C38">
            <v>179</v>
          </cell>
          <cell r="D38">
            <v>500</v>
          </cell>
          <cell r="E38" t="str">
            <v>42x45x20</v>
          </cell>
          <cell r="F38">
            <v>0.35799999999999998</v>
          </cell>
          <cell r="G38">
            <v>0.875</v>
          </cell>
          <cell r="H38">
            <v>4.4999999999999998E-2</v>
          </cell>
          <cell r="I38">
            <v>0.35099999999999998</v>
          </cell>
          <cell r="J38">
            <v>62.828999999999994</v>
          </cell>
          <cell r="K38">
            <v>500</v>
          </cell>
        </row>
        <row r="39">
          <cell r="B39" t="str">
            <v>82-104984-216</v>
          </cell>
          <cell r="C39">
            <v>100</v>
          </cell>
          <cell r="D39">
            <v>200</v>
          </cell>
          <cell r="E39" t="str">
            <v>42x45x20</v>
          </cell>
          <cell r="F39">
            <v>0.5</v>
          </cell>
          <cell r="G39">
            <v>0.875</v>
          </cell>
          <cell r="H39">
            <v>4.4999999999999998E-2</v>
          </cell>
          <cell r="I39">
            <v>0.38724849922049276</v>
          </cell>
          <cell r="J39">
            <v>38.724849922049273</v>
          </cell>
          <cell r="K39">
            <v>0</v>
          </cell>
        </row>
        <row r="40">
          <cell r="B40" t="str">
            <v>82-104984-46</v>
          </cell>
          <cell r="C40">
            <v>100</v>
          </cell>
          <cell r="D40">
            <v>500</v>
          </cell>
          <cell r="E40" t="str">
            <v>42x45x20</v>
          </cell>
          <cell r="F40">
            <v>0.2</v>
          </cell>
          <cell r="G40">
            <v>0.875</v>
          </cell>
          <cell r="H40">
            <v>4.4999999999999998E-2</v>
          </cell>
          <cell r="I40">
            <v>0.40859000000000001</v>
          </cell>
          <cell r="J40">
            <v>40.859000000000002</v>
          </cell>
          <cell r="K40">
            <v>0</v>
          </cell>
        </row>
        <row r="41">
          <cell r="B41" t="str">
            <v>82-104985-25</v>
          </cell>
          <cell r="C41">
            <v>100</v>
          </cell>
          <cell r="D41">
            <v>100</v>
          </cell>
          <cell r="E41" t="str">
            <v>44x41x12</v>
          </cell>
          <cell r="F41">
            <v>1</v>
          </cell>
          <cell r="G41">
            <v>0.5</v>
          </cell>
          <cell r="H41">
            <v>2.8000000000000001E-2</v>
          </cell>
          <cell r="I41">
            <v>0.15167985543593165</v>
          </cell>
          <cell r="J41">
            <v>15.167985543593165</v>
          </cell>
          <cell r="K41">
            <v>94</v>
          </cell>
        </row>
        <row r="42">
          <cell r="B42" t="str">
            <v>82-104985-39</v>
          </cell>
          <cell r="C42">
            <v>162</v>
          </cell>
          <cell r="D42">
            <v>100</v>
          </cell>
          <cell r="E42" t="str">
            <v>44x41x12</v>
          </cell>
          <cell r="F42">
            <v>1.62</v>
          </cell>
          <cell r="G42">
            <v>0.5</v>
          </cell>
          <cell r="H42">
            <v>2.8000000000000001E-2</v>
          </cell>
          <cell r="I42">
            <v>0.13500000000000001</v>
          </cell>
          <cell r="J42">
            <v>21.87</v>
          </cell>
          <cell r="K42">
            <v>550</v>
          </cell>
        </row>
        <row r="43">
          <cell r="B43" t="str">
            <v>82-104985-41</v>
          </cell>
          <cell r="C43">
            <v>3599</v>
          </cell>
          <cell r="D43">
            <v>100</v>
          </cell>
          <cell r="E43" t="str">
            <v>12.5x12.5x12.5</v>
          </cell>
          <cell r="F43">
            <v>35.99</v>
          </cell>
          <cell r="G43">
            <v>0.5</v>
          </cell>
          <cell r="H43">
            <v>2.8000000000000001E-2</v>
          </cell>
          <cell r="I43">
            <v>5.0804202786914304E-2</v>
          </cell>
          <cell r="J43">
            <v>182.84432583010459</v>
          </cell>
          <cell r="K43">
            <v>9466</v>
          </cell>
        </row>
        <row r="44">
          <cell r="B44" t="str">
            <v>82-104986-59</v>
          </cell>
          <cell r="C44">
            <v>855</v>
          </cell>
          <cell r="D44">
            <v>150</v>
          </cell>
          <cell r="E44" t="str">
            <v>12.5X12.5X12.5</v>
          </cell>
          <cell r="F44">
            <v>5.7</v>
          </cell>
          <cell r="G44">
            <v>0.375</v>
          </cell>
          <cell r="H44">
            <v>2.8000000000000001E-2</v>
          </cell>
          <cell r="I44">
            <v>3.5999999999999997E-2</v>
          </cell>
          <cell r="J44">
            <v>30.779999999999998</v>
          </cell>
          <cell r="K44">
            <v>1500</v>
          </cell>
        </row>
        <row r="45">
          <cell r="B45" t="str">
            <v>82-104986-60</v>
          </cell>
          <cell r="C45">
            <v>455</v>
          </cell>
          <cell r="D45">
            <v>60</v>
          </cell>
          <cell r="E45" t="str">
            <v>30X20X7</v>
          </cell>
          <cell r="F45">
            <v>7.583333333333333</v>
          </cell>
          <cell r="G45">
            <v>0.375</v>
          </cell>
          <cell r="H45">
            <v>2.8000000000000001E-2</v>
          </cell>
          <cell r="I45">
            <v>9.732469885660569E-2</v>
          </cell>
          <cell r="J45">
            <v>44.282737979755588</v>
          </cell>
          <cell r="K45">
            <v>0</v>
          </cell>
        </row>
        <row r="46">
          <cell r="B46" t="str">
            <v>82-104986-61</v>
          </cell>
          <cell r="C46">
            <v>1908</v>
          </cell>
          <cell r="D46">
            <v>150</v>
          </cell>
          <cell r="E46" t="str">
            <v>12.5X12.5X12.5</v>
          </cell>
          <cell r="F46">
            <v>12.72</v>
          </cell>
          <cell r="G46">
            <v>0.375</v>
          </cell>
          <cell r="H46">
            <v>2.8000000000000001E-2</v>
          </cell>
          <cell r="I46">
            <v>3.9684056175848442E-2</v>
          </cell>
          <cell r="J46">
            <v>75.717179183518823</v>
          </cell>
          <cell r="K46">
            <v>1300</v>
          </cell>
        </row>
        <row r="47">
          <cell r="B47" t="str">
            <v>82-104986-71</v>
          </cell>
          <cell r="C47">
            <v>100</v>
          </cell>
          <cell r="D47">
            <v>50</v>
          </cell>
          <cell r="E47" t="str">
            <v>12.5X12.5X12.5</v>
          </cell>
          <cell r="F47">
            <v>2</v>
          </cell>
          <cell r="G47">
            <v>0.375</v>
          </cell>
          <cell r="H47">
            <v>2.8000000000000001E-2</v>
          </cell>
          <cell r="I47">
            <v>7.3622004670126071E-2</v>
          </cell>
          <cell r="J47">
            <v>7.3622004670126069</v>
          </cell>
          <cell r="K47">
            <v>1000</v>
          </cell>
        </row>
        <row r="48">
          <cell r="B48" t="str">
            <v>82-104986-72</v>
          </cell>
          <cell r="C48">
            <v>855</v>
          </cell>
          <cell r="D48">
            <v>50</v>
          </cell>
          <cell r="E48" t="str">
            <v>12.5X12.5X12.5</v>
          </cell>
          <cell r="F48">
            <v>17.100000000000001</v>
          </cell>
          <cell r="G48">
            <v>0.375</v>
          </cell>
          <cell r="H48">
            <v>2.8000000000000001E-2</v>
          </cell>
          <cell r="I48">
            <v>7.5999999999999998E-2</v>
          </cell>
          <cell r="J48">
            <v>64.98</v>
          </cell>
          <cell r="K48">
            <v>1500</v>
          </cell>
        </row>
        <row r="49">
          <cell r="B49" t="str">
            <v>82-104986-88</v>
          </cell>
          <cell r="C49">
            <v>875</v>
          </cell>
          <cell r="D49">
            <v>100</v>
          </cell>
          <cell r="E49" t="str">
            <v>12.5X12.5X12.5</v>
          </cell>
          <cell r="F49">
            <v>8.75</v>
          </cell>
          <cell r="G49">
            <v>0.375</v>
          </cell>
          <cell r="H49">
            <v>2.8000000000000001E-2</v>
          </cell>
          <cell r="I49">
            <v>2.5677918702019582E-2</v>
          </cell>
          <cell r="J49">
            <v>22.468178864267134</v>
          </cell>
          <cell r="K49">
            <v>2650</v>
          </cell>
        </row>
        <row r="50">
          <cell r="B50" t="str">
            <v>82-104986-89</v>
          </cell>
          <cell r="C50">
            <v>875</v>
          </cell>
          <cell r="D50">
            <v>100</v>
          </cell>
          <cell r="E50" t="str">
            <v>12.5X12.5X12.5</v>
          </cell>
          <cell r="F50">
            <v>8.75</v>
          </cell>
          <cell r="G50">
            <v>0.375</v>
          </cell>
          <cell r="H50">
            <v>2.8000000000000001E-2</v>
          </cell>
          <cell r="I50">
            <v>7.7931585431304184E-2</v>
          </cell>
          <cell r="J50">
            <v>68.190137252391168</v>
          </cell>
          <cell r="K50">
            <v>2751</v>
          </cell>
        </row>
        <row r="51">
          <cell r="B51" t="str">
            <v>82-104987-13</v>
          </cell>
          <cell r="C51">
            <v>3669</v>
          </cell>
          <cell r="D51">
            <v>200</v>
          </cell>
          <cell r="E51" t="str">
            <v>12.5X12.5X12.5</v>
          </cell>
          <cell r="F51">
            <v>18.344999999999999</v>
          </cell>
          <cell r="G51">
            <v>0.25</v>
          </cell>
          <cell r="H51">
            <v>2.8000000000000001E-2</v>
          </cell>
          <cell r="I51">
            <v>0.02</v>
          </cell>
          <cell r="J51">
            <v>73.38</v>
          </cell>
          <cell r="K51">
            <v>1200</v>
          </cell>
        </row>
        <row r="52">
          <cell r="B52" t="str">
            <v>82-104987-14</v>
          </cell>
          <cell r="C52">
            <v>2239</v>
          </cell>
          <cell r="D52">
            <v>200</v>
          </cell>
          <cell r="E52" t="str">
            <v>12.5X12.5X12.5</v>
          </cell>
          <cell r="F52">
            <v>11.195</v>
          </cell>
          <cell r="G52">
            <v>0.25</v>
          </cell>
          <cell r="H52">
            <v>2.8000000000000001E-2</v>
          </cell>
          <cell r="I52">
            <v>2.5273766135439361E-2</v>
          </cell>
          <cell r="J52">
            <v>56.587962377248729</v>
          </cell>
          <cell r="K52">
            <v>0</v>
          </cell>
        </row>
        <row r="53">
          <cell r="B53" t="str">
            <v>82-104987-15</v>
          </cell>
          <cell r="C53">
            <v>1860</v>
          </cell>
          <cell r="D53">
            <v>150</v>
          </cell>
          <cell r="E53" t="str">
            <v>12.5X12.5X12.5</v>
          </cell>
          <cell r="F53">
            <v>12.4</v>
          </cell>
          <cell r="G53">
            <v>0.25</v>
          </cell>
          <cell r="H53">
            <v>2.8000000000000001E-2</v>
          </cell>
          <cell r="I53">
            <v>2.5503527645761536E-2</v>
          </cell>
          <cell r="J53">
            <v>47.436561421116458</v>
          </cell>
          <cell r="K53">
            <v>2700</v>
          </cell>
        </row>
        <row r="54">
          <cell r="B54" t="str">
            <v>82-108426-01</v>
          </cell>
          <cell r="C54">
            <v>100</v>
          </cell>
          <cell r="D54">
            <v>0</v>
          </cell>
          <cell r="E54">
            <v>0</v>
          </cell>
          <cell r="F54" t="e">
            <v>#DIV/0!</v>
          </cell>
          <cell r="G54">
            <v>0.875</v>
          </cell>
          <cell r="H54">
            <v>0.49300000000000022</v>
          </cell>
          <cell r="I54">
            <v>1.405</v>
          </cell>
          <cell r="J54">
            <v>140.5</v>
          </cell>
          <cell r="K54">
            <v>0</v>
          </cell>
        </row>
        <row r="55">
          <cell r="B55" t="str">
            <v>82-108427-01</v>
          </cell>
          <cell r="C55">
            <v>100</v>
          </cell>
          <cell r="D55">
            <v>80</v>
          </cell>
          <cell r="E55" t="str">
            <v>44x41x12</v>
          </cell>
          <cell r="F55">
            <v>1.25</v>
          </cell>
          <cell r="G55">
            <v>0.5</v>
          </cell>
          <cell r="H55">
            <v>2.8000000000000001E-2</v>
          </cell>
          <cell r="I55">
            <v>0.222</v>
          </cell>
          <cell r="J55">
            <v>22.2</v>
          </cell>
          <cell r="K55">
            <v>0</v>
          </cell>
        </row>
        <row r="56">
          <cell r="B56" t="str">
            <v>82-108430-03</v>
          </cell>
          <cell r="C56">
            <v>100</v>
          </cell>
          <cell r="D56">
            <v>200</v>
          </cell>
          <cell r="E56" t="str">
            <v>42x45x20</v>
          </cell>
          <cell r="F56">
            <v>0.5</v>
          </cell>
          <cell r="G56">
            <v>0.875</v>
          </cell>
          <cell r="H56">
            <v>4.4999999999999998E-2</v>
          </cell>
          <cell r="I56">
            <v>0.46800000000000003</v>
          </cell>
          <cell r="J56">
            <v>46.800000000000004</v>
          </cell>
          <cell r="K56">
            <v>0</v>
          </cell>
        </row>
        <row r="57">
          <cell r="B57" t="str">
            <v>82-108451-01</v>
          </cell>
          <cell r="C57">
            <v>100</v>
          </cell>
          <cell r="D57">
            <v>0</v>
          </cell>
          <cell r="E57">
            <v>0</v>
          </cell>
          <cell r="F57" t="e">
            <v>#DIV/0!</v>
          </cell>
          <cell r="G57">
            <v>0.875</v>
          </cell>
          <cell r="H57">
            <v>7.2999999999999995E-2</v>
          </cell>
          <cell r="I57">
            <v>0.60799999999999998</v>
          </cell>
          <cell r="J57">
            <v>60.8</v>
          </cell>
          <cell r="K57">
            <v>0</v>
          </cell>
        </row>
        <row r="58">
          <cell r="B58" t="str">
            <v>82-109836-01</v>
          </cell>
          <cell r="C58">
            <v>100</v>
          </cell>
          <cell r="D58">
            <v>0</v>
          </cell>
          <cell r="E58">
            <v>0</v>
          </cell>
          <cell r="F58" t="e">
            <v>#DIV/0!</v>
          </cell>
          <cell r="G58">
            <v>0.875</v>
          </cell>
          <cell r="H58">
            <v>9.0999999999999998E-2</v>
          </cell>
          <cell r="I58" t="e">
            <v>#N/A</v>
          </cell>
          <cell r="J58" t="e">
            <v>#N/A</v>
          </cell>
          <cell r="K58">
            <v>0</v>
          </cell>
        </row>
      </sheetData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2">
          <cell r="A2" t="str">
            <v>82-104987-14</v>
          </cell>
          <cell r="B2">
            <v>3500</v>
          </cell>
        </row>
        <row r="3">
          <cell r="A3" t="str">
            <v>82-104986-71</v>
          </cell>
          <cell r="B3">
            <v>1500</v>
          </cell>
        </row>
        <row r="4">
          <cell r="A4" t="str">
            <v>82-104985-41</v>
          </cell>
          <cell r="B4">
            <v>8000</v>
          </cell>
        </row>
        <row r="5">
          <cell r="A5" t="str">
            <v>82-104985-25</v>
          </cell>
          <cell r="B5">
            <v>1600</v>
          </cell>
        </row>
        <row r="6">
          <cell r="A6" t="str">
            <v>82-104984-122</v>
          </cell>
          <cell r="B6">
            <v>1600</v>
          </cell>
        </row>
        <row r="7">
          <cell r="A7" t="str">
            <v>82-104984-124</v>
          </cell>
          <cell r="B7">
            <v>1200</v>
          </cell>
        </row>
        <row r="8">
          <cell r="A8" t="str">
            <v>82-104984-143</v>
          </cell>
          <cell r="B8">
            <v>1200</v>
          </cell>
        </row>
        <row r="9">
          <cell r="A9" t="str">
            <v>82-104984-149</v>
          </cell>
          <cell r="B9">
            <v>2000</v>
          </cell>
        </row>
        <row r="10">
          <cell r="A10" t="str">
            <v>82-104984-156</v>
          </cell>
          <cell r="B10">
            <v>1800</v>
          </cell>
        </row>
        <row r="11">
          <cell r="A11" t="str">
            <v>82-104984-126</v>
          </cell>
          <cell r="B11">
            <v>1600</v>
          </cell>
        </row>
        <row r="12">
          <cell r="A12" t="str">
            <v>82-104984-191</v>
          </cell>
          <cell r="B12">
            <v>1600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ograma producción LENNOX Cu"/>
      <sheetName val="programa producción LENNOX Al"/>
      <sheetName val="Programa produccion Transferenc"/>
    </sheetNames>
    <sheetDataSet>
      <sheetData sheetId="0"/>
      <sheetData sheetId="1"/>
      <sheetData sheetId="2"/>
      <sheetData sheetId="3">
        <row r="10">
          <cell r="C10" t="str">
            <v>No. Parte</v>
          </cell>
          <cell r="D10" t="str">
            <v>Cantidad</v>
          </cell>
        </row>
        <row r="11">
          <cell r="C11" t="str">
            <v>82-104984-114</v>
          </cell>
          <cell r="D11">
            <v>1300</v>
          </cell>
        </row>
        <row r="12">
          <cell r="C12" t="str">
            <v>82-104984-124</v>
          </cell>
          <cell r="D12">
            <v>100</v>
          </cell>
        </row>
        <row r="13">
          <cell r="C13" t="str">
            <v>82-104984-143</v>
          </cell>
          <cell r="D13">
            <v>150</v>
          </cell>
        </row>
        <row r="14">
          <cell r="C14" t="str">
            <v>82-104984-147</v>
          </cell>
          <cell r="D14">
            <v>350</v>
          </cell>
        </row>
        <row r="15">
          <cell r="C15" t="str">
            <v>82-104984-189</v>
          </cell>
          <cell r="D15">
            <v>247</v>
          </cell>
        </row>
        <row r="16">
          <cell r="C16" t="str">
            <v>82-104984-190</v>
          </cell>
          <cell r="D16">
            <v>247</v>
          </cell>
        </row>
        <row r="17">
          <cell r="C17">
            <v>0</v>
          </cell>
          <cell r="D17">
            <v>0</v>
          </cell>
        </row>
        <row r="18">
          <cell r="C18" t="str">
            <v>82-104985-25</v>
          </cell>
          <cell r="D18">
            <v>125</v>
          </cell>
        </row>
        <row r="19">
          <cell r="C19" t="str">
            <v>82-104985-39</v>
          </cell>
          <cell r="D19">
            <v>150</v>
          </cell>
        </row>
        <row r="20">
          <cell r="C20" t="str">
            <v>82-104985-41</v>
          </cell>
          <cell r="D20">
            <v>3487</v>
          </cell>
        </row>
        <row r="21">
          <cell r="C21">
            <v>0</v>
          </cell>
          <cell r="D21">
            <v>0</v>
          </cell>
        </row>
        <row r="22">
          <cell r="C22" t="str">
            <v>82-104987-13</v>
          </cell>
          <cell r="D22">
            <v>950</v>
          </cell>
        </row>
        <row r="23">
          <cell r="C23" t="str">
            <v>82-104987-14</v>
          </cell>
          <cell r="D23">
            <v>1500</v>
          </cell>
        </row>
        <row r="24">
          <cell r="C24">
            <v>0</v>
          </cell>
          <cell r="D24">
            <v>0</v>
          </cell>
        </row>
        <row r="25">
          <cell r="C25" t="str">
            <v>82-104986-59</v>
          </cell>
          <cell r="D25">
            <v>1300</v>
          </cell>
        </row>
        <row r="26">
          <cell r="C26" t="str">
            <v>82-104986-60</v>
          </cell>
          <cell r="D26">
            <v>500</v>
          </cell>
        </row>
        <row r="27">
          <cell r="C27" t="str">
            <v>82-104986-61</v>
          </cell>
          <cell r="D27">
            <v>800</v>
          </cell>
        </row>
        <row r="28">
          <cell r="C28" t="str">
            <v>82-104986-71</v>
          </cell>
          <cell r="D28">
            <v>100</v>
          </cell>
        </row>
        <row r="29">
          <cell r="C29" t="str">
            <v>82-104986-72</v>
          </cell>
          <cell r="D29">
            <v>1300</v>
          </cell>
        </row>
        <row r="30">
          <cell r="C30" t="str">
            <v>82-104986-88</v>
          </cell>
          <cell r="D30">
            <v>247</v>
          </cell>
        </row>
        <row r="31">
          <cell r="C31" t="str">
            <v>82-104986-89</v>
          </cell>
          <cell r="D31">
            <v>247</v>
          </cell>
        </row>
        <row r="32">
          <cell r="C32">
            <v>0</v>
          </cell>
          <cell r="D32">
            <v>0</v>
          </cell>
        </row>
        <row r="33">
          <cell r="C33" t="str">
            <v>82-104984-116</v>
          </cell>
          <cell r="D33">
            <v>1300</v>
          </cell>
        </row>
        <row r="34">
          <cell r="C34" t="str">
            <v>82-104984-140</v>
          </cell>
          <cell r="D34">
            <v>1250</v>
          </cell>
        </row>
        <row r="35">
          <cell r="C35" t="str">
            <v>82-104984-142</v>
          </cell>
          <cell r="D35">
            <v>1200</v>
          </cell>
        </row>
        <row r="36">
          <cell r="C36">
            <v>0</v>
          </cell>
          <cell r="D36">
            <v>0</v>
          </cell>
        </row>
        <row r="37">
          <cell r="C37" t="str">
            <v>82-104984-118</v>
          </cell>
          <cell r="D37">
            <v>950</v>
          </cell>
        </row>
        <row r="38">
          <cell r="C38" t="str">
            <v>82-104984-120</v>
          </cell>
          <cell r="D38">
            <v>800</v>
          </cell>
        </row>
        <row r="39">
          <cell r="C39" t="str">
            <v>82-104984-126</v>
          </cell>
          <cell r="D39">
            <v>550</v>
          </cell>
        </row>
        <row r="40">
          <cell r="C40" t="str">
            <v>82-104984-149</v>
          </cell>
          <cell r="D40">
            <v>300</v>
          </cell>
        </row>
        <row r="41">
          <cell r="C41" t="str">
            <v>82-104984-156</v>
          </cell>
          <cell r="D41">
            <v>500</v>
          </cell>
        </row>
        <row r="42">
          <cell r="C42" t="str">
            <v>82-104984-191</v>
          </cell>
          <cell r="D42">
            <v>518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P W35"/>
      <sheetName val="Hoja1"/>
    </sheetNames>
    <sheetDataSet>
      <sheetData sheetId="0">
        <row r="2">
          <cell r="A2" t="str">
            <v>82-110915-01</v>
          </cell>
          <cell r="B2">
            <v>0.75</v>
          </cell>
          <cell r="C2">
            <v>300</v>
          </cell>
          <cell r="D2">
            <v>320</v>
          </cell>
        </row>
        <row r="3">
          <cell r="A3" t="str">
            <v>82-110915-02</v>
          </cell>
          <cell r="B3">
            <v>0.75</v>
          </cell>
          <cell r="C3">
            <v>0</v>
          </cell>
          <cell r="D3">
            <v>0</v>
          </cell>
        </row>
        <row r="4">
          <cell r="A4" t="str">
            <v>82-110915-04</v>
          </cell>
          <cell r="B4">
            <v>0.875</v>
          </cell>
          <cell r="C4">
            <v>0</v>
          </cell>
          <cell r="D4">
            <v>0</v>
          </cell>
        </row>
        <row r="5">
          <cell r="A5" t="str">
            <v>82-110915-06</v>
          </cell>
          <cell r="B5">
            <v>0.75</v>
          </cell>
          <cell r="C5">
            <v>300</v>
          </cell>
          <cell r="D5">
            <v>312</v>
          </cell>
        </row>
        <row r="6">
          <cell r="A6" t="str">
            <v>82-110915-08</v>
          </cell>
          <cell r="B6">
            <v>0</v>
          </cell>
          <cell r="C6">
            <v>100</v>
          </cell>
          <cell r="D6">
            <v>120</v>
          </cell>
        </row>
        <row r="7">
          <cell r="A7" t="str">
            <v>82-110915-09</v>
          </cell>
          <cell r="B7">
            <v>0.75</v>
          </cell>
          <cell r="C7">
            <v>400</v>
          </cell>
          <cell r="D7">
            <v>468</v>
          </cell>
        </row>
        <row r="8">
          <cell r="A8" t="str">
            <v>82-110915-10</v>
          </cell>
          <cell r="B8">
            <v>0.875</v>
          </cell>
          <cell r="C8">
            <v>0</v>
          </cell>
          <cell r="D8">
            <v>0</v>
          </cell>
        </row>
        <row r="9">
          <cell r="A9" t="str">
            <v>82-110915-11</v>
          </cell>
          <cell r="B9">
            <v>0.75</v>
          </cell>
          <cell r="C9">
            <v>200</v>
          </cell>
          <cell r="D9">
            <v>210</v>
          </cell>
        </row>
        <row r="10">
          <cell r="A10" t="str">
            <v>82-110915-13</v>
          </cell>
          <cell r="B10">
            <v>0.75</v>
          </cell>
          <cell r="C10">
            <v>600</v>
          </cell>
          <cell r="D10">
            <v>616</v>
          </cell>
        </row>
        <row r="11">
          <cell r="A11" t="str">
            <v>82-110915-16</v>
          </cell>
          <cell r="B11">
            <v>0.75</v>
          </cell>
          <cell r="C11">
            <v>216</v>
          </cell>
          <cell r="D11">
            <v>216</v>
          </cell>
        </row>
        <row r="12">
          <cell r="A12" t="str">
            <v>82-110915-17</v>
          </cell>
          <cell r="B12">
            <v>0</v>
          </cell>
          <cell r="C12">
            <v>0</v>
          </cell>
          <cell r="D12">
            <v>0</v>
          </cell>
        </row>
        <row r="13">
          <cell r="A13" t="str">
            <v>82-110915-18</v>
          </cell>
          <cell r="B13">
            <v>0</v>
          </cell>
          <cell r="C13">
            <v>100</v>
          </cell>
          <cell r="D13">
            <v>110</v>
          </cell>
        </row>
        <row r="14">
          <cell r="A14" t="str">
            <v>82-110915-20</v>
          </cell>
          <cell r="B14">
            <v>0.875</v>
          </cell>
          <cell r="C14">
            <v>131</v>
          </cell>
          <cell r="D14">
            <v>140</v>
          </cell>
        </row>
        <row r="15">
          <cell r="A15" t="str">
            <v>82-110915-22</v>
          </cell>
          <cell r="B15">
            <v>0.875</v>
          </cell>
          <cell r="C15">
            <v>148</v>
          </cell>
          <cell r="D15">
            <v>160</v>
          </cell>
        </row>
        <row r="16">
          <cell r="A16" t="str">
            <v>82-111023-02</v>
          </cell>
          <cell r="B16">
            <v>0.375</v>
          </cell>
          <cell r="C16">
            <v>0</v>
          </cell>
          <cell r="D16">
            <v>0</v>
          </cell>
        </row>
        <row r="17">
          <cell r="A17" t="str">
            <v>82-111023-04</v>
          </cell>
          <cell r="B17">
            <v>0.375</v>
          </cell>
          <cell r="C17">
            <v>0</v>
          </cell>
          <cell r="D17">
            <v>0</v>
          </cell>
        </row>
        <row r="18">
          <cell r="A18" t="str">
            <v>82-111023-10</v>
          </cell>
          <cell r="B18">
            <v>0.375</v>
          </cell>
          <cell r="C18">
            <v>310</v>
          </cell>
          <cell r="D18">
            <v>320</v>
          </cell>
        </row>
        <row r="19">
          <cell r="A19" t="str">
            <v>82-111023-11</v>
          </cell>
          <cell r="B19">
            <v>0</v>
          </cell>
          <cell r="C19">
            <v>270</v>
          </cell>
          <cell r="D19">
            <v>320</v>
          </cell>
        </row>
        <row r="20">
          <cell r="A20" t="str">
            <v>82-111023-12</v>
          </cell>
          <cell r="B20">
            <v>0</v>
          </cell>
          <cell r="C20">
            <v>354</v>
          </cell>
          <cell r="D20">
            <v>480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tinez" refreshedDate="46218.853067708333" createdVersion="5" refreshedVersion="5" minRefreshableVersion="3" recordCount="117" xr:uid="{00000000-000A-0000-FFFF-FFFF00000000}">
  <cacheSource type="worksheet">
    <worksheetSource ref="AL5:AO122" sheet="SEMANA 28"/>
  </cacheSource>
  <cacheFields count="4">
    <cacheField name="CAJA" numFmtId="0">
      <sharedItems containsMixedTypes="1" containsNumber="1" containsInteger="1" minValue="0" maxValue="0" count="6">
        <s v="12.5X12.5X12.5"/>
        <s v="30X20X7"/>
        <s v="44x41x12"/>
        <n v="0"/>
        <s v="42X45X20"/>
        <s v="25x20x12.5"/>
      </sharedItems>
    </cacheField>
    <cacheField name="CANT. X CAJA" numFmtId="0">
      <sharedItems containsSemiMixedTypes="0" containsString="0" containsNumber="1" containsInteger="1" minValue="0" maxValue="2000"/>
    </cacheField>
    <cacheField name="HOJA COLOR" numFmtId="0">
      <sharedItems/>
    </cacheField>
    <cacheField name="TOTAL CAJAS" numFmtId="0">
      <sharedItems containsSemiMixedTypes="0" containsString="0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0"/>
    <n v="150"/>
    <s v="VERDE"/>
    <n v="0"/>
  </r>
  <r>
    <x v="0"/>
    <n v="200"/>
    <s v="VERDE"/>
    <n v="7"/>
  </r>
  <r>
    <x v="0"/>
    <n v="200"/>
    <s v="VERDE"/>
    <n v="0"/>
  </r>
  <r>
    <x v="0"/>
    <n v="100"/>
    <s v="VERDE"/>
    <n v="0"/>
  </r>
  <r>
    <x v="0"/>
    <n v="150"/>
    <s v="VERDE"/>
    <n v="0"/>
  </r>
  <r>
    <x v="0"/>
    <n v="150"/>
    <s v="VERDE"/>
    <n v="0"/>
  </r>
  <r>
    <x v="0"/>
    <n v="50"/>
    <s v="VERDE"/>
    <n v="22"/>
  </r>
  <r>
    <x v="0"/>
    <n v="100"/>
    <s v="VERDE"/>
    <n v="0"/>
  </r>
  <r>
    <x v="0"/>
    <n v="50"/>
    <s v="VERDE"/>
    <n v="0"/>
  </r>
  <r>
    <x v="1"/>
    <n v="60"/>
    <s v="VERDE"/>
    <n v="0"/>
  </r>
  <r>
    <x v="0"/>
    <n v="100"/>
    <s v="VERDE"/>
    <n v="0"/>
  </r>
  <r>
    <x v="2"/>
    <n v="100"/>
    <s v="VERDE"/>
    <n v="0"/>
  </r>
  <r>
    <x v="2"/>
    <n v="100"/>
    <s v="VERDE"/>
    <n v="4"/>
  </r>
  <r>
    <x v="2"/>
    <n v="100"/>
    <s v="VERDE"/>
    <n v="0"/>
  </r>
  <r>
    <x v="2"/>
    <n v="80"/>
    <s v="VERDE"/>
    <n v="0"/>
  </r>
  <r>
    <x v="2"/>
    <n v="1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2"/>
    <n v="200"/>
    <s v="VERDE"/>
    <n v="0"/>
  </r>
  <r>
    <x v="2"/>
    <n v="100"/>
    <s v="VERDE"/>
    <n v="6"/>
  </r>
  <r>
    <x v="2"/>
    <n v="100"/>
    <s v="VERDE"/>
    <n v="0"/>
  </r>
  <r>
    <x v="4"/>
    <n v="2000"/>
    <s v="VERDE"/>
    <n v="1"/>
  </r>
  <r>
    <x v="4"/>
    <n v="500"/>
    <s v="VERDE"/>
    <n v="0"/>
  </r>
  <r>
    <x v="4"/>
    <n v="250"/>
    <s v="VERDE"/>
    <n v="0"/>
  </r>
  <r>
    <x v="4"/>
    <n v="300"/>
    <s v="VERDE"/>
    <n v="0"/>
  </r>
  <r>
    <x v="4"/>
    <n v="300"/>
    <s v="VERDE"/>
    <n v="0"/>
  </r>
  <r>
    <x v="4"/>
    <n v="2000"/>
    <s v="VERDE"/>
    <n v="0"/>
  </r>
  <r>
    <x v="4"/>
    <n v="10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4"/>
    <n v="1000"/>
    <s v="VERDE"/>
    <n v="1"/>
  </r>
  <r>
    <x v="4"/>
    <n v="200"/>
    <s v="VERDE"/>
    <n v="0"/>
  </r>
  <r>
    <x v="4"/>
    <n v="1000"/>
    <s v="VERDE"/>
    <n v="0"/>
  </r>
  <r>
    <x v="4"/>
    <n v="500"/>
    <s v="VERDE"/>
    <n v="0"/>
  </r>
  <r>
    <x v="4"/>
    <n v="1000"/>
    <s v="VERDE"/>
    <n v="0"/>
  </r>
  <r>
    <x v="4"/>
    <n v="200"/>
    <s v="VERDE"/>
    <n v="0"/>
  </r>
  <r>
    <x v="4"/>
    <n v="5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4"/>
    <n v="200"/>
    <s v="VERDE"/>
    <n v="0"/>
  </r>
  <r>
    <x v="3"/>
    <n v="0"/>
    <s v="VERDE"/>
    <n v="0"/>
  </r>
  <r>
    <x v="3"/>
    <n v="0"/>
    <s v="VERDE"/>
    <n v="0"/>
  </r>
  <r>
    <x v="4"/>
    <n v="200"/>
    <s v="VERDE"/>
    <n v="0"/>
  </r>
  <r>
    <x v="4"/>
    <n v="500"/>
    <s v="VERDE"/>
    <n v="0"/>
  </r>
  <r>
    <x v="4"/>
    <n v="20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3"/>
    <n v="0"/>
    <s v="VERDE"/>
    <n v="0"/>
  </r>
  <r>
    <x v="0"/>
    <n v="200"/>
    <s v="NARANJA"/>
    <n v="6"/>
  </r>
  <r>
    <x v="0"/>
    <n v="200"/>
    <s v="NARANJA"/>
    <n v="11"/>
  </r>
  <r>
    <x v="0"/>
    <n v="200"/>
    <s v="NARANJA"/>
    <n v="6"/>
  </r>
  <r>
    <x v="3"/>
    <n v="0"/>
    <s v="NARANJA"/>
    <n v="0"/>
  </r>
  <r>
    <x v="3"/>
    <n v="0"/>
    <s v="NARANJA"/>
    <n v="0"/>
  </r>
  <r>
    <x v="3"/>
    <n v="0"/>
    <s v="NARANJA"/>
    <n v="0"/>
  </r>
  <r>
    <x v="3"/>
    <n v="0"/>
    <s v="NARANJA"/>
    <n v="0"/>
  </r>
  <r>
    <x v="1"/>
    <n v="100"/>
    <s v="NARANJA"/>
    <n v="22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200"/>
    <s v="NARANJA"/>
    <n v="0"/>
  </r>
  <r>
    <x v="1"/>
    <n v="150"/>
    <s v="NARANJA"/>
    <n v="0"/>
  </r>
  <r>
    <x v="1"/>
    <n v="150"/>
    <s v="NARANJA"/>
    <n v="7"/>
  </r>
  <r>
    <x v="1"/>
    <n v="150"/>
    <s v="NARANJA"/>
    <n v="14"/>
  </r>
  <r>
    <x v="1"/>
    <n v="150"/>
    <s v="NARANJA"/>
    <n v="7"/>
  </r>
  <r>
    <x v="1"/>
    <n v="80"/>
    <s v="NARANJA"/>
    <n v="27"/>
  </r>
  <r>
    <x v="1"/>
    <n v="80"/>
    <s v="NARANJA"/>
    <n v="9"/>
  </r>
  <r>
    <x v="1"/>
    <n v="80"/>
    <s v="NARANJA"/>
    <n v="1"/>
  </r>
  <r>
    <x v="1"/>
    <n v="80"/>
    <s v="NARANJA"/>
    <n v="15"/>
  </r>
  <r>
    <x v="1"/>
    <n v="50"/>
    <s v="NARANJA"/>
    <n v="14"/>
  </r>
  <r>
    <x v="5"/>
    <n v="50"/>
    <s v="NARANJA"/>
    <n v="0"/>
  </r>
  <r>
    <x v="5"/>
    <n v="50"/>
    <s v="NARANJA"/>
    <n v="0"/>
  </r>
  <r>
    <x v="0"/>
    <n v="250"/>
    <s v="AZUL"/>
    <n v="0"/>
  </r>
  <r>
    <x v="0"/>
    <n v="250"/>
    <s v="AZUL"/>
    <n v="0"/>
  </r>
  <r>
    <x v="0"/>
    <n v="25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  <r>
    <x v="4"/>
    <n v="200"/>
    <s v="AZUL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5:AR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5:AR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H5:AI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I5:AJ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5:AH12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G10:AH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10:AR17" firstHeaderRow="1" firstDataRow="1" firstDataCol="1"/>
  <pivotFields count="4">
    <pivotField axis="axisRow" showAll="0">
      <items count="7"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CAJA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7.xml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8.xml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0.xm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90"/>
  <sheetViews>
    <sheetView view="pageBreakPreview" zoomScaleNormal="100" zoomScaleSheetLayoutView="100" workbookViewId="0">
      <selection activeCell="M22" sqref="M22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2.5703125" style="1" bestFit="1" customWidth="1"/>
    <col min="4" max="4" width="17.28515625" style="1" bestFit="1" customWidth="1"/>
    <col min="5" max="5" width="10" style="1" bestFit="1" customWidth="1"/>
    <col min="6" max="6" width="9.5703125" style="1" bestFit="1" customWidth="1"/>
    <col min="7" max="7" width="7.5703125" style="1" bestFit="1" customWidth="1"/>
    <col min="8" max="8" width="14.7109375" style="1" bestFit="1" customWidth="1"/>
    <col min="9" max="9" width="13.28515625" style="1" customWidth="1"/>
    <col min="10" max="10" width="17.28515625" style="1" bestFit="1" customWidth="1"/>
    <col min="11" max="11" width="14.42578125" style="1" bestFit="1" customWidth="1"/>
    <col min="12" max="13" width="9.5703125" style="1" bestFit="1" customWidth="1"/>
    <col min="14" max="14" width="13" style="1" bestFit="1" customWidth="1"/>
    <col min="15" max="15" width="12.5703125" style="1" bestFit="1" customWidth="1"/>
    <col min="16" max="16" width="17.28515625" style="1" bestFit="1" customWidth="1"/>
    <col min="17" max="17" width="10" style="1" bestFit="1" customWidth="1"/>
    <col min="18" max="18" width="9.5703125" style="1" bestFit="1" customWidth="1"/>
    <col min="19" max="16384" width="8.7109375" style="1"/>
  </cols>
  <sheetData>
    <row r="1" spans="1:18" ht="15.75" thickBot="1" x14ac:dyDescent="0.3">
      <c r="A1" s="1" t="s">
        <v>202</v>
      </c>
    </row>
    <row r="2" spans="1:18" ht="14.45" customHeight="1" x14ac:dyDescent="0.25">
      <c r="C2" s="103" t="s">
        <v>190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 spans="1:18" ht="14.45" customHeight="1" x14ac:dyDescent="0.25"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 spans="1:18" ht="15" customHeight="1" thickBot="1" x14ac:dyDescent="0.3">
      <c r="C4" s="109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1"/>
    </row>
    <row r="5" spans="1:18" ht="15.75" thickBot="1" x14ac:dyDescent="0.3"/>
    <row r="6" spans="1:18" ht="42.6" customHeight="1" thickBot="1" x14ac:dyDescent="0.3">
      <c r="B6" s="112" t="s">
        <v>208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4"/>
    </row>
    <row r="8" spans="1:18" x14ac:dyDescent="0.25">
      <c r="B8" s="4" t="s">
        <v>0</v>
      </c>
      <c r="C8" s="4" t="s">
        <v>6</v>
      </c>
      <c r="D8" s="4" t="s">
        <v>7</v>
      </c>
      <c r="E8" s="4" t="s">
        <v>1</v>
      </c>
      <c r="F8" s="4" t="s">
        <v>191</v>
      </c>
      <c r="H8" s="4" t="s">
        <v>0</v>
      </c>
      <c r="I8" s="4" t="s">
        <v>6</v>
      </c>
      <c r="J8" s="4" t="s">
        <v>7</v>
      </c>
      <c r="K8" s="4" t="s">
        <v>1</v>
      </c>
      <c r="L8" s="4" t="s">
        <v>191</v>
      </c>
      <c r="N8" s="4" t="s">
        <v>0</v>
      </c>
      <c r="O8" s="4" t="s">
        <v>6</v>
      </c>
      <c r="P8" s="4" t="s">
        <v>7</v>
      </c>
      <c r="Q8" s="4" t="s">
        <v>1</v>
      </c>
      <c r="R8" s="4" t="s">
        <v>191</v>
      </c>
    </row>
    <row r="9" spans="1:18" x14ac:dyDescent="0.25">
      <c r="B9" s="2" t="s">
        <v>24</v>
      </c>
      <c r="C9" s="2" t="s">
        <v>129</v>
      </c>
      <c r="D9" s="2" t="s">
        <v>25</v>
      </c>
      <c r="E9" s="20">
        <v>0.25</v>
      </c>
      <c r="F9" s="2"/>
      <c r="H9" s="2" t="s">
        <v>128</v>
      </c>
      <c r="I9" s="2" t="s">
        <v>129</v>
      </c>
      <c r="J9" s="2" t="s">
        <v>103</v>
      </c>
      <c r="K9" s="20">
        <v>0.25</v>
      </c>
      <c r="L9" s="2"/>
      <c r="N9" s="2" t="s">
        <v>188</v>
      </c>
      <c r="O9" s="2" t="s">
        <v>129</v>
      </c>
      <c r="P9" s="2" t="s">
        <v>160</v>
      </c>
      <c r="Q9" s="2">
        <v>0.3125</v>
      </c>
      <c r="R9" s="2"/>
    </row>
    <row r="10" spans="1:18" x14ac:dyDescent="0.25">
      <c r="B10" s="2" t="s">
        <v>24</v>
      </c>
      <c r="C10" s="2" t="s">
        <v>129</v>
      </c>
      <c r="D10" s="2" t="s">
        <v>26</v>
      </c>
      <c r="E10" s="20">
        <v>0.25</v>
      </c>
      <c r="F10" s="2"/>
      <c r="H10" s="2" t="s">
        <v>128</v>
      </c>
      <c r="I10" s="2" t="s">
        <v>129</v>
      </c>
      <c r="J10" s="2" t="s">
        <v>104</v>
      </c>
      <c r="K10" s="20">
        <v>0.25</v>
      </c>
      <c r="L10" s="2"/>
      <c r="N10" s="2" t="s">
        <v>188</v>
      </c>
      <c r="O10" s="2" t="s">
        <v>129</v>
      </c>
      <c r="P10" s="2" t="s">
        <v>161</v>
      </c>
      <c r="Q10" s="2">
        <v>0.3125</v>
      </c>
      <c r="R10" s="2"/>
    </row>
    <row r="11" spans="1:18" x14ac:dyDescent="0.25">
      <c r="B11" s="2" t="s">
        <v>24</v>
      </c>
      <c r="C11" s="2" t="s">
        <v>129</v>
      </c>
      <c r="D11" s="2" t="s">
        <v>27</v>
      </c>
      <c r="E11" s="20">
        <v>0.25</v>
      </c>
      <c r="F11" s="2"/>
      <c r="H11" s="2" t="s">
        <v>128</v>
      </c>
      <c r="I11" s="2" t="s">
        <v>129</v>
      </c>
      <c r="J11" s="2" t="s">
        <v>105</v>
      </c>
      <c r="K11" s="20">
        <v>0.25</v>
      </c>
      <c r="L11" s="2"/>
      <c r="N11" s="2" t="s">
        <v>188</v>
      </c>
      <c r="O11" s="2" t="s">
        <v>129</v>
      </c>
      <c r="P11" s="2" t="s">
        <v>162</v>
      </c>
      <c r="Q11" s="2">
        <v>0.3125</v>
      </c>
      <c r="R11" s="2"/>
    </row>
    <row r="12" spans="1:18" x14ac:dyDescent="0.25">
      <c r="B12" s="2" t="s">
        <v>24</v>
      </c>
      <c r="C12" s="2" t="s">
        <v>129</v>
      </c>
      <c r="D12" s="2" t="s">
        <v>28</v>
      </c>
      <c r="E12" s="20">
        <v>0.375</v>
      </c>
      <c r="F12" s="2"/>
      <c r="H12" s="2" t="s">
        <v>128</v>
      </c>
      <c r="I12" s="2" t="s">
        <v>129</v>
      </c>
      <c r="J12" s="2" t="s">
        <v>106</v>
      </c>
      <c r="K12" s="20">
        <v>0.375</v>
      </c>
      <c r="L12" s="2"/>
      <c r="N12" s="2" t="s">
        <v>188</v>
      </c>
      <c r="O12" s="2" t="s">
        <v>129</v>
      </c>
      <c r="P12" s="2" t="s">
        <v>163</v>
      </c>
      <c r="Q12" s="2">
        <v>0.3125</v>
      </c>
      <c r="R12" s="2"/>
    </row>
    <row r="13" spans="1:18" x14ac:dyDescent="0.25">
      <c r="B13" s="2" t="s">
        <v>24</v>
      </c>
      <c r="C13" s="2" t="s">
        <v>129</v>
      </c>
      <c r="D13" s="2" t="s">
        <v>29</v>
      </c>
      <c r="E13" s="20">
        <v>0.375</v>
      </c>
      <c r="F13" s="2"/>
      <c r="H13" s="2" t="s">
        <v>128</v>
      </c>
      <c r="I13" s="2" t="s">
        <v>129</v>
      </c>
      <c r="J13" s="2" t="s">
        <v>107</v>
      </c>
      <c r="K13" s="20">
        <v>0.375</v>
      </c>
      <c r="L13" s="2"/>
      <c r="N13" s="2" t="s">
        <v>188</v>
      </c>
      <c r="O13" s="2" t="s">
        <v>129</v>
      </c>
      <c r="P13" s="2" t="s">
        <v>164</v>
      </c>
      <c r="Q13" s="2">
        <v>0.3125</v>
      </c>
      <c r="R13" s="2"/>
    </row>
    <row r="14" spans="1:18" x14ac:dyDescent="0.25">
      <c r="B14" s="2" t="s">
        <v>24</v>
      </c>
      <c r="C14" s="2" t="s">
        <v>129</v>
      </c>
      <c r="D14" s="2" t="s">
        <v>30</v>
      </c>
      <c r="E14" s="20">
        <v>0.375</v>
      </c>
      <c r="F14" s="2"/>
      <c r="H14" s="2" t="s">
        <v>128</v>
      </c>
      <c r="I14" s="2" t="s">
        <v>129</v>
      </c>
      <c r="J14" s="2" t="s">
        <v>108</v>
      </c>
      <c r="K14" s="20">
        <v>0.375</v>
      </c>
      <c r="L14" s="2"/>
      <c r="N14" s="2" t="s">
        <v>188</v>
      </c>
      <c r="O14" s="2" t="s">
        <v>129</v>
      </c>
      <c r="P14" s="2" t="s">
        <v>165</v>
      </c>
      <c r="Q14" s="2">
        <v>0.3125</v>
      </c>
      <c r="R14" s="2"/>
    </row>
    <row r="15" spans="1:18" x14ac:dyDescent="0.25">
      <c r="B15" s="2" t="s">
        <v>24</v>
      </c>
      <c r="C15" s="2" t="s">
        <v>129</v>
      </c>
      <c r="D15" s="2" t="s">
        <v>31</v>
      </c>
      <c r="E15" s="20">
        <v>0.375</v>
      </c>
      <c r="F15" s="2"/>
      <c r="H15" s="2" t="s">
        <v>128</v>
      </c>
      <c r="I15" s="2" t="s">
        <v>129</v>
      </c>
      <c r="J15" s="2" t="s">
        <v>109</v>
      </c>
      <c r="K15" s="20">
        <v>0.375</v>
      </c>
      <c r="L15" s="2"/>
      <c r="N15" s="2" t="s">
        <v>188</v>
      </c>
      <c r="O15" s="2" t="s">
        <v>129</v>
      </c>
      <c r="P15" s="2" t="s">
        <v>166</v>
      </c>
      <c r="Q15" s="2">
        <v>0.3125</v>
      </c>
      <c r="R15" s="2"/>
    </row>
    <row r="16" spans="1:18" x14ac:dyDescent="0.25">
      <c r="B16" s="2" t="s">
        <v>24</v>
      </c>
      <c r="C16" s="2" t="s">
        <v>129</v>
      </c>
      <c r="D16" s="2" t="s">
        <v>32</v>
      </c>
      <c r="E16" s="20">
        <v>0.375</v>
      </c>
      <c r="F16" s="2"/>
      <c r="H16" s="2" t="s">
        <v>128</v>
      </c>
      <c r="I16" s="2" t="s">
        <v>129</v>
      </c>
      <c r="J16" s="2" t="s">
        <v>110</v>
      </c>
      <c r="K16" s="20">
        <v>0.5</v>
      </c>
      <c r="L16" s="2"/>
      <c r="N16" s="2" t="s">
        <v>188</v>
      </c>
      <c r="O16" s="2" t="s">
        <v>129</v>
      </c>
      <c r="P16" s="2" t="s">
        <v>167</v>
      </c>
      <c r="Q16" s="2">
        <v>0.3125</v>
      </c>
      <c r="R16" s="2"/>
    </row>
    <row r="17" spans="2:18" x14ac:dyDescent="0.25">
      <c r="B17" s="2" t="s">
        <v>24</v>
      </c>
      <c r="C17" s="2" t="s">
        <v>129</v>
      </c>
      <c r="D17" s="2" t="s">
        <v>33</v>
      </c>
      <c r="E17" s="20">
        <v>0.375</v>
      </c>
      <c r="F17" s="2"/>
      <c r="H17" s="2" t="s">
        <v>128</v>
      </c>
      <c r="I17" s="2" t="s">
        <v>129</v>
      </c>
      <c r="J17" s="2" t="s">
        <v>111</v>
      </c>
      <c r="K17" s="20">
        <v>0.5</v>
      </c>
      <c r="L17" s="2"/>
      <c r="N17" s="2" t="s">
        <v>188</v>
      </c>
      <c r="O17" s="2" t="s">
        <v>129</v>
      </c>
      <c r="P17" s="2" t="s">
        <v>168</v>
      </c>
      <c r="Q17" s="2">
        <v>0.3125</v>
      </c>
      <c r="R17" s="2"/>
    </row>
    <row r="18" spans="2:18" x14ac:dyDescent="0.25">
      <c r="B18" s="2" t="s">
        <v>24</v>
      </c>
      <c r="C18" s="2" t="s">
        <v>129</v>
      </c>
      <c r="D18" s="2" t="s">
        <v>34</v>
      </c>
      <c r="E18" s="20">
        <v>0.375</v>
      </c>
      <c r="F18" s="2"/>
      <c r="H18" s="2" t="s">
        <v>128</v>
      </c>
      <c r="I18" s="2" t="s">
        <v>129</v>
      </c>
      <c r="J18" s="2" t="s">
        <v>112</v>
      </c>
      <c r="K18" s="20">
        <v>0.5</v>
      </c>
      <c r="L18" s="2"/>
      <c r="N18" s="2" t="s">
        <v>188</v>
      </c>
      <c r="O18" s="2" t="s">
        <v>129</v>
      </c>
      <c r="P18" s="2" t="s">
        <v>169</v>
      </c>
      <c r="Q18" s="2">
        <v>0.3125</v>
      </c>
      <c r="R18" s="2"/>
    </row>
    <row r="19" spans="2:18" x14ac:dyDescent="0.25">
      <c r="B19" s="2" t="s">
        <v>24</v>
      </c>
      <c r="C19" s="2" t="s">
        <v>129</v>
      </c>
      <c r="D19" s="2" t="s">
        <v>35</v>
      </c>
      <c r="E19" s="20">
        <v>0.5</v>
      </c>
      <c r="F19" s="2"/>
      <c r="H19" s="2" t="s">
        <v>128</v>
      </c>
      <c r="I19" s="2" t="s">
        <v>129</v>
      </c>
      <c r="J19" s="2" t="s">
        <v>113</v>
      </c>
      <c r="K19" s="20">
        <v>0.5</v>
      </c>
      <c r="L19" s="2"/>
      <c r="N19" s="2" t="s">
        <v>188</v>
      </c>
      <c r="O19" s="2" t="s">
        <v>129</v>
      </c>
      <c r="P19" s="2" t="s">
        <v>170</v>
      </c>
      <c r="Q19" s="2">
        <v>0.3125</v>
      </c>
      <c r="R19" s="2"/>
    </row>
    <row r="20" spans="2:18" x14ac:dyDescent="0.25">
      <c r="B20" s="2" t="s">
        <v>24</v>
      </c>
      <c r="C20" s="2" t="s">
        <v>129</v>
      </c>
      <c r="D20" s="2" t="s">
        <v>36</v>
      </c>
      <c r="E20" s="20">
        <v>0.5</v>
      </c>
      <c r="F20" s="2"/>
      <c r="H20" s="2" t="s">
        <v>128</v>
      </c>
      <c r="I20" s="2" t="s">
        <v>129</v>
      </c>
      <c r="J20" s="2" t="s">
        <v>114</v>
      </c>
      <c r="K20" s="20">
        <v>0.5</v>
      </c>
      <c r="L20" s="2"/>
      <c r="N20" s="2" t="s">
        <v>188</v>
      </c>
      <c r="O20" s="2" t="s">
        <v>129</v>
      </c>
      <c r="P20" s="2" t="s">
        <v>171</v>
      </c>
      <c r="Q20" s="2">
        <v>0.3125</v>
      </c>
      <c r="R20" s="2"/>
    </row>
    <row r="21" spans="2:18" x14ac:dyDescent="0.25">
      <c r="B21" s="2" t="s">
        <v>24</v>
      </c>
      <c r="C21" s="2" t="s">
        <v>129</v>
      </c>
      <c r="D21" s="2" t="s">
        <v>37</v>
      </c>
      <c r="E21" s="20">
        <v>0.5</v>
      </c>
      <c r="F21" s="2"/>
      <c r="H21" s="2" t="s">
        <v>128</v>
      </c>
      <c r="I21" s="2" t="s">
        <v>129</v>
      </c>
      <c r="J21" s="2" t="s">
        <v>115</v>
      </c>
      <c r="K21" s="20">
        <v>0.5</v>
      </c>
      <c r="L21" s="2"/>
      <c r="N21" s="2" t="s">
        <v>188</v>
      </c>
      <c r="O21" s="2" t="s">
        <v>129</v>
      </c>
      <c r="P21" s="2" t="s">
        <v>172</v>
      </c>
      <c r="Q21" s="2">
        <v>0.3125</v>
      </c>
      <c r="R21" s="2"/>
    </row>
    <row r="22" spans="2:18" x14ac:dyDescent="0.25">
      <c r="B22" s="2" t="s">
        <v>24</v>
      </c>
      <c r="C22" s="2" t="s">
        <v>129</v>
      </c>
      <c r="D22" s="2" t="s">
        <v>38</v>
      </c>
      <c r="E22" s="20">
        <v>0.5</v>
      </c>
      <c r="F22" s="2"/>
      <c r="H22" s="2" t="s">
        <v>128</v>
      </c>
      <c r="I22" s="2" t="s">
        <v>129</v>
      </c>
      <c r="J22" s="2" t="s">
        <v>116</v>
      </c>
      <c r="K22" s="20">
        <v>0.5</v>
      </c>
      <c r="L22" s="2"/>
      <c r="N22" s="2" t="s">
        <v>188</v>
      </c>
      <c r="O22" s="2" t="s">
        <v>129</v>
      </c>
      <c r="P22" s="2" t="s">
        <v>173</v>
      </c>
      <c r="Q22" s="2">
        <v>0.3125</v>
      </c>
      <c r="R22" s="2"/>
    </row>
    <row r="23" spans="2:18" x14ac:dyDescent="0.25">
      <c r="B23" s="2" t="s">
        <v>24</v>
      </c>
      <c r="C23" s="2" t="s">
        <v>129</v>
      </c>
      <c r="D23" s="2" t="s">
        <v>39</v>
      </c>
      <c r="E23" s="20">
        <v>0.5</v>
      </c>
      <c r="F23" s="2"/>
      <c r="H23" s="2" t="s">
        <v>128</v>
      </c>
      <c r="I23" s="2" t="s">
        <v>129</v>
      </c>
      <c r="J23" s="2" t="s">
        <v>117</v>
      </c>
      <c r="K23" s="20">
        <v>0.625</v>
      </c>
      <c r="L23" s="2"/>
      <c r="N23" s="2" t="s">
        <v>188</v>
      </c>
      <c r="O23" s="2" t="s">
        <v>129</v>
      </c>
      <c r="P23" s="2" t="s">
        <v>174</v>
      </c>
      <c r="Q23" s="2">
        <v>0.3125</v>
      </c>
      <c r="R23" s="2"/>
    </row>
    <row r="24" spans="2:18" x14ac:dyDescent="0.25">
      <c r="B24" s="2" t="s">
        <v>24</v>
      </c>
      <c r="C24" s="2" t="s">
        <v>129</v>
      </c>
      <c r="D24" s="2" t="s">
        <v>40</v>
      </c>
      <c r="E24" s="20">
        <v>0.5</v>
      </c>
      <c r="F24" s="2"/>
      <c r="H24" s="2" t="s">
        <v>128</v>
      </c>
      <c r="I24" s="2" t="s">
        <v>129</v>
      </c>
      <c r="J24" s="2" t="s">
        <v>118</v>
      </c>
      <c r="K24" s="20">
        <v>0.625</v>
      </c>
      <c r="L24" s="2"/>
      <c r="N24" s="2" t="s">
        <v>188</v>
      </c>
      <c r="O24" s="2" t="s">
        <v>129</v>
      </c>
      <c r="P24" s="2" t="s">
        <v>175</v>
      </c>
      <c r="Q24" s="2">
        <v>0.3125</v>
      </c>
      <c r="R24" s="2"/>
    </row>
    <row r="25" spans="2:18" x14ac:dyDescent="0.25">
      <c r="B25" s="2" t="s">
        <v>24</v>
      </c>
      <c r="C25" s="2" t="s">
        <v>129</v>
      </c>
      <c r="D25" s="2" t="s">
        <v>41</v>
      </c>
      <c r="E25" s="20">
        <v>0.5</v>
      </c>
      <c r="F25" s="2"/>
      <c r="H25" s="2" t="s">
        <v>128</v>
      </c>
      <c r="I25" s="2" t="s">
        <v>129</v>
      </c>
      <c r="J25" s="2" t="s">
        <v>119</v>
      </c>
      <c r="K25" s="20">
        <v>0.625</v>
      </c>
      <c r="L25" s="2"/>
      <c r="N25" s="2" t="s">
        <v>188</v>
      </c>
      <c r="O25" s="2" t="s">
        <v>129</v>
      </c>
      <c r="P25" s="2" t="s">
        <v>176</v>
      </c>
      <c r="Q25" s="2">
        <v>0.3125</v>
      </c>
      <c r="R25" s="2"/>
    </row>
    <row r="26" spans="2:18" x14ac:dyDescent="0.25">
      <c r="B26" s="2" t="s">
        <v>24</v>
      </c>
      <c r="C26" s="2" t="s">
        <v>129</v>
      </c>
      <c r="D26" s="2" t="s">
        <v>42</v>
      </c>
      <c r="E26" s="20">
        <v>0.5</v>
      </c>
      <c r="F26" s="2"/>
      <c r="H26" s="2" t="s">
        <v>128</v>
      </c>
      <c r="I26" s="2" t="s">
        <v>129</v>
      </c>
      <c r="J26" s="2" t="s">
        <v>120</v>
      </c>
      <c r="K26" s="20">
        <v>0.625</v>
      </c>
      <c r="L26" s="2"/>
      <c r="N26" s="2" t="s">
        <v>188</v>
      </c>
      <c r="O26" s="2" t="s">
        <v>129</v>
      </c>
      <c r="P26" s="2" t="s">
        <v>177</v>
      </c>
      <c r="Q26" s="2">
        <v>0.3125</v>
      </c>
      <c r="R26" s="2"/>
    </row>
    <row r="27" spans="2:18" x14ac:dyDescent="0.25">
      <c r="B27" s="2" t="s">
        <v>24</v>
      </c>
      <c r="C27" s="2" t="s">
        <v>129</v>
      </c>
      <c r="D27" s="2" t="s">
        <v>43</v>
      </c>
      <c r="E27" s="20">
        <v>0.5</v>
      </c>
      <c r="F27" s="2"/>
      <c r="H27" s="2" t="s">
        <v>128</v>
      </c>
      <c r="I27" s="2" t="s">
        <v>129</v>
      </c>
      <c r="J27" s="2" t="s">
        <v>121</v>
      </c>
      <c r="K27" s="20">
        <v>0.75</v>
      </c>
      <c r="L27" s="2"/>
      <c r="N27" s="2" t="s">
        <v>188</v>
      </c>
      <c r="O27" s="2" t="s">
        <v>129</v>
      </c>
      <c r="P27" s="2" t="s">
        <v>178</v>
      </c>
      <c r="Q27" s="2">
        <v>0.3125</v>
      </c>
      <c r="R27" s="2"/>
    </row>
    <row r="28" spans="2:18" x14ac:dyDescent="0.25">
      <c r="B28" s="2" t="s">
        <v>24</v>
      </c>
      <c r="C28" s="2" t="s">
        <v>129</v>
      </c>
      <c r="D28" s="2" t="s">
        <v>44</v>
      </c>
      <c r="E28" s="20">
        <v>0.5</v>
      </c>
      <c r="F28" s="2"/>
      <c r="H28" s="2" t="s">
        <v>128</v>
      </c>
      <c r="I28" s="2" t="s">
        <v>129</v>
      </c>
      <c r="J28" s="2" t="s">
        <v>122</v>
      </c>
      <c r="K28" s="20">
        <v>0.75</v>
      </c>
      <c r="L28" s="2"/>
      <c r="N28" s="2" t="s">
        <v>188</v>
      </c>
      <c r="O28" s="2" t="s">
        <v>129</v>
      </c>
      <c r="P28" s="2" t="s">
        <v>179</v>
      </c>
      <c r="Q28" s="2">
        <v>0.3125</v>
      </c>
      <c r="R28" s="2"/>
    </row>
    <row r="29" spans="2:18" x14ac:dyDescent="0.25">
      <c r="B29" s="2" t="s">
        <v>24</v>
      </c>
      <c r="C29" s="2" t="s">
        <v>129</v>
      </c>
      <c r="D29" s="2" t="s">
        <v>45</v>
      </c>
      <c r="E29" s="20">
        <v>0.5</v>
      </c>
      <c r="F29" s="2"/>
      <c r="H29" s="2" t="s">
        <v>128</v>
      </c>
      <c r="I29" s="2" t="s">
        <v>129</v>
      </c>
      <c r="J29" s="2" t="s">
        <v>123</v>
      </c>
      <c r="K29" s="20">
        <v>0.75</v>
      </c>
      <c r="L29" s="2"/>
      <c r="N29" s="2" t="s">
        <v>188</v>
      </c>
      <c r="O29" s="2" t="s">
        <v>129</v>
      </c>
      <c r="P29" s="2" t="s">
        <v>180</v>
      </c>
      <c r="Q29" s="2">
        <v>0.3125</v>
      </c>
      <c r="R29" s="2"/>
    </row>
    <row r="30" spans="2:18" x14ac:dyDescent="0.25">
      <c r="B30" s="2" t="s">
        <v>24</v>
      </c>
      <c r="C30" s="2" t="s">
        <v>129</v>
      </c>
      <c r="D30" s="2" t="s">
        <v>46</v>
      </c>
      <c r="E30" s="20">
        <v>0.5</v>
      </c>
      <c r="F30" s="2"/>
      <c r="H30" s="2" t="s">
        <v>128</v>
      </c>
      <c r="I30" s="2" t="s">
        <v>129</v>
      </c>
      <c r="J30" s="2" t="s">
        <v>124</v>
      </c>
      <c r="K30" s="20">
        <v>0.75</v>
      </c>
      <c r="L30" s="2"/>
      <c r="N30" s="2" t="s">
        <v>188</v>
      </c>
      <c r="O30" s="2" t="s">
        <v>129</v>
      </c>
      <c r="P30" s="2" t="s">
        <v>181</v>
      </c>
      <c r="Q30" s="2">
        <v>0.3125</v>
      </c>
      <c r="R30" s="2"/>
    </row>
    <row r="31" spans="2:18" x14ac:dyDescent="0.25">
      <c r="B31" s="2" t="s">
        <v>24</v>
      </c>
      <c r="C31" s="2" t="s">
        <v>129</v>
      </c>
      <c r="D31" s="2" t="s">
        <v>47</v>
      </c>
      <c r="E31" s="20">
        <v>0.5</v>
      </c>
      <c r="F31" s="2"/>
      <c r="H31" s="2" t="s">
        <v>128</v>
      </c>
      <c r="I31" s="2" t="s">
        <v>129</v>
      </c>
      <c r="J31" s="2" t="s">
        <v>125</v>
      </c>
      <c r="K31" s="20">
        <v>0.875</v>
      </c>
      <c r="L31" s="2"/>
      <c r="N31" s="2" t="s">
        <v>188</v>
      </c>
      <c r="O31" s="2" t="s">
        <v>129</v>
      </c>
      <c r="P31" s="2" t="s">
        <v>182</v>
      </c>
      <c r="Q31" s="2">
        <v>0.3125</v>
      </c>
      <c r="R31" s="2"/>
    </row>
    <row r="32" spans="2:18" x14ac:dyDescent="0.25">
      <c r="B32" s="2" t="s">
        <v>24</v>
      </c>
      <c r="C32" s="2" t="s">
        <v>129</v>
      </c>
      <c r="D32" s="2" t="s">
        <v>48</v>
      </c>
      <c r="E32" s="20">
        <v>0.5</v>
      </c>
      <c r="F32" s="2"/>
      <c r="H32" s="2" t="s">
        <v>128</v>
      </c>
      <c r="I32" s="2" t="s">
        <v>129</v>
      </c>
      <c r="J32" s="2" t="s">
        <v>126</v>
      </c>
      <c r="K32" s="20">
        <v>0.875</v>
      </c>
      <c r="L32" s="2"/>
      <c r="N32" s="2" t="s">
        <v>188</v>
      </c>
      <c r="O32" s="2" t="s">
        <v>129</v>
      </c>
      <c r="P32" s="2" t="s">
        <v>183</v>
      </c>
      <c r="Q32" s="2">
        <v>0.3125</v>
      </c>
      <c r="R32" s="2"/>
    </row>
    <row r="33" spans="2:18" x14ac:dyDescent="0.25">
      <c r="B33" s="2" t="s">
        <v>24</v>
      </c>
      <c r="C33" s="2" t="s">
        <v>129</v>
      </c>
      <c r="D33" s="2" t="s">
        <v>49</v>
      </c>
      <c r="E33" s="20">
        <v>0.5</v>
      </c>
      <c r="F33" s="2"/>
      <c r="H33" s="2" t="s">
        <v>128</v>
      </c>
      <c r="I33" s="2" t="s">
        <v>129</v>
      </c>
      <c r="J33" s="2" t="s">
        <v>127</v>
      </c>
      <c r="K33" s="20">
        <v>0.875</v>
      </c>
      <c r="L33" s="2"/>
      <c r="N33" s="2" t="s">
        <v>188</v>
      </c>
      <c r="O33" s="2" t="s">
        <v>129</v>
      </c>
      <c r="P33" s="2" t="s">
        <v>184</v>
      </c>
      <c r="Q33" s="2">
        <v>0.3125</v>
      </c>
      <c r="R33" s="2"/>
    </row>
    <row r="34" spans="2:18" x14ac:dyDescent="0.25">
      <c r="B34" s="2" t="s">
        <v>24</v>
      </c>
      <c r="C34" s="2" t="s">
        <v>129</v>
      </c>
      <c r="D34" s="2" t="s">
        <v>50</v>
      </c>
      <c r="E34" s="20">
        <v>0.5</v>
      </c>
      <c r="F34" s="2"/>
      <c r="H34" s="2"/>
      <c r="I34" s="2"/>
      <c r="J34" s="2"/>
      <c r="K34" s="20"/>
      <c r="L34" s="2"/>
      <c r="N34" s="2" t="s">
        <v>188</v>
      </c>
      <c r="O34" s="2" t="s">
        <v>129</v>
      </c>
      <c r="P34" s="2" t="s">
        <v>185</v>
      </c>
      <c r="Q34" s="2">
        <v>0.3125</v>
      </c>
      <c r="R34" s="2"/>
    </row>
    <row r="35" spans="2:18" x14ac:dyDescent="0.25">
      <c r="B35" s="2" t="s">
        <v>24</v>
      </c>
      <c r="C35" s="2" t="s">
        <v>129</v>
      </c>
      <c r="D35" s="2" t="s">
        <v>51</v>
      </c>
      <c r="E35" s="20">
        <v>0.5</v>
      </c>
      <c r="F35" s="2"/>
      <c r="H35" s="2" t="s">
        <v>130</v>
      </c>
      <c r="I35" s="2" t="s">
        <v>0</v>
      </c>
      <c r="J35" s="2" t="s">
        <v>131</v>
      </c>
      <c r="K35" s="13">
        <v>0.375</v>
      </c>
      <c r="L35" s="2"/>
      <c r="N35" s="2" t="s">
        <v>188</v>
      </c>
      <c r="O35" s="2" t="s">
        <v>129</v>
      </c>
      <c r="P35" s="2" t="s">
        <v>186</v>
      </c>
      <c r="Q35" s="2">
        <v>0.3125</v>
      </c>
      <c r="R35" s="2"/>
    </row>
    <row r="36" spans="2:18" x14ac:dyDescent="0.25">
      <c r="B36" s="2" t="s">
        <v>24</v>
      </c>
      <c r="C36" s="2" t="s">
        <v>129</v>
      </c>
      <c r="D36" s="2" t="s">
        <v>52</v>
      </c>
      <c r="E36" s="20">
        <v>0.5</v>
      </c>
      <c r="F36" s="2"/>
      <c r="H36" s="2" t="s">
        <v>130</v>
      </c>
      <c r="I36" s="2" t="s">
        <v>0</v>
      </c>
      <c r="J36" s="2" t="s">
        <v>132</v>
      </c>
      <c r="K36" s="13">
        <v>0.375</v>
      </c>
      <c r="L36" s="2"/>
    </row>
    <row r="37" spans="2:18" x14ac:dyDescent="0.25">
      <c r="B37" s="2" t="s">
        <v>24</v>
      </c>
      <c r="C37" s="2" t="s">
        <v>129</v>
      </c>
      <c r="D37" s="2" t="s">
        <v>53</v>
      </c>
      <c r="E37" s="20">
        <v>0.5</v>
      </c>
      <c r="F37" s="2"/>
      <c r="H37" s="2" t="s">
        <v>130</v>
      </c>
      <c r="I37" s="2" t="s">
        <v>0</v>
      </c>
      <c r="J37" s="2" t="s">
        <v>133</v>
      </c>
      <c r="K37" s="13">
        <v>0.375</v>
      </c>
      <c r="L37" s="2"/>
    </row>
    <row r="38" spans="2:18" x14ac:dyDescent="0.25">
      <c r="B38" s="2" t="s">
        <v>24</v>
      </c>
      <c r="C38" s="2" t="s">
        <v>129</v>
      </c>
      <c r="D38" s="2" t="s">
        <v>54</v>
      </c>
      <c r="E38" s="20">
        <v>0.5</v>
      </c>
      <c r="F38" s="2"/>
      <c r="H38" s="2" t="s">
        <v>130</v>
      </c>
      <c r="I38" s="2" t="s">
        <v>0</v>
      </c>
      <c r="J38" s="2" t="s">
        <v>134</v>
      </c>
      <c r="K38" s="13">
        <v>0.75</v>
      </c>
      <c r="L38" s="2"/>
    </row>
    <row r="39" spans="2:18" x14ac:dyDescent="0.25">
      <c r="B39" s="2" t="s">
        <v>24</v>
      </c>
      <c r="C39" s="2" t="s">
        <v>129</v>
      </c>
      <c r="D39" s="2" t="s">
        <v>55</v>
      </c>
      <c r="E39" s="20">
        <v>0.625</v>
      </c>
      <c r="F39" s="2"/>
      <c r="H39" s="2" t="s">
        <v>130</v>
      </c>
      <c r="I39" s="2" t="s">
        <v>0</v>
      </c>
      <c r="J39" s="2" t="s">
        <v>135</v>
      </c>
      <c r="K39" s="13">
        <v>0.75</v>
      </c>
      <c r="L39" s="2"/>
    </row>
    <row r="40" spans="2:18" x14ac:dyDescent="0.25">
      <c r="B40" s="2" t="s">
        <v>24</v>
      </c>
      <c r="C40" s="2" t="s">
        <v>129</v>
      </c>
      <c r="D40" s="2" t="s">
        <v>56</v>
      </c>
      <c r="E40" s="20">
        <v>0.625</v>
      </c>
      <c r="F40" s="2"/>
      <c r="H40" s="2" t="s">
        <v>130</v>
      </c>
      <c r="I40" s="2" t="s">
        <v>0</v>
      </c>
      <c r="J40" s="2" t="s">
        <v>136</v>
      </c>
      <c r="K40" s="13">
        <v>0.75</v>
      </c>
      <c r="L40" s="2"/>
    </row>
    <row r="41" spans="2:18" x14ac:dyDescent="0.25">
      <c r="B41" s="2" t="s">
        <v>24</v>
      </c>
      <c r="C41" s="2" t="s">
        <v>129</v>
      </c>
      <c r="D41" s="2" t="s">
        <v>57</v>
      </c>
      <c r="E41" s="20">
        <v>0.625</v>
      </c>
      <c r="F41" s="2"/>
      <c r="H41" s="2" t="s">
        <v>130</v>
      </c>
      <c r="I41" s="2" t="s">
        <v>0</v>
      </c>
      <c r="J41" s="2" t="s">
        <v>137</v>
      </c>
      <c r="K41" s="13">
        <v>0.75</v>
      </c>
      <c r="L41" s="2"/>
    </row>
    <row r="42" spans="2:18" x14ac:dyDescent="0.25">
      <c r="B42" s="2" t="s">
        <v>24</v>
      </c>
      <c r="C42" s="2" t="s">
        <v>129</v>
      </c>
      <c r="D42" s="2" t="s">
        <v>58</v>
      </c>
      <c r="E42" s="20">
        <v>0.75</v>
      </c>
      <c r="F42" s="2"/>
      <c r="H42" s="2" t="s">
        <v>130</v>
      </c>
      <c r="I42" s="2" t="s">
        <v>0</v>
      </c>
      <c r="J42" s="2" t="s">
        <v>138</v>
      </c>
      <c r="K42" s="13">
        <v>0.75</v>
      </c>
      <c r="L42" s="2"/>
    </row>
    <row r="43" spans="2:18" x14ac:dyDescent="0.25">
      <c r="B43" s="2" t="s">
        <v>24</v>
      </c>
      <c r="C43" s="2" t="s">
        <v>129</v>
      </c>
      <c r="D43" s="2" t="s">
        <v>59</v>
      </c>
      <c r="E43" s="20">
        <v>0.75</v>
      </c>
      <c r="F43" s="2"/>
      <c r="H43" s="2" t="s">
        <v>130</v>
      </c>
      <c r="I43" s="2" t="s">
        <v>0</v>
      </c>
      <c r="J43" s="2" t="s">
        <v>139</v>
      </c>
      <c r="K43" s="13">
        <v>0.75</v>
      </c>
      <c r="L43" s="2"/>
    </row>
    <row r="44" spans="2:18" x14ac:dyDescent="0.25">
      <c r="B44" s="2" t="s">
        <v>24</v>
      </c>
      <c r="C44" s="2" t="s">
        <v>129</v>
      </c>
      <c r="D44" s="2" t="s">
        <v>60</v>
      </c>
      <c r="E44" s="20">
        <v>0.75</v>
      </c>
      <c r="F44" s="2"/>
      <c r="H44" s="2" t="s">
        <v>130</v>
      </c>
      <c r="I44" s="2" t="s">
        <v>0</v>
      </c>
      <c r="J44" s="2" t="s">
        <v>140</v>
      </c>
      <c r="K44" s="13">
        <v>0.75</v>
      </c>
      <c r="L44" s="2"/>
    </row>
    <row r="45" spans="2:18" x14ac:dyDescent="0.25">
      <c r="B45" s="2" t="s">
        <v>24</v>
      </c>
      <c r="C45" s="2" t="s">
        <v>129</v>
      </c>
      <c r="D45" s="2" t="s">
        <v>61</v>
      </c>
      <c r="E45" s="20">
        <v>0.75</v>
      </c>
      <c r="F45" s="2"/>
      <c r="H45" s="2" t="s">
        <v>130</v>
      </c>
      <c r="I45" s="2" t="s">
        <v>0</v>
      </c>
      <c r="J45" s="2" t="s">
        <v>141</v>
      </c>
      <c r="K45" s="13">
        <v>0.875</v>
      </c>
      <c r="L45" s="2"/>
    </row>
    <row r="46" spans="2:18" x14ac:dyDescent="0.25">
      <c r="B46" s="2" t="s">
        <v>24</v>
      </c>
      <c r="C46" s="2" t="s">
        <v>129</v>
      </c>
      <c r="D46" s="2" t="s">
        <v>62</v>
      </c>
      <c r="E46" s="20">
        <v>0.75</v>
      </c>
      <c r="F46" s="2"/>
      <c r="H46" s="2" t="s">
        <v>130</v>
      </c>
      <c r="I46" s="2" t="s">
        <v>0</v>
      </c>
      <c r="J46" s="2" t="s">
        <v>142</v>
      </c>
      <c r="K46" s="13">
        <v>0.875</v>
      </c>
      <c r="L46" s="2"/>
    </row>
    <row r="47" spans="2:18" x14ac:dyDescent="0.25">
      <c r="B47" s="2" t="s">
        <v>24</v>
      </c>
      <c r="C47" s="2" t="s">
        <v>129</v>
      </c>
      <c r="D47" s="2" t="s">
        <v>63</v>
      </c>
      <c r="E47" s="20">
        <v>0.75</v>
      </c>
      <c r="F47" s="2"/>
      <c r="H47" s="2" t="s">
        <v>130</v>
      </c>
      <c r="I47" s="2" t="s">
        <v>0</v>
      </c>
      <c r="J47" s="2" t="s">
        <v>143</v>
      </c>
      <c r="K47" s="13">
        <v>0.875</v>
      </c>
      <c r="L47" s="2"/>
    </row>
    <row r="48" spans="2:18" x14ac:dyDescent="0.25">
      <c r="B48" s="2" t="s">
        <v>24</v>
      </c>
      <c r="C48" s="2" t="s">
        <v>129</v>
      </c>
      <c r="D48" s="2" t="s">
        <v>64</v>
      </c>
      <c r="E48" s="20">
        <v>0.75</v>
      </c>
      <c r="F48" s="2"/>
      <c r="H48" s="2" t="s">
        <v>130</v>
      </c>
      <c r="I48" s="2" t="s">
        <v>0</v>
      </c>
      <c r="J48" s="2" t="s">
        <v>144</v>
      </c>
      <c r="K48" s="13">
        <v>0.875</v>
      </c>
      <c r="L48" s="2"/>
    </row>
    <row r="49" spans="2:11" x14ac:dyDescent="0.25">
      <c r="B49" s="2" t="s">
        <v>24</v>
      </c>
      <c r="C49" s="2" t="s">
        <v>129</v>
      </c>
      <c r="D49" s="2" t="s">
        <v>65</v>
      </c>
      <c r="E49" s="20">
        <v>0.75</v>
      </c>
      <c r="F49" s="2"/>
      <c r="K49" s="21"/>
    </row>
    <row r="50" spans="2:11" x14ac:dyDescent="0.25">
      <c r="B50" s="2" t="s">
        <v>24</v>
      </c>
      <c r="C50" s="2" t="s">
        <v>129</v>
      </c>
      <c r="D50" s="2" t="s">
        <v>66</v>
      </c>
      <c r="E50" s="20">
        <v>0.75</v>
      </c>
      <c r="F50" s="2"/>
      <c r="K50" s="21"/>
    </row>
    <row r="51" spans="2:11" x14ac:dyDescent="0.25">
      <c r="B51" s="2" t="s">
        <v>24</v>
      </c>
      <c r="C51" s="2" t="s">
        <v>129</v>
      </c>
      <c r="D51" s="2" t="s">
        <v>67</v>
      </c>
      <c r="E51" s="20">
        <v>0.75</v>
      </c>
      <c r="F51" s="2"/>
      <c r="K51" s="21"/>
    </row>
    <row r="52" spans="2:11" x14ac:dyDescent="0.25">
      <c r="B52" s="2" t="s">
        <v>24</v>
      </c>
      <c r="C52" s="2" t="s">
        <v>129</v>
      </c>
      <c r="D52" s="2" t="s">
        <v>68</v>
      </c>
      <c r="E52" s="20">
        <v>0.75</v>
      </c>
      <c r="F52" s="2"/>
      <c r="K52" s="21"/>
    </row>
    <row r="53" spans="2:11" x14ac:dyDescent="0.25">
      <c r="B53" s="2" t="s">
        <v>24</v>
      </c>
      <c r="C53" s="2" t="s">
        <v>129</v>
      </c>
      <c r="D53" s="2" t="s">
        <v>69</v>
      </c>
      <c r="E53" s="20">
        <v>0.75</v>
      </c>
      <c r="F53" s="2"/>
      <c r="K53" s="21"/>
    </row>
    <row r="54" spans="2:11" x14ac:dyDescent="0.25">
      <c r="B54" s="2" t="s">
        <v>24</v>
      </c>
      <c r="C54" s="2" t="s">
        <v>129</v>
      </c>
      <c r="D54" s="2" t="s">
        <v>70</v>
      </c>
      <c r="E54" s="20">
        <v>0.75</v>
      </c>
      <c r="F54" s="2"/>
      <c r="K54" s="21"/>
    </row>
    <row r="55" spans="2:11" x14ac:dyDescent="0.25">
      <c r="B55" s="2" t="s">
        <v>24</v>
      </c>
      <c r="C55" s="2" t="s">
        <v>129</v>
      </c>
      <c r="D55" s="2" t="s">
        <v>71</v>
      </c>
      <c r="E55" s="20">
        <v>0.75</v>
      </c>
      <c r="F55" s="2"/>
      <c r="K55" s="21"/>
    </row>
    <row r="56" spans="2:11" x14ac:dyDescent="0.25">
      <c r="B56" s="2" t="s">
        <v>24</v>
      </c>
      <c r="C56" s="2" t="s">
        <v>129</v>
      </c>
      <c r="D56" s="2" t="s">
        <v>72</v>
      </c>
      <c r="E56" s="20">
        <v>0.75</v>
      </c>
      <c r="F56" s="2"/>
      <c r="K56" s="21"/>
    </row>
    <row r="57" spans="2:11" x14ac:dyDescent="0.25">
      <c r="B57" s="2" t="s">
        <v>24</v>
      </c>
      <c r="C57" s="2" t="s">
        <v>129</v>
      </c>
      <c r="D57" s="2" t="s">
        <v>73</v>
      </c>
      <c r="E57" s="20">
        <v>0.75</v>
      </c>
      <c r="F57" s="2"/>
      <c r="K57" s="21"/>
    </row>
    <row r="58" spans="2:11" x14ac:dyDescent="0.25">
      <c r="B58" s="2" t="s">
        <v>24</v>
      </c>
      <c r="C58" s="2" t="s">
        <v>129</v>
      </c>
      <c r="D58" s="2" t="s">
        <v>74</v>
      </c>
      <c r="E58" s="20">
        <v>0.75</v>
      </c>
      <c r="F58" s="2"/>
      <c r="K58" s="21"/>
    </row>
    <row r="59" spans="2:11" x14ac:dyDescent="0.25">
      <c r="B59" s="2" t="s">
        <v>24</v>
      </c>
      <c r="C59" s="2" t="s">
        <v>129</v>
      </c>
      <c r="D59" s="2" t="s">
        <v>75</v>
      </c>
      <c r="E59" s="20">
        <v>0.75</v>
      </c>
      <c r="F59" s="2"/>
      <c r="K59" s="21"/>
    </row>
    <row r="60" spans="2:11" x14ac:dyDescent="0.25">
      <c r="B60" s="2" t="s">
        <v>24</v>
      </c>
      <c r="C60" s="2" t="s">
        <v>129</v>
      </c>
      <c r="D60" s="2" t="s">
        <v>76</v>
      </c>
      <c r="E60" s="20">
        <v>0.875</v>
      </c>
      <c r="F60" s="2"/>
      <c r="K60" s="21"/>
    </row>
    <row r="61" spans="2:11" x14ac:dyDescent="0.25">
      <c r="B61" s="2" t="s">
        <v>24</v>
      </c>
      <c r="C61" s="2" t="s">
        <v>129</v>
      </c>
      <c r="D61" s="2" t="s">
        <v>77</v>
      </c>
      <c r="E61" s="20">
        <v>0.875</v>
      </c>
      <c r="F61" s="2"/>
      <c r="K61" s="21"/>
    </row>
    <row r="62" spans="2:11" x14ac:dyDescent="0.25">
      <c r="B62" s="2" t="s">
        <v>24</v>
      </c>
      <c r="C62" s="2" t="s">
        <v>129</v>
      </c>
      <c r="D62" s="2" t="s">
        <v>78</v>
      </c>
      <c r="E62" s="20">
        <v>0.875</v>
      </c>
      <c r="F62" s="2"/>
      <c r="K62" s="21"/>
    </row>
    <row r="63" spans="2:11" x14ac:dyDescent="0.25">
      <c r="B63" s="2" t="s">
        <v>24</v>
      </c>
      <c r="C63" s="2" t="s">
        <v>129</v>
      </c>
      <c r="D63" s="2" t="s">
        <v>79</v>
      </c>
      <c r="E63" s="20">
        <v>0.875</v>
      </c>
      <c r="F63" s="2"/>
      <c r="K63" s="21"/>
    </row>
    <row r="64" spans="2:11" x14ac:dyDescent="0.25">
      <c r="B64" s="2" t="s">
        <v>24</v>
      </c>
      <c r="C64" s="2" t="s">
        <v>129</v>
      </c>
      <c r="D64" s="2" t="s">
        <v>80</v>
      </c>
      <c r="E64" s="20">
        <v>0.875</v>
      </c>
      <c r="F64" s="2"/>
      <c r="K64" s="21"/>
    </row>
    <row r="65" spans="2:11" x14ac:dyDescent="0.25">
      <c r="B65" s="2" t="s">
        <v>24</v>
      </c>
      <c r="C65" s="2" t="s">
        <v>129</v>
      </c>
      <c r="D65" s="2" t="s">
        <v>81</v>
      </c>
      <c r="E65" s="20">
        <v>0.875</v>
      </c>
      <c r="F65" s="2"/>
      <c r="K65" s="21"/>
    </row>
    <row r="66" spans="2:11" x14ac:dyDescent="0.25">
      <c r="B66" s="2" t="s">
        <v>24</v>
      </c>
      <c r="C66" s="2" t="s">
        <v>129</v>
      </c>
      <c r="D66" s="2" t="s">
        <v>82</v>
      </c>
      <c r="E66" s="20">
        <v>0.875</v>
      </c>
      <c r="F66" s="2"/>
      <c r="K66" s="21"/>
    </row>
    <row r="67" spans="2:11" x14ac:dyDescent="0.25">
      <c r="B67" s="2" t="s">
        <v>24</v>
      </c>
      <c r="C67" s="2" t="s">
        <v>129</v>
      </c>
      <c r="D67" s="2" t="s">
        <v>83</v>
      </c>
      <c r="E67" s="20">
        <v>0.875</v>
      </c>
      <c r="F67" s="2"/>
      <c r="K67" s="21"/>
    </row>
    <row r="68" spans="2:11" x14ac:dyDescent="0.25">
      <c r="B68" s="2" t="s">
        <v>24</v>
      </c>
      <c r="C68" s="2" t="s">
        <v>129</v>
      </c>
      <c r="D68" s="2" t="s">
        <v>84</v>
      </c>
      <c r="E68" s="20">
        <v>0.875</v>
      </c>
      <c r="F68" s="2"/>
      <c r="K68" s="21"/>
    </row>
    <row r="69" spans="2:11" x14ac:dyDescent="0.25">
      <c r="B69" s="2" t="s">
        <v>24</v>
      </c>
      <c r="C69" s="2" t="s">
        <v>129</v>
      </c>
      <c r="D69" s="2" t="s">
        <v>85</v>
      </c>
      <c r="E69" s="20">
        <v>0.875</v>
      </c>
      <c r="F69" s="2"/>
      <c r="K69" s="21"/>
    </row>
    <row r="70" spans="2:11" x14ac:dyDescent="0.25">
      <c r="B70" s="2" t="s">
        <v>24</v>
      </c>
      <c r="C70" s="2" t="s">
        <v>129</v>
      </c>
      <c r="D70" s="2" t="s">
        <v>86</v>
      </c>
      <c r="E70" s="20">
        <v>0.875</v>
      </c>
      <c r="F70" s="2"/>
      <c r="K70" s="21"/>
    </row>
    <row r="71" spans="2:11" x14ac:dyDescent="0.25">
      <c r="B71" s="2" t="s">
        <v>24</v>
      </c>
      <c r="C71" s="2" t="s">
        <v>129</v>
      </c>
      <c r="D71" s="2" t="s">
        <v>87</v>
      </c>
      <c r="E71" s="20">
        <v>0.875</v>
      </c>
      <c r="F71" s="2"/>
      <c r="K71" s="21"/>
    </row>
    <row r="72" spans="2:11" x14ac:dyDescent="0.25">
      <c r="B72" s="2" t="s">
        <v>24</v>
      </c>
      <c r="C72" s="2" t="s">
        <v>129</v>
      </c>
      <c r="D72" s="2" t="s">
        <v>88</v>
      </c>
      <c r="E72" s="20">
        <v>0.875</v>
      </c>
      <c r="F72" s="2"/>
      <c r="K72" s="21"/>
    </row>
    <row r="73" spans="2:11" x14ac:dyDescent="0.25">
      <c r="B73" s="2" t="s">
        <v>24</v>
      </c>
      <c r="C73" s="2" t="s">
        <v>129</v>
      </c>
      <c r="D73" s="2" t="s">
        <v>89</v>
      </c>
      <c r="E73" s="20">
        <v>0.875</v>
      </c>
      <c r="F73" s="2"/>
      <c r="K73" s="21"/>
    </row>
    <row r="74" spans="2:11" x14ac:dyDescent="0.25">
      <c r="B74" s="2" t="s">
        <v>24</v>
      </c>
      <c r="C74" s="2" t="s">
        <v>129</v>
      </c>
      <c r="D74" s="2" t="s">
        <v>90</v>
      </c>
      <c r="E74" s="20">
        <v>0.875</v>
      </c>
      <c r="F74" s="2"/>
      <c r="K74" s="21"/>
    </row>
    <row r="75" spans="2:11" x14ac:dyDescent="0.25">
      <c r="B75" s="2" t="s">
        <v>24</v>
      </c>
      <c r="C75" s="2" t="s">
        <v>129</v>
      </c>
      <c r="D75" s="2" t="s">
        <v>91</v>
      </c>
      <c r="E75" s="20">
        <v>0.875</v>
      </c>
      <c r="F75" s="2"/>
      <c r="K75" s="21"/>
    </row>
    <row r="76" spans="2:11" x14ac:dyDescent="0.25">
      <c r="B76" s="2" t="s">
        <v>24</v>
      </c>
      <c r="C76" s="2" t="s">
        <v>129</v>
      </c>
      <c r="D76" s="2" t="s">
        <v>92</v>
      </c>
      <c r="E76" s="20">
        <v>0.875</v>
      </c>
      <c r="F76" s="2"/>
      <c r="K76" s="21"/>
    </row>
    <row r="77" spans="2:11" x14ac:dyDescent="0.25">
      <c r="B77" s="2" t="s">
        <v>24</v>
      </c>
      <c r="C77" s="2" t="s">
        <v>129</v>
      </c>
      <c r="D77" s="2" t="s">
        <v>93</v>
      </c>
      <c r="E77" s="20">
        <v>0.875</v>
      </c>
      <c r="F77" s="2"/>
      <c r="K77" s="21"/>
    </row>
    <row r="78" spans="2:11" x14ac:dyDescent="0.25">
      <c r="B78" s="2" t="s">
        <v>24</v>
      </c>
      <c r="C78" s="2" t="s">
        <v>129</v>
      </c>
      <c r="D78" s="2" t="s">
        <v>94</v>
      </c>
      <c r="E78" s="20">
        <v>0.875</v>
      </c>
      <c r="F78" s="2"/>
      <c r="K78" s="21"/>
    </row>
    <row r="79" spans="2:11" x14ac:dyDescent="0.25">
      <c r="B79" s="2" t="s">
        <v>24</v>
      </c>
      <c r="C79" s="2" t="s">
        <v>129</v>
      </c>
      <c r="D79" s="2" t="s">
        <v>95</v>
      </c>
      <c r="E79" s="20">
        <v>0.875</v>
      </c>
      <c r="F79" s="2"/>
      <c r="K79" s="21"/>
    </row>
    <row r="80" spans="2:11" x14ac:dyDescent="0.25">
      <c r="B80" s="2" t="s">
        <v>24</v>
      </c>
      <c r="C80" s="2" t="s">
        <v>129</v>
      </c>
      <c r="D80" s="2" t="s">
        <v>96</v>
      </c>
      <c r="E80" s="20">
        <v>0.875</v>
      </c>
      <c r="F80" s="2"/>
      <c r="K80" s="21"/>
    </row>
    <row r="81" spans="2:18" x14ac:dyDescent="0.25">
      <c r="B81" s="2" t="s">
        <v>24</v>
      </c>
      <c r="C81" s="2" t="s">
        <v>129</v>
      </c>
      <c r="D81" s="2" t="s">
        <v>97</v>
      </c>
      <c r="E81" s="20">
        <v>0.875</v>
      </c>
      <c r="F81" s="2"/>
      <c r="K81" s="21"/>
    </row>
    <row r="82" spans="2:18" x14ac:dyDescent="0.25">
      <c r="B82" s="2" t="s">
        <v>24</v>
      </c>
      <c r="C82" s="2" t="s">
        <v>129</v>
      </c>
      <c r="D82" s="2" t="s">
        <v>98</v>
      </c>
      <c r="E82" s="20">
        <v>0.875</v>
      </c>
      <c r="F82" s="2"/>
      <c r="K82" s="21"/>
    </row>
    <row r="83" spans="2:18" x14ac:dyDescent="0.25">
      <c r="B83" s="2" t="s">
        <v>24</v>
      </c>
      <c r="C83" s="2" t="s">
        <v>129</v>
      </c>
      <c r="D83" s="2" t="s">
        <v>99</v>
      </c>
      <c r="E83" s="20">
        <v>0.875</v>
      </c>
      <c r="F83" s="2"/>
      <c r="K83" s="21"/>
    </row>
    <row r="84" spans="2:18" x14ac:dyDescent="0.25">
      <c r="B84" s="2" t="s">
        <v>24</v>
      </c>
      <c r="C84" s="2" t="s">
        <v>129</v>
      </c>
      <c r="D84" s="2" t="s">
        <v>100</v>
      </c>
      <c r="E84" s="20">
        <v>0.875</v>
      </c>
      <c r="F84" s="2"/>
      <c r="K84" s="21"/>
    </row>
    <row r="85" spans="2:18" x14ac:dyDescent="0.25">
      <c r="B85" s="2" t="s">
        <v>24</v>
      </c>
      <c r="C85" s="2" t="s">
        <v>129</v>
      </c>
      <c r="D85" s="2" t="s">
        <v>101</v>
      </c>
      <c r="E85" s="20">
        <v>0.875</v>
      </c>
      <c r="F85" s="2"/>
      <c r="K85" s="21"/>
    </row>
    <row r="86" spans="2:18" x14ac:dyDescent="0.25">
      <c r="B86" s="2" t="s">
        <v>24</v>
      </c>
      <c r="C86" s="2" t="s">
        <v>129</v>
      </c>
      <c r="D86" s="2" t="s">
        <v>102</v>
      </c>
      <c r="E86" s="20">
        <v>0.875</v>
      </c>
      <c r="F86" s="2"/>
      <c r="K86" s="21"/>
    </row>
    <row r="87" spans="2:18" x14ac:dyDescent="0.25">
      <c r="E87" s="21"/>
      <c r="K87" s="21"/>
    </row>
    <row r="90" spans="2:18" ht="15.75" thickBot="1" x14ac:dyDescent="0.3">
      <c r="B90" s="22" t="s">
        <v>192</v>
      </c>
      <c r="C90" s="115"/>
      <c r="D90" s="115"/>
      <c r="G90" s="22" t="s">
        <v>193</v>
      </c>
      <c r="H90" s="23"/>
      <c r="I90" s="23"/>
      <c r="K90" s="22" t="s">
        <v>194</v>
      </c>
      <c r="L90" s="115"/>
      <c r="M90" s="115"/>
      <c r="P90" s="22" t="s">
        <v>195</v>
      </c>
      <c r="Q90" s="116"/>
      <c r="R90" s="116"/>
    </row>
  </sheetData>
  <mergeCells count="5">
    <mergeCell ref="C2:Q4"/>
    <mergeCell ref="B6:R6"/>
    <mergeCell ref="C90:D90"/>
    <mergeCell ref="L90:M90"/>
    <mergeCell ref="Q90:R90"/>
  </mergeCells>
  <pageMargins left="0.7" right="0.7" top="0.75" bottom="0.75" header="0.3" footer="0.3"/>
  <pageSetup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2:R88"/>
  <sheetViews>
    <sheetView view="pageBreakPreview" zoomScale="70" zoomScaleNormal="85" zoomScaleSheetLayoutView="70" workbookViewId="0">
      <selection activeCell="P14" sqref="P14"/>
    </sheetView>
  </sheetViews>
  <sheetFormatPr baseColWidth="10" defaultColWidth="8.7109375" defaultRowHeight="15" x14ac:dyDescent="0.25"/>
  <cols>
    <col min="1" max="1" width="8.7109375" style="1"/>
    <col min="2" max="2" width="31.7109375" style="1" customWidth="1"/>
    <col min="3" max="3" width="18.7109375" style="1" customWidth="1"/>
    <col min="4" max="4" width="25.140625" style="1" customWidth="1"/>
    <col min="5" max="5" width="15.140625" style="1" customWidth="1"/>
    <col min="6" max="6" width="14" style="1" customWidth="1"/>
    <col min="7" max="7" width="7.5703125" style="1" bestFit="1" customWidth="1"/>
    <col min="8" max="8" width="32" style="1" customWidth="1"/>
    <col min="9" max="9" width="19" style="1" customWidth="1"/>
    <col min="10" max="10" width="24.85546875" style="1" customWidth="1"/>
    <col min="11" max="11" width="16.42578125" style="1" customWidth="1"/>
    <col min="12" max="12" width="14" style="1" customWidth="1"/>
    <col min="13" max="13" width="9.5703125" style="1" bestFit="1" customWidth="1"/>
    <col min="14" max="14" width="22.5703125" style="1" customWidth="1"/>
    <col min="15" max="15" width="19.140625" style="1" customWidth="1"/>
    <col min="16" max="16" width="25.140625" style="1" customWidth="1"/>
    <col min="17" max="17" width="14.28515625" style="1" customWidth="1"/>
    <col min="18" max="18" width="14.140625" style="1" customWidth="1"/>
    <col min="19" max="16384" width="8.7109375" style="1"/>
  </cols>
  <sheetData>
    <row r="2" spans="2:18" ht="14.45" customHeight="1" x14ac:dyDescent="0.25">
      <c r="C2" s="107" t="s">
        <v>190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2:18" ht="14.45" customHeight="1" x14ac:dyDescent="0.25"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2:18" ht="15" customHeight="1" x14ac:dyDescent="0.25"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6" spans="2:18" ht="42.6" customHeight="1" thickBot="1" x14ac:dyDescent="0.3">
      <c r="B6" s="117" t="s">
        <v>201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</row>
    <row r="7" spans="2:18" x14ac:dyDescent="0.25">
      <c r="B7" s="118"/>
      <c r="C7" s="118"/>
      <c r="D7" s="118"/>
      <c r="E7" s="118"/>
      <c r="F7" s="118"/>
    </row>
    <row r="8" spans="2:18" ht="19.5" x14ac:dyDescent="0.3">
      <c r="B8" s="119" t="s">
        <v>197</v>
      </c>
      <c r="C8" s="119"/>
      <c r="D8" s="119"/>
      <c r="E8" s="119"/>
      <c r="F8" s="119"/>
      <c r="G8" s="24"/>
      <c r="H8" s="119" t="s">
        <v>196</v>
      </c>
      <c r="I8" s="119"/>
      <c r="J8" s="119"/>
      <c r="K8" s="119"/>
      <c r="L8" s="119"/>
      <c r="M8" s="24"/>
      <c r="N8" s="120" t="s">
        <v>199</v>
      </c>
      <c r="O8" s="120"/>
      <c r="P8" s="120"/>
      <c r="Q8" s="120"/>
      <c r="R8" s="120"/>
    </row>
    <row r="9" spans="2:18" ht="19.5" x14ac:dyDescent="0.25">
      <c r="B9" s="25" t="s">
        <v>0</v>
      </c>
      <c r="C9" s="25" t="s">
        <v>6</v>
      </c>
      <c r="D9" s="25" t="s">
        <v>7</v>
      </c>
      <c r="E9" s="25" t="s">
        <v>1</v>
      </c>
      <c r="F9" s="25" t="s">
        <v>191</v>
      </c>
      <c r="G9" s="24"/>
      <c r="H9" s="25" t="s">
        <v>0</v>
      </c>
      <c r="I9" s="25" t="s">
        <v>6</v>
      </c>
      <c r="J9" s="25" t="s">
        <v>7</v>
      </c>
      <c r="K9" s="25" t="s">
        <v>1</v>
      </c>
      <c r="L9" s="25" t="s">
        <v>191</v>
      </c>
      <c r="M9" s="24"/>
      <c r="N9" s="25" t="s">
        <v>0</v>
      </c>
      <c r="O9" s="25" t="s">
        <v>6</v>
      </c>
      <c r="P9" s="25" t="s">
        <v>7</v>
      </c>
      <c r="Q9" s="25" t="s">
        <v>1</v>
      </c>
      <c r="R9" s="25" t="s">
        <v>191</v>
      </c>
    </row>
    <row r="10" spans="2:18" ht="19.5" x14ac:dyDescent="0.25">
      <c r="B10" s="26" t="s">
        <v>203</v>
      </c>
      <c r="C10" s="26" t="s">
        <v>129</v>
      </c>
      <c r="D10" s="26" t="s">
        <v>25</v>
      </c>
      <c r="E10" s="27">
        <v>0.25</v>
      </c>
      <c r="F10" s="26"/>
      <c r="G10" s="24"/>
      <c r="H10" s="26" t="s">
        <v>203</v>
      </c>
      <c r="I10" s="26" t="s">
        <v>129</v>
      </c>
      <c r="J10" s="26" t="s">
        <v>80</v>
      </c>
      <c r="K10" s="27">
        <v>0.875</v>
      </c>
      <c r="L10" s="26"/>
      <c r="M10" s="24"/>
      <c r="N10" s="26" t="s">
        <v>204</v>
      </c>
      <c r="O10" s="26" t="s">
        <v>0</v>
      </c>
      <c r="P10" s="26" t="s">
        <v>131</v>
      </c>
      <c r="Q10" s="28">
        <v>0.375</v>
      </c>
      <c r="R10" s="26"/>
    </row>
    <row r="11" spans="2:18" ht="19.5" x14ac:dyDescent="0.25">
      <c r="B11" s="26" t="s">
        <v>203</v>
      </c>
      <c r="C11" s="26" t="s">
        <v>129</v>
      </c>
      <c r="D11" s="26" t="s">
        <v>26</v>
      </c>
      <c r="E11" s="27">
        <v>0.25</v>
      </c>
      <c r="F11" s="26"/>
      <c r="G11" s="24"/>
      <c r="H11" s="26" t="s">
        <v>203</v>
      </c>
      <c r="I11" s="26" t="s">
        <v>129</v>
      </c>
      <c r="J11" s="26" t="s">
        <v>81</v>
      </c>
      <c r="K11" s="27">
        <v>0.875</v>
      </c>
      <c r="L11" s="26"/>
      <c r="M11" s="24"/>
      <c r="N11" s="26" t="s">
        <v>204</v>
      </c>
      <c r="O11" s="26" t="s">
        <v>0</v>
      </c>
      <c r="P11" s="26" t="s">
        <v>132</v>
      </c>
      <c r="Q11" s="28">
        <v>0.375</v>
      </c>
      <c r="R11" s="26"/>
    </row>
    <row r="12" spans="2:18" ht="19.5" x14ac:dyDescent="0.25">
      <c r="B12" s="26" t="s">
        <v>203</v>
      </c>
      <c r="C12" s="26" t="s">
        <v>129</v>
      </c>
      <c r="D12" s="26" t="s">
        <v>27</v>
      </c>
      <c r="E12" s="27">
        <v>0.25</v>
      </c>
      <c r="F12" s="26"/>
      <c r="G12" s="24"/>
      <c r="H12" s="26" t="s">
        <v>203</v>
      </c>
      <c r="I12" s="26" t="s">
        <v>129</v>
      </c>
      <c r="J12" s="26" t="s">
        <v>82</v>
      </c>
      <c r="K12" s="27">
        <v>0.875</v>
      </c>
      <c r="L12" s="26"/>
      <c r="M12" s="24"/>
      <c r="N12" s="26" t="s">
        <v>205</v>
      </c>
      <c r="O12" s="26" t="s">
        <v>0</v>
      </c>
      <c r="P12" s="26" t="s">
        <v>133</v>
      </c>
      <c r="Q12" s="28">
        <v>0.375</v>
      </c>
      <c r="R12" s="26"/>
    </row>
    <row r="13" spans="2:18" ht="19.5" x14ac:dyDescent="0.25">
      <c r="B13" s="26" t="s">
        <v>203</v>
      </c>
      <c r="C13" s="26" t="s">
        <v>129</v>
      </c>
      <c r="D13" s="26" t="s">
        <v>28</v>
      </c>
      <c r="E13" s="27">
        <v>0.375</v>
      </c>
      <c r="F13" s="26"/>
      <c r="G13" s="24"/>
      <c r="H13" s="26" t="s">
        <v>203</v>
      </c>
      <c r="I13" s="26" t="s">
        <v>129</v>
      </c>
      <c r="J13" s="26" t="s">
        <v>83</v>
      </c>
      <c r="K13" s="27">
        <v>0.875</v>
      </c>
      <c r="L13" s="26"/>
      <c r="M13" s="24"/>
      <c r="N13" s="26" t="s">
        <v>205</v>
      </c>
      <c r="O13" s="26" t="s">
        <v>0</v>
      </c>
      <c r="P13" s="26" t="s">
        <v>134</v>
      </c>
      <c r="Q13" s="28">
        <v>0.75</v>
      </c>
      <c r="R13" s="26"/>
    </row>
    <row r="14" spans="2:18" ht="19.5" x14ac:dyDescent="0.25">
      <c r="B14" s="26" t="s">
        <v>203</v>
      </c>
      <c r="C14" s="26" t="s">
        <v>129</v>
      </c>
      <c r="D14" s="26" t="s">
        <v>29</v>
      </c>
      <c r="E14" s="27">
        <v>0.375</v>
      </c>
      <c r="F14" s="26"/>
      <c r="G14" s="24"/>
      <c r="H14" s="26" t="s">
        <v>203</v>
      </c>
      <c r="I14" s="26" t="s">
        <v>129</v>
      </c>
      <c r="J14" s="26" t="s">
        <v>84</v>
      </c>
      <c r="K14" s="27">
        <v>0.875</v>
      </c>
      <c r="L14" s="26"/>
      <c r="M14" s="24"/>
      <c r="N14" s="26" t="s">
        <v>205</v>
      </c>
      <c r="O14" s="26" t="s">
        <v>0</v>
      </c>
      <c r="P14" s="26" t="s">
        <v>135</v>
      </c>
      <c r="Q14" s="28">
        <v>0.75</v>
      </c>
      <c r="R14" s="26"/>
    </row>
    <row r="15" spans="2:18" ht="19.5" x14ac:dyDescent="0.25">
      <c r="B15" s="26" t="s">
        <v>203</v>
      </c>
      <c r="C15" s="26" t="s">
        <v>129</v>
      </c>
      <c r="D15" s="26" t="s">
        <v>30</v>
      </c>
      <c r="E15" s="27">
        <v>0.375</v>
      </c>
      <c r="F15" s="26"/>
      <c r="G15" s="24"/>
      <c r="H15" s="26" t="s">
        <v>203</v>
      </c>
      <c r="I15" s="26" t="s">
        <v>129</v>
      </c>
      <c r="J15" s="26" t="s">
        <v>85</v>
      </c>
      <c r="K15" s="27">
        <v>0.875</v>
      </c>
      <c r="L15" s="26"/>
      <c r="M15" s="24"/>
      <c r="N15" s="26" t="s">
        <v>205</v>
      </c>
      <c r="O15" s="26" t="s">
        <v>0</v>
      </c>
      <c r="P15" s="26" t="s">
        <v>136</v>
      </c>
      <c r="Q15" s="28">
        <v>0.75</v>
      </c>
      <c r="R15" s="26"/>
    </row>
    <row r="16" spans="2:18" ht="19.5" x14ac:dyDescent="0.25">
      <c r="B16" s="26" t="s">
        <v>203</v>
      </c>
      <c r="C16" s="26" t="s">
        <v>129</v>
      </c>
      <c r="D16" s="26" t="s">
        <v>31</v>
      </c>
      <c r="E16" s="27">
        <v>0.375</v>
      </c>
      <c r="F16" s="26"/>
      <c r="G16" s="24"/>
      <c r="H16" s="26" t="s">
        <v>203</v>
      </c>
      <c r="I16" s="26" t="s">
        <v>129</v>
      </c>
      <c r="J16" s="26" t="s">
        <v>86</v>
      </c>
      <c r="K16" s="27">
        <v>0.875</v>
      </c>
      <c r="L16" s="26"/>
      <c r="M16" s="24"/>
      <c r="N16" s="26" t="s">
        <v>205</v>
      </c>
      <c r="O16" s="26" t="s">
        <v>0</v>
      </c>
      <c r="P16" s="26" t="s">
        <v>137</v>
      </c>
      <c r="Q16" s="28">
        <v>0.75</v>
      </c>
      <c r="R16" s="26"/>
    </row>
    <row r="17" spans="2:18" ht="19.5" x14ac:dyDescent="0.25">
      <c r="B17" s="26" t="s">
        <v>203</v>
      </c>
      <c r="C17" s="26" t="s">
        <v>129</v>
      </c>
      <c r="D17" s="26" t="s">
        <v>32</v>
      </c>
      <c r="E17" s="27">
        <v>0.375</v>
      </c>
      <c r="F17" s="26"/>
      <c r="G17" s="24"/>
      <c r="H17" s="26" t="s">
        <v>203</v>
      </c>
      <c r="I17" s="26" t="s">
        <v>129</v>
      </c>
      <c r="J17" s="26" t="s">
        <v>87</v>
      </c>
      <c r="K17" s="27">
        <v>0.875</v>
      </c>
      <c r="L17" s="26"/>
      <c r="M17" s="24"/>
      <c r="N17" s="26" t="s">
        <v>205</v>
      </c>
      <c r="O17" s="26" t="s">
        <v>0</v>
      </c>
      <c r="P17" s="26" t="s">
        <v>138</v>
      </c>
      <c r="Q17" s="28">
        <v>0.75</v>
      </c>
      <c r="R17" s="26"/>
    </row>
    <row r="18" spans="2:18" ht="19.5" x14ac:dyDescent="0.25">
      <c r="B18" s="26" t="s">
        <v>203</v>
      </c>
      <c r="C18" s="26" t="s">
        <v>129</v>
      </c>
      <c r="D18" s="26" t="s">
        <v>33</v>
      </c>
      <c r="E18" s="27">
        <v>0.375</v>
      </c>
      <c r="F18" s="26"/>
      <c r="G18" s="24"/>
      <c r="H18" s="26" t="s">
        <v>203</v>
      </c>
      <c r="I18" s="26" t="s">
        <v>129</v>
      </c>
      <c r="J18" s="26" t="s">
        <v>88</v>
      </c>
      <c r="K18" s="27">
        <v>0.875</v>
      </c>
      <c r="L18" s="26"/>
      <c r="M18" s="24"/>
      <c r="N18" s="26" t="s">
        <v>205</v>
      </c>
      <c r="O18" s="26" t="s">
        <v>0</v>
      </c>
      <c r="P18" s="26" t="s">
        <v>139</v>
      </c>
      <c r="Q18" s="28">
        <v>0.75</v>
      </c>
      <c r="R18" s="26"/>
    </row>
    <row r="19" spans="2:18" ht="19.5" x14ac:dyDescent="0.25">
      <c r="B19" s="26" t="s">
        <v>203</v>
      </c>
      <c r="C19" s="26" t="s">
        <v>129</v>
      </c>
      <c r="D19" s="26" t="s">
        <v>34</v>
      </c>
      <c r="E19" s="27">
        <v>0.375</v>
      </c>
      <c r="F19" s="26"/>
      <c r="G19" s="24"/>
      <c r="H19" s="26" t="s">
        <v>203</v>
      </c>
      <c r="I19" s="26" t="s">
        <v>129</v>
      </c>
      <c r="J19" s="26" t="s">
        <v>89</v>
      </c>
      <c r="K19" s="27">
        <v>0.875</v>
      </c>
      <c r="L19" s="26"/>
      <c r="M19" s="24"/>
      <c r="N19" s="26" t="s">
        <v>205</v>
      </c>
      <c r="O19" s="26" t="s">
        <v>0</v>
      </c>
      <c r="P19" s="26" t="s">
        <v>140</v>
      </c>
      <c r="Q19" s="28">
        <v>0.75</v>
      </c>
      <c r="R19" s="26"/>
    </row>
    <row r="20" spans="2:18" ht="19.5" x14ac:dyDescent="0.25">
      <c r="B20" s="26" t="s">
        <v>203</v>
      </c>
      <c r="C20" s="26" t="s">
        <v>129</v>
      </c>
      <c r="D20" s="26" t="s">
        <v>35</v>
      </c>
      <c r="E20" s="27">
        <v>0.5</v>
      </c>
      <c r="F20" s="26"/>
      <c r="G20" s="24"/>
      <c r="H20" s="26" t="s">
        <v>203</v>
      </c>
      <c r="I20" s="26" t="s">
        <v>129</v>
      </c>
      <c r="J20" s="26" t="s">
        <v>90</v>
      </c>
      <c r="K20" s="27">
        <v>0.875</v>
      </c>
      <c r="L20" s="26"/>
      <c r="M20" s="24"/>
      <c r="N20" s="26" t="s">
        <v>205</v>
      </c>
      <c r="O20" s="26" t="s">
        <v>0</v>
      </c>
      <c r="P20" s="26" t="s">
        <v>141</v>
      </c>
      <c r="Q20" s="28">
        <v>0.875</v>
      </c>
      <c r="R20" s="26"/>
    </row>
    <row r="21" spans="2:18" ht="19.5" x14ac:dyDescent="0.25">
      <c r="B21" s="26" t="s">
        <v>203</v>
      </c>
      <c r="C21" s="26" t="s">
        <v>129</v>
      </c>
      <c r="D21" s="26" t="s">
        <v>36</v>
      </c>
      <c r="E21" s="27">
        <v>0.5</v>
      </c>
      <c r="F21" s="26"/>
      <c r="G21" s="24"/>
      <c r="H21" s="26" t="s">
        <v>203</v>
      </c>
      <c r="I21" s="26" t="s">
        <v>129</v>
      </c>
      <c r="J21" s="26" t="s">
        <v>91</v>
      </c>
      <c r="K21" s="27">
        <v>0.875</v>
      </c>
      <c r="L21" s="26"/>
      <c r="M21" s="24"/>
      <c r="N21" s="26" t="s">
        <v>205</v>
      </c>
      <c r="O21" s="26" t="s">
        <v>0</v>
      </c>
      <c r="P21" s="26" t="s">
        <v>142</v>
      </c>
      <c r="Q21" s="28">
        <v>0.875</v>
      </c>
      <c r="R21" s="26"/>
    </row>
    <row r="22" spans="2:18" ht="19.5" x14ac:dyDescent="0.25">
      <c r="B22" s="26" t="s">
        <v>203</v>
      </c>
      <c r="C22" s="26" t="s">
        <v>129</v>
      </c>
      <c r="D22" s="26" t="s">
        <v>37</v>
      </c>
      <c r="E22" s="27">
        <v>0.5</v>
      </c>
      <c r="F22" s="26"/>
      <c r="G22" s="24"/>
      <c r="H22" s="26" t="s">
        <v>203</v>
      </c>
      <c r="I22" s="26" t="s">
        <v>129</v>
      </c>
      <c r="J22" s="26" t="s">
        <v>92</v>
      </c>
      <c r="K22" s="27">
        <v>0.875</v>
      </c>
      <c r="L22" s="26"/>
      <c r="M22" s="24"/>
      <c r="N22" s="26" t="s">
        <v>205</v>
      </c>
      <c r="O22" s="26" t="s">
        <v>0</v>
      </c>
      <c r="P22" s="26" t="s">
        <v>143</v>
      </c>
      <c r="Q22" s="28">
        <v>0.875</v>
      </c>
      <c r="R22" s="26"/>
    </row>
    <row r="23" spans="2:18" ht="19.5" x14ac:dyDescent="0.25">
      <c r="B23" s="26" t="s">
        <v>203</v>
      </c>
      <c r="C23" s="26" t="s">
        <v>129</v>
      </c>
      <c r="D23" s="26" t="s">
        <v>38</v>
      </c>
      <c r="E23" s="27">
        <v>0.5</v>
      </c>
      <c r="F23" s="26"/>
      <c r="G23" s="24"/>
      <c r="H23" s="26" t="s">
        <v>203</v>
      </c>
      <c r="I23" s="26" t="s">
        <v>129</v>
      </c>
      <c r="J23" s="26" t="s">
        <v>93</v>
      </c>
      <c r="K23" s="27">
        <v>0.875</v>
      </c>
      <c r="L23" s="26"/>
      <c r="M23" s="24"/>
      <c r="N23" s="26" t="s">
        <v>205</v>
      </c>
      <c r="O23" s="26" t="s">
        <v>0</v>
      </c>
      <c r="P23" s="26" t="s">
        <v>144</v>
      </c>
      <c r="Q23" s="28">
        <v>0.875</v>
      </c>
      <c r="R23" s="26"/>
    </row>
    <row r="24" spans="2:18" ht="19.5" x14ac:dyDescent="0.25">
      <c r="B24" s="26" t="s">
        <v>203</v>
      </c>
      <c r="C24" s="26" t="s">
        <v>129</v>
      </c>
      <c r="D24" s="26" t="s">
        <v>39</v>
      </c>
      <c r="E24" s="27">
        <v>0.5</v>
      </c>
      <c r="F24" s="26"/>
      <c r="G24" s="24"/>
      <c r="H24" s="26" t="s">
        <v>203</v>
      </c>
      <c r="I24" s="26" t="s">
        <v>129</v>
      </c>
      <c r="J24" s="26" t="s">
        <v>94</v>
      </c>
      <c r="K24" s="27">
        <v>0.875</v>
      </c>
      <c r="L24" s="26"/>
      <c r="M24" s="24"/>
      <c r="N24" s="24"/>
      <c r="O24" s="24"/>
      <c r="P24" s="24"/>
      <c r="Q24" s="24"/>
      <c r="R24" s="24"/>
    </row>
    <row r="25" spans="2:18" ht="19.5" x14ac:dyDescent="0.25">
      <c r="B25" s="26" t="s">
        <v>203</v>
      </c>
      <c r="C25" s="26" t="s">
        <v>129</v>
      </c>
      <c r="D25" s="26" t="s">
        <v>40</v>
      </c>
      <c r="E25" s="27">
        <v>0.5</v>
      </c>
      <c r="F25" s="26"/>
      <c r="G25" s="24"/>
      <c r="H25" s="26" t="s">
        <v>203</v>
      </c>
      <c r="I25" s="26" t="s">
        <v>129</v>
      </c>
      <c r="J25" s="26" t="s">
        <v>95</v>
      </c>
      <c r="K25" s="27">
        <v>0.875</v>
      </c>
      <c r="L25" s="26"/>
      <c r="M25" s="24"/>
      <c r="N25" s="24"/>
      <c r="O25" s="24"/>
      <c r="P25" s="24"/>
      <c r="Q25" s="24"/>
      <c r="R25" s="24"/>
    </row>
    <row r="26" spans="2:18" ht="19.5" x14ac:dyDescent="0.25">
      <c r="B26" s="26" t="s">
        <v>203</v>
      </c>
      <c r="C26" s="26" t="s">
        <v>129</v>
      </c>
      <c r="D26" s="26" t="s">
        <v>41</v>
      </c>
      <c r="E26" s="27">
        <v>0.5</v>
      </c>
      <c r="F26" s="26"/>
      <c r="G26" s="24"/>
      <c r="H26" s="26" t="s">
        <v>203</v>
      </c>
      <c r="I26" s="26" t="s">
        <v>129</v>
      </c>
      <c r="J26" s="26" t="s">
        <v>96</v>
      </c>
      <c r="K26" s="27">
        <v>0.875</v>
      </c>
      <c r="L26" s="26"/>
      <c r="M26" s="24"/>
      <c r="N26" s="120" t="s">
        <v>200</v>
      </c>
      <c r="O26" s="120"/>
      <c r="P26" s="120"/>
      <c r="Q26" s="120"/>
      <c r="R26" s="120"/>
    </row>
    <row r="27" spans="2:18" ht="19.5" x14ac:dyDescent="0.25">
      <c r="B27" s="26" t="s">
        <v>203</v>
      </c>
      <c r="C27" s="26" t="s">
        <v>129</v>
      </c>
      <c r="D27" s="26" t="s">
        <v>42</v>
      </c>
      <c r="E27" s="27">
        <v>0.5</v>
      </c>
      <c r="F27" s="26"/>
      <c r="G27" s="24"/>
      <c r="H27" s="26" t="s">
        <v>203</v>
      </c>
      <c r="I27" s="26" t="s">
        <v>129</v>
      </c>
      <c r="J27" s="26" t="s">
        <v>97</v>
      </c>
      <c r="K27" s="27">
        <v>0.875</v>
      </c>
      <c r="L27" s="26"/>
      <c r="M27" s="24"/>
      <c r="N27" s="25" t="s">
        <v>0</v>
      </c>
      <c r="O27" s="25" t="s">
        <v>6</v>
      </c>
      <c r="P27" s="25" t="s">
        <v>7</v>
      </c>
      <c r="Q27" s="25" t="s">
        <v>1</v>
      </c>
      <c r="R27" s="25" t="s">
        <v>191</v>
      </c>
    </row>
    <row r="28" spans="2:18" ht="19.5" x14ac:dyDescent="0.25">
      <c r="B28" s="26" t="s">
        <v>203</v>
      </c>
      <c r="C28" s="26" t="s">
        <v>129</v>
      </c>
      <c r="D28" s="26" t="s">
        <v>43</v>
      </c>
      <c r="E28" s="27">
        <v>0.5</v>
      </c>
      <c r="F28" s="26"/>
      <c r="G28" s="24"/>
      <c r="H28" s="26" t="s">
        <v>203</v>
      </c>
      <c r="I28" s="26" t="s">
        <v>129</v>
      </c>
      <c r="J28" s="26" t="s">
        <v>98</v>
      </c>
      <c r="K28" s="27">
        <v>0.875</v>
      </c>
      <c r="L28" s="26"/>
      <c r="M28" s="24"/>
      <c r="N28" s="26" t="s">
        <v>206</v>
      </c>
      <c r="O28" s="26" t="s">
        <v>129</v>
      </c>
      <c r="P28" s="26" t="s">
        <v>160</v>
      </c>
      <c r="Q28" s="26">
        <v>0.3125</v>
      </c>
      <c r="R28" s="26"/>
    </row>
    <row r="29" spans="2:18" ht="19.5" x14ac:dyDescent="0.25">
      <c r="B29" s="26" t="s">
        <v>203</v>
      </c>
      <c r="C29" s="26" t="s">
        <v>129</v>
      </c>
      <c r="D29" s="26" t="s">
        <v>44</v>
      </c>
      <c r="E29" s="27">
        <v>0.5</v>
      </c>
      <c r="F29" s="26"/>
      <c r="G29" s="24"/>
      <c r="H29" s="26" t="s">
        <v>203</v>
      </c>
      <c r="I29" s="26" t="s">
        <v>129</v>
      </c>
      <c r="J29" s="26" t="s">
        <v>99</v>
      </c>
      <c r="K29" s="27">
        <v>0.875</v>
      </c>
      <c r="L29" s="26"/>
      <c r="M29" s="24"/>
      <c r="N29" s="26" t="s">
        <v>206</v>
      </c>
      <c r="O29" s="26" t="s">
        <v>129</v>
      </c>
      <c r="P29" s="26" t="s">
        <v>161</v>
      </c>
      <c r="Q29" s="26">
        <v>0.3125</v>
      </c>
      <c r="R29" s="26"/>
    </row>
    <row r="30" spans="2:18" ht="19.5" x14ac:dyDescent="0.25">
      <c r="B30" s="26" t="s">
        <v>203</v>
      </c>
      <c r="C30" s="26" t="s">
        <v>129</v>
      </c>
      <c r="D30" s="26" t="s">
        <v>45</v>
      </c>
      <c r="E30" s="27">
        <v>0.5</v>
      </c>
      <c r="F30" s="26"/>
      <c r="G30" s="24"/>
      <c r="H30" s="26" t="s">
        <v>203</v>
      </c>
      <c r="I30" s="26" t="s">
        <v>129</v>
      </c>
      <c r="J30" s="26" t="s">
        <v>100</v>
      </c>
      <c r="K30" s="27">
        <v>0.875</v>
      </c>
      <c r="L30" s="26"/>
      <c r="M30" s="24"/>
      <c r="N30" s="26" t="s">
        <v>206</v>
      </c>
      <c r="O30" s="26" t="s">
        <v>129</v>
      </c>
      <c r="P30" s="26" t="s">
        <v>162</v>
      </c>
      <c r="Q30" s="26">
        <v>0.3125</v>
      </c>
      <c r="R30" s="26"/>
    </row>
    <row r="31" spans="2:18" ht="19.5" x14ac:dyDescent="0.25">
      <c r="B31" s="26" t="s">
        <v>203</v>
      </c>
      <c r="C31" s="26" t="s">
        <v>129</v>
      </c>
      <c r="D31" s="26" t="s">
        <v>46</v>
      </c>
      <c r="E31" s="27">
        <v>0.5</v>
      </c>
      <c r="F31" s="26"/>
      <c r="G31" s="24"/>
      <c r="H31" s="26" t="s">
        <v>203</v>
      </c>
      <c r="I31" s="26" t="s">
        <v>129</v>
      </c>
      <c r="J31" s="26" t="s">
        <v>101</v>
      </c>
      <c r="K31" s="27">
        <v>0.875</v>
      </c>
      <c r="L31" s="26"/>
      <c r="M31" s="24"/>
      <c r="N31" s="26" t="s">
        <v>206</v>
      </c>
      <c r="O31" s="26" t="s">
        <v>129</v>
      </c>
      <c r="P31" s="26" t="s">
        <v>163</v>
      </c>
      <c r="Q31" s="26">
        <v>0.3125</v>
      </c>
      <c r="R31" s="26"/>
    </row>
    <row r="32" spans="2:18" ht="19.5" x14ac:dyDescent="0.25">
      <c r="B32" s="26" t="s">
        <v>203</v>
      </c>
      <c r="C32" s="26" t="s">
        <v>129</v>
      </c>
      <c r="D32" s="26" t="s">
        <v>47</v>
      </c>
      <c r="E32" s="27">
        <v>0.5</v>
      </c>
      <c r="F32" s="26"/>
      <c r="G32" s="24"/>
      <c r="H32" s="26" t="s">
        <v>203</v>
      </c>
      <c r="I32" s="26" t="s">
        <v>129</v>
      </c>
      <c r="J32" s="26" t="s">
        <v>102</v>
      </c>
      <c r="K32" s="27">
        <v>0.875</v>
      </c>
      <c r="L32" s="26"/>
      <c r="M32" s="24"/>
      <c r="N32" s="26" t="s">
        <v>206</v>
      </c>
      <c r="O32" s="26" t="s">
        <v>129</v>
      </c>
      <c r="P32" s="26" t="s">
        <v>164</v>
      </c>
      <c r="Q32" s="26">
        <v>0.3125</v>
      </c>
      <c r="R32" s="26"/>
    </row>
    <row r="33" spans="2:18" ht="19.5" x14ac:dyDescent="0.25">
      <c r="B33" s="26" t="s">
        <v>203</v>
      </c>
      <c r="C33" s="26" t="s">
        <v>129</v>
      </c>
      <c r="D33" s="26" t="s">
        <v>48</v>
      </c>
      <c r="E33" s="27">
        <v>0.5</v>
      </c>
      <c r="F33" s="26"/>
      <c r="G33" s="24"/>
      <c r="H33" s="24"/>
      <c r="I33" s="24"/>
      <c r="J33" s="24"/>
      <c r="K33" s="24"/>
      <c r="L33" s="24"/>
      <c r="M33" s="24"/>
      <c r="N33" s="26" t="s">
        <v>206</v>
      </c>
      <c r="O33" s="26" t="s">
        <v>129</v>
      </c>
      <c r="P33" s="26" t="s">
        <v>165</v>
      </c>
      <c r="Q33" s="26">
        <v>0.3125</v>
      </c>
      <c r="R33" s="26"/>
    </row>
    <row r="34" spans="2:18" ht="19.5" x14ac:dyDescent="0.25">
      <c r="B34" s="26" t="s">
        <v>203</v>
      </c>
      <c r="C34" s="26" t="s">
        <v>129</v>
      </c>
      <c r="D34" s="26" t="s">
        <v>49</v>
      </c>
      <c r="E34" s="27">
        <v>0.5</v>
      </c>
      <c r="F34" s="26"/>
      <c r="G34" s="24"/>
      <c r="H34" s="120" t="s">
        <v>198</v>
      </c>
      <c r="I34" s="120"/>
      <c r="J34" s="120"/>
      <c r="K34" s="120"/>
      <c r="L34" s="120"/>
      <c r="M34" s="24"/>
      <c r="N34" s="26" t="s">
        <v>206</v>
      </c>
      <c r="O34" s="26" t="s">
        <v>129</v>
      </c>
      <c r="P34" s="26" t="s">
        <v>166</v>
      </c>
      <c r="Q34" s="26">
        <v>0.3125</v>
      </c>
      <c r="R34" s="26"/>
    </row>
    <row r="35" spans="2:18" ht="19.5" x14ac:dyDescent="0.25">
      <c r="B35" s="26" t="s">
        <v>203</v>
      </c>
      <c r="C35" s="26" t="s">
        <v>129</v>
      </c>
      <c r="D35" s="26" t="s">
        <v>50</v>
      </c>
      <c r="E35" s="27">
        <v>0.5</v>
      </c>
      <c r="F35" s="26"/>
      <c r="G35" s="24"/>
      <c r="H35" s="25" t="s">
        <v>0</v>
      </c>
      <c r="I35" s="25" t="s">
        <v>6</v>
      </c>
      <c r="J35" s="25" t="s">
        <v>7</v>
      </c>
      <c r="K35" s="25" t="s">
        <v>1</v>
      </c>
      <c r="L35" s="25" t="s">
        <v>191</v>
      </c>
      <c r="M35" s="24"/>
      <c r="N35" s="26" t="s">
        <v>206</v>
      </c>
      <c r="O35" s="26" t="s">
        <v>129</v>
      </c>
      <c r="P35" s="26" t="s">
        <v>167</v>
      </c>
      <c r="Q35" s="26">
        <v>0.3125</v>
      </c>
      <c r="R35" s="26"/>
    </row>
    <row r="36" spans="2:18" ht="19.5" x14ac:dyDescent="0.25">
      <c r="B36" s="26" t="s">
        <v>203</v>
      </c>
      <c r="C36" s="26" t="s">
        <v>129</v>
      </c>
      <c r="D36" s="26" t="s">
        <v>51</v>
      </c>
      <c r="E36" s="27">
        <v>0.5</v>
      </c>
      <c r="F36" s="26"/>
      <c r="G36" s="24"/>
      <c r="H36" s="26" t="s">
        <v>207</v>
      </c>
      <c r="I36" s="26" t="s">
        <v>129</v>
      </c>
      <c r="J36" s="26" t="s">
        <v>103</v>
      </c>
      <c r="K36" s="27">
        <v>0.25</v>
      </c>
      <c r="L36" s="26"/>
      <c r="M36" s="24"/>
      <c r="N36" s="26" t="s">
        <v>206</v>
      </c>
      <c r="O36" s="26" t="s">
        <v>129</v>
      </c>
      <c r="P36" s="26" t="s">
        <v>168</v>
      </c>
      <c r="Q36" s="26">
        <v>0.3125</v>
      </c>
      <c r="R36" s="26"/>
    </row>
    <row r="37" spans="2:18" ht="19.5" x14ac:dyDescent="0.25">
      <c r="B37" s="26" t="s">
        <v>203</v>
      </c>
      <c r="C37" s="26" t="s">
        <v>129</v>
      </c>
      <c r="D37" s="26" t="s">
        <v>52</v>
      </c>
      <c r="E37" s="27">
        <v>0.5</v>
      </c>
      <c r="F37" s="26"/>
      <c r="G37" s="24"/>
      <c r="H37" s="26" t="s">
        <v>207</v>
      </c>
      <c r="I37" s="26" t="s">
        <v>129</v>
      </c>
      <c r="J37" s="26" t="s">
        <v>104</v>
      </c>
      <c r="K37" s="27">
        <v>0.25</v>
      </c>
      <c r="L37" s="26"/>
      <c r="M37" s="24"/>
      <c r="N37" s="26" t="s">
        <v>206</v>
      </c>
      <c r="O37" s="26" t="s">
        <v>129</v>
      </c>
      <c r="P37" s="26" t="s">
        <v>169</v>
      </c>
      <c r="Q37" s="26">
        <v>0.3125</v>
      </c>
      <c r="R37" s="26"/>
    </row>
    <row r="38" spans="2:18" ht="19.5" x14ac:dyDescent="0.25">
      <c r="B38" s="26" t="s">
        <v>203</v>
      </c>
      <c r="C38" s="26" t="s">
        <v>129</v>
      </c>
      <c r="D38" s="26" t="s">
        <v>53</v>
      </c>
      <c r="E38" s="27">
        <v>0.5</v>
      </c>
      <c r="F38" s="26"/>
      <c r="G38" s="24"/>
      <c r="H38" s="26" t="s">
        <v>207</v>
      </c>
      <c r="I38" s="26" t="s">
        <v>129</v>
      </c>
      <c r="J38" s="26" t="s">
        <v>105</v>
      </c>
      <c r="K38" s="27">
        <v>0.25</v>
      </c>
      <c r="L38" s="26"/>
      <c r="M38" s="24"/>
      <c r="N38" s="26" t="s">
        <v>206</v>
      </c>
      <c r="O38" s="26" t="s">
        <v>129</v>
      </c>
      <c r="P38" s="26" t="s">
        <v>170</v>
      </c>
      <c r="Q38" s="26">
        <v>0.3125</v>
      </c>
      <c r="R38" s="26"/>
    </row>
    <row r="39" spans="2:18" ht="19.5" x14ac:dyDescent="0.25">
      <c r="B39" s="26" t="s">
        <v>203</v>
      </c>
      <c r="C39" s="26" t="s">
        <v>129</v>
      </c>
      <c r="D39" s="26" t="s">
        <v>54</v>
      </c>
      <c r="E39" s="27">
        <v>0.5</v>
      </c>
      <c r="F39" s="26"/>
      <c r="G39" s="24"/>
      <c r="H39" s="26" t="s">
        <v>207</v>
      </c>
      <c r="I39" s="26" t="s">
        <v>129</v>
      </c>
      <c r="J39" s="26" t="s">
        <v>106</v>
      </c>
      <c r="K39" s="27">
        <v>0.375</v>
      </c>
      <c r="L39" s="26"/>
      <c r="M39" s="24"/>
      <c r="N39" s="26" t="s">
        <v>206</v>
      </c>
      <c r="O39" s="26" t="s">
        <v>129</v>
      </c>
      <c r="P39" s="26" t="s">
        <v>171</v>
      </c>
      <c r="Q39" s="26">
        <v>0.3125</v>
      </c>
      <c r="R39" s="26"/>
    </row>
    <row r="40" spans="2:18" ht="19.5" x14ac:dyDescent="0.25">
      <c r="B40" s="26" t="s">
        <v>203</v>
      </c>
      <c r="C40" s="26" t="s">
        <v>129</v>
      </c>
      <c r="D40" s="26" t="s">
        <v>55</v>
      </c>
      <c r="E40" s="27">
        <v>0.625</v>
      </c>
      <c r="F40" s="26"/>
      <c r="G40" s="24"/>
      <c r="H40" s="26" t="s">
        <v>207</v>
      </c>
      <c r="I40" s="26" t="s">
        <v>129</v>
      </c>
      <c r="J40" s="26" t="s">
        <v>107</v>
      </c>
      <c r="K40" s="27">
        <v>0.375</v>
      </c>
      <c r="L40" s="26"/>
      <c r="M40" s="24"/>
      <c r="N40" s="26" t="s">
        <v>206</v>
      </c>
      <c r="O40" s="26" t="s">
        <v>129</v>
      </c>
      <c r="P40" s="26" t="s">
        <v>172</v>
      </c>
      <c r="Q40" s="26">
        <v>0.3125</v>
      </c>
      <c r="R40" s="26"/>
    </row>
    <row r="41" spans="2:18" ht="19.5" x14ac:dyDescent="0.25">
      <c r="B41" s="26" t="s">
        <v>203</v>
      </c>
      <c r="C41" s="26" t="s">
        <v>129</v>
      </c>
      <c r="D41" s="26" t="s">
        <v>56</v>
      </c>
      <c r="E41" s="27">
        <v>0.625</v>
      </c>
      <c r="F41" s="26"/>
      <c r="G41" s="24"/>
      <c r="H41" s="26" t="s">
        <v>207</v>
      </c>
      <c r="I41" s="26" t="s">
        <v>129</v>
      </c>
      <c r="J41" s="26" t="s">
        <v>108</v>
      </c>
      <c r="K41" s="27">
        <v>0.375</v>
      </c>
      <c r="L41" s="26"/>
      <c r="M41" s="24"/>
      <c r="N41" s="26" t="s">
        <v>206</v>
      </c>
      <c r="O41" s="26" t="s">
        <v>129</v>
      </c>
      <c r="P41" s="26" t="s">
        <v>173</v>
      </c>
      <c r="Q41" s="26">
        <v>0.3125</v>
      </c>
      <c r="R41" s="26"/>
    </row>
    <row r="42" spans="2:18" ht="19.5" x14ac:dyDescent="0.25">
      <c r="B42" s="26" t="s">
        <v>203</v>
      </c>
      <c r="C42" s="26" t="s">
        <v>129</v>
      </c>
      <c r="D42" s="26" t="s">
        <v>57</v>
      </c>
      <c r="E42" s="27">
        <v>0.625</v>
      </c>
      <c r="F42" s="26"/>
      <c r="G42" s="24"/>
      <c r="H42" s="26" t="s">
        <v>207</v>
      </c>
      <c r="I42" s="26" t="s">
        <v>129</v>
      </c>
      <c r="J42" s="26" t="s">
        <v>109</v>
      </c>
      <c r="K42" s="27">
        <v>0.375</v>
      </c>
      <c r="L42" s="26"/>
      <c r="M42" s="24"/>
      <c r="N42" s="26" t="s">
        <v>206</v>
      </c>
      <c r="O42" s="26" t="s">
        <v>129</v>
      </c>
      <c r="P42" s="26" t="s">
        <v>174</v>
      </c>
      <c r="Q42" s="26">
        <v>0.3125</v>
      </c>
      <c r="R42" s="26"/>
    </row>
    <row r="43" spans="2:18" ht="19.5" x14ac:dyDescent="0.25">
      <c r="B43" s="26" t="s">
        <v>203</v>
      </c>
      <c r="C43" s="26" t="s">
        <v>129</v>
      </c>
      <c r="D43" s="26" t="s">
        <v>58</v>
      </c>
      <c r="E43" s="27">
        <v>0.75</v>
      </c>
      <c r="F43" s="26"/>
      <c r="G43" s="24"/>
      <c r="H43" s="26" t="s">
        <v>207</v>
      </c>
      <c r="I43" s="26" t="s">
        <v>129</v>
      </c>
      <c r="J43" s="26" t="s">
        <v>110</v>
      </c>
      <c r="K43" s="27">
        <v>0.5</v>
      </c>
      <c r="L43" s="26"/>
      <c r="M43" s="24"/>
      <c r="N43" s="26" t="s">
        <v>206</v>
      </c>
      <c r="O43" s="26" t="s">
        <v>129</v>
      </c>
      <c r="P43" s="26" t="s">
        <v>175</v>
      </c>
      <c r="Q43" s="26">
        <v>0.3125</v>
      </c>
      <c r="R43" s="26"/>
    </row>
    <row r="44" spans="2:18" ht="19.5" x14ac:dyDescent="0.25">
      <c r="B44" s="26" t="s">
        <v>203</v>
      </c>
      <c r="C44" s="26" t="s">
        <v>129</v>
      </c>
      <c r="D44" s="26" t="s">
        <v>59</v>
      </c>
      <c r="E44" s="27">
        <v>0.75</v>
      </c>
      <c r="F44" s="26"/>
      <c r="G44" s="24"/>
      <c r="H44" s="26" t="s">
        <v>207</v>
      </c>
      <c r="I44" s="26" t="s">
        <v>129</v>
      </c>
      <c r="J44" s="26" t="s">
        <v>111</v>
      </c>
      <c r="K44" s="27">
        <v>0.5</v>
      </c>
      <c r="L44" s="26"/>
      <c r="M44" s="24"/>
      <c r="N44" s="26" t="s">
        <v>206</v>
      </c>
      <c r="O44" s="26" t="s">
        <v>129</v>
      </c>
      <c r="P44" s="26" t="s">
        <v>176</v>
      </c>
      <c r="Q44" s="26">
        <v>0.3125</v>
      </c>
      <c r="R44" s="26"/>
    </row>
    <row r="45" spans="2:18" ht="19.5" x14ac:dyDescent="0.25">
      <c r="B45" s="26" t="s">
        <v>203</v>
      </c>
      <c r="C45" s="26" t="s">
        <v>129</v>
      </c>
      <c r="D45" s="26" t="s">
        <v>60</v>
      </c>
      <c r="E45" s="27">
        <v>0.75</v>
      </c>
      <c r="F45" s="26"/>
      <c r="G45" s="24"/>
      <c r="H45" s="26" t="s">
        <v>207</v>
      </c>
      <c r="I45" s="26" t="s">
        <v>129</v>
      </c>
      <c r="J45" s="26" t="s">
        <v>112</v>
      </c>
      <c r="K45" s="27">
        <v>0.5</v>
      </c>
      <c r="L45" s="26"/>
      <c r="M45" s="24"/>
      <c r="N45" s="26" t="s">
        <v>206</v>
      </c>
      <c r="O45" s="26" t="s">
        <v>129</v>
      </c>
      <c r="P45" s="26" t="s">
        <v>177</v>
      </c>
      <c r="Q45" s="26">
        <v>0.3125</v>
      </c>
      <c r="R45" s="26"/>
    </row>
    <row r="46" spans="2:18" ht="19.5" x14ac:dyDescent="0.25">
      <c r="B46" s="26" t="s">
        <v>203</v>
      </c>
      <c r="C46" s="26" t="s">
        <v>129</v>
      </c>
      <c r="D46" s="26" t="s">
        <v>61</v>
      </c>
      <c r="E46" s="27">
        <v>0.75</v>
      </c>
      <c r="F46" s="26"/>
      <c r="G46" s="24"/>
      <c r="H46" s="26" t="s">
        <v>207</v>
      </c>
      <c r="I46" s="26" t="s">
        <v>129</v>
      </c>
      <c r="J46" s="26" t="s">
        <v>113</v>
      </c>
      <c r="K46" s="27">
        <v>0.5</v>
      </c>
      <c r="L46" s="26"/>
      <c r="M46" s="24"/>
      <c r="N46" s="26" t="s">
        <v>206</v>
      </c>
      <c r="O46" s="26" t="s">
        <v>129</v>
      </c>
      <c r="P46" s="26" t="s">
        <v>178</v>
      </c>
      <c r="Q46" s="26">
        <v>0.3125</v>
      </c>
      <c r="R46" s="26"/>
    </row>
    <row r="47" spans="2:18" ht="19.5" x14ac:dyDescent="0.25">
      <c r="B47" s="26" t="s">
        <v>203</v>
      </c>
      <c r="C47" s="26" t="s">
        <v>129</v>
      </c>
      <c r="D47" s="26" t="s">
        <v>62</v>
      </c>
      <c r="E47" s="27">
        <v>0.75</v>
      </c>
      <c r="F47" s="26"/>
      <c r="G47" s="24"/>
      <c r="H47" s="26" t="s">
        <v>207</v>
      </c>
      <c r="I47" s="26" t="s">
        <v>129</v>
      </c>
      <c r="J47" s="26" t="s">
        <v>114</v>
      </c>
      <c r="K47" s="27">
        <v>0.5</v>
      </c>
      <c r="L47" s="26"/>
      <c r="M47" s="24"/>
      <c r="N47" s="26" t="s">
        <v>206</v>
      </c>
      <c r="O47" s="26" t="s">
        <v>129</v>
      </c>
      <c r="P47" s="26" t="s">
        <v>179</v>
      </c>
      <c r="Q47" s="26">
        <v>0.3125</v>
      </c>
      <c r="R47" s="26"/>
    </row>
    <row r="48" spans="2:18" ht="19.5" x14ac:dyDescent="0.25">
      <c r="B48" s="26" t="s">
        <v>203</v>
      </c>
      <c r="C48" s="26" t="s">
        <v>129</v>
      </c>
      <c r="D48" s="26" t="s">
        <v>63</v>
      </c>
      <c r="E48" s="27">
        <v>0.75</v>
      </c>
      <c r="F48" s="26"/>
      <c r="G48" s="24"/>
      <c r="H48" s="26" t="s">
        <v>207</v>
      </c>
      <c r="I48" s="26" t="s">
        <v>129</v>
      </c>
      <c r="J48" s="26" t="s">
        <v>115</v>
      </c>
      <c r="K48" s="27">
        <v>0.5</v>
      </c>
      <c r="L48" s="26"/>
      <c r="M48" s="24"/>
      <c r="N48" s="26" t="s">
        <v>206</v>
      </c>
      <c r="O48" s="26" t="s">
        <v>129</v>
      </c>
      <c r="P48" s="26" t="s">
        <v>180</v>
      </c>
      <c r="Q48" s="26">
        <v>0.3125</v>
      </c>
      <c r="R48" s="26"/>
    </row>
    <row r="49" spans="2:18" ht="19.5" x14ac:dyDescent="0.25">
      <c r="B49" s="26" t="s">
        <v>203</v>
      </c>
      <c r="C49" s="26" t="s">
        <v>129</v>
      </c>
      <c r="D49" s="26" t="s">
        <v>64</v>
      </c>
      <c r="E49" s="27">
        <v>0.75</v>
      </c>
      <c r="F49" s="26"/>
      <c r="G49" s="24"/>
      <c r="H49" s="26" t="s">
        <v>207</v>
      </c>
      <c r="I49" s="26" t="s">
        <v>129</v>
      </c>
      <c r="J49" s="26" t="s">
        <v>116</v>
      </c>
      <c r="K49" s="27">
        <v>0.5</v>
      </c>
      <c r="L49" s="26"/>
      <c r="M49" s="24"/>
      <c r="N49" s="26" t="s">
        <v>206</v>
      </c>
      <c r="O49" s="26" t="s">
        <v>129</v>
      </c>
      <c r="P49" s="26" t="s">
        <v>181</v>
      </c>
      <c r="Q49" s="26">
        <v>0.3125</v>
      </c>
      <c r="R49" s="26"/>
    </row>
    <row r="50" spans="2:18" ht="19.5" x14ac:dyDescent="0.25">
      <c r="B50" s="26" t="s">
        <v>203</v>
      </c>
      <c r="C50" s="26" t="s">
        <v>129</v>
      </c>
      <c r="D50" s="26" t="s">
        <v>65</v>
      </c>
      <c r="E50" s="27">
        <v>0.75</v>
      </c>
      <c r="F50" s="26"/>
      <c r="G50" s="24"/>
      <c r="H50" s="26" t="s">
        <v>207</v>
      </c>
      <c r="I50" s="26" t="s">
        <v>129</v>
      </c>
      <c r="J50" s="26" t="s">
        <v>117</v>
      </c>
      <c r="K50" s="27">
        <v>0.625</v>
      </c>
      <c r="L50" s="26"/>
      <c r="M50" s="24"/>
      <c r="N50" s="26" t="s">
        <v>206</v>
      </c>
      <c r="O50" s="26" t="s">
        <v>129</v>
      </c>
      <c r="P50" s="26" t="s">
        <v>182</v>
      </c>
      <c r="Q50" s="26">
        <v>0.3125</v>
      </c>
      <c r="R50" s="26"/>
    </row>
    <row r="51" spans="2:18" ht="19.5" x14ac:dyDescent="0.25">
      <c r="B51" s="26" t="s">
        <v>203</v>
      </c>
      <c r="C51" s="26" t="s">
        <v>129</v>
      </c>
      <c r="D51" s="26" t="s">
        <v>66</v>
      </c>
      <c r="E51" s="27">
        <v>0.75</v>
      </c>
      <c r="F51" s="26"/>
      <c r="G51" s="24"/>
      <c r="H51" s="26" t="s">
        <v>207</v>
      </c>
      <c r="I51" s="26" t="s">
        <v>129</v>
      </c>
      <c r="J51" s="26" t="s">
        <v>118</v>
      </c>
      <c r="K51" s="27">
        <v>0.625</v>
      </c>
      <c r="L51" s="26"/>
      <c r="M51" s="24"/>
      <c r="N51" s="26" t="s">
        <v>206</v>
      </c>
      <c r="O51" s="26" t="s">
        <v>129</v>
      </c>
      <c r="P51" s="26" t="s">
        <v>183</v>
      </c>
      <c r="Q51" s="26">
        <v>0.3125</v>
      </c>
      <c r="R51" s="26"/>
    </row>
    <row r="52" spans="2:18" ht="19.5" x14ac:dyDescent="0.25">
      <c r="B52" s="26" t="s">
        <v>203</v>
      </c>
      <c r="C52" s="26" t="s">
        <v>129</v>
      </c>
      <c r="D52" s="26" t="s">
        <v>67</v>
      </c>
      <c r="E52" s="27">
        <v>0.75</v>
      </c>
      <c r="F52" s="26"/>
      <c r="G52" s="24"/>
      <c r="H52" s="26" t="s">
        <v>207</v>
      </c>
      <c r="I52" s="26" t="s">
        <v>129</v>
      </c>
      <c r="J52" s="26" t="s">
        <v>119</v>
      </c>
      <c r="K52" s="27">
        <v>0.625</v>
      </c>
      <c r="L52" s="26"/>
      <c r="M52" s="24"/>
      <c r="N52" s="26" t="s">
        <v>206</v>
      </c>
      <c r="O52" s="26" t="s">
        <v>129</v>
      </c>
      <c r="P52" s="26" t="s">
        <v>184</v>
      </c>
      <c r="Q52" s="26">
        <v>0.3125</v>
      </c>
      <c r="R52" s="26"/>
    </row>
    <row r="53" spans="2:18" ht="19.5" x14ac:dyDescent="0.25">
      <c r="B53" s="26" t="s">
        <v>203</v>
      </c>
      <c r="C53" s="26" t="s">
        <v>129</v>
      </c>
      <c r="D53" s="26" t="s">
        <v>68</v>
      </c>
      <c r="E53" s="27">
        <v>0.75</v>
      </c>
      <c r="F53" s="26"/>
      <c r="G53" s="24"/>
      <c r="H53" s="26" t="s">
        <v>207</v>
      </c>
      <c r="I53" s="26" t="s">
        <v>129</v>
      </c>
      <c r="J53" s="26" t="s">
        <v>120</v>
      </c>
      <c r="K53" s="27">
        <v>0.625</v>
      </c>
      <c r="L53" s="26"/>
      <c r="M53" s="24"/>
      <c r="N53" s="26" t="s">
        <v>206</v>
      </c>
      <c r="O53" s="26" t="s">
        <v>129</v>
      </c>
      <c r="P53" s="26" t="s">
        <v>185</v>
      </c>
      <c r="Q53" s="26">
        <v>0.3125</v>
      </c>
      <c r="R53" s="26"/>
    </row>
    <row r="54" spans="2:18" ht="19.5" x14ac:dyDescent="0.25">
      <c r="B54" s="26" t="s">
        <v>203</v>
      </c>
      <c r="C54" s="26" t="s">
        <v>129</v>
      </c>
      <c r="D54" s="26" t="s">
        <v>69</v>
      </c>
      <c r="E54" s="27">
        <v>0.75</v>
      </c>
      <c r="F54" s="26"/>
      <c r="G54" s="24"/>
      <c r="H54" s="26" t="s">
        <v>207</v>
      </c>
      <c r="I54" s="26" t="s">
        <v>129</v>
      </c>
      <c r="J54" s="26" t="s">
        <v>121</v>
      </c>
      <c r="K54" s="27">
        <v>0.75</v>
      </c>
      <c r="L54" s="26"/>
      <c r="M54" s="24"/>
      <c r="N54" s="26" t="s">
        <v>206</v>
      </c>
      <c r="O54" s="26" t="s">
        <v>129</v>
      </c>
      <c r="P54" s="26" t="s">
        <v>186</v>
      </c>
      <c r="Q54" s="26">
        <v>0.3125</v>
      </c>
      <c r="R54" s="26"/>
    </row>
    <row r="55" spans="2:18" ht="19.5" x14ac:dyDescent="0.25">
      <c r="B55" s="26" t="s">
        <v>203</v>
      </c>
      <c r="C55" s="26" t="s">
        <v>129</v>
      </c>
      <c r="D55" s="26" t="s">
        <v>70</v>
      </c>
      <c r="E55" s="27">
        <v>0.75</v>
      </c>
      <c r="F55" s="26"/>
      <c r="G55" s="24"/>
      <c r="H55" s="26" t="s">
        <v>207</v>
      </c>
      <c r="I55" s="26" t="s">
        <v>129</v>
      </c>
      <c r="J55" s="26" t="s">
        <v>122</v>
      </c>
      <c r="K55" s="27">
        <v>0.75</v>
      </c>
      <c r="L55" s="26"/>
      <c r="M55" s="24"/>
      <c r="N55" s="24"/>
      <c r="O55" s="24"/>
      <c r="P55" s="24"/>
      <c r="Q55" s="24"/>
      <c r="R55" s="24"/>
    </row>
    <row r="56" spans="2:18" ht="19.5" x14ac:dyDescent="0.25">
      <c r="B56" s="26" t="s">
        <v>203</v>
      </c>
      <c r="C56" s="26" t="s">
        <v>129</v>
      </c>
      <c r="D56" s="26" t="s">
        <v>71</v>
      </c>
      <c r="E56" s="27">
        <v>0.75</v>
      </c>
      <c r="F56" s="26"/>
      <c r="G56" s="24"/>
      <c r="H56" s="26" t="s">
        <v>207</v>
      </c>
      <c r="I56" s="26" t="s">
        <v>129</v>
      </c>
      <c r="J56" s="26" t="s">
        <v>123</v>
      </c>
      <c r="K56" s="27">
        <v>0.75</v>
      </c>
      <c r="L56" s="26"/>
      <c r="M56" s="24"/>
      <c r="N56" s="24"/>
      <c r="O56" s="24"/>
      <c r="P56" s="24"/>
      <c r="Q56" s="24"/>
      <c r="R56" s="24"/>
    </row>
    <row r="57" spans="2:18" ht="19.5" x14ac:dyDescent="0.25">
      <c r="B57" s="26" t="s">
        <v>203</v>
      </c>
      <c r="C57" s="26" t="s">
        <v>129</v>
      </c>
      <c r="D57" s="26" t="s">
        <v>72</v>
      </c>
      <c r="E57" s="27">
        <v>0.75</v>
      </c>
      <c r="F57" s="26"/>
      <c r="G57" s="24"/>
      <c r="H57" s="26" t="s">
        <v>207</v>
      </c>
      <c r="I57" s="26" t="s">
        <v>129</v>
      </c>
      <c r="J57" s="26" t="s">
        <v>124</v>
      </c>
      <c r="K57" s="27">
        <v>0.75</v>
      </c>
      <c r="L57" s="26"/>
      <c r="M57" s="24"/>
      <c r="N57" s="24"/>
      <c r="O57" s="24"/>
      <c r="P57" s="24"/>
      <c r="Q57" s="24"/>
      <c r="R57" s="24"/>
    </row>
    <row r="58" spans="2:18" ht="19.5" x14ac:dyDescent="0.25">
      <c r="B58" s="26" t="s">
        <v>203</v>
      </c>
      <c r="C58" s="26" t="s">
        <v>129</v>
      </c>
      <c r="D58" s="26" t="s">
        <v>73</v>
      </c>
      <c r="E58" s="27">
        <v>0.75</v>
      </c>
      <c r="F58" s="26"/>
      <c r="G58" s="24"/>
      <c r="H58" s="26" t="s">
        <v>207</v>
      </c>
      <c r="I58" s="26" t="s">
        <v>129</v>
      </c>
      <c r="J58" s="26" t="s">
        <v>125</v>
      </c>
      <c r="K58" s="27">
        <v>0.875</v>
      </c>
      <c r="L58" s="26"/>
      <c r="M58" s="24"/>
      <c r="N58" s="24"/>
      <c r="O58" s="24"/>
      <c r="P58" s="24"/>
      <c r="Q58" s="24"/>
      <c r="R58" s="24"/>
    </row>
    <row r="59" spans="2:18" ht="19.5" x14ac:dyDescent="0.25">
      <c r="B59" s="26" t="s">
        <v>203</v>
      </c>
      <c r="C59" s="26" t="s">
        <v>129</v>
      </c>
      <c r="D59" s="26" t="s">
        <v>74</v>
      </c>
      <c r="E59" s="27">
        <v>0.75</v>
      </c>
      <c r="F59" s="26"/>
      <c r="G59" s="24"/>
      <c r="H59" s="26" t="s">
        <v>207</v>
      </c>
      <c r="I59" s="26" t="s">
        <v>129</v>
      </c>
      <c r="J59" s="26" t="s">
        <v>126</v>
      </c>
      <c r="K59" s="27">
        <v>0.875</v>
      </c>
      <c r="L59" s="26"/>
      <c r="M59" s="24"/>
      <c r="N59" s="24"/>
      <c r="O59" s="24"/>
      <c r="P59" s="24"/>
      <c r="Q59" s="24"/>
      <c r="R59" s="24"/>
    </row>
    <row r="60" spans="2:18" ht="19.5" x14ac:dyDescent="0.25">
      <c r="B60" s="26" t="s">
        <v>203</v>
      </c>
      <c r="C60" s="26" t="s">
        <v>129</v>
      </c>
      <c r="D60" s="26" t="s">
        <v>75</v>
      </c>
      <c r="E60" s="27">
        <v>0.75</v>
      </c>
      <c r="F60" s="26"/>
      <c r="G60" s="24"/>
      <c r="H60" s="26" t="s">
        <v>207</v>
      </c>
      <c r="I60" s="26" t="s">
        <v>129</v>
      </c>
      <c r="J60" s="26" t="s">
        <v>127</v>
      </c>
      <c r="K60" s="27">
        <v>0.875</v>
      </c>
      <c r="L60" s="26"/>
      <c r="M60" s="24"/>
      <c r="N60" s="24"/>
      <c r="O60" s="24"/>
      <c r="P60" s="24"/>
      <c r="Q60" s="24"/>
      <c r="R60" s="24"/>
    </row>
    <row r="61" spans="2:18" ht="19.5" x14ac:dyDescent="0.25">
      <c r="B61" s="26" t="s">
        <v>203</v>
      </c>
      <c r="C61" s="26" t="s">
        <v>129</v>
      </c>
      <c r="D61" s="26" t="s">
        <v>76</v>
      </c>
      <c r="E61" s="27">
        <v>0.875</v>
      </c>
      <c r="F61" s="26"/>
      <c r="G61" s="24"/>
      <c r="H61" s="24"/>
      <c r="I61" s="24"/>
      <c r="J61" s="24"/>
      <c r="K61" s="29"/>
      <c r="L61" s="24"/>
      <c r="M61" s="24"/>
      <c r="N61" s="24"/>
      <c r="O61" s="24"/>
      <c r="P61" s="24"/>
      <c r="Q61" s="24"/>
      <c r="R61" s="24"/>
    </row>
    <row r="62" spans="2:18" ht="19.5" x14ac:dyDescent="0.25">
      <c r="B62" s="26" t="s">
        <v>203</v>
      </c>
      <c r="C62" s="26" t="s">
        <v>129</v>
      </c>
      <c r="D62" s="26" t="s">
        <v>77</v>
      </c>
      <c r="E62" s="27">
        <v>0.875</v>
      </c>
      <c r="F62" s="26"/>
      <c r="G62" s="24"/>
      <c r="H62" s="24"/>
      <c r="I62" s="24"/>
      <c r="J62" s="24"/>
      <c r="K62" s="29"/>
      <c r="L62" s="24"/>
      <c r="M62" s="24"/>
      <c r="N62" s="24"/>
      <c r="O62" s="24"/>
      <c r="P62" s="24"/>
      <c r="Q62" s="24"/>
      <c r="R62" s="24"/>
    </row>
    <row r="63" spans="2:18" ht="19.5" x14ac:dyDescent="0.25">
      <c r="B63" s="26" t="s">
        <v>203</v>
      </c>
      <c r="C63" s="26" t="s">
        <v>129</v>
      </c>
      <c r="D63" s="26" t="s">
        <v>78</v>
      </c>
      <c r="E63" s="27">
        <v>0.875</v>
      </c>
      <c r="F63" s="26"/>
      <c r="G63" s="24"/>
      <c r="H63" s="24"/>
      <c r="I63" s="24"/>
      <c r="J63" s="24"/>
      <c r="K63" s="29"/>
      <c r="L63" s="24"/>
      <c r="M63" s="24"/>
      <c r="N63" s="24"/>
      <c r="O63" s="24"/>
      <c r="P63" s="24"/>
      <c r="Q63" s="24"/>
      <c r="R63" s="24"/>
    </row>
    <row r="64" spans="2:18" ht="19.5" x14ac:dyDescent="0.25">
      <c r="B64" s="26" t="s">
        <v>203</v>
      </c>
      <c r="C64" s="26" t="s">
        <v>129</v>
      </c>
      <c r="D64" s="26" t="s">
        <v>79</v>
      </c>
      <c r="E64" s="27">
        <v>0.875</v>
      </c>
      <c r="F64" s="26"/>
      <c r="G64" s="24"/>
      <c r="H64" s="24"/>
      <c r="I64" s="24"/>
      <c r="J64" s="24"/>
      <c r="K64" s="29"/>
      <c r="L64" s="24"/>
      <c r="M64" s="24"/>
      <c r="N64" s="24"/>
      <c r="O64" s="24"/>
      <c r="P64" s="24"/>
      <c r="Q64" s="24"/>
      <c r="R64" s="24"/>
    </row>
    <row r="65" spans="1:17" x14ac:dyDescent="0.25">
      <c r="K65" s="21"/>
    </row>
    <row r="66" spans="1:17" ht="18" thickBot="1" x14ac:dyDescent="0.3">
      <c r="A66" s="30" t="s">
        <v>192</v>
      </c>
      <c r="B66" s="115"/>
      <c r="C66" s="115"/>
      <c r="F66" s="30" t="s">
        <v>193</v>
      </c>
      <c r="G66" s="23"/>
      <c r="H66" s="23"/>
      <c r="J66" s="30" t="s">
        <v>194</v>
      </c>
      <c r="K66" s="115"/>
      <c r="L66" s="115"/>
      <c r="O66" s="30" t="s">
        <v>195</v>
      </c>
      <c r="P66" s="116"/>
      <c r="Q66" s="116"/>
    </row>
    <row r="67" spans="1:17" x14ac:dyDescent="0.25">
      <c r="K67" s="21"/>
    </row>
    <row r="68" spans="1:17" x14ac:dyDescent="0.25">
      <c r="K68" s="21"/>
    </row>
    <row r="69" spans="1:17" x14ac:dyDescent="0.25">
      <c r="K69" s="21"/>
    </row>
    <row r="70" spans="1:17" x14ac:dyDescent="0.25">
      <c r="K70" s="21"/>
    </row>
    <row r="71" spans="1:17" x14ac:dyDescent="0.25">
      <c r="K71" s="21"/>
    </row>
    <row r="72" spans="1:17" x14ac:dyDescent="0.25">
      <c r="K72" s="21"/>
    </row>
    <row r="73" spans="1:17" x14ac:dyDescent="0.25">
      <c r="K73" s="21"/>
    </row>
    <row r="74" spans="1:17" x14ac:dyDescent="0.25">
      <c r="K74" s="21"/>
    </row>
    <row r="75" spans="1:17" x14ac:dyDescent="0.25">
      <c r="K75" s="21"/>
    </row>
    <row r="76" spans="1:17" x14ac:dyDescent="0.25">
      <c r="K76" s="21"/>
    </row>
    <row r="77" spans="1:17" x14ac:dyDescent="0.25">
      <c r="K77" s="21"/>
    </row>
    <row r="78" spans="1:17" x14ac:dyDescent="0.25">
      <c r="K78" s="21"/>
    </row>
    <row r="79" spans="1:17" x14ac:dyDescent="0.25">
      <c r="K79" s="21"/>
    </row>
    <row r="80" spans="1:17" x14ac:dyDescent="0.25">
      <c r="K80" s="21"/>
    </row>
    <row r="81" spans="5:11" x14ac:dyDescent="0.25">
      <c r="K81" s="21"/>
    </row>
    <row r="82" spans="5:11" x14ac:dyDescent="0.25">
      <c r="K82" s="21"/>
    </row>
    <row r="83" spans="5:11" x14ac:dyDescent="0.25">
      <c r="K83" s="21"/>
    </row>
    <row r="84" spans="5:11" x14ac:dyDescent="0.25">
      <c r="K84" s="21"/>
    </row>
    <row r="85" spans="5:11" x14ac:dyDescent="0.25">
      <c r="K85" s="21"/>
    </row>
    <row r="86" spans="5:11" x14ac:dyDescent="0.25">
      <c r="K86" s="21"/>
    </row>
    <row r="87" spans="5:11" x14ac:dyDescent="0.25">
      <c r="K87" s="21"/>
    </row>
    <row r="88" spans="5:11" x14ac:dyDescent="0.25">
      <c r="E88" s="21"/>
      <c r="K88" s="21"/>
    </row>
  </sheetData>
  <mergeCells count="11">
    <mergeCell ref="C2:Q4"/>
    <mergeCell ref="B6:R6"/>
    <mergeCell ref="B66:C66"/>
    <mergeCell ref="K66:L66"/>
    <mergeCell ref="P66:Q66"/>
    <mergeCell ref="B7:F7"/>
    <mergeCell ref="B8:F8"/>
    <mergeCell ref="H8:L8"/>
    <mergeCell ref="H34:L34"/>
    <mergeCell ref="N8:R8"/>
    <mergeCell ref="N26:R26"/>
  </mergeCells>
  <phoneticPr fontId="4" type="noConversion"/>
  <pageMargins left="0.25" right="0.25" top="0.75" bottom="0.75" header="0.3" footer="0.3"/>
  <pageSetup scale="4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2:R88"/>
  <sheetViews>
    <sheetView view="pageBreakPreview" zoomScale="40" zoomScaleNormal="85" zoomScaleSheetLayoutView="40" workbookViewId="0">
      <selection activeCell="Z36" sqref="Z36"/>
    </sheetView>
  </sheetViews>
  <sheetFormatPr baseColWidth="10" defaultColWidth="8.7109375" defaultRowHeight="15" x14ac:dyDescent="0.25"/>
  <cols>
    <col min="1" max="1" width="8.7109375" style="1"/>
    <col min="2" max="2" width="31.7109375" style="1" customWidth="1"/>
    <col min="3" max="3" width="18.7109375" style="1" customWidth="1"/>
    <col min="4" max="4" width="25.140625" style="1" customWidth="1"/>
    <col min="5" max="5" width="15.140625" style="1" customWidth="1"/>
    <col min="6" max="6" width="14" style="1" customWidth="1"/>
    <col min="7" max="7" width="7.5703125" style="1" bestFit="1" customWidth="1"/>
    <col min="8" max="8" width="32" style="1" customWidth="1"/>
    <col min="9" max="9" width="19" style="1" customWidth="1"/>
    <col min="10" max="10" width="24.85546875" style="1" customWidth="1"/>
    <col min="11" max="11" width="16.42578125" style="1" customWidth="1"/>
    <col min="12" max="12" width="14" style="1" customWidth="1"/>
    <col min="13" max="13" width="9.5703125" style="1" bestFit="1" customWidth="1"/>
    <col min="14" max="14" width="22.5703125" style="1" customWidth="1"/>
    <col min="15" max="15" width="19.140625" style="1" customWidth="1"/>
    <col min="16" max="16" width="25.140625" style="1" customWidth="1"/>
    <col min="17" max="17" width="14.28515625" style="1" customWidth="1"/>
    <col min="18" max="18" width="14.140625" style="1" customWidth="1"/>
    <col min="19" max="16384" width="8.7109375" style="1"/>
  </cols>
  <sheetData>
    <row r="2" spans="2:18" ht="14.45" customHeight="1" x14ac:dyDescent="0.25">
      <c r="C2" s="107" t="s">
        <v>190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2:18" ht="14.45" customHeight="1" x14ac:dyDescent="0.25"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2:18" ht="15" customHeight="1" x14ac:dyDescent="0.25"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6" spans="2:18" ht="42.6" customHeight="1" thickBot="1" x14ac:dyDescent="0.3">
      <c r="B6" s="117" t="s">
        <v>208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</row>
    <row r="7" spans="2:18" x14ac:dyDescent="0.25">
      <c r="B7" s="118"/>
      <c r="C7" s="118"/>
      <c r="D7" s="118"/>
      <c r="E7" s="118"/>
      <c r="F7" s="118"/>
    </row>
    <row r="8" spans="2:18" ht="19.5" x14ac:dyDescent="0.3">
      <c r="B8" s="119" t="s">
        <v>197</v>
      </c>
      <c r="C8" s="119"/>
      <c r="D8" s="119"/>
      <c r="E8" s="119"/>
      <c r="F8" s="119"/>
      <c r="G8" s="24"/>
      <c r="H8" s="119" t="s">
        <v>196</v>
      </c>
      <c r="I8" s="119"/>
      <c r="J8" s="119"/>
      <c r="K8" s="119"/>
      <c r="L8" s="119"/>
      <c r="M8" s="24"/>
      <c r="N8" s="120" t="s">
        <v>199</v>
      </c>
      <c r="O8" s="120"/>
      <c r="P8" s="120"/>
      <c r="Q8" s="120"/>
      <c r="R8" s="120"/>
    </row>
    <row r="9" spans="2:18" ht="19.5" x14ac:dyDescent="0.25">
      <c r="B9" s="25" t="s">
        <v>0</v>
      </c>
      <c r="C9" s="25" t="s">
        <v>6</v>
      </c>
      <c r="D9" s="25" t="s">
        <v>7</v>
      </c>
      <c r="E9" s="25" t="s">
        <v>1</v>
      </c>
      <c r="F9" s="25" t="s">
        <v>191</v>
      </c>
      <c r="G9" s="24"/>
      <c r="H9" s="25" t="s">
        <v>0</v>
      </c>
      <c r="I9" s="25" t="s">
        <v>6</v>
      </c>
      <c r="J9" s="25" t="s">
        <v>7</v>
      </c>
      <c r="K9" s="25" t="s">
        <v>1</v>
      </c>
      <c r="L9" s="25" t="s">
        <v>191</v>
      </c>
      <c r="M9" s="24"/>
      <c r="N9" s="25" t="s">
        <v>0</v>
      </c>
      <c r="O9" s="25" t="s">
        <v>6</v>
      </c>
      <c r="P9" s="25" t="s">
        <v>7</v>
      </c>
      <c r="Q9" s="25" t="s">
        <v>1</v>
      </c>
      <c r="R9" s="25" t="s">
        <v>191</v>
      </c>
    </row>
    <row r="10" spans="2:18" ht="19.5" x14ac:dyDescent="0.25">
      <c r="B10" s="26" t="s">
        <v>203</v>
      </c>
      <c r="C10" s="26" t="s">
        <v>129</v>
      </c>
      <c r="D10" s="26" t="s">
        <v>25</v>
      </c>
      <c r="E10" s="27">
        <v>0.25</v>
      </c>
      <c r="F10" s="26"/>
      <c r="G10" s="24"/>
      <c r="H10" s="26" t="s">
        <v>203</v>
      </c>
      <c r="I10" s="26" t="s">
        <v>129</v>
      </c>
      <c r="J10" s="26" t="s">
        <v>80</v>
      </c>
      <c r="K10" s="27">
        <v>0.875</v>
      </c>
      <c r="L10" s="26"/>
      <c r="M10" s="24"/>
      <c r="N10" s="26" t="s">
        <v>204</v>
      </c>
      <c r="O10" s="26" t="s">
        <v>0</v>
      </c>
      <c r="P10" s="26" t="s">
        <v>131</v>
      </c>
      <c r="Q10" s="28">
        <v>0.375</v>
      </c>
      <c r="R10" s="26"/>
    </row>
    <row r="11" spans="2:18" ht="19.5" x14ac:dyDescent="0.25">
      <c r="B11" s="26" t="s">
        <v>203</v>
      </c>
      <c r="C11" s="26" t="s">
        <v>129</v>
      </c>
      <c r="D11" s="26" t="s">
        <v>26</v>
      </c>
      <c r="E11" s="27">
        <v>0.25</v>
      </c>
      <c r="F11" s="26"/>
      <c r="G11" s="24"/>
      <c r="H11" s="26" t="s">
        <v>203</v>
      </c>
      <c r="I11" s="26" t="s">
        <v>129</v>
      </c>
      <c r="J11" s="26" t="s">
        <v>81</v>
      </c>
      <c r="K11" s="27">
        <v>0.875</v>
      </c>
      <c r="L11" s="26"/>
      <c r="M11" s="24"/>
      <c r="N11" s="26" t="s">
        <v>204</v>
      </c>
      <c r="O11" s="26" t="s">
        <v>0</v>
      </c>
      <c r="P11" s="26" t="s">
        <v>132</v>
      </c>
      <c r="Q11" s="28">
        <v>0.375</v>
      </c>
      <c r="R11" s="26"/>
    </row>
    <row r="12" spans="2:18" ht="19.5" x14ac:dyDescent="0.25">
      <c r="B12" s="26" t="s">
        <v>203</v>
      </c>
      <c r="C12" s="26" t="s">
        <v>129</v>
      </c>
      <c r="D12" s="26" t="s">
        <v>27</v>
      </c>
      <c r="E12" s="27">
        <v>0.25</v>
      </c>
      <c r="F12" s="26"/>
      <c r="G12" s="24"/>
      <c r="H12" s="26" t="s">
        <v>203</v>
      </c>
      <c r="I12" s="26" t="s">
        <v>129</v>
      </c>
      <c r="J12" s="26" t="s">
        <v>82</v>
      </c>
      <c r="K12" s="27">
        <v>0.875</v>
      </c>
      <c r="L12" s="26"/>
      <c r="M12" s="24"/>
      <c r="N12" s="26" t="s">
        <v>205</v>
      </c>
      <c r="O12" s="26" t="s">
        <v>0</v>
      </c>
      <c r="P12" s="26" t="s">
        <v>133</v>
      </c>
      <c r="Q12" s="28">
        <v>0.375</v>
      </c>
      <c r="R12" s="26"/>
    </row>
    <row r="13" spans="2:18" ht="19.5" x14ac:dyDescent="0.25">
      <c r="B13" s="26" t="s">
        <v>203</v>
      </c>
      <c r="C13" s="26" t="s">
        <v>129</v>
      </c>
      <c r="D13" s="26" t="s">
        <v>28</v>
      </c>
      <c r="E13" s="27">
        <v>0.375</v>
      </c>
      <c r="F13" s="26"/>
      <c r="G13" s="24"/>
      <c r="H13" s="26" t="s">
        <v>203</v>
      </c>
      <c r="I13" s="26" t="s">
        <v>129</v>
      </c>
      <c r="J13" s="26" t="s">
        <v>83</v>
      </c>
      <c r="K13" s="27">
        <v>0.875</v>
      </c>
      <c r="L13" s="26"/>
      <c r="M13" s="24"/>
      <c r="N13" s="26" t="s">
        <v>205</v>
      </c>
      <c r="O13" s="26" t="s">
        <v>0</v>
      </c>
      <c r="P13" s="26" t="s">
        <v>134</v>
      </c>
      <c r="Q13" s="28">
        <v>0.75</v>
      </c>
      <c r="R13" s="26"/>
    </row>
    <row r="14" spans="2:18" ht="19.5" x14ac:dyDescent="0.25">
      <c r="B14" s="26" t="s">
        <v>203</v>
      </c>
      <c r="C14" s="26" t="s">
        <v>129</v>
      </c>
      <c r="D14" s="26" t="s">
        <v>29</v>
      </c>
      <c r="E14" s="27">
        <v>0.375</v>
      </c>
      <c r="F14" s="26"/>
      <c r="G14" s="24"/>
      <c r="H14" s="26" t="s">
        <v>203</v>
      </c>
      <c r="I14" s="26" t="s">
        <v>129</v>
      </c>
      <c r="J14" s="26" t="s">
        <v>84</v>
      </c>
      <c r="K14" s="27">
        <v>0.875</v>
      </c>
      <c r="L14" s="26"/>
      <c r="M14" s="24"/>
      <c r="N14" s="26" t="s">
        <v>205</v>
      </c>
      <c r="O14" s="26" t="s">
        <v>0</v>
      </c>
      <c r="P14" s="26" t="s">
        <v>135</v>
      </c>
      <c r="Q14" s="28">
        <v>0.75</v>
      </c>
      <c r="R14" s="26"/>
    </row>
    <row r="15" spans="2:18" ht="19.5" x14ac:dyDescent="0.25">
      <c r="B15" s="26" t="s">
        <v>203</v>
      </c>
      <c r="C15" s="26" t="s">
        <v>129</v>
      </c>
      <c r="D15" s="26" t="s">
        <v>30</v>
      </c>
      <c r="E15" s="27">
        <v>0.375</v>
      </c>
      <c r="F15" s="26"/>
      <c r="G15" s="24"/>
      <c r="H15" s="26" t="s">
        <v>203</v>
      </c>
      <c r="I15" s="26" t="s">
        <v>129</v>
      </c>
      <c r="J15" s="26" t="s">
        <v>85</v>
      </c>
      <c r="K15" s="27">
        <v>0.875</v>
      </c>
      <c r="L15" s="26"/>
      <c r="M15" s="24"/>
      <c r="N15" s="26" t="s">
        <v>205</v>
      </c>
      <c r="O15" s="26" t="s">
        <v>0</v>
      </c>
      <c r="P15" s="26" t="s">
        <v>136</v>
      </c>
      <c r="Q15" s="28">
        <v>0.75</v>
      </c>
      <c r="R15" s="26"/>
    </row>
    <row r="16" spans="2:18" ht="19.5" x14ac:dyDescent="0.25">
      <c r="B16" s="26" t="s">
        <v>203</v>
      </c>
      <c r="C16" s="26" t="s">
        <v>129</v>
      </c>
      <c r="D16" s="26" t="s">
        <v>31</v>
      </c>
      <c r="E16" s="27">
        <v>0.375</v>
      </c>
      <c r="F16" s="26"/>
      <c r="G16" s="24"/>
      <c r="H16" s="26" t="s">
        <v>203</v>
      </c>
      <c r="I16" s="26" t="s">
        <v>129</v>
      </c>
      <c r="J16" s="26" t="s">
        <v>86</v>
      </c>
      <c r="K16" s="27">
        <v>0.875</v>
      </c>
      <c r="L16" s="26"/>
      <c r="M16" s="24"/>
      <c r="N16" s="26" t="s">
        <v>205</v>
      </c>
      <c r="O16" s="26" t="s">
        <v>0</v>
      </c>
      <c r="P16" s="26" t="s">
        <v>137</v>
      </c>
      <c r="Q16" s="28">
        <v>0.75</v>
      </c>
      <c r="R16" s="26"/>
    </row>
    <row r="17" spans="2:18" ht="19.5" x14ac:dyDescent="0.25">
      <c r="B17" s="26" t="s">
        <v>203</v>
      </c>
      <c r="C17" s="26" t="s">
        <v>129</v>
      </c>
      <c r="D17" s="26" t="s">
        <v>32</v>
      </c>
      <c r="E17" s="27">
        <v>0.375</v>
      </c>
      <c r="F17" s="26"/>
      <c r="G17" s="24"/>
      <c r="H17" s="26" t="s">
        <v>203</v>
      </c>
      <c r="I17" s="26" t="s">
        <v>129</v>
      </c>
      <c r="J17" s="26" t="s">
        <v>87</v>
      </c>
      <c r="K17" s="27">
        <v>0.875</v>
      </c>
      <c r="L17" s="26"/>
      <c r="M17" s="24"/>
      <c r="N17" s="26" t="s">
        <v>205</v>
      </c>
      <c r="O17" s="26" t="s">
        <v>0</v>
      </c>
      <c r="P17" s="26" t="s">
        <v>138</v>
      </c>
      <c r="Q17" s="28">
        <v>0.75</v>
      </c>
      <c r="R17" s="26"/>
    </row>
    <row r="18" spans="2:18" ht="19.5" x14ac:dyDescent="0.25">
      <c r="B18" s="26" t="s">
        <v>203</v>
      </c>
      <c r="C18" s="26" t="s">
        <v>129</v>
      </c>
      <c r="D18" s="26" t="s">
        <v>33</v>
      </c>
      <c r="E18" s="27">
        <v>0.375</v>
      </c>
      <c r="F18" s="26"/>
      <c r="G18" s="24"/>
      <c r="H18" s="26" t="s">
        <v>203</v>
      </c>
      <c r="I18" s="26" t="s">
        <v>129</v>
      </c>
      <c r="J18" s="26" t="s">
        <v>88</v>
      </c>
      <c r="K18" s="27">
        <v>0.875</v>
      </c>
      <c r="L18" s="26"/>
      <c r="M18" s="24"/>
      <c r="N18" s="26" t="s">
        <v>205</v>
      </c>
      <c r="O18" s="26" t="s">
        <v>0</v>
      </c>
      <c r="P18" s="26" t="s">
        <v>139</v>
      </c>
      <c r="Q18" s="28">
        <v>0.75</v>
      </c>
      <c r="R18" s="26"/>
    </row>
    <row r="19" spans="2:18" ht="19.5" x14ac:dyDescent="0.25">
      <c r="B19" s="26" t="s">
        <v>203</v>
      </c>
      <c r="C19" s="26" t="s">
        <v>129</v>
      </c>
      <c r="D19" s="26" t="s">
        <v>34</v>
      </c>
      <c r="E19" s="27">
        <v>0.375</v>
      </c>
      <c r="F19" s="26"/>
      <c r="G19" s="24"/>
      <c r="H19" s="26" t="s">
        <v>203</v>
      </c>
      <c r="I19" s="26" t="s">
        <v>129</v>
      </c>
      <c r="J19" s="26" t="s">
        <v>89</v>
      </c>
      <c r="K19" s="27">
        <v>0.875</v>
      </c>
      <c r="L19" s="26"/>
      <c r="M19" s="24"/>
      <c r="N19" s="26" t="s">
        <v>205</v>
      </c>
      <c r="O19" s="26" t="s">
        <v>0</v>
      </c>
      <c r="P19" s="26" t="s">
        <v>140</v>
      </c>
      <c r="Q19" s="28">
        <v>0.75</v>
      </c>
      <c r="R19" s="26"/>
    </row>
    <row r="20" spans="2:18" ht="19.5" x14ac:dyDescent="0.25">
      <c r="B20" s="26" t="s">
        <v>203</v>
      </c>
      <c r="C20" s="26" t="s">
        <v>129</v>
      </c>
      <c r="D20" s="26" t="s">
        <v>35</v>
      </c>
      <c r="E20" s="27">
        <v>0.5</v>
      </c>
      <c r="F20" s="26"/>
      <c r="G20" s="24"/>
      <c r="H20" s="26" t="s">
        <v>203</v>
      </c>
      <c r="I20" s="26" t="s">
        <v>129</v>
      </c>
      <c r="J20" s="26" t="s">
        <v>90</v>
      </c>
      <c r="K20" s="27">
        <v>0.875</v>
      </c>
      <c r="L20" s="26"/>
      <c r="M20" s="24"/>
      <c r="N20" s="26" t="s">
        <v>205</v>
      </c>
      <c r="O20" s="26" t="s">
        <v>0</v>
      </c>
      <c r="P20" s="26" t="s">
        <v>141</v>
      </c>
      <c r="Q20" s="28">
        <v>0.875</v>
      </c>
      <c r="R20" s="26"/>
    </row>
    <row r="21" spans="2:18" ht="19.5" x14ac:dyDescent="0.25">
      <c r="B21" s="26" t="s">
        <v>203</v>
      </c>
      <c r="C21" s="26" t="s">
        <v>129</v>
      </c>
      <c r="D21" s="26" t="s">
        <v>36</v>
      </c>
      <c r="E21" s="27">
        <v>0.5</v>
      </c>
      <c r="F21" s="26"/>
      <c r="G21" s="24"/>
      <c r="H21" s="26" t="s">
        <v>203</v>
      </c>
      <c r="I21" s="26" t="s">
        <v>129</v>
      </c>
      <c r="J21" s="26" t="s">
        <v>91</v>
      </c>
      <c r="K21" s="27">
        <v>0.875</v>
      </c>
      <c r="L21" s="26"/>
      <c r="M21" s="24"/>
      <c r="N21" s="26" t="s">
        <v>205</v>
      </c>
      <c r="O21" s="26" t="s">
        <v>0</v>
      </c>
      <c r="P21" s="26" t="s">
        <v>142</v>
      </c>
      <c r="Q21" s="28">
        <v>0.875</v>
      </c>
      <c r="R21" s="26"/>
    </row>
    <row r="22" spans="2:18" ht="19.5" x14ac:dyDescent="0.25">
      <c r="B22" s="26" t="s">
        <v>203</v>
      </c>
      <c r="C22" s="26" t="s">
        <v>129</v>
      </c>
      <c r="D22" s="26" t="s">
        <v>37</v>
      </c>
      <c r="E22" s="27">
        <v>0.5</v>
      </c>
      <c r="F22" s="26"/>
      <c r="G22" s="24"/>
      <c r="H22" s="26" t="s">
        <v>203</v>
      </c>
      <c r="I22" s="26" t="s">
        <v>129</v>
      </c>
      <c r="J22" s="26" t="s">
        <v>92</v>
      </c>
      <c r="K22" s="27">
        <v>0.875</v>
      </c>
      <c r="L22" s="26"/>
      <c r="M22" s="24"/>
      <c r="N22" s="26" t="s">
        <v>205</v>
      </c>
      <c r="O22" s="26" t="s">
        <v>0</v>
      </c>
      <c r="P22" s="26" t="s">
        <v>143</v>
      </c>
      <c r="Q22" s="28">
        <v>0.875</v>
      </c>
      <c r="R22" s="26"/>
    </row>
    <row r="23" spans="2:18" ht="19.5" x14ac:dyDescent="0.25">
      <c r="B23" s="26" t="s">
        <v>203</v>
      </c>
      <c r="C23" s="26" t="s">
        <v>129</v>
      </c>
      <c r="D23" s="26" t="s">
        <v>38</v>
      </c>
      <c r="E23" s="27">
        <v>0.5</v>
      </c>
      <c r="F23" s="26"/>
      <c r="G23" s="24"/>
      <c r="H23" s="26" t="s">
        <v>203</v>
      </c>
      <c r="I23" s="26" t="s">
        <v>129</v>
      </c>
      <c r="J23" s="26" t="s">
        <v>93</v>
      </c>
      <c r="K23" s="27">
        <v>0.875</v>
      </c>
      <c r="L23" s="26"/>
      <c r="M23" s="24"/>
      <c r="N23" s="26" t="s">
        <v>205</v>
      </c>
      <c r="O23" s="26" t="s">
        <v>0</v>
      </c>
      <c r="P23" s="26" t="s">
        <v>144</v>
      </c>
      <c r="Q23" s="28">
        <v>0.875</v>
      </c>
      <c r="R23" s="26"/>
    </row>
    <row r="24" spans="2:18" ht="19.5" x14ac:dyDescent="0.25">
      <c r="B24" s="26" t="s">
        <v>203</v>
      </c>
      <c r="C24" s="26" t="s">
        <v>129</v>
      </c>
      <c r="D24" s="26" t="s">
        <v>39</v>
      </c>
      <c r="E24" s="27">
        <v>0.5</v>
      </c>
      <c r="F24" s="26"/>
      <c r="G24" s="24"/>
      <c r="H24" s="26" t="s">
        <v>203</v>
      </c>
      <c r="I24" s="26" t="s">
        <v>129</v>
      </c>
      <c r="J24" s="26" t="s">
        <v>94</v>
      </c>
      <c r="K24" s="27">
        <v>0.875</v>
      </c>
      <c r="L24" s="26"/>
      <c r="M24" s="24"/>
      <c r="N24" s="24"/>
      <c r="O24" s="24"/>
      <c r="P24" s="24"/>
      <c r="Q24" s="24"/>
      <c r="R24" s="24"/>
    </row>
    <row r="25" spans="2:18" ht="19.5" x14ac:dyDescent="0.25">
      <c r="B25" s="26" t="s">
        <v>203</v>
      </c>
      <c r="C25" s="26" t="s">
        <v>129</v>
      </c>
      <c r="D25" s="26" t="s">
        <v>40</v>
      </c>
      <c r="E25" s="27">
        <v>0.5</v>
      </c>
      <c r="F25" s="26"/>
      <c r="G25" s="24"/>
      <c r="H25" s="26" t="s">
        <v>203</v>
      </c>
      <c r="I25" s="26" t="s">
        <v>129</v>
      </c>
      <c r="J25" s="26" t="s">
        <v>95</v>
      </c>
      <c r="K25" s="27">
        <v>0.875</v>
      </c>
      <c r="L25" s="26"/>
      <c r="M25" s="24"/>
      <c r="N25" s="24"/>
      <c r="O25" s="24"/>
      <c r="P25" s="24"/>
      <c r="Q25" s="24"/>
      <c r="R25" s="24"/>
    </row>
    <row r="26" spans="2:18" ht="19.5" x14ac:dyDescent="0.25">
      <c r="B26" s="26" t="s">
        <v>203</v>
      </c>
      <c r="C26" s="26" t="s">
        <v>129</v>
      </c>
      <c r="D26" s="26" t="s">
        <v>41</v>
      </c>
      <c r="E26" s="27">
        <v>0.5</v>
      </c>
      <c r="F26" s="26"/>
      <c r="G26" s="24"/>
      <c r="H26" s="26" t="s">
        <v>203</v>
      </c>
      <c r="I26" s="26" t="s">
        <v>129</v>
      </c>
      <c r="J26" s="26" t="s">
        <v>96</v>
      </c>
      <c r="K26" s="27">
        <v>0.875</v>
      </c>
      <c r="L26" s="26"/>
      <c r="M26" s="24"/>
      <c r="N26" s="120" t="s">
        <v>200</v>
      </c>
      <c r="O26" s="120"/>
      <c r="P26" s="120"/>
      <c r="Q26" s="120"/>
      <c r="R26" s="120"/>
    </row>
    <row r="27" spans="2:18" ht="19.5" x14ac:dyDescent="0.25">
      <c r="B27" s="26" t="s">
        <v>203</v>
      </c>
      <c r="C27" s="26" t="s">
        <v>129</v>
      </c>
      <c r="D27" s="26" t="s">
        <v>42</v>
      </c>
      <c r="E27" s="27">
        <v>0.5</v>
      </c>
      <c r="F27" s="26"/>
      <c r="G27" s="24"/>
      <c r="H27" s="26" t="s">
        <v>203</v>
      </c>
      <c r="I27" s="26" t="s">
        <v>129</v>
      </c>
      <c r="J27" s="26" t="s">
        <v>97</v>
      </c>
      <c r="K27" s="27">
        <v>0.875</v>
      </c>
      <c r="L27" s="26"/>
      <c r="M27" s="24"/>
      <c r="N27" s="25" t="s">
        <v>0</v>
      </c>
      <c r="O27" s="25" t="s">
        <v>6</v>
      </c>
      <c r="P27" s="25" t="s">
        <v>7</v>
      </c>
      <c r="Q27" s="25" t="s">
        <v>1</v>
      </c>
      <c r="R27" s="25" t="s">
        <v>191</v>
      </c>
    </row>
    <row r="28" spans="2:18" ht="19.5" x14ac:dyDescent="0.25">
      <c r="B28" s="26" t="s">
        <v>203</v>
      </c>
      <c r="C28" s="26" t="s">
        <v>129</v>
      </c>
      <c r="D28" s="26" t="s">
        <v>43</v>
      </c>
      <c r="E28" s="27">
        <v>0.5</v>
      </c>
      <c r="F28" s="26"/>
      <c r="G28" s="24"/>
      <c r="H28" s="26" t="s">
        <v>203</v>
      </c>
      <c r="I28" s="26" t="s">
        <v>129</v>
      </c>
      <c r="J28" s="26" t="s">
        <v>98</v>
      </c>
      <c r="K28" s="27">
        <v>0.875</v>
      </c>
      <c r="L28" s="26"/>
      <c r="M28" s="24"/>
      <c r="N28" s="26" t="s">
        <v>206</v>
      </c>
      <c r="O28" s="26" t="s">
        <v>129</v>
      </c>
      <c r="P28" s="26" t="s">
        <v>160</v>
      </c>
      <c r="Q28" s="26">
        <v>0.3125</v>
      </c>
      <c r="R28" s="26"/>
    </row>
    <row r="29" spans="2:18" ht="19.5" x14ac:dyDescent="0.25">
      <c r="B29" s="26" t="s">
        <v>203</v>
      </c>
      <c r="C29" s="26" t="s">
        <v>129</v>
      </c>
      <c r="D29" s="26" t="s">
        <v>44</v>
      </c>
      <c r="E29" s="27">
        <v>0.5</v>
      </c>
      <c r="F29" s="26"/>
      <c r="G29" s="24"/>
      <c r="H29" s="26" t="s">
        <v>203</v>
      </c>
      <c r="I29" s="26" t="s">
        <v>129</v>
      </c>
      <c r="J29" s="26" t="s">
        <v>99</v>
      </c>
      <c r="K29" s="27">
        <v>0.875</v>
      </c>
      <c r="L29" s="26"/>
      <c r="M29" s="24"/>
      <c r="N29" s="26" t="s">
        <v>206</v>
      </c>
      <c r="O29" s="26" t="s">
        <v>129</v>
      </c>
      <c r="P29" s="26" t="s">
        <v>161</v>
      </c>
      <c r="Q29" s="26">
        <v>0.3125</v>
      </c>
      <c r="R29" s="26"/>
    </row>
    <row r="30" spans="2:18" ht="19.5" x14ac:dyDescent="0.25">
      <c r="B30" s="26" t="s">
        <v>203</v>
      </c>
      <c r="C30" s="26" t="s">
        <v>129</v>
      </c>
      <c r="D30" s="26" t="s">
        <v>45</v>
      </c>
      <c r="E30" s="27">
        <v>0.5</v>
      </c>
      <c r="F30" s="26"/>
      <c r="G30" s="24"/>
      <c r="H30" s="26" t="s">
        <v>203</v>
      </c>
      <c r="I30" s="26" t="s">
        <v>129</v>
      </c>
      <c r="J30" s="26" t="s">
        <v>100</v>
      </c>
      <c r="K30" s="27">
        <v>0.875</v>
      </c>
      <c r="L30" s="26"/>
      <c r="M30" s="24"/>
      <c r="N30" s="26" t="s">
        <v>206</v>
      </c>
      <c r="O30" s="26" t="s">
        <v>129</v>
      </c>
      <c r="P30" s="26" t="s">
        <v>162</v>
      </c>
      <c r="Q30" s="26">
        <v>0.3125</v>
      </c>
      <c r="R30" s="26"/>
    </row>
    <row r="31" spans="2:18" ht="19.5" x14ac:dyDescent="0.25">
      <c r="B31" s="26" t="s">
        <v>203</v>
      </c>
      <c r="C31" s="26" t="s">
        <v>129</v>
      </c>
      <c r="D31" s="26" t="s">
        <v>46</v>
      </c>
      <c r="E31" s="27">
        <v>0.5</v>
      </c>
      <c r="F31" s="26"/>
      <c r="G31" s="24"/>
      <c r="H31" s="26" t="s">
        <v>203</v>
      </c>
      <c r="I31" s="26" t="s">
        <v>129</v>
      </c>
      <c r="J31" s="26" t="s">
        <v>101</v>
      </c>
      <c r="K31" s="27">
        <v>0.875</v>
      </c>
      <c r="L31" s="26"/>
      <c r="M31" s="24"/>
      <c r="N31" s="26" t="s">
        <v>206</v>
      </c>
      <c r="O31" s="26" t="s">
        <v>129</v>
      </c>
      <c r="P31" s="26" t="s">
        <v>163</v>
      </c>
      <c r="Q31" s="26">
        <v>0.3125</v>
      </c>
      <c r="R31" s="26"/>
    </row>
    <row r="32" spans="2:18" ht="19.5" x14ac:dyDescent="0.25">
      <c r="B32" s="26" t="s">
        <v>203</v>
      </c>
      <c r="C32" s="26" t="s">
        <v>129</v>
      </c>
      <c r="D32" s="26" t="s">
        <v>47</v>
      </c>
      <c r="E32" s="27">
        <v>0.5</v>
      </c>
      <c r="F32" s="26"/>
      <c r="G32" s="24"/>
      <c r="H32" s="26" t="s">
        <v>203</v>
      </c>
      <c r="I32" s="26" t="s">
        <v>129</v>
      </c>
      <c r="J32" s="26" t="s">
        <v>102</v>
      </c>
      <c r="K32" s="27">
        <v>0.875</v>
      </c>
      <c r="L32" s="26"/>
      <c r="M32" s="24"/>
      <c r="N32" s="26" t="s">
        <v>206</v>
      </c>
      <c r="O32" s="26" t="s">
        <v>129</v>
      </c>
      <c r="P32" s="26" t="s">
        <v>164</v>
      </c>
      <c r="Q32" s="26">
        <v>0.3125</v>
      </c>
      <c r="R32" s="26"/>
    </row>
    <row r="33" spans="2:18" ht="19.5" x14ac:dyDescent="0.25">
      <c r="B33" s="26" t="s">
        <v>203</v>
      </c>
      <c r="C33" s="26" t="s">
        <v>129</v>
      </c>
      <c r="D33" s="26" t="s">
        <v>48</v>
      </c>
      <c r="E33" s="27">
        <v>0.5</v>
      </c>
      <c r="F33" s="26"/>
      <c r="G33" s="24"/>
      <c r="H33" s="24"/>
      <c r="I33" s="24"/>
      <c r="J33" s="24"/>
      <c r="K33" s="24"/>
      <c r="L33" s="24"/>
      <c r="M33" s="24"/>
      <c r="N33" s="26" t="s">
        <v>206</v>
      </c>
      <c r="O33" s="26" t="s">
        <v>129</v>
      </c>
      <c r="P33" s="26" t="s">
        <v>165</v>
      </c>
      <c r="Q33" s="26">
        <v>0.3125</v>
      </c>
      <c r="R33" s="26"/>
    </row>
    <row r="34" spans="2:18" ht="19.5" x14ac:dyDescent="0.25">
      <c r="B34" s="26" t="s">
        <v>203</v>
      </c>
      <c r="C34" s="26" t="s">
        <v>129</v>
      </c>
      <c r="D34" s="26" t="s">
        <v>49</v>
      </c>
      <c r="E34" s="27">
        <v>0.5</v>
      </c>
      <c r="F34" s="26"/>
      <c r="G34" s="24"/>
      <c r="H34" s="120" t="s">
        <v>198</v>
      </c>
      <c r="I34" s="120"/>
      <c r="J34" s="120"/>
      <c r="K34" s="120"/>
      <c r="L34" s="120"/>
      <c r="M34" s="24"/>
      <c r="N34" s="26" t="s">
        <v>206</v>
      </c>
      <c r="O34" s="26" t="s">
        <v>129</v>
      </c>
      <c r="P34" s="26" t="s">
        <v>166</v>
      </c>
      <c r="Q34" s="26">
        <v>0.3125</v>
      </c>
      <c r="R34" s="26"/>
    </row>
    <row r="35" spans="2:18" ht="19.5" x14ac:dyDescent="0.25">
      <c r="B35" s="26" t="s">
        <v>203</v>
      </c>
      <c r="C35" s="26" t="s">
        <v>129</v>
      </c>
      <c r="D35" s="26" t="s">
        <v>50</v>
      </c>
      <c r="E35" s="27">
        <v>0.5</v>
      </c>
      <c r="F35" s="26"/>
      <c r="G35" s="24"/>
      <c r="H35" s="25" t="s">
        <v>0</v>
      </c>
      <c r="I35" s="25" t="s">
        <v>6</v>
      </c>
      <c r="J35" s="25" t="s">
        <v>7</v>
      </c>
      <c r="K35" s="25" t="s">
        <v>1</v>
      </c>
      <c r="L35" s="25" t="s">
        <v>191</v>
      </c>
      <c r="M35" s="24"/>
      <c r="N35" s="26" t="s">
        <v>206</v>
      </c>
      <c r="O35" s="26" t="s">
        <v>129</v>
      </c>
      <c r="P35" s="26" t="s">
        <v>167</v>
      </c>
      <c r="Q35" s="26">
        <v>0.3125</v>
      </c>
      <c r="R35" s="26"/>
    </row>
    <row r="36" spans="2:18" ht="19.5" x14ac:dyDescent="0.25">
      <c r="B36" s="26" t="s">
        <v>203</v>
      </c>
      <c r="C36" s="26" t="s">
        <v>129</v>
      </c>
      <c r="D36" s="26" t="s">
        <v>51</v>
      </c>
      <c r="E36" s="27">
        <v>0.5</v>
      </c>
      <c r="F36" s="26"/>
      <c r="G36" s="24"/>
      <c r="H36" s="26" t="s">
        <v>207</v>
      </c>
      <c r="I36" s="26" t="s">
        <v>129</v>
      </c>
      <c r="J36" s="26" t="s">
        <v>103</v>
      </c>
      <c r="K36" s="27">
        <v>0.25</v>
      </c>
      <c r="L36" s="26"/>
      <c r="M36" s="24"/>
      <c r="N36" s="26" t="s">
        <v>206</v>
      </c>
      <c r="O36" s="26" t="s">
        <v>129</v>
      </c>
      <c r="P36" s="26" t="s">
        <v>168</v>
      </c>
      <c r="Q36" s="26">
        <v>0.3125</v>
      </c>
      <c r="R36" s="26"/>
    </row>
    <row r="37" spans="2:18" ht="19.5" x14ac:dyDescent="0.25">
      <c r="B37" s="26" t="s">
        <v>203</v>
      </c>
      <c r="C37" s="26" t="s">
        <v>129</v>
      </c>
      <c r="D37" s="26" t="s">
        <v>52</v>
      </c>
      <c r="E37" s="27">
        <v>0.5</v>
      </c>
      <c r="F37" s="26"/>
      <c r="G37" s="24"/>
      <c r="H37" s="26" t="s">
        <v>207</v>
      </c>
      <c r="I37" s="26" t="s">
        <v>129</v>
      </c>
      <c r="J37" s="26" t="s">
        <v>104</v>
      </c>
      <c r="K37" s="27">
        <v>0.25</v>
      </c>
      <c r="L37" s="26"/>
      <c r="M37" s="24"/>
      <c r="N37" s="26" t="s">
        <v>206</v>
      </c>
      <c r="O37" s="26" t="s">
        <v>129</v>
      </c>
      <c r="P37" s="26" t="s">
        <v>169</v>
      </c>
      <c r="Q37" s="26">
        <v>0.3125</v>
      </c>
      <c r="R37" s="26"/>
    </row>
    <row r="38" spans="2:18" ht="19.5" x14ac:dyDescent="0.25">
      <c r="B38" s="26" t="s">
        <v>203</v>
      </c>
      <c r="C38" s="26" t="s">
        <v>129</v>
      </c>
      <c r="D38" s="26" t="s">
        <v>53</v>
      </c>
      <c r="E38" s="27">
        <v>0.5</v>
      </c>
      <c r="F38" s="26"/>
      <c r="G38" s="24"/>
      <c r="H38" s="26" t="s">
        <v>207</v>
      </c>
      <c r="I38" s="26" t="s">
        <v>129</v>
      </c>
      <c r="J38" s="26" t="s">
        <v>105</v>
      </c>
      <c r="K38" s="27">
        <v>0.25</v>
      </c>
      <c r="L38" s="26"/>
      <c r="M38" s="24"/>
      <c r="N38" s="26" t="s">
        <v>206</v>
      </c>
      <c r="O38" s="26" t="s">
        <v>129</v>
      </c>
      <c r="P38" s="26" t="s">
        <v>170</v>
      </c>
      <c r="Q38" s="26">
        <v>0.3125</v>
      </c>
      <c r="R38" s="26"/>
    </row>
    <row r="39" spans="2:18" ht="19.5" x14ac:dyDescent="0.25">
      <c r="B39" s="26" t="s">
        <v>203</v>
      </c>
      <c r="C39" s="26" t="s">
        <v>129</v>
      </c>
      <c r="D39" s="26" t="s">
        <v>54</v>
      </c>
      <c r="E39" s="27">
        <v>0.5</v>
      </c>
      <c r="F39" s="26"/>
      <c r="G39" s="24"/>
      <c r="H39" s="26" t="s">
        <v>207</v>
      </c>
      <c r="I39" s="26" t="s">
        <v>129</v>
      </c>
      <c r="J39" s="26" t="s">
        <v>106</v>
      </c>
      <c r="K39" s="27">
        <v>0.375</v>
      </c>
      <c r="L39" s="26"/>
      <c r="M39" s="24"/>
      <c r="N39" s="26" t="s">
        <v>206</v>
      </c>
      <c r="O39" s="26" t="s">
        <v>129</v>
      </c>
      <c r="P39" s="26" t="s">
        <v>171</v>
      </c>
      <c r="Q39" s="26">
        <v>0.3125</v>
      </c>
      <c r="R39" s="26"/>
    </row>
    <row r="40" spans="2:18" ht="19.5" x14ac:dyDescent="0.25">
      <c r="B40" s="26" t="s">
        <v>203</v>
      </c>
      <c r="C40" s="26" t="s">
        <v>129</v>
      </c>
      <c r="D40" s="26" t="s">
        <v>55</v>
      </c>
      <c r="E40" s="27">
        <v>0.625</v>
      </c>
      <c r="F40" s="26"/>
      <c r="G40" s="24"/>
      <c r="H40" s="26" t="s">
        <v>207</v>
      </c>
      <c r="I40" s="26" t="s">
        <v>129</v>
      </c>
      <c r="J40" s="26" t="s">
        <v>107</v>
      </c>
      <c r="K40" s="27">
        <v>0.375</v>
      </c>
      <c r="L40" s="26"/>
      <c r="M40" s="24"/>
      <c r="N40" s="26" t="s">
        <v>206</v>
      </c>
      <c r="O40" s="26" t="s">
        <v>129</v>
      </c>
      <c r="P40" s="26" t="s">
        <v>172</v>
      </c>
      <c r="Q40" s="26">
        <v>0.3125</v>
      </c>
      <c r="R40" s="26"/>
    </row>
    <row r="41" spans="2:18" ht="19.5" x14ac:dyDescent="0.25">
      <c r="B41" s="26" t="s">
        <v>203</v>
      </c>
      <c r="C41" s="26" t="s">
        <v>129</v>
      </c>
      <c r="D41" s="26" t="s">
        <v>56</v>
      </c>
      <c r="E41" s="27">
        <v>0.625</v>
      </c>
      <c r="F41" s="26"/>
      <c r="G41" s="24"/>
      <c r="H41" s="26" t="s">
        <v>207</v>
      </c>
      <c r="I41" s="26" t="s">
        <v>129</v>
      </c>
      <c r="J41" s="26" t="s">
        <v>108</v>
      </c>
      <c r="K41" s="27">
        <v>0.375</v>
      </c>
      <c r="L41" s="26"/>
      <c r="M41" s="24"/>
      <c r="N41" s="26" t="s">
        <v>206</v>
      </c>
      <c r="O41" s="26" t="s">
        <v>129</v>
      </c>
      <c r="P41" s="26" t="s">
        <v>173</v>
      </c>
      <c r="Q41" s="26">
        <v>0.3125</v>
      </c>
      <c r="R41" s="26"/>
    </row>
    <row r="42" spans="2:18" ht="19.5" x14ac:dyDescent="0.25">
      <c r="B42" s="26" t="s">
        <v>203</v>
      </c>
      <c r="C42" s="26" t="s">
        <v>129</v>
      </c>
      <c r="D42" s="26" t="s">
        <v>57</v>
      </c>
      <c r="E42" s="27">
        <v>0.625</v>
      </c>
      <c r="F42" s="26"/>
      <c r="G42" s="24"/>
      <c r="H42" s="26" t="s">
        <v>207</v>
      </c>
      <c r="I42" s="26" t="s">
        <v>129</v>
      </c>
      <c r="J42" s="26" t="s">
        <v>109</v>
      </c>
      <c r="K42" s="27">
        <v>0.375</v>
      </c>
      <c r="L42" s="26"/>
      <c r="M42" s="24"/>
      <c r="N42" s="26" t="s">
        <v>206</v>
      </c>
      <c r="O42" s="26" t="s">
        <v>129</v>
      </c>
      <c r="P42" s="26" t="s">
        <v>174</v>
      </c>
      <c r="Q42" s="26">
        <v>0.3125</v>
      </c>
      <c r="R42" s="26"/>
    </row>
    <row r="43" spans="2:18" ht="19.5" x14ac:dyDescent="0.25">
      <c r="B43" s="26" t="s">
        <v>203</v>
      </c>
      <c r="C43" s="26" t="s">
        <v>129</v>
      </c>
      <c r="D43" s="26" t="s">
        <v>58</v>
      </c>
      <c r="E43" s="27">
        <v>0.75</v>
      </c>
      <c r="F43" s="26"/>
      <c r="G43" s="24"/>
      <c r="H43" s="26" t="s">
        <v>207</v>
      </c>
      <c r="I43" s="26" t="s">
        <v>129</v>
      </c>
      <c r="J43" s="26" t="s">
        <v>110</v>
      </c>
      <c r="K43" s="27">
        <v>0.5</v>
      </c>
      <c r="L43" s="26"/>
      <c r="M43" s="24"/>
      <c r="N43" s="26" t="s">
        <v>206</v>
      </c>
      <c r="O43" s="26" t="s">
        <v>129</v>
      </c>
      <c r="P43" s="26" t="s">
        <v>175</v>
      </c>
      <c r="Q43" s="26">
        <v>0.3125</v>
      </c>
      <c r="R43" s="26"/>
    </row>
    <row r="44" spans="2:18" ht="19.5" x14ac:dyDescent="0.25">
      <c r="B44" s="26" t="s">
        <v>203</v>
      </c>
      <c r="C44" s="26" t="s">
        <v>129</v>
      </c>
      <c r="D44" s="26" t="s">
        <v>59</v>
      </c>
      <c r="E44" s="27">
        <v>0.75</v>
      </c>
      <c r="F44" s="26"/>
      <c r="G44" s="24"/>
      <c r="H44" s="26" t="s">
        <v>207</v>
      </c>
      <c r="I44" s="26" t="s">
        <v>129</v>
      </c>
      <c r="J44" s="26" t="s">
        <v>111</v>
      </c>
      <c r="K44" s="27">
        <v>0.5</v>
      </c>
      <c r="L44" s="26"/>
      <c r="M44" s="24"/>
      <c r="N44" s="26" t="s">
        <v>206</v>
      </c>
      <c r="O44" s="26" t="s">
        <v>129</v>
      </c>
      <c r="P44" s="26" t="s">
        <v>176</v>
      </c>
      <c r="Q44" s="26">
        <v>0.3125</v>
      </c>
      <c r="R44" s="26"/>
    </row>
    <row r="45" spans="2:18" ht="19.5" x14ac:dyDescent="0.25">
      <c r="B45" s="26" t="s">
        <v>203</v>
      </c>
      <c r="C45" s="26" t="s">
        <v>129</v>
      </c>
      <c r="D45" s="26" t="s">
        <v>60</v>
      </c>
      <c r="E45" s="27">
        <v>0.75</v>
      </c>
      <c r="F45" s="26"/>
      <c r="G45" s="24"/>
      <c r="H45" s="26" t="s">
        <v>207</v>
      </c>
      <c r="I45" s="26" t="s">
        <v>129</v>
      </c>
      <c r="J45" s="26" t="s">
        <v>112</v>
      </c>
      <c r="K45" s="27">
        <v>0.5</v>
      </c>
      <c r="L45" s="26"/>
      <c r="M45" s="24"/>
      <c r="N45" s="26" t="s">
        <v>206</v>
      </c>
      <c r="O45" s="26" t="s">
        <v>129</v>
      </c>
      <c r="P45" s="26" t="s">
        <v>177</v>
      </c>
      <c r="Q45" s="26">
        <v>0.3125</v>
      </c>
      <c r="R45" s="26"/>
    </row>
    <row r="46" spans="2:18" ht="19.5" x14ac:dyDescent="0.25">
      <c r="B46" s="26" t="s">
        <v>203</v>
      </c>
      <c r="C46" s="26" t="s">
        <v>129</v>
      </c>
      <c r="D46" s="26" t="s">
        <v>61</v>
      </c>
      <c r="E46" s="27">
        <v>0.75</v>
      </c>
      <c r="F46" s="26"/>
      <c r="G46" s="24"/>
      <c r="H46" s="26" t="s">
        <v>207</v>
      </c>
      <c r="I46" s="26" t="s">
        <v>129</v>
      </c>
      <c r="J46" s="26" t="s">
        <v>113</v>
      </c>
      <c r="K46" s="27">
        <v>0.5</v>
      </c>
      <c r="L46" s="26"/>
      <c r="M46" s="24"/>
      <c r="N46" s="26" t="s">
        <v>206</v>
      </c>
      <c r="O46" s="26" t="s">
        <v>129</v>
      </c>
      <c r="P46" s="26" t="s">
        <v>178</v>
      </c>
      <c r="Q46" s="26">
        <v>0.3125</v>
      </c>
      <c r="R46" s="26"/>
    </row>
    <row r="47" spans="2:18" ht="19.5" x14ac:dyDescent="0.25">
      <c r="B47" s="26" t="s">
        <v>203</v>
      </c>
      <c r="C47" s="26" t="s">
        <v>129</v>
      </c>
      <c r="D47" s="26" t="s">
        <v>62</v>
      </c>
      <c r="E47" s="27">
        <v>0.75</v>
      </c>
      <c r="F47" s="26"/>
      <c r="G47" s="24"/>
      <c r="H47" s="26" t="s">
        <v>207</v>
      </c>
      <c r="I47" s="26" t="s">
        <v>129</v>
      </c>
      <c r="J47" s="26" t="s">
        <v>114</v>
      </c>
      <c r="K47" s="27">
        <v>0.5</v>
      </c>
      <c r="L47" s="26"/>
      <c r="M47" s="24"/>
      <c r="N47" s="26" t="s">
        <v>206</v>
      </c>
      <c r="O47" s="26" t="s">
        <v>129</v>
      </c>
      <c r="P47" s="26" t="s">
        <v>179</v>
      </c>
      <c r="Q47" s="26">
        <v>0.3125</v>
      </c>
      <c r="R47" s="26"/>
    </row>
    <row r="48" spans="2:18" ht="19.5" x14ac:dyDescent="0.25">
      <c r="B48" s="26" t="s">
        <v>203</v>
      </c>
      <c r="C48" s="26" t="s">
        <v>129</v>
      </c>
      <c r="D48" s="26" t="s">
        <v>63</v>
      </c>
      <c r="E48" s="27">
        <v>0.75</v>
      </c>
      <c r="F48" s="26"/>
      <c r="G48" s="24"/>
      <c r="H48" s="26" t="s">
        <v>207</v>
      </c>
      <c r="I48" s="26" t="s">
        <v>129</v>
      </c>
      <c r="J48" s="26" t="s">
        <v>115</v>
      </c>
      <c r="K48" s="27">
        <v>0.5</v>
      </c>
      <c r="L48" s="26"/>
      <c r="M48" s="24"/>
      <c r="N48" s="26" t="s">
        <v>206</v>
      </c>
      <c r="O48" s="26" t="s">
        <v>129</v>
      </c>
      <c r="P48" s="26" t="s">
        <v>180</v>
      </c>
      <c r="Q48" s="26">
        <v>0.3125</v>
      </c>
      <c r="R48" s="26"/>
    </row>
    <row r="49" spans="2:18" ht="19.5" x14ac:dyDescent="0.25">
      <c r="B49" s="26" t="s">
        <v>203</v>
      </c>
      <c r="C49" s="26" t="s">
        <v>129</v>
      </c>
      <c r="D49" s="26" t="s">
        <v>64</v>
      </c>
      <c r="E49" s="27">
        <v>0.75</v>
      </c>
      <c r="F49" s="26"/>
      <c r="G49" s="24"/>
      <c r="H49" s="26" t="s">
        <v>207</v>
      </c>
      <c r="I49" s="26" t="s">
        <v>129</v>
      </c>
      <c r="J49" s="26" t="s">
        <v>116</v>
      </c>
      <c r="K49" s="27">
        <v>0.5</v>
      </c>
      <c r="L49" s="26"/>
      <c r="M49" s="24"/>
      <c r="N49" s="26" t="s">
        <v>206</v>
      </c>
      <c r="O49" s="26" t="s">
        <v>129</v>
      </c>
      <c r="P49" s="26" t="s">
        <v>181</v>
      </c>
      <c r="Q49" s="26">
        <v>0.3125</v>
      </c>
      <c r="R49" s="26"/>
    </row>
    <row r="50" spans="2:18" ht="19.5" x14ac:dyDescent="0.25">
      <c r="B50" s="26" t="s">
        <v>203</v>
      </c>
      <c r="C50" s="26" t="s">
        <v>129</v>
      </c>
      <c r="D50" s="26" t="s">
        <v>65</v>
      </c>
      <c r="E50" s="27">
        <v>0.75</v>
      </c>
      <c r="F50" s="26"/>
      <c r="G50" s="24"/>
      <c r="H50" s="26" t="s">
        <v>207</v>
      </c>
      <c r="I50" s="26" t="s">
        <v>129</v>
      </c>
      <c r="J50" s="26" t="s">
        <v>117</v>
      </c>
      <c r="K50" s="27">
        <v>0.625</v>
      </c>
      <c r="L50" s="26"/>
      <c r="M50" s="24"/>
      <c r="N50" s="26" t="s">
        <v>206</v>
      </c>
      <c r="O50" s="26" t="s">
        <v>129</v>
      </c>
      <c r="P50" s="26" t="s">
        <v>182</v>
      </c>
      <c r="Q50" s="26">
        <v>0.3125</v>
      </c>
      <c r="R50" s="26"/>
    </row>
    <row r="51" spans="2:18" ht="19.5" x14ac:dyDescent="0.25">
      <c r="B51" s="26" t="s">
        <v>203</v>
      </c>
      <c r="C51" s="26" t="s">
        <v>129</v>
      </c>
      <c r="D51" s="26" t="s">
        <v>66</v>
      </c>
      <c r="E51" s="27">
        <v>0.75</v>
      </c>
      <c r="F51" s="26"/>
      <c r="G51" s="24"/>
      <c r="H51" s="26" t="s">
        <v>207</v>
      </c>
      <c r="I51" s="26" t="s">
        <v>129</v>
      </c>
      <c r="J51" s="26" t="s">
        <v>118</v>
      </c>
      <c r="K51" s="27">
        <v>0.625</v>
      </c>
      <c r="L51" s="26"/>
      <c r="M51" s="24"/>
      <c r="N51" s="26" t="s">
        <v>206</v>
      </c>
      <c r="O51" s="26" t="s">
        <v>129</v>
      </c>
      <c r="P51" s="26" t="s">
        <v>183</v>
      </c>
      <c r="Q51" s="26">
        <v>0.3125</v>
      </c>
      <c r="R51" s="26"/>
    </row>
    <row r="52" spans="2:18" ht="19.5" x14ac:dyDescent="0.25">
      <c r="B52" s="26" t="s">
        <v>203</v>
      </c>
      <c r="C52" s="26" t="s">
        <v>129</v>
      </c>
      <c r="D52" s="26" t="s">
        <v>67</v>
      </c>
      <c r="E52" s="27">
        <v>0.75</v>
      </c>
      <c r="F52" s="26"/>
      <c r="G52" s="24"/>
      <c r="H52" s="26" t="s">
        <v>207</v>
      </c>
      <c r="I52" s="26" t="s">
        <v>129</v>
      </c>
      <c r="J52" s="26" t="s">
        <v>119</v>
      </c>
      <c r="K52" s="27">
        <v>0.625</v>
      </c>
      <c r="L52" s="26"/>
      <c r="M52" s="24"/>
      <c r="N52" s="26" t="s">
        <v>206</v>
      </c>
      <c r="O52" s="26" t="s">
        <v>129</v>
      </c>
      <c r="P52" s="26" t="s">
        <v>184</v>
      </c>
      <c r="Q52" s="26">
        <v>0.3125</v>
      </c>
      <c r="R52" s="26"/>
    </row>
    <row r="53" spans="2:18" ht="19.5" x14ac:dyDescent="0.25">
      <c r="B53" s="26" t="s">
        <v>203</v>
      </c>
      <c r="C53" s="26" t="s">
        <v>129</v>
      </c>
      <c r="D53" s="26" t="s">
        <v>68</v>
      </c>
      <c r="E53" s="27">
        <v>0.75</v>
      </c>
      <c r="F53" s="26"/>
      <c r="G53" s="24"/>
      <c r="H53" s="26" t="s">
        <v>207</v>
      </c>
      <c r="I53" s="26" t="s">
        <v>129</v>
      </c>
      <c r="J53" s="26" t="s">
        <v>120</v>
      </c>
      <c r="K53" s="27">
        <v>0.625</v>
      </c>
      <c r="L53" s="26"/>
      <c r="M53" s="24"/>
      <c r="N53" s="26" t="s">
        <v>206</v>
      </c>
      <c r="O53" s="26" t="s">
        <v>129</v>
      </c>
      <c r="P53" s="26" t="s">
        <v>185</v>
      </c>
      <c r="Q53" s="26">
        <v>0.3125</v>
      </c>
      <c r="R53" s="26"/>
    </row>
    <row r="54" spans="2:18" ht="19.5" x14ac:dyDescent="0.25">
      <c r="B54" s="26" t="s">
        <v>203</v>
      </c>
      <c r="C54" s="26" t="s">
        <v>129</v>
      </c>
      <c r="D54" s="26" t="s">
        <v>69</v>
      </c>
      <c r="E54" s="27">
        <v>0.75</v>
      </c>
      <c r="F54" s="26"/>
      <c r="G54" s="24"/>
      <c r="H54" s="26" t="s">
        <v>207</v>
      </c>
      <c r="I54" s="26" t="s">
        <v>129</v>
      </c>
      <c r="J54" s="26" t="s">
        <v>121</v>
      </c>
      <c r="K54" s="27">
        <v>0.75</v>
      </c>
      <c r="L54" s="26"/>
      <c r="M54" s="24"/>
      <c r="N54" s="26" t="s">
        <v>206</v>
      </c>
      <c r="O54" s="26" t="s">
        <v>129</v>
      </c>
      <c r="P54" s="26" t="s">
        <v>186</v>
      </c>
      <c r="Q54" s="26">
        <v>0.3125</v>
      </c>
      <c r="R54" s="26"/>
    </row>
    <row r="55" spans="2:18" ht="19.5" x14ac:dyDescent="0.25">
      <c r="B55" s="26" t="s">
        <v>203</v>
      </c>
      <c r="C55" s="26" t="s">
        <v>129</v>
      </c>
      <c r="D55" s="26" t="s">
        <v>70</v>
      </c>
      <c r="E55" s="27">
        <v>0.75</v>
      </c>
      <c r="F55" s="26"/>
      <c r="G55" s="24"/>
      <c r="H55" s="26" t="s">
        <v>207</v>
      </c>
      <c r="I55" s="26" t="s">
        <v>129</v>
      </c>
      <c r="J55" s="26" t="s">
        <v>122</v>
      </c>
      <c r="K55" s="27">
        <v>0.75</v>
      </c>
      <c r="L55" s="26"/>
      <c r="M55" s="24"/>
      <c r="N55" s="24"/>
      <c r="O55" s="24"/>
      <c r="P55" s="24"/>
      <c r="Q55" s="24"/>
      <c r="R55" s="24"/>
    </row>
    <row r="56" spans="2:18" ht="19.5" x14ac:dyDescent="0.25">
      <c r="B56" s="26" t="s">
        <v>203</v>
      </c>
      <c r="C56" s="26" t="s">
        <v>129</v>
      </c>
      <c r="D56" s="26" t="s">
        <v>71</v>
      </c>
      <c r="E56" s="27">
        <v>0.75</v>
      </c>
      <c r="F56" s="26"/>
      <c r="G56" s="24"/>
      <c r="H56" s="26" t="s">
        <v>207</v>
      </c>
      <c r="I56" s="26" t="s">
        <v>129</v>
      </c>
      <c r="J56" s="26" t="s">
        <v>123</v>
      </c>
      <c r="K56" s="27">
        <v>0.75</v>
      </c>
      <c r="L56" s="26"/>
      <c r="M56" s="24"/>
      <c r="N56" s="24"/>
      <c r="O56" s="24"/>
      <c r="P56" s="24"/>
      <c r="Q56" s="24"/>
      <c r="R56" s="24"/>
    </row>
    <row r="57" spans="2:18" ht="19.5" x14ac:dyDescent="0.25">
      <c r="B57" s="26" t="s">
        <v>203</v>
      </c>
      <c r="C57" s="26" t="s">
        <v>129</v>
      </c>
      <c r="D57" s="26" t="s">
        <v>72</v>
      </c>
      <c r="E57" s="27">
        <v>0.75</v>
      </c>
      <c r="F57" s="26"/>
      <c r="G57" s="24"/>
      <c r="H57" s="26" t="s">
        <v>207</v>
      </c>
      <c r="I57" s="26" t="s">
        <v>129</v>
      </c>
      <c r="J57" s="26" t="s">
        <v>124</v>
      </c>
      <c r="K57" s="27">
        <v>0.75</v>
      </c>
      <c r="L57" s="26"/>
      <c r="M57" s="24"/>
      <c r="N57" s="24"/>
      <c r="O57" s="24"/>
      <c r="P57" s="24"/>
      <c r="Q57" s="24"/>
      <c r="R57" s="24"/>
    </row>
    <row r="58" spans="2:18" ht="19.5" x14ac:dyDescent="0.25">
      <c r="B58" s="26" t="s">
        <v>203</v>
      </c>
      <c r="C58" s="26" t="s">
        <v>129</v>
      </c>
      <c r="D58" s="26" t="s">
        <v>73</v>
      </c>
      <c r="E58" s="27">
        <v>0.75</v>
      </c>
      <c r="F58" s="26"/>
      <c r="G58" s="24"/>
      <c r="H58" s="26" t="s">
        <v>207</v>
      </c>
      <c r="I58" s="26" t="s">
        <v>129</v>
      </c>
      <c r="J58" s="26" t="s">
        <v>125</v>
      </c>
      <c r="K58" s="27">
        <v>0.875</v>
      </c>
      <c r="L58" s="26"/>
      <c r="M58" s="24"/>
      <c r="N58" s="24"/>
      <c r="O58" s="24"/>
      <c r="P58" s="24"/>
      <c r="Q58" s="24"/>
      <c r="R58" s="24"/>
    </row>
    <row r="59" spans="2:18" ht="19.5" x14ac:dyDescent="0.25">
      <c r="B59" s="26" t="s">
        <v>203</v>
      </c>
      <c r="C59" s="26" t="s">
        <v>129</v>
      </c>
      <c r="D59" s="26" t="s">
        <v>74</v>
      </c>
      <c r="E59" s="27">
        <v>0.75</v>
      </c>
      <c r="F59" s="26"/>
      <c r="G59" s="24"/>
      <c r="H59" s="26" t="s">
        <v>207</v>
      </c>
      <c r="I59" s="26" t="s">
        <v>129</v>
      </c>
      <c r="J59" s="26" t="s">
        <v>126</v>
      </c>
      <c r="K59" s="27">
        <v>0.875</v>
      </c>
      <c r="L59" s="26"/>
      <c r="M59" s="24"/>
      <c r="N59" s="24"/>
      <c r="O59" s="24"/>
      <c r="P59" s="24"/>
      <c r="Q59" s="24"/>
      <c r="R59" s="24"/>
    </row>
    <row r="60" spans="2:18" ht="19.5" x14ac:dyDescent="0.25">
      <c r="B60" s="26" t="s">
        <v>203</v>
      </c>
      <c r="C60" s="26" t="s">
        <v>129</v>
      </c>
      <c r="D60" s="26" t="s">
        <v>75</v>
      </c>
      <c r="E60" s="27">
        <v>0.75</v>
      </c>
      <c r="F60" s="26"/>
      <c r="G60" s="24"/>
      <c r="H60" s="26" t="s">
        <v>207</v>
      </c>
      <c r="I60" s="26" t="s">
        <v>129</v>
      </c>
      <c r="J60" s="26" t="s">
        <v>127</v>
      </c>
      <c r="K60" s="27">
        <v>0.875</v>
      </c>
      <c r="L60" s="26"/>
      <c r="M60" s="24"/>
      <c r="N60" s="24"/>
      <c r="O60" s="24"/>
      <c r="P60" s="24"/>
      <c r="Q60" s="24"/>
      <c r="R60" s="24"/>
    </row>
    <row r="61" spans="2:18" ht="19.5" x14ac:dyDescent="0.25">
      <c r="B61" s="26" t="s">
        <v>203</v>
      </c>
      <c r="C61" s="26" t="s">
        <v>129</v>
      </c>
      <c r="D61" s="26" t="s">
        <v>76</v>
      </c>
      <c r="E61" s="27">
        <v>0.875</v>
      </c>
      <c r="F61" s="26"/>
      <c r="G61" s="24"/>
      <c r="H61" s="24"/>
      <c r="I61" s="24"/>
      <c r="J61" s="24"/>
      <c r="K61" s="29"/>
      <c r="L61" s="24"/>
      <c r="M61" s="24"/>
      <c r="N61" s="24"/>
      <c r="O61" s="24"/>
      <c r="P61" s="24"/>
      <c r="Q61" s="24"/>
      <c r="R61" s="24"/>
    </row>
    <row r="62" spans="2:18" ht="19.5" x14ac:dyDescent="0.25">
      <c r="B62" s="26" t="s">
        <v>203</v>
      </c>
      <c r="C62" s="26" t="s">
        <v>129</v>
      </c>
      <c r="D62" s="26" t="s">
        <v>77</v>
      </c>
      <c r="E62" s="27">
        <v>0.875</v>
      </c>
      <c r="F62" s="26"/>
      <c r="G62" s="24"/>
      <c r="H62" s="24"/>
      <c r="I62" s="24"/>
      <c r="J62" s="24"/>
      <c r="K62" s="29"/>
      <c r="L62" s="24"/>
      <c r="M62" s="24"/>
      <c r="N62" s="24"/>
      <c r="O62" s="24"/>
      <c r="P62" s="24"/>
      <c r="Q62" s="24"/>
      <c r="R62" s="24"/>
    </row>
    <row r="63" spans="2:18" ht="19.5" x14ac:dyDescent="0.25">
      <c r="B63" s="26" t="s">
        <v>203</v>
      </c>
      <c r="C63" s="26" t="s">
        <v>129</v>
      </c>
      <c r="D63" s="26" t="s">
        <v>78</v>
      </c>
      <c r="E63" s="27">
        <v>0.875</v>
      </c>
      <c r="F63" s="26"/>
      <c r="G63" s="24"/>
      <c r="H63" s="24"/>
      <c r="I63" s="24"/>
      <c r="J63" s="24"/>
      <c r="K63" s="29"/>
      <c r="L63" s="24"/>
      <c r="M63" s="24"/>
      <c r="N63" s="24"/>
      <c r="O63" s="24"/>
      <c r="P63" s="24"/>
      <c r="Q63" s="24"/>
      <c r="R63" s="24"/>
    </row>
    <row r="64" spans="2:18" ht="19.5" x14ac:dyDescent="0.25">
      <c r="B64" s="26" t="s">
        <v>203</v>
      </c>
      <c r="C64" s="26" t="s">
        <v>129</v>
      </c>
      <c r="D64" s="26" t="s">
        <v>79</v>
      </c>
      <c r="E64" s="27">
        <v>0.875</v>
      </c>
      <c r="F64" s="26"/>
      <c r="G64" s="24"/>
      <c r="H64" s="24"/>
      <c r="I64" s="24"/>
      <c r="J64" s="24"/>
      <c r="K64" s="29"/>
      <c r="L64" s="24"/>
      <c r="M64" s="24"/>
      <c r="N64" s="24"/>
      <c r="O64" s="24"/>
      <c r="P64" s="24"/>
      <c r="Q64" s="24"/>
      <c r="R64" s="24"/>
    </row>
    <row r="65" spans="1:17" x14ac:dyDescent="0.25">
      <c r="K65" s="21"/>
    </row>
    <row r="66" spans="1:17" ht="18" thickBot="1" x14ac:dyDescent="0.3">
      <c r="A66" s="30" t="s">
        <v>192</v>
      </c>
      <c r="B66" s="115"/>
      <c r="C66" s="115"/>
      <c r="F66" s="30" t="s">
        <v>193</v>
      </c>
      <c r="G66" s="23"/>
      <c r="H66" s="23"/>
      <c r="J66" s="30" t="s">
        <v>194</v>
      </c>
      <c r="K66" s="115"/>
      <c r="L66" s="115"/>
      <c r="O66" s="30" t="s">
        <v>195</v>
      </c>
      <c r="P66" s="116"/>
      <c r="Q66" s="116"/>
    </row>
    <row r="67" spans="1:17" x14ac:dyDescent="0.25">
      <c r="K67" s="21"/>
    </row>
    <row r="68" spans="1:17" x14ac:dyDescent="0.25">
      <c r="K68" s="21"/>
    </row>
    <row r="69" spans="1:17" x14ac:dyDescent="0.25">
      <c r="K69" s="21"/>
    </row>
    <row r="70" spans="1:17" x14ac:dyDescent="0.25">
      <c r="K70" s="21"/>
    </row>
    <row r="71" spans="1:17" x14ac:dyDescent="0.25">
      <c r="K71" s="21"/>
    </row>
    <row r="72" spans="1:17" x14ac:dyDescent="0.25">
      <c r="K72" s="21"/>
    </row>
    <row r="73" spans="1:17" x14ac:dyDescent="0.25">
      <c r="K73" s="21"/>
    </row>
    <row r="74" spans="1:17" x14ac:dyDescent="0.25">
      <c r="K74" s="21"/>
    </row>
    <row r="75" spans="1:17" x14ac:dyDescent="0.25">
      <c r="K75" s="21"/>
    </row>
    <row r="76" spans="1:17" x14ac:dyDescent="0.25">
      <c r="K76" s="21"/>
    </row>
    <row r="77" spans="1:17" x14ac:dyDescent="0.25">
      <c r="K77" s="21"/>
    </row>
    <row r="78" spans="1:17" x14ac:dyDescent="0.25">
      <c r="K78" s="21"/>
    </row>
    <row r="79" spans="1:17" x14ac:dyDescent="0.25">
      <c r="K79" s="21"/>
    </row>
    <row r="80" spans="1:17" x14ac:dyDescent="0.25">
      <c r="K80" s="21"/>
    </row>
    <row r="81" spans="5:11" x14ac:dyDescent="0.25">
      <c r="K81" s="21"/>
    </row>
    <row r="82" spans="5:11" x14ac:dyDescent="0.25">
      <c r="K82" s="21"/>
    </row>
    <row r="83" spans="5:11" x14ac:dyDescent="0.25">
      <c r="K83" s="21"/>
    </row>
    <row r="84" spans="5:11" x14ac:dyDescent="0.25">
      <c r="K84" s="21"/>
    </row>
    <row r="85" spans="5:11" x14ac:dyDescent="0.25">
      <c r="K85" s="21"/>
    </row>
    <row r="86" spans="5:11" x14ac:dyDescent="0.25">
      <c r="K86" s="21"/>
    </row>
    <row r="87" spans="5:11" x14ac:dyDescent="0.25">
      <c r="K87" s="21"/>
    </row>
    <row r="88" spans="5:11" x14ac:dyDescent="0.25">
      <c r="E88" s="21"/>
      <c r="K88" s="21"/>
    </row>
  </sheetData>
  <mergeCells count="11">
    <mergeCell ref="C2:Q4"/>
    <mergeCell ref="B6:R6"/>
    <mergeCell ref="B7:F7"/>
    <mergeCell ref="B8:F8"/>
    <mergeCell ref="H8:L8"/>
    <mergeCell ref="N8:R8"/>
    <mergeCell ref="N26:R26"/>
    <mergeCell ref="H34:L34"/>
    <mergeCell ref="B66:C66"/>
    <mergeCell ref="K66:L66"/>
    <mergeCell ref="P66:Q66"/>
  </mergeCells>
  <pageMargins left="0.25" right="0.25" top="0.75" bottom="0.75" header="0.3" footer="0.3"/>
  <pageSetup scale="40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50"/>
    <pageSetUpPr fitToPage="1"/>
  </sheetPr>
  <dimension ref="A2:AS159"/>
  <sheetViews>
    <sheetView topLeftCell="A66" zoomScale="85" zoomScaleNormal="85" workbookViewId="0">
      <pane xSplit="1" topLeftCell="B1" activePane="topRight" state="frozen"/>
      <selection pane="topRight" activeCell="D102" sqref="D102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bestFit="1" customWidth="1"/>
    <col min="8" max="8" width="15.42578125" style="1" bestFit="1" customWidth="1"/>
    <col min="9" max="9" width="10.7109375" style="1" customWidth="1"/>
    <col min="10" max="10" width="10.140625" style="1" customWidth="1"/>
    <col min="11" max="11" width="7.5703125" style="1" customWidth="1"/>
    <col min="12" max="12" width="9.5703125" style="1" customWidth="1"/>
    <col min="13" max="13" width="5" style="1" customWidth="1"/>
    <col min="14" max="14" width="9.5703125" style="1" bestFit="1" customWidth="1"/>
    <col min="15" max="15" width="10.140625" style="1" customWidth="1"/>
    <col min="16" max="17" width="9.140625" style="1" customWidth="1"/>
    <col min="18" max="19" width="8.7109375" style="1" customWidth="1"/>
    <col min="20" max="22" width="8.7109375" style="16" customWidth="1"/>
    <col min="23" max="24" width="8.7109375" style="1" customWidth="1"/>
    <col min="25" max="35" width="8.7109375" style="16" customWidth="1"/>
    <col min="36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2" spans="1:45" x14ac:dyDescent="0.25">
      <c r="B2" s="4" t="s">
        <v>17</v>
      </c>
      <c r="C2" s="92" t="s">
        <v>18</v>
      </c>
      <c r="D2" s="92"/>
    </row>
    <row r="3" spans="1:45" x14ac:dyDescent="0.25">
      <c r="B3" s="93">
        <f ca="1">TODAY()</f>
        <v>46308</v>
      </c>
      <c r="C3" s="4" t="s">
        <v>15</v>
      </c>
      <c r="D3" s="2"/>
      <c r="I3" s="4" t="s">
        <v>4</v>
      </c>
    </row>
    <row r="4" spans="1:45" x14ac:dyDescent="0.25">
      <c r="B4" s="93"/>
      <c r="C4" s="4" t="s">
        <v>16</v>
      </c>
      <c r="D4" s="2"/>
      <c r="I4" s="4" t="s">
        <v>5</v>
      </c>
      <c r="P4" s="122">
        <v>46209</v>
      </c>
      <c r="Q4" s="122"/>
      <c r="R4" s="122">
        <v>46210</v>
      </c>
      <c r="S4" s="122"/>
      <c r="T4" s="122">
        <v>46211</v>
      </c>
      <c r="U4" s="122"/>
      <c r="V4" s="122">
        <v>46212</v>
      </c>
      <c r="W4" s="122"/>
      <c r="X4" s="122">
        <v>46213</v>
      </c>
      <c r="Y4" s="122"/>
      <c r="Z4" s="121">
        <v>46216</v>
      </c>
      <c r="AA4" s="121"/>
      <c r="AB4" s="121">
        <v>46217</v>
      </c>
      <c r="AC4" s="121"/>
      <c r="AD4" s="121">
        <v>46218</v>
      </c>
      <c r="AE4" s="121"/>
      <c r="AF4" s="121">
        <v>46219</v>
      </c>
      <c r="AG4" s="121"/>
      <c r="AH4" s="121">
        <v>46220</v>
      </c>
      <c r="AI4" s="121"/>
      <c r="AJ4" s="6" t="s">
        <v>10</v>
      </c>
    </row>
    <row r="5" spans="1:4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>
        <v>28</v>
      </c>
      <c r="J5" s="4">
        <v>29</v>
      </c>
      <c r="K5" s="4" t="s">
        <v>9</v>
      </c>
      <c r="L5" s="4" t="s">
        <v>11</v>
      </c>
      <c r="M5" s="4" t="s">
        <v>12</v>
      </c>
      <c r="N5" s="4" t="s">
        <v>210</v>
      </c>
      <c r="O5" s="4" t="s">
        <v>14</v>
      </c>
      <c r="P5" s="4" t="s">
        <v>15</v>
      </c>
      <c r="Q5" s="4" t="s">
        <v>16</v>
      </c>
      <c r="R5" s="4" t="s">
        <v>15</v>
      </c>
      <c r="S5" s="4" t="s">
        <v>16</v>
      </c>
      <c r="T5" s="17" t="s">
        <v>15</v>
      </c>
      <c r="U5" s="17" t="s">
        <v>16</v>
      </c>
      <c r="V5" s="17" t="s">
        <v>15</v>
      </c>
      <c r="W5" s="4" t="s">
        <v>16</v>
      </c>
      <c r="X5" s="4" t="s">
        <v>15</v>
      </c>
      <c r="Y5" s="17" t="s">
        <v>16</v>
      </c>
      <c r="Z5" s="17" t="s">
        <v>15</v>
      </c>
      <c r="AA5" s="17" t="s">
        <v>16</v>
      </c>
      <c r="AB5" s="17" t="s">
        <v>15</v>
      </c>
      <c r="AC5" s="17" t="s">
        <v>16</v>
      </c>
      <c r="AD5" s="17" t="s">
        <v>15</v>
      </c>
      <c r="AE5" s="17" t="s">
        <v>16</v>
      </c>
      <c r="AF5" s="17" t="s">
        <v>15</v>
      </c>
      <c r="AG5" s="17" t="s">
        <v>16</v>
      </c>
      <c r="AH5" s="17" t="s">
        <v>15</v>
      </c>
      <c r="AI5" s="17" t="s">
        <v>16</v>
      </c>
      <c r="AJ5" s="4" t="s">
        <v>20</v>
      </c>
      <c r="AK5" s="4" t="s">
        <v>8</v>
      </c>
      <c r="AL5" s="4" t="s">
        <v>22</v>
      </c>
      <c r="AM5" s="4" t="s">
        <v>145</v>
      </c>
      <c r="AN5" s="4" t="s">
        <v>23</v>
      </c>
      <c r="AO5" s="4" t="s">
        <v>156</v>
      </c>
      <c r="AP5"/>
      <c r="AQ5" s="14" t="s">
        <v>157</v>
      </c>
      <c r="AR5" t="s">
        <v>159</v>
      </c>
      <c r="AS5"/>
    </row>
    <row r="6" spans="1:45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8">
        <f>+I6+J6+K6+L6+M6+N6-SUM(P6:AJ6)</f>
        <v>0</v>
      </c>
      <c r="P6" s="2"/>
      <c r="Q6" s="2"/>
      <c r="R6" s="2"/>
      <c r="S6" s="2"/>
      <c r="T6" s="18"/>
      <c r="U6" s="18"/>
      <c r="V6" s="18"/>
      <c r="W6" s="2"/>
      <c r="X6" s="2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2"/>
      <c r="AK6" s="7">
        <f>+G6*SUM(I6:N6)</f>
        <v>0</v>
      </c>
      <c r="AL6" s="8" t="s">
        <v>146</v>
      </c>
      <c r="AM6" s="8">
        <v>150</v>
      </c>
      <c r="AN6" s="8" t="s">
        <v>152</v>
      </c>
      <c r="AO6" s="8">
        <f>+SUM(I6:N6)/AM6</f>
        <v>0</v>
      </c>
      <c r="AP6"/>
      <c r="AQ6" s="15">
        <v>0</v>
      </c>
      <c r="AR6">
        <v>0</v>
      </c>
      <c r="AS6"/>
    </row>
    <row r="7" spans="1:45" x14ac:dyDescent="0.25">
      <c r="A7" s="2">
        <v>2</v>
      </c>
      <c r="B7" s="2" t="s">
        <v>24</v>
      </c>
      <c r="C7" s="2" t="s">
        <v>129</v>
      </c>
      <c r="D7" s="2" t="s">
        <v>26</v>
      </c>
      <c r="E7" s="13">
        <v>0.25</v>
      </c>
      <c r="F7" s="2">
        <v>2.8000000000000001E-2</v>
      </c>
      <c r="G7" s="3"/>
      <c r="H7" s="3"/>
      <c r="I7" s="2">
        <v>1400</v>
      </c>
      <c r="J7" s="2">
        <v>0</v>
      </c>
      <c r="K7" s="2">
        <v>0</v>
      </c>
      <c r="L7" s="2">
        <v>0</v>
      </c>
      <c r="M7" s="2"/>
      <c r="N7" s="2">
        <v>0</v>
      </c>
      <c r="O7" s="8">
        <f t="shared" ref="O7:O123" si="0">+I7+J7+K7+L7+M7+N7-SUM(P7:AJ7)</f>
        <v>0</v>
      </c>
      <c r="P7" s="2"/>
      <c r="Q7" s="2"/>
      <c r="R7" s="2"/>
      <c r="S7" s="2"/>
      <c r="T7" s="18">
        <v>1400</v>
      </c>
      <c r="U7" s="18"/>
      <c r="V7" s="18"/>
      <c r="W7" s="2"/>
      <c r="X7" s="2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2"/>
      <c r="AK7" s="7">
        <f t="shared" ref="AK7:AK123" si="1">+G7*SUM(I7:N7)</f>
        <v>0</v>
      </c>
      <c r="AL7" s="8" t="s">
        <v>146</v>
      </c>
      <c r="AM7" s="8">
        <v>200</v>
      </c>
      <c r="AN7" s="8" t="s">
        <v>152</v>
      </c>
      <c r="AO7" s="8">
        <f t="shared" ref="AO7:AO70" si="2">+SUM(I7:N7)/AM7</f>
        <v>7</v>
      </c>
      <c r="AP7"/>
      <c r="AQ7" s="15" t="s">
        <v>146</v>
      </c>
      <c r="AR7">
        <v>52</v>
      </c>
      <c r="AS7"/>
    </row>
    <row r="8" spans="1:45" x14ac:dyDescent="0.25">
      <c r="A8" s="2">
        <v>3</v>
      </c>
      <c r="B8" s="2" t="s">
        <v>24</v>
      </c>
      <c r="C8" s="2" t="s">
        <v>129</v>
      </c>
      <c r="D8" s="2" t="s">
        <v>27</v>
      </c>
      <c r="E8" s="13">
        <v>0.25</v>
      </c>
      <c r="F8" s="2">
        <v>2.8000000000000001E-2</v>
      </c>
      <c r="G8" s="3"/>
      <c r="H8" s="3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8">
        <f t="shared" si="0"/>
        <v>0</v>
      </c>
      <c r="P8" s="2"/>
      <c r="Q8" s="2"/>
      <c r="R8" s="2"/>
      <c r="S8" s="2"/>
      <c r="T8" s="18"/>
      <c r="U8" s="18"/>
      <c r="V8" s="18"/>
      <c r="W8" s="2"/>
      <c r="X8" s="2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"/>
      <c r="AK8" s="7">
        <f t="shared" si="1"/>
        <v>0</v>
      </c>
      <c r="AL8" s="8" t="s">
        <v>146</v>
      </c>
      <c r="AM8" s="8">
        <v>200</v>
      </c>
      <c r="AN8" s="8" t="s">
        <v>152</v>
      </c>
      <c r="AO8" s="8">
        <f t="shared" si="2"/>
        <v>0</v>
      </c>
      <c r="AP8"/>
      <c r="AQ8" s="15" t="s">
        <v>155</v>
      </c>
      <c r="AR8">
        <v>0</v>
      </c>
      <c r="AS8"/>
    </row>
    <row r="9" spans="1:45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8">
        <f t="shared" si="0"/>
        <v>0</v>
      </c>
      <c r="P9" s="2"/>
      <c r="Q9" s="2"/>
      <c r="R9" s="2"/>
      <c r="S9" s="2"/>
      <c r="T9" s="18"/>
      <c r="U9" s="18"/>
      <c r="V9" s="18"/>
      <c r="W9" s="2"/>
      <c r="X9" s="2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2"/>
      <c r="AK9" s="7">
        <f t="shared" si="1"/>
        <v>0</v>
      </c>
      <c r="AL9" s="8" t="s">
        <v>146</v>
      </c>
      <c r="AM9" s="8">
        <v>100</v>
      </c>
      <c r="AN9" s="8" t="s">
        <v>152</v>
      </c>
      <c r="AO9" s="8">
        <f t="shared" si="2"/>
        <v>0</v>
      </c>
      <c r="AP9"/>
      <c r="AQ9" s="15" t="s">
        <v>147</v>
      </c>
      <c r="AR9">
        <v>116</v>
      </c>
      <c r="AS9"/>
    </row>
    <row r="10" spans="1:45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8">
        <f t="shared" si="0"/>
        <v>0</v>
      </c>
      <c r="P10" s="2"/>
      <c r="Q10" s="2"/>
      <c r="R10" s="2"/>
      <c r="S10" s="2"/>
      <c r="T10" s="18"/>
      <c r="U10" s="18"/>
      <c r="V10" s="18"/>
      <c r="W10" s="2"/>
      <c r="X10" s="2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"/>
      <c r="AK10" s="7">
        <f t="shared" si="1"/>
        <v>0</v>
      </c>
      <c r="AL10" s="8" t="s">
        <v>146</v>
      </c>
      <c r="AM10" s="8">
        <v>150</v>
      </c>
      <c r="AN10" s="8" t="s">
        <v>152</v>
      </c>
      <c r="AO10" s="8">
        <f t="shared" si="2"/>
        <v>0</v>
      </c>
      <c r="AP10"/>
      <c r="AQ10" s="15" t="s">
        <v>150</v>
      </c>
      <c r="AR10">
        <v>2</v>
      </c>
      <c r="AS10"/>
    </row>
    <row r="11" spans="1:45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8">
        <f t="shared" si="0"/>
        <v>0</v>
      </c>
      <c r="P11" s="2"/>
      <c r="Q11" s="2"/>
      <c r="R11" s="2"/>
      <c r="S11" s="2"/>
      <c r="T11" s="18"/>
      <c r="U11" s="18"/>
      <c r="V11" s="18"/>
      <c r="W11" s="2"/>
      <c r="X11" s="2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2"/>
      <c r="AK11" s="7">
        <f t="shared" si="1"/>
        <v>0</v>
      </c>
      <c r="AL11" s="8" t="s">
        <v>146</v>
      </c>
      <c r="AM11" s="8">
        <v>150</v>
      </c>
      <c r="AN11" s="8" t="s">
        <v>152</v>
      </c>
      <c r="AO11" s="8">
        <f t="shared" si="2"/>
        <v>0</v>
      </c>
      <c r="AP11"/>
      <c r="AQ11" s="15" t="s">
        <v>149</v>
      </c>
      <c r="AR11">
        <v>10</v>
      </c>
      <c r="AS11"/>
    </row>
    <row r="12" spans="1:45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2">
        <v>1100</v>
      </c>
      <c r="J12" s="2">
        <v>0</v>
      </c>
      <c r="K12" s="2">
        <v>0</v>
      </c>
      <c r="L12" s="2">
        <v>0</v>
      </c>
      <c r="M12" s="2"/>
      <c r="N12" s="2">
        <v>0</v>
      </c>
      <c r="O12" s="8">
        <f t="shared" si="0"/>
        <v>-106</v>
      </c>
      <c r="P12" s="2"/>
      <c r="Q12" s="2"/>
      <c r="R12" s="2"/>
      <c r="S12" s="2"/>
      <c r="T12" s="18">
        <v>127</v>
      </c>
      <c r="U12" s="18">
        <v>1079</v>
      </c>
      <c r="V12" s="18"/>
      <c r="W12" s="2"/>
      <c r="X12" s="2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"/>
      <c r="AK12" s="7">
        <f t="shared" si="1"/>
        <v>0</v>
      </c>
      <c r="AL12" s="8" t="s">
        <v>146</v>
      </c>
      <c r="AM12" s="8">
        <v>50</v>
      </c>
      <c r="AN12" s="8" t="s">
        <v>152</v>
      </c>
      <c r="AO12" s="8">
        <f t="shared" si="2"/>
        <v>22</v>
      </c>
      <c r="AP12"/>
      <c r="AQ12" s="15" t="s">
        <v>158</v>
      </c>
      <c r="AR12">
        <v>180</v>
      </c>
      <c r="AS12"/>
    </row>
    <row r="13" spans="1:45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8">
        <f t="shared" si="0"/>
        <v>0</v>
      </c>
      <c r="P13" s="2"/>
      <c r="Q13" s="2"/>
      <c r="R13" s="2"/>
      <c r="S13" s="2"/>
      <c r="T13" s="18"/>
      <c r="U13" s="18"/>
      <c r="V13" s="18"/>
      <c r="W13" s="2"/>
      <c r="X13" s="2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2"/>
      <c r="AK13" s="7">
        <f t="shared" si="1"/>
        <v>0</v>
      </c>
      <c r="AL13" s="8" t="s">
        <v>146</v>
      </c>
      <c r="AM13" s="8">
        <v>100</v>
      </c>
      <c r="AN13" s="8" t="s">
        <v>152</v>
      </c>
      <c r="AO13" s="8">
        <f t="shared" si="2"/>
        <v>0</v>
      </c>
      <c r="AP13"/>
      <c r="AQ13"/>
      <c r="AR13"/>
      <c r="AS13"/>
    </row>
    <row r="14" spans="1:45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8">
        <f t="shared" si="0"/>
        <v>0</v>
      </c>
      <c r="P14" s="2"/>
      <c r="Q14" s="2"/>
      <c r="R14" s="2"/>
      <c r="S14" s="2"/>
      <c r="T14" s="18"/>
      <c r="U14" s="18"/>
      <c r="V14" s="18"/>
      <c r="W14" s="2"/>
      <c r="X14" s="2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"/>
      <c r="AK14" s="7">
        <f t="shared" si="1"/>
        <v>0</v>
      </c>
      <c r="AL14" s="8" t="s">
        <v>146</v>
      </c>
      <c r="AM14" s="8">
        <v>50</v>
      </c>
      <c r="AN14" s="8" t="s">
        <v>152</v>
      </c>
      <c r="AO14" s="8">
        <f t="shared" si="2"/>
        <v>0</v>
      </c>
      <c r="AP14"/>
      <c r="AQ14"/>
      <c r="AR14"/>
      <c r="AS14"/>
    </row>
    <row r="15" spans="1:45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8">
        <f t="shared" si="0"/>
        <v>0</v>
      </c>
      <c r="P15" s="2"/>
      <c r="Q15" s="2"/>
      <c r="R15" s="2"/>
      <c r="S15" s="2"/>
      <c r="T15" s="18"/>
      <c r="U15" s="18"/>
      <c r="V15" s="18"/>
      <c r="W15" s="2"/>
      <c r="X15" s="2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2"/>
      <c r="AK15" s="7">
        <f t="shared" si="1"/>
        <v>0</v>
      </c>
      <c r="AL15" s="8" t="s">
        <v>147</v>
      </c>
      <c r="AM15" s="8">
        <v>60</v>
      </c>
      <c r="AN15" s="8" t="s">
        <v>152</v>
      </c>
      <c r="AO15" s="8">
        <f t="shared" si="2"/>
        <v>0</v>
      </c>
      <c r="AP15"/>
      <c r="AQ15"/>
      <c r="AR15"/>
      <c r="AS15"/>
    </row>
    <row r="16" spans="1:45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8">
        <f t="shared" si="0"/>
        <v>0</v>
      </c>
      <c r="P16" s="2"/>
      <c r="Q16" s="2"/>
      <c r="R16" s="2"/>
      <c r="S16" s="2"/>
      <c r="T16" s="18"/>
      <c r="U16" s="18"/>
      <c r="V16" s="18"/>
      <c r="W16" s="2"/>
      <c r="X16" s="2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"/>
      <c r="AK16" s="7">
        <f t="shared" si="1"/>
        <v>0</v>
      </c>
      <c r="AL16" s="8" t="s">
        <v>148</v>
      </c>
      <c r="AM16" s="8">
        <v>100</v>
      </c>
      <c r="AN16" s="8" t="s">
        <v>152</v>
      </c>
      <c r="AO16" s="8">
        <f t="shared" si="2"/>
        <v>0</v>
      </c>
      <c r="AP16"/>
      <c r="AQ16"/>
      <c r="AR16"/>
      <c r="AS16"/>
    </row>
    <row r="17" spans="1:45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8">
        <f t="shared" si="0"/>
        <v>0</v>
      </c>
      <c r="P17" s="2"/>
      <c r="Q17" s="2"/>
      <c r="R17" s="2"/>
      <c r="S17" s="2"/>
      <c r="T17" s="18"/>
      <c r="U17" s="18"/>
      <c r="V17" s="18"/>
      <c r="W17" s="2"/>
      <c r="X17" s="2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2"/>
      <c r="AK17" s="7">
        <f t="shared" si="1"/>
        <v>0</v>
      </c>
      <c r="AL17" s="8" t="s">
        <v>149</v>
      </c>
      <c r="AM17" s="8">
        <v>100</v>
      </c>
      <c r="AN17" s="8" t="s">
        <v>152</v>
      </c>
      <c r="AO17" s="8">
        <f t="shared" si="2"/>
        <v>0</v>
      </c>
      <c r="AP17"/>
      <c r="AQ17"/>
      <c r="AR17"/>
      <c r="AS17"/>
    </row>
    <row r="18" spans="1:45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2">
        <v>400</v>
      </c>
      <c r="J18" s="2">
        <v>0</v>
      </c>
      <c r="K18" s="2">
        <v>0</v>
      </c>
      <c r="L18" s="2">
        <v>0</v>
      </c>
      <c r="M18" s="2"/>
      <c r="N18" s="2">
        <v>0</v>
      </c>
      <c r="O18" s="8">
        <f t="shared" si="0"/>
        <v>0</v>
      </c>
      <c r="P18" s="2"/>
      <c r="Q18" s="2"/>
      <c r="R18" s="2"/>
      <c r="S18" s="2"/>
      <c r="T18" s="18">
        <v>400</v>
      </c>
      <c r="U18" s="18"/>
      <c r="V18" s="18"/>
      <c r="W18" s="2"/>
      <c r="X18" s="2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2"/>
      <c r="AK18" s="7">
        <f t="shared" si="1"/>
        <v>0</v>
      </c>
      <c r="AL18" s="8" t="s">
        <v>149</v>
      </c>
      <c r="AM18" s="8">
        <v>100</v>
      </c>
      <c r="AN18" s="8" t="s">
        <v>152</v>
      </c>
      <c r="AO18" s="8">
        <f t="shared" si="2"/>
        <v>4</v>
      </c>
      <c r="AP18"/>
      <c r="AQ18"/>
      <c r="AR18"/>
      <c r="AS18"/>
    </row>
    <row r="19" spans="1:45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8">
        <f t="shared" si="0"/>
        <v>0</v>
      </c>
      <c r="P19" s="2"/>
      <c r="Q19" s="2"/>
      <c r="R19" s="2"/>
      <c r="S19" s="2"/>
      <c r="T19" s="18"/>
      <c r="U19" s="18"/>
      <c r="V19" s="18"/>
      <c r="W19" s="2"/>
      <c r="X19" s="2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2"/>
      <c r="AK19" s="7">
        <f t="shared" si="1"/>
        <v>0</v>
      </c>
      <c r="AL19" s="8" t="s">
        <v>149</v>
      </c>
      <c r="AM19" s="8">
        <v>100</v>
      </c>
      <c r="AN19" s="8" t="s">
        <v>152</v>
      </c>
      <c r="AO19" s="8">
        <f t="shared" si="2"/>
        <v>0</v>
      </c>
      <c r="AP19"/>
      <c r="AQ19"/>
      <c r="AR19"/>
      <c r="AS19"/>
    </row>
    <row r="20" spans="1:45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8">
        <f t="shared" si="0"/>
        <v>0</v>
      </c>
      <c r="P20" s="2"/>
      <c r="Q20" s="2"/>
      <c r="R20" s="2"/>
      <c r="S20" s="2"/>
      <c r="T20" s="18"/>
      <c r="U20" s="18"/>
      <c r="V20" s="18"/>
      <c r="W20" s="4"/>
      <c r="X20" s="4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2"/>
      <c r="AK20" s="7">
        <f t="shared" si="1"/>
        <v>0</v>
      </c>
      <c r="AL20" s="8" t="s">
        <v>149</v>
      </c>
      <c r="AM20" s="8">
        <v>80</v>
      </c>
      <c r="AN20" s="8" t="s">
        <v>152</v>
      </c>
      <c r="AO20" s="8">
        <f t="shared" si="2"/>
        <v>0</v>
      </c>
      <c r="AP20"/>
      <c r="AQ20"/>
      <c r="AR20"/>
      <c r="AS20"/>
    </row>
    <row r="21" spans="1:45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8">
        <f t="shared" si="0"/>
        <v>0</v>
      </c>
      <c r="P21" s="2"/>
      <c r="Q21" s="2"/>
      <c r="R21" s="2"/>
      <c r="S21" s="2"/>
      <c r="T21" s="18"/>
      <c r="U21" s="18"/>
      <c r="V21" s="18"/>
      <c r="W21" s="2"/>
      <c r="X21" s="2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2"/>
      <c r="AK21" s="7">
        <f t="shared" si="1"/>
        <v>0</v>
      </c>
      <c r="AL21" s="8" t="s">
        <v>149</v>
      </c>
      <c r="AM21" s="8">
        <v>100</v>
      </c>
      <c r="AN21" s="8" t="s">
        <v>152</v>
      </c>
      <c r="AO21" s="8">
        <f t="shared" si="2"/>
        <v>0</v>
      </c>
      <c r="AP21"/>
      <c r="AQ21"/>
      <c r="AR21"/>
      <c r="AS21"/>
    </row>
    <row r="22" spans="1:45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8">
        <f t="shared" si="0"/>
        <v>0</v>
      </c>
      <c r="P22" s="2"/>
      <c r="Q22" s="2"/>
      <c r="R22" s="2"/>
      <c r="S22" s="2"/>
      <c r="T22" s="18"/>
      <c r="U22" s="18"/>
      <c r="V22" s="18"/>
      <c r="W22" s="2"/>
      <c r="X22" s="2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"/>
      <c r="AK22" s="7">
        <f t="shared" si="1"/>
        <v>0</v>
      </c>
      <c r="AL22" s="8">
        <v>0</v>
      </c>
      <c r="AM22" s="8">
        <v>0</v>
      </c>
      <c r="AN22" s="8" t="s">
        <v>152</v>
      </c>
      <c r="AO22" s="8">
        <v>0</v>
      </c>
      <c r="AP22"/>
      <c r="AQ22"/>
      <c r="AR22"/>
      <c r="AS22"/>
    </row>
    <row r="23" spans="1:45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8">
        <f t="shared" si="0"/>
        <v>0</v>
      </c>
      <c r="P23" s="2"/>
      <c r="Q23" s="2"/>
      <c r="R23" s="2"/>
      <c r="S23" s="2"/>
      <c r="T23" s="18"/>
      <c r="U23" s="18"/>
      <c r="V23" s="18"/>
      <c r="W23" s="2"/>
      <c r="X23" s="2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2"/>
      <c r="AK23" s="7">
        <f t="shared" ref="AK23:AK86" si="3">+G23*SUM(I23:N23)</f>
        <v>0</v>
      </c>
      <c r="AL23" s="8">
        <v>0</v>
      </c>
      <c r="AM23" s="8">
        <v>0</v>
      </c>
      <c r="AN23" s="8" t="s">
        <v>152</v>
      </c>
      <c r="AO23" s="8">
        <v>0</v>
      </c>
      <c r="AP23"/>
    </row>
    <row r="24" spans="1:45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8">
        <f t="shared" si="0"/>
        <v>0</v>
      </c>
      <c r="P24" s="2"/>
      <c r="Q24" s="2"/>
      <c r="R24" s="2"/>
      <c r="S24" s="2"/>
      <c r="T24" s="18"/>
      <c r="U24" s="18"/>
      <c r="V24" s="18"/>
      <c r="W24" s="2"/>
      <c r="X24" s="2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"/>
      <c r="AK24" s="7">
        <f t="shared" si="3"/>
        <v>0</v>
      </c>
      <c r="AL24" s="8">
        <v>0</v>
      </c>
      <c r="AM24" s="8">
        <v>0</v>
      </c>
      <c r="AN24" s="8" t="s">
        <v>152</v>
      </c>
      <c r="AO24" s="8">
        <v>0</v>
      </c>
      <c r="AP24"/>
    </row>
    <row r="25" spans="1:45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8">
        <f t="shared" si="0"/>
        <v>0</v>
      </c>
      <c r="P25" s="2"/>
      <c r="Q25" s="2"/>
      <c r="R25" s="2"/>
      <c r="S25" s="2"/>
      <c r="T25" s="18"/>
      <c r="U25" s="18"/>
      <c r="V25" s="18"/>
      <c r="W25" s="2"/>
      <c r="X25" s="2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2"/>
      <c r="AK25" s="7">
        <f t="shared" si="3"/>
        <v>0</v>
      </c>
      <c r="AL25" s="8">
        <v>0</v>
      </c>
      <c r="AM25" s="8">
        <v>0</v>
      </c>
      <c r="AN25" s="8" t="s">
        <v>152</v>
      </c>
      <c r="AO25" s="8">
        <v>0</v>
      </c>
      <c r="AP25"/>
    </row>
    <row r="26" spans="1:45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8">
        <f t="shared" si="0"/>
        <v>0</v>
      </c>
      <c r="P26" s="2"/>
      <c r="Q26" s="2"/>
      <c r="R26" s="2"/>
      <c r="S26" s="2"/>
      <c r="T26" s="18"/>
      <c r="U26" s="18"/>
      <c r="V26" s="18"/>
      <c r="W26" s="2"/>
      <c r="X26" s="2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2"/>
      <c r="AK26" s="7">
        <f t="shared" si="3"/>
        <v>0</v>
      </c>
      <c r="AL26" s="8">
        <v>0</v>
      </c>
      <c r="AM26" s="8">
        <v>0</v>
      </c>
      <c r="AN26" s="8" t="s">
        <v>152</v>
      </c>
      <c r="AO26" s="8">
        <v>0</v>
      </c>
      <c r="AP26"/>
    </row>
    <row r="27" spans="1:45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8">
        <f t="shared" si="0"/>
        <v>0</v>
      </c>
      <c r="P27" s="2"/>
      <c r="Q27" s="2"/>
      <c r="R27" s="2"/>
      <c r="S27" s="2"/>
      <c r="T27" s="18"/>
      <c r="U27" s="18"/>
      <c r="V27" s="18"/>
      <c r="W27" s="2"/>
      <c r="X27" s="2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2"/>
      <c r="AK27" s="7">
        <f t="shared" si="3"/>
        <v>0</v>
      </c>
      <c r="AL27" s="8">
        <v>0</v>
      </c>
      <c r="AM27" s="8">
        <v>0</v>
      </c>
      <c r="AN27" s="8" t="s">
        <v>152</v>
      </c>
      <c r="AO27" s="8">
        <v>0</v>
      </c>
      <c r="AP27"/>
    </row>
    <row r="28" spans="1:45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8">
        <f t="shared" si="0"/>
        <v>0</v>
      </c>
      <c r="P28" s="2"/>
      <c r="Q28" s="2"/>
      <c r="R28" s="2"/>
      <c r="S28" s="2"/>
      <c r="T28" s="18"/>
      <c r="U28" s="18"/>
      <c r="V28" s="18"/>
      <c r="W28" s="2"/>
      <c r="X28" s="2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2"/>
      <c r="AK28" s="7">
        <f t="shared" si="3"/>
        <v>0</v>
      </c>
      <c r="AL28" s="8">
        <v>0</v>
      </c>
      <c r="AM28" s="8">
        <v>0</v>
      </c>
      <c r="AN28" s="8" t="s">
        <v>152</v>
      </c>
      <c r="AO28" s="8">
        <v>0</v>
      </c>
      <c r="AP28"/>
    </row>
    <row r="29" spans="1:45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8">
        <f t="shared" si="0"/>
        <v>0</v>
      </c>
      <c r="P29" s="2"/>
      <c r="Q29" s="2"/>
      <c r="R29" s="2"/>
      <c r="S29" s="2"/>
      <c r="T29" s="18"/>
      <c r="U29" s="18"/>
      <c r="V29" s="18"/>
      <c r="W29" s="2"/>
      <c r="X29" s="2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2"/>
      <c r="AK29" s="7">
        <f t="shared" si="3"/>
        <v>0</v>
      </c>
      <c r="AL29" s="8">
        <v>0</v>
      </c>
      <c r="AM29" s="8">
        <v>0</v>
      </c>
      <c r="AN29" s="8" t="s">
        <v>152</v>
      </c>
      <c r="AO29" s="8">
        <v>0</v>
      </c>
      <c r="AP29"/>
    </row>
    <row r="30" spans="1:45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8">
        <f t="shared" si="0"/>
        <v>0</v>
      </c>
      <c r="P30" s="2"/>
      <c r="Q30" s="2"/>
      <c r="R30" s="2"/>
      <c r="S30" s="2"/>
      <c r="T30" s="18"/>
      <c r="U30" s="18"/>
      <c r="V30" s="18"/>
      <c r="W30" s="2"/>
      <c r="X30" s="2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"/>
      <c r="AK30" s="7">
        <f t="shared" si="3"/>
        <v>0</v>
      </c>
      <c r="AL30" s="8">
        <v>0</v>
      </c>
      <c r="AM30" s="8">
        <v>0</v>
      </c>
      <c r="AN30" s="8" t="s">
        <v>152</v>
      </c>
      <c r="AO30" s="8">
        <v>0</v>
      </c>
      <c r="AP30"/>
    </row>
    <row r="31" spans="1:45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8">
        <f t="shared" si="0"/>
        <v>0</v>
      </c>
      <c r="P31" s="2"/>
      <c r="Q31" s="2"/>
      <c r="R31" s="2"/>
      <c r="S31" s="2"/>
      <c r="T31" s="18"/>
      <c r="U31" s="18"/>
      <c r="V31" s="18"/>
      <c r="W31" s="2"/>
      <c r="X31" s="2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2"/>
      <c r="AK31" s="7">
        <f t="shared" si="3"/>
        <v>0</v>
      </c>
      <c r="AL31" s="8">
        <v>0</v>
      </c>
      <c r="AM31" s="8">
        <v>0</v>
      </c>
      <c r="AN31" s="8" t="s">
        <v>152</v>
      </c>
      <c r="AO31" s="8">
        <v>0</v>
      </c>
      <c r="AP31"/>
    </row>
    <row r="32" spans="1:45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8">
        <f t="shared" si="0"/>
        <v>0</v>
      </c>
      <c r="P32" s="2"/>
      <c r="Q32" s="2"/>
      <c r="R32" s="2"/>
      <c r="S32" s="2"/>
      <c r="T32" s="18"/>
      <c r="U32" s="18"/>
      <c r="V32" s="18"/>
      <c r="W32" s="2"/>
      <c r="X32" s="2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2"/>
      <c r="AK32" s="7">
        <f t="shared" si="3"/>
        <v>0</v>
      </c>
      <c r="AL32" s="8">
        <v>0</v>
      </c>
      <c r="AM32" s="8">
        <v>0</v>
      </c>
      <c r="AN32" s="8" t="s">
        <v>152</v>
      </c>
      <c r="AO32" s="8">
        <v>0</v>
      </c>
      <c r="AP32"/>
    </row>
    <row r="33" spans="1:42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8">
        <f t="shared" si="0"/>
        <v>0</v>
      </c>
      <c r="P33" s="2"/>
      <c r="Q33" s="2"/>
      <c r="R33" s="2"/>
      <c r="S33" s="2"/>
      <c r="T33" s="18"/>
      <c r="U33" s="18"/>
      <c r="V33" s="18"/>
      <c r="W33" s="2"/>
      <c r="X33" s="2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2"/>
      <c r="AK33" s="7">
        <f t="shared" si="3"/>
        <v>0</v>
      </c>
      <c r="AL33" s="8">
        <v>0</v>
      </c>
      <c r="AM33" s="8">
        <v>0</v>
      </c>
      <c r="AN33" s="8" t="s">
        <v>152</v>
      </c>
      <c r="AO33" s="8">
        <v>0</v>
      </c>
      <c r="AP33"/>
    </row>
    <row r="34" spans="1:42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8">
        <f t="shared" si="0"/>
        <v>0</v>
      </c>
      <c r="P34" s="2"/>
      <c r="Q34" s="2"/>
      <c r="R34" s="2"/>
      <c r="S34" s="2"/>
      <c r="T34" s="18"/>
      <c r="U34" s="18"/>
      <c r="V34" s="18"/>
      <c r="W34" s="2"/>
      <c r="X34" s="2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"/>
      <c r="AK34" s="7">
        <f t="shared" si="3"/>
        <v>0</v>
      </c>
      <c r="AL34" s="8">
        <v>0</v>
      </c>
      <c r="AM34" s="8">
        <v>0</v>
      </c>
      <c r="AN34" s="8" t="s">
        <v>152</v>
      </c>
      <c r="AO34" s="8">
        <v>0</v>
      </c>
      <c r="AP34"/>
    </row>
    <row r="35" spans="1:42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8">
        <f t="shared" si="0"/>
        <v>0</v>
      </c>
      <c r="P35" s="2"/>
      <c r="Q35" s="2"/>
      <c r="R35" s="2"/>
      <c r="S35" s="2"/>
      <c r="T35" s="18"/>
      <c r="U35" s="18"/>
      <c r="V35" s="18"/>
      <c r="W35" s="2"/>
      <c r="X35" s="2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2"/>
      <c r="AK35" s="7">
        <f t="shared" si="3"/>
        <v>0</v>
      </c>
      <c r="AL35" s="8">
        <v>0</v>
      </c>
      <c r="AM35" s="8">
        <v>0</v>
      </c>
      <c r="AN35" s="8" t="s">
        <v>152</v>
      </c>
      <c r="AO35" s="8">
        <v>0</v>
      </c>
      <c r="AP35"/>
    </row>
    <row r="36" spans="1:42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8">
        <f t="shared" si="0"/>
        <v>0</v>
      </c>
      <c r="P36" s="2"/>
      <c r="Q36" s="2"/>
      <c r="R36" s="2"/>
      <c r="S36" s="2"/>
      <c r="T36" s="18"/>
      <c r="U36" s="18"/>
      <c r="V36" s="18"/>
      <c r="W36" s="2"/>
      <c r="X36" s="2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"/>
      <c r="AK36" s="7">
        <f t="shared" si="3"/>
        <v>0</v>
      </c>
      <c r="AL36" s="8" t="s">
        <v>149</v>
      </c>
      <c r="AM36" s="8">
        <v>200</v>
      </c>
      <c r="AN36" s="8" t="s">
        <v>152</v>
      </c>
      <c r="AO36" s="8">
        <f t="shared" si="2"/>
        <v>0</v>
      </c>
      <c r="AP36"/>
    </row>
    <row r="37" spans="1:42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2">
        <v>600</v>
      </c>
      <c r="J37" s="2">
        <v>0</v>
      </c>
      <c r="K37" s="2">
        <v>0</v>
      </c>
      <c r="L37" s="2">
        <v>0</v>
      </c>
      <c r="M37" s="2"/>
      <c r="N37" s="2">
        <v>0</v>
      </c>
      <c r="O37" s="8">
        <f t="shared" si="0"/>
        <v>-181</v>
      </c>
      <c r="P37" s="2"/>
      <c r="Q37" s="2"/>
      <c r="R37" s="2"/>
      <c r="S37" s="2"/>
      <c r="T37" s="18"/>
      <c r="U37" s="18"/>
      <c r="V37" s="18"/>
      <c r="W37" s="2"/>
      <c r="X37" s="2">
        <v>181</v>
      </c>
      <c r="Y37" s="18">
        <v>600</v>
      </c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2"/>
      <c r="AK37" s="7">
        <f t="shared" si="3"/>
        <v>0</v>
      </c>
      <c r="AL37" s="8" t="s">
        <v>149</v>
      </c>
      <c r="AM37" s="8">
        <v>100</v>
      </c>
      <c r="AN37" s="8" t="s">
        <v>152</v>
      </c>
      <c r="AO37" s="8">
        <f t="shared" si="2"/>
        <v>6</v>
      </c>
      <c r="AP37"/>
    </row>
    <row r="38" spans="1:42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8">
        <f t="shared" si="0"/>
        <v>0</v>
      </c>
      <c r="P38" s="2"/>
      <c r="Q38" s="2"/>
      <c r="R38" s="2"/>
      <c r="S38" s="2"/>
      <c r="T38" s="18"/>
      <c r="U38" s="18"/>
      <c r="V38" s="18"/>
      <c r="W38" s="2"/>
      <c r="X38" s="2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2"/>
      <c r="AK38" s="7">
        <f t="shared" si="3"/>
        <v>0</v>
      </c>
      <c r="AL38" s="8" t="s">
        <v>149</v>
      </c>
      <c r="AM38" s="8">
        <v>100</v>
      </c>
      <c r="AN38" s="8" t="s">
        <v>152</v>
      </c>
      <c r="AO38" s="8">
        <f t="shared" si="2"/>
        <v>0</v>
      </c>
      <c r="AP38"/>
    </row>
    <row r="39" spans="1:42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2">
        <v>2000</v>
      </c>
      <c r="J39" s="2">
        <v>0</v>
      </c>
      <c r="K39" s="2">
        <v>0</v>
      </c>
      <c r="L39" s="2">
        <v>0</v>
      </c>
      <c r="M39" s="2"/>
      <c r="N39" s="2">
        <v>0</v>
      </c>
      <c r="O39" s="8">
        <f t="shared" si="0"/>
        <v>-960</v>
      </c>
      <c r="P39" s="2"/>
      <c r="Q39" s="2"/>
      <c r="R39" s="2"/>
      <c r="S39" s="2"/>
      <c r="T39" s="18"/>
      <c r="U39" s="18">
        <v>960</v>
      </c>
      <c r="V39" s="18">
        <v>2000</v>
      </c>
      <c r="W39" s="2"/>
      <c r="X39" s="2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2"/>
      <c r="AK39" s="7">
        <f t="shared" si="3"/>
        <v>0</v>
      </c>
      <c r="AL39" s="8" t="s">
        <v>150</v>
      </c>
      <c r="AM39" s="8">
        <v>2000</v>
      </c>
      <c r="AN39" s="8" t="s">
        <v>152</v>
      </c>
      <c r="AO39" s="8">
        <f t="shared" si="2"/>
        <v>1</v>
      </c>
      <c r="AP39"/>
    </row>
    <row r="40" spans="1:42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8">
        <f t="shared" si="0"/>
        <v>0</v>
      </c>
      <c r="P40" s="2"/>
      <c r="Q40" s="2"/>
      <c r="R40" s="2"/>
      <c r="S40" s="2"/>
      <c r="T40" s="18"/>
      <c r="U40" s="18"/>
      <c r="V40" s="18"/>
      <c r="W40" s="2"/>
      <c r="X40" s="2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2"/>
      <c r="AK40" s="7">
        <f t="shared" si="3"/>
        <v>0</v>
      </c>
      <c r="AL40" s="8" t="s">
        <v>150</v>
      </c>
      <c r="AM40" s="8">
        <v>500</v>
      </c>
      <c r="AN40" s="8" t="s">
        <v>152</v>
      </c>
      <c r="AO40" s="8">
        <f t="shared" si="2"/>
        <v>0</v>
      </c>
      <c r="AP40"/>
    </row>
    <row r="41" spans="1:42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8">
        <f t="shared" si="0"/>
        <v>0</v>
      </c>
      <c r="P41" s="2"/>
      <c r="Q41" s="2"/>
      <c r="R41" s="2"/>
      <c r="S41" s="2"/>
      <c r="T41" s="18"/>
      <c r="U41" s="18"/>
      <c r="V41" s="18"/>
      <c r="W41" s="2"/>
      <c r="X41" s="2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2"/>
      <c r="AK41" s="7">
        <f t="shared" si="3"/>
        <v>0</v>
      </c>
      <c r="AL41" s="8" t="s">
        <v>150</v>
      </c>
      <c r="AM41" s="8">
        <v>250</v>
      </c>
      <c r="AN41" s="8" t="s">
        <v>152</v>
      </c>
      <c r="AO41" s="8">
        <f t="shared" si="2"/>
        <v>0</v>
      </c>
      <c r="AP41"/>
    </row>
    <row r="42" spans="1:42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8">
        <f t="shared" si="0"/>
        <v>0</v>
      </c>
      <c r="P42" s="2"/>
      <c r="Q42" s="2"/>
      <c r="R42" s="2"/>
      <c r="S42" s="2"/>
      <c r="T42" s="18"/>
      <c r="U42" s="18"/>
      <c r="V42" s="18"/>
      <c r="W42" s="2"/>
      <c r="X42" s="2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2"/>
      <c r="AK42" s="7">
        <f t="shared" si="3"/>
        <v>0</v>
      </c>
      <c r="AL42" s="8" t="s">
        <v>150</v>
      </c>
      <c r="AM42" s="8">
        <v>300</v>
      </c>
      <c r="AN42" s="8" t="s">
        <v>152</v>
      </c>
      <c r="AO42" s="8">
        <f t="shared" si="2"/>
        <v>0</v>
      </c>
      <c r="AP42"/>
    </row>
    <row r="43" spans="1:42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8">
        <f t="shared" si="0"/>
        <v>0</v>
      </c>
      <c r="P43" s="2"/>
      <c r="Q43" s="2"/>
      <c r="R43" s="2"/>
      <c r="S43" s="2"/>
      <c r="T43" s="18"/>
      <c r="U43" s="18"/>
      <c r="V43" s="18"/>
      <c r="W43" s="2"/>
      <c r="X43" s="2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2"/>
      <c r="AK43" s="7">
        <f t="shared" si="3"/>
        <v>0</v>
      </c>
      <c r="AL43" s="8" t="s">
        <v>150</v>
      </c>
      <c r="AM43" s="8">
        <v>300</v>
      </c>
      <c r="AN43" s="8" t="s">
        <v>152</v>
      </c>
      <c r="AO43" s="8">
        <f t="shared" si="2"/>
        <v>0</v>
      </c>
      <c r="AP43"/>
    </row>
    <row r="44" spans="1:42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8">
        <f t="shared" si="0"/>
        <v>0</v>
      </c>
      <c r="P44" s="2"/>
      <c r="Q44" s="2"/>
      <c r="R44" s="2"/>
      <c r="S44" s="2"/>
      <c r="T44" s="18"/>
      <c r="U44" s="18"/>
      <c r="V44" s="18"/>
      <c r="W44" s="2"/>
      <c r="X44" s="2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2"/>
      <c r="AK44" s="7">
        <f t="shared" si="3"/>
        <v>0</v>
      </c>
      <c r="AL44" s="8" t="s">
        <v>150</v>
      </c>
      <c r="AM44" s="8">
        <v>2000</v>
      </c>
      <c r="AN44" s="8" t="s">
        <v>152</v>
      </c>
      <c r="AO44" s="8">
        <f t="shared" si="2"/>
        <v>0</v>
      </c>
      <c r="AP44"/>
    </row>
    <row r="45" spans="1:42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8">
        <f t="shared" si="0"/>
        <v>0</v>
      </c>
      <c r="P45" s="2"/>
      <c r="Q45" s="2"/>
      <c r="R45" s="2"/>
      <c r="S45" s="2"/>
      <c r="T45" s="18"/>
      <c r="U45" s="18"/>
      <c r="V45" s="18"/>
      <c r="W45" s="2"/>
      <c r="X45" s="2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2"/>
      <c r="AK45" s="7">
        <f t="shared" si="3"/>
        <v>0</v>
      </c>
      <c r="AL45" s="8" t="s">
        <v>150</v>
      </c>
      <c r="AM45" s="8">
        <v>1000</v>
      </c>
      <c r="AN45" s="8" t="s">
        <v>152</v>
      </c>
      <c r="AO45" s="8">
        <f t="shared" si="2"/>
        <v>0</v>
      </c>
      <c r="AP45"/>
    </row>
    <row r="46" spans="1:42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8">
        <f t="shared" si="0"/>
        <v>0</v>
      </c>
      <c r="P46" s="2"/>
      <c r="Q46" s="2"/>
      <c r="R46" s="2"/>
      <c r="S46" s="2"/>
      <c r="T46" s="18"/>
      <c r="U46" s="18"/>
      <c r="V46" s="18"/>
      <c r="W46" s="2"/>
      <c r="X46" s="2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2"/>
      <c r="AK46" s="7">
        <f t="shared" si="3"/>
        <v>0</v>
      </c>
      <c r="AL46" s="8">
        <v>0</v>
      </c>
      <c r="AM46" s="8">
        <v>0</v>
      </c>
      <c r="AN46" s="8" t="s">
        <v>152</v>
      </c>
      <c r="AO46" s="8">
        <v>0</v>
      </c>
      <c r="AP46"/>
    </row>
    <row r="47" spans="1:42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8">
        <f t="shared" si="0"/>
        <v>0</v>
      </c>
      <c r="P47" s="2"/>
      <c r="Q47" s="2"/>
      <c r="R47" s="2"/>
      <c r="S47" s="2"/>
      <c r="T47" s="18"/>
      <c r="U47" s="18"/>
      <c r="V47" s="18"/>
      <c r="W47" s="2"/>
      <c r="X47" s="2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2"/>
      <c r="AK47" s="7">
        <f t="shared" si="3"/>
        <v>0</v>
      </c>
      <c r="AL47" s="8">
        <v>0</v>
      </c>
      <c r="AM47" s="8">
        <v>0</v>
      </c>
      <c r="AN47" s="8" t="s">
        <v>152</v>
      </c>
      <c r="AO47" s="8">
        <v>0</v>
      </c>
      <c r="AP47"/>
    </row>
    <row r="48" spans="1:42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8">
        <f t="shared" si="0"/>
        <v>-1940</v>
      </c>
      <c r="P48" s="2"/>
      <c r="Q48" s="2"/>
      <c r="R48" s="2"/>
      <c r="S48" s="2"/>
      <c r="T48" s="18"/>
      <c r="U48" s="18"/>
      <c r="V48" s="18"/>
      <c r="W48" s="2"/>
      <c r="X48" s="2"/>
      <c r="Y48" s="18"/>
      <c r="Z48" s="18"/>
      <c r="AA48" s="18"/>
      <c r="AB48" s="18"/>
      <c r="AC48" s="18"/>
      <c r="AD48" s="18"/>
      <c r="AE48" s="18"/>
      <c r="AF48" s="18"/>
      <c r="AG48" s="18"/>
      <c r="AH48" s="18">
        <v>1940</v>
      </c>
      <c r="AI48" s="18"/>
      <c r="AJ48" s="2"/>
      <c r="AK48" s="7">
        <f t="shared" si="3"/>
        <v>0</v>
      </c>
      <c r="AL48" s="8">
        <v>0</v>
      </c>
      <c r="AM48" s="8">
        <v>0</v>
      </c>
      <c r="AN48" s="8" t="s">
        <v>152</v>
      </c>
      <c r="AO48" s="8">
        <v>0</v>
      </c>
      <c r="AP48"/>
    </row>
    <row r="49" spans="1:42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8">
        <f t="shared" si="0"/>
        <v>0</v>
      </c>
      <c r="P49" s="2"/>
      <c r="Q49" s="2"/>
      <c r="R49" s="2"/>
      <c r="S49" s="2"/>
      <c r="T49" s="18"/>
      <c r="U49" s="18"/>
      <c r="V49" s="18"/>
      <c r="W49" s="2"/>
      <c r="X49" s="2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2"/>
      <c r="AK49" s="7">
        <f t="shared" si="3"/>
        <v>0</v>
      </c>
      <c r="AL49" s="8">
        <v>0</v>
      </c>
      <c r="AM49" s="8">
        <v>0</v>
      </c>
      <c r="AN49" s="8" t="s">
        <v>152</v>
      </c>
      <c r="AO49" s="8">
        <v>0</v>
      </c>
      <c r="AP49"/>
    </row>
    <row r="50" spans="1:42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8">
        <f t="shared" si="0"/>
        <v>0</v>
      </c>
      <c r="P50" s="2"/>
      <c r="Q50" s="2"/>
      <c r="R50" s="2"/>
      <c r="S50" s="2"/>
      <c r="T50" s="18"/>
      <c r="U50" s="18"/>
      <c r="V50" s="18"/>
      <c r="W50" s="2"/>
      <c r="X50" s="2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2"/>
      <c r="AK50" s="7">
        <f t="shared" si="3"/>
        <v>0</v>
      </c>
      <c r="AL50" s="8">
        <v>0</v>
      </c>
      <c r="AM50" s="8">
        <v>0</v>
      </c>
      <c r="AN50" s="8" t="s">
        <v>152</v>
      </c>
      <c r="AO50" s="8">
        <v>0</v>
      </c>
      <c r="AP50"/>
    </row>
    <row r="51" spans="1:42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8">
        <f t="shared" si="0"/>
        <v>0</v>
      </c>
      <c r="P51" s="2"/>
      <c r="Q51" s="2"/>
      <c r="R51" s="2"/>
      <c r="S51" s="2"/>
      <c r="T51" s="18"/>
      <c r="U51" s="18"/>
      <c r="V51" s="18"/>
      <c r="W51" s="2"/>
      <c r="X51" s="2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2"/>
      <c r="AK51" s="7">
        <f t="shared" si="3"/>
        <v>0</v>
      </c>
      <c r="AL51" s="8">
        <v>0</v>
      </c>
      <c r="AM51" s="8">
        <v>0</v>
      </c>
      <c r="AN51" s="8" t="s">
        <v>152</v>
      </c>
      <c r="AO51" s="8">
        <v>0</v>
      </c>
      <c r="AP51"/>
    </row>
    <row r="52" spans="1:42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8">
        <f t="shared" si="0"/>
        <v>0</v>
      </c>
      <c r="P52" s="2"/>
      <c r="Q52" s="2"/>
      <c r="R52" s="2"/>
      <c r="S52" s="2"/>
      <c r="T52" s="18"/>
      <c r="U52" s="18"/>
      <c r="V52" s="18"/>
      <c r="W52" s="2"/>
      <c r="X52" s="2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2"/>
      <c r="AK52" s="7">
        <f t="shared" si="3"/>
        <v>0</v>
      </c>
      <c r="AL52" s="8">
        <v>0</v>
      </c>
      <c r="AM52" s="8">
        <v>0</v>
      </c>
      <c r="AN52" s="8" t="s">
        <v>152</v>
      </c>
      <c r="AO52" s="8">
        <v>0</v>
      </c>
      <c r="AP52"/>
    </row>
    <row r="53" spans="1:42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8">
        <f t="shared" si="0"/>
        <v>0</v>
      </c>
      <c r="P53" s="2"/>
      <c r="Q53" s="2"/>
      <c r="R53" s="2"/>
      <c r="S53" s="2"/>
      <c r="T53" s="18"/>
      <c r="U53" s="18"/>
      <c r="V53" s="18"/>
      <c r="W53" s="2"/>
      <c r="X53" s="2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2"/>
      <c r="AK53" s="7">
        <f t="shared" si="3"/>
        <v>0</v>
      </c>
      <c r="AL53" s="8">
        <v>0</v>
      </c>
      <c r="AM53" s="8">
        <v>0</v>
      </c>
      <c r="AN53" s="8" t="s">
        <v>152</v>
      </c>
      <c r="AO53" s="8">
        <v>0</v>
      </c>
      <c r="AP53"/>
    </row>
    <row r="54" spans="1:42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8">
        <f t="shared" si="0"/>
        <v>0</v>
      </c>
      <c r="P54" s="2"/>
      <c r="Q54" s="2"/>
      <c r="R54" s="2"/>
      <c r="S54" s="2"/>
      <c r="T54" s="18"/>
      <c r="U54" s="18"/>
      <c r="V54" s="18"/>
      <c r="W54" s="2"/>
      <c r="X54" s="2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2"/>
      <c r="AK54" s="7">
        <f t="shared" si="3"/>
        <v>0</v>
      </c>
      <c r="AL54" s="8">
        <v>0</v>
      </c>
      <c r="AM54" s="8">
        <v>0</v>
      </c>
      <c r="AN54" s="8" t="s">
        <v>152</v>
      </c>
      <c r="AO54" s="8">
        <v>0</v>
      </c>
      <c r="AP54"/>
    </row>
    <row r="55" spans="1:42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8">
        <f t="shared" si="0"/>
        <v>0</v>
      </c>
      <c r="P55" s="2"/>
      <c r="Q55" s="2"/>
      <c r="R55" s="2"/>
      <c r="S55" s="2"/>
      <c r="T55" s="18"/>
      <c r="U55" s="18"/>
      <c r="V55" s="18"/>
      <c r="W55" s="2"/>
      <c r="X55" s="2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2"/>
      <c r="AK55" s="7">
        <f t="shared" si="3"/>
        <v>0</v>
      </c>
      <c r="AL55" s="8">
        <v>0</v>
      </c>
      <c r="AM55" s="8">
        <v>0</v>
      </c>
      <c r="AN55" s="8" t="s">
        <v>152</v>
      </c>
      <c r="AO55" s="8">
        <v>0</v>
      </c>
      <c r="AP55"/>
    </row>
    <row r="56" spans="1:42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8">
        <f t="shared" si="0"/>
        <v>0</v>
      </c>
      <c r="P56" s="2"/>
      <c r="Q56" s="2"/>
      <c r="R56" s="2"/>
      <c r="S56" s="2"/>
      <c r="T56" s="18"/>
      <c r="U56" s="18"/>
      <c r="V56" s="18"/>
      <c r="W56" s="2"/>
      <c r="X56" s="2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2"/>
      <c r="AK56" s="7">
        <f t="shared" si="3"/>
        <v>0</v>
      </c>
      <c r="AL56" s="8">
        <v>0</v>
      </c>
      <c r="AM56" s="8">
        <v>0</v>
      </c>
      <c r="AN56" s="8" t="s">
        <v>152</v>
      </c>
      <c r="AO56" s="8">
        <v>0</v>
      </c>
      <c r="AP56"/>
    </row>
    <row r="57" spans="1:42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2">
        <v>1000</v>
      </c>
      <c r="J57" s="2">
        <v>0</v>
      </c>
      <c r="K57" s="2">
        <v>0</v>
      </c>
      <c r="L57" s="2">
        <v>0</v>
      </c>
      <c r="M57" s="2"/>
      <c r="N57" s="2">
        <v>0</v>
      </c>
      <c r="O57" s="8">
        <f t="shared" si="0"/>
        <v>0</v>
      </c>
      <c r="P57" s="2"/>
      <c r="Q57" s="2"/>
      <c r="R57" s="2"/>
      <c r="S57" s="2"/>
      <c r="T57" s="18">
        <v>1000</v>
      </c>
      <c r="U57" s="18"/>
      <c r="V57" s="18"/>
      <c r="W57" s="2"/>
      <c r="X57" s="2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2"/>
      <c r="AK57" s="7">
        <f t="shared" si="3"/>
        <v>0</v>
      </c>
      <c r="AL57" s="8" t="s">
        <v>150</v>
      </c>
      <c r="AM57" s="8">
        <v>1000</v>
      </c>
      <c r="AN57" s="8" t="s">
        <v>152</v>
      </c>
      <c r="AO57" s="8">
        <f t="shared" si="2"/>
        <v>1</v>
      </c>
      <c r="AP57"/>
    </row>
    <row r="58" spans="1:42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8">
        <f t="shared" si="0"/>
        <v>0</v>
      </c>
      <c r="P58" s="2"/>
      <c r="Q58" s="2"/>
      <c r="R58" s="2"/>
      <c r="S58" s="2"/>
      <c r="T58" s="18"/>
      <c r="U58" s="18"/>
      <c r="V58" s="18"/>
      <c r="W58" s="2"/>
      <c r="X58" s="2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2"/>
      <c r="AK58" s="7">
        <f t="shared" si="3"/>
        <v>0</v>
      </c>
      <c r="AL58" s="8" t="s">
        <v>151</v>
      </c>
      <c r="AM58" s="8">
        <v>200</v>
      </c>
      <c r="AN58" s="8" t="s">
        <v>152</v>
      </c>
      <c r="AO58" s="8">
        <f t="shared" si="2"/>
        <v>0</v>
      </c>
      <c r="AP58"/>
    </row>
    <row r="59" spans="1:42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8">
        <f t="shared" si="0"/>
        <v>0</v>
      </c>
      <c r="P59" s="2"/>
      <c r="Q59" s="2"/>
      <c r="R59" s="2"/>
      <c r="S59" s="2"/>
      <c r="T59" s="18"/>
      <c r="U59" s="18"/>
      <c r="V59" s="18"/>
      <c r="W59" s="2"/>
      <c r="X59" s="2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2"/>
      <c r="AK59" s="7">
        <f t="shared" si="3"/>
        <v>0</v>
      </c>
      <c r="AL59" s="8" t="s">
        <v>150</v>
      </c>
      <c r="AM59" s="8">
        <v>1000</v>
      </c>
      <c r="AN59" s="8" t="s">
        <v>152</v>
      </c>
      <c r="AO59" s="8">
        <f t="shared" si="2"/>
        <v>0</v>
      </c>
      <c r="AP59"/>
    </row>
    <row r="60" spans="1:42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8">
        <f t="shared" si="0"/>
        <v>0</v>
      </c>
      <c r="P60" s="2"/>
      <c r="Q60" s="2"/>
      <c r="R60" s="2"/>
      <c r="S60" s="2"/>
      <c r="T60" s="18"/>
      <c r="U60" s="18"/>
      <c r="V60" s="18"/>
      <c r="W60" s="2"/>
      <c r="X60" s="2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2"/>
      <c r="AK60" s="7">
        <f t="shared" si="3"/>
        <v>0</v>
      </c>
      <c r="AL60" s="8" t="s">
        <v>151</v>
      </c>
      <c r="AM60" s="8">
        <v>500</v>
      </c>
      <c r="AN60" s="8" t="s">
        <v>152</v>
      </c>
      <c r="AO60" s="8">
        <f t="shared" si="2"/>
        <v>0</v>
      </c>
      <c r="AP60"/>
    </row>
    <row r="61" spans="1:42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8">
        <f t="shared" si="0"/>
        <v>0</v>
      </c>
      <c r="P61" s="2"/>
      <c r="Q61" s="2"/>
      <c r="R61" s="2"/>
      <c r="S61" s="2"/>
      <c r="T61" s="18"/>
      <c r="U61" s="18"/>
      <c r="V61" s="18"/>
      <c r="W61" s="2"/>
      <c r="X61" s="2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2"/>
      <c r="AK61" s="7">
        <f t="shared" si="3"/>
        <v>0</v>
      </c>
      <c r="AL61" s="8" t="s">
        <v>150</v>
      </c>
      <c r="AM61" s="8">
        <v>1000</v>
      </c>
      <c r="AN61" s="8" t="s">
        <v>152</v>
      </c>
      <c r="AO61" s="8">
        <f t="shared" si="2"/>
        <v>0</v>
      </c>
      <c r="AP61"/>
    </row>
    <row r="62" spans="1:42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8">
        <f t="shared" si="0"/>
        <v>0</v>
      </c>
      <c r="P62" s="2"/>
      <c r="Q62" s="2"/>
      <c r="R62" s="2"/>
      <c r="S62" s="2"/>
      <c r="T62" s="18"/>
      <c r="U62" s="18"/>
      <c r="V62" s="18"/>
      <c r="W62" s="2"/>
      <c r="X62" s="2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2"/>
      <c r="AK62" s="7">
        <f t="shared" si="3"/>
        <v>0</v>
      </c>
      <c r="AL62" s="8" t="s">
        <v>151</v>
      </c>
      <c r="AM62" s="8">
        <v>200</v>
      </c>
      <c r="AN62" s="8" t="s">
        <v>152</v>
      </c>
      <c r="AO62" s="8">
        <f t="shared" si="2"/>
        <v>0</v>
      </c>
      <c r="AP62"/>
    </row>
    <row r="63" spans="1:42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8">
        <f t="shared" si="0"/>
        <v>0</v>
      </c>
      <c r="P63" s="2"/>
      <c r="Q63" s="2"/>
      <c r="R63" s="2"/>
      <c r="S63" s="2"/>
      <c r="T63" s="18"/>
      <c r="U63" s="18"/>
      <c r="V63" s="18"/>
      <c r="W63" s="2"/>
      <c r="X63" s="2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2"/>
      <c r="AK63" s="7">
        <f t="shared" si="3"/>
        <v>0</v>
      </c>
      <c r="AL63" s="8" t="s">
        <v>151</v>
      </c>
      <c r="AM63" s="8">
        <v>500</v>
      </c>
      <c r="AN63" s="8" t="s">
        <v>152</v>
      </c>
      <c r="AO63" s="8">
        <f t="shared" si="2"/>
        <v>0</v>
      </c>
      <c r="AP63"/>
    </row>
    <row r="64" spans="1:42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8">
        <f t="shared" si="0"/>
        <v>0</v>
      </c>
      <c r="P64" s="2"/>
      <c r="Q64" s="2"/>
      <c r="R64" s="2"/>
      <c r="S64" s="2"/>
      <c r="T64" s="18"/>
      <c r="U64" s="18"/>
      <c r="V64" s="18"/>
      <c r="W64" s="2"/>
      <c r="X64" s="2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2"/>
      <c r="AK64" s="7">
        <f t="shared" si="3"/>
        <v>0</v>
      </c>
      <c r="AL64" s="8">
        <v>0</v>
      </c>
      <c r="AM64" s="8">
        <v>0</v>
      </c>
      <c r="AN64" s="8" t="s">
        <v>152</v>
      </c>
      <c r="AO64" s="8">
        <v>0</v>
      </c>
      <c r="AP64"/>
    </row>
    <row r="65" spans="1:42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8">
        <f t="shared" si="0"/>
        <v>-2057</v>
      </c>
      <c r="P65" s="2"/>
      <c r="Q65" s="2"/>
      <c r="R65" s="2"/>
      <c r="S65" s="2"/>
      <c r="T65" s="18"/>
      <c r="U65" s="18"/>
      <c r="V65" s="18"/>
      <c r="W65" s="2"/>
      <c r="X65" s="2"/>
      <c r="Y65" s="18"/>
      <c r="Z65" s="18"/>
      <c r="AA65" s="18"/>
      <c r="AB65" s="18"/>
      <c r="AC65" s="18"/>
      <c r="AD65" s="18"/>
      <c r="AE65" s="18"/>
      <c r="AF65" s="18"/>
      <c r="AG65" s="18">
        <v>1500</v>
      </c>
      <c r="AH65" s="18">
        <v>557</v>
      </c>
      <c r="AI65" s="18"/>
      <c r="AJ65" s="2"/>
      <c r="AK65" s="7">
        <f t="shared" si="3"/>
        <v>0</v>
      </c>
      <c r="AL65" s="8">
        <v>0</v>
      </c>
      <c r="AM65" s="8">
        <v>0</v>
      </c>
      <c r="AN65" s="8" t="s">
        <v>152</v>
      </c>
      <c r="AO65" s="8">
        <v>0</v>
      </c>
      <c r="AP65"/>
    </row>
    <row r="66" spans="1:42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8">
        <f t="shared" si="0"/>
        <v>0</v>
      </c>
      <c r="P66" s="2"/>
      <c r="Q66" s="2"/>
      <c r="R66" s="2"/>
      <c r="S66" s="2"/>
      <c r="T66" s="18"/>
      <c r="U66" s="18"/>
      <c r="V66" s="18"/>
      <c r="W66" s="2"/>
      <c r="X66" s="2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2"/>
      <c r="AK66" s="7">
        <f t="shared" si="3"/>
        <v>0</v>
      </c>
      <c r="AL66" s="8">
        <v>0</v>
      </c>
      <c r="AM66" s="8">
        <v>0</v>
      </c>
      <c r="AN66" s="8" t="s">
        <v>152</v>
      </c>
      <c r="AO66" s="8">
        <v>0</v>
      </c>
      <c r="AP66"/>
    </row>
    <row r="67" spans="1:42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8">
        <f t="shared" si="0"/>
        <v>0</v>
      </c>
      <c r="P67" s="2"/>
      <c r="Q67" s="2"/>
      <c r="R67" s="2"/>
      <c r="S67" s="2"/>
      <c r="T67" s="18"/>
      <c r="U67" s="18"/>
      <c r="V67" s="18"/>
      <c r="W67" s="2"/>
      <c r="X67" s="2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2"/>
      <c r="AK67" s="7">
        <f t="shared" si="3"/>
        <v>0</v>
      </c>
      <c r="AL67" s="8" t="s">
        <v>151</v>
      </c>
      <c r="AM67" s="8">
        <v>200</v>
      </c>
      <c r="AN67" s="8" t="s">
        <v>152</v>
      </c>
      <c r="AO67" s="8">
        <f t="shared" si="2"/>
        <v>0</v>
      </c>
      <c r="AP67"/>
    </row>
    <row r="68" spans="1:42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8">
        <f t="shared" si="0"/>
        <v>0</v>
      </c>
      <c r="P68" s="2"/>
      <c r="Q68" s="2"/>
      <c r="R68" s="2"/>
      <c r="S68" s="2"/>
      <c r="T68" s="18"/>
      <c r="U68" s="18"/>
      <c r="V68" s="18"/>
      <c r="W68" s="2"/>
      <c r="X68" s="2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2"/>
      <c r="AK68" s="7">
        <f t="shared" si="3"/>
        <v>0</v>
      </c>
      <c r="AL68" s="8">
        <v>0</v>
      </c>
      <c r="AM68" s="8">
        <v>0</v>
      </c>
      <c r="AN68" s="8" t="s">
        <v>152</v>
      </c>
      <c r="AO68" s="8">
        <v>0</v>
      </c>
      <c r="AP68"/>
    </row>
    <row r="69" spans="1:42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8">
        <f t="shared" si="0"/>
        <v>-1243</v>
      </c>
      <c r="P69" s="2"/>
      <c r="Q69" s="2"/>
      <c r="R69" s="2"/>
      <c r="S69" s="2"/>
      <c r="T69" s="18"/>
      <c r="U69" s="18"/>
      <c r="V69" s="18"/>
      <c r="W69" s="2"/>
      <c r="X69" s="2"/>
      <c r="Y69" s="18"/>
      <c r="Z69" s="18"/>
      <c r="AA69" s="18"/>
      <c r="AB69" s="18"/>
      <c r="AC69" s="18"/>
      <c r="AD69" s="18"/>
      <c r="AE69" s="18"/>
      <c r="AF69" s="18"/>
      <c r="AG69" s="18">
        <v>1243</v>
      </c>
      <c r="AH69" s="18"/>
      <c r="AI69" s="18"/>
      <c r="AJ69" s="2"/>
      <c r="AK69" s="7">
        <f t="shared" si="3"/>
        <v>0</v>
      </c>
      <c r="AL69" s="8">
        <v>0</v>
      </c>
      <c r="AM69" s="8">
        <v>0</v>
      </c>
      <c r="AN69" s="8" t="s">
        <v>152</v>
      </c>
      <c r="AO69" s="8">
        <v>0</v>
      </c>
      <c r="AP69"/>
    </row>
    <row r="70" spans="1:42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8">
        <f t="shared" si="0"/>
        <v>0</v>
      </c>
      <c r="P70" s="2"/>
      <c r="Q70" s="2"/>
      <c r="R70" s="2"/>
      <c r="S70" s="2"/>
      <c r="T70" s="18"/>
      <c r="U70" s="18"/>
      <c r="V70" s="18"/>
      <c r="W70" s="2"/>
      <c r="X70" s="2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2"/>
      <c r="AK70" s="7">
        <f t="shared" si="3"/>
        <v>0</v>
      </c>
      <c r="AL70" s="8" t="s">
        <v>151</v>
      </c>
      <c r="AM70" s="8">
        <v>200</v>
      </c>
      <c r="AN70" s="8" t="s">
        <v>152</v>
      </c>
      <c r="AO70" s="8">
        <f t="shared" si="2"/>
        <v>0</v>
      </c>
      <c r="AP70"/>
    </row>
    <row r="71" spans="1:42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8">
        <f t="shared" si="0"/>
        <v>0</v>
      </c>
      <c r="P71" s="2"/>
      <c r="Q71" s="2"/>
      <c r="R71" s="2"/>
      <c r="S71" s="2"/>
      <c r="T71" s="18"/>
      <c r="U71" s="18"/>
      <c r="V71" s="18"/>
      <c r="W71" s="2"/>
      <c r="X71" s="2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2"/>
      <c r="AK71" s="7">
        <f t="shared" si="3"/>
        <v>0</v>
      </c>
      <c r="AL71" s="8" t="s">
        <v>151</v>
      </c>
      <c r="AM71" s="8">
        <v>500</v>
      </c>
      <c r="AN71" s="8" t="s">
        <v>152</v>
      </c>
      <c r="AO71" s="8">
        <f t="shared" ref="AO71:AO134" si="4">+SUM(I71:N71)/AM71</f>
        <v>0</v>
      </c>
      <c r="AP71"/>
    </row>
    <row r="72" spans="1:42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8">
        <f t="shared" si="0"/>
        <v>0</v>
      </c>
      <c r="P72" s="2"/>
      <c r="Q72" s="2"/>
      <c r="R72" s="2"/>
      <c r="S72" s="2"/>
      <c r="T72" s="18"/>
      <c r="U72" s="18"/>
      <c r="V72" s="18"/>
      <c r="W72" s="2"/>
      <c r="X72" s="2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2"/>
      <c r="AK72" s="7">
        <f t="shared" si="3"/>
        <v>0</v>
      </c>
      <c r="AL72" s="8" t="s">
        <v>151</v>
      </c>
      <c r="AM72" s="8">
        <v>200</v>
      </c>
      <c r="AN72" s="8" t="s">
        <v>152</v>
      </c>
      <c r="AO72" s="8">
        <f t="shared" si="4"/>
        <v>0</v>
      </c>
      <c r="AP72"/>
    </row>
    <row r="73" spans="1:42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8">
        <f t="shared" si="0"/>
        <v>0</v>
      </c>
      <c r="P73" s="2"/>
      <c r="Q73" s="2"/>
      <c r="R73" s="2"/>
      <c r="S73" s="2"/>
      <c r="T73" s="18"/>
      <c r="U73" s="18"/>
      <c r="V73" s="18"/>
      <c r="W73" s="2"/>
      <c r="X73" s="2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2"/>
      <c r="AK73" s="7">
        <f t="shared" si="3"/>
        <v>0</v>
      </c>
      <c r="AL73" s="8">
        <v>0</v>
      </c>
      <c r="AM73" s="8">
        <v>0</v>
      </c>
      <c r="AN73" s="8" t="s">
        <v>152</v>
      </c>
      <c r="AO73" s="8">
        <v>0</v>
      </c>
      <c r="AP73"/>
    </row>
    <row r="74" spans="1:42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8">
        <f t="shared" si="0"/>
        <v>0</v>
      </c>
      <c r="P74" s="2"/>
      <c r="Q74" s="2"/>
      <c r="R74" s="2"/>
      <c r="S74" s="2"/>
      <c r="T74" s="18"/>
      <c r="U74" s="18"/>
      <c r="V74" s="18"/>
      <c r="W74" s="2"/>
      <c r="X74" s="2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2"/>
      <c r="AK74" s="7">
        <f t="shared" si="3"/>
        <v>0</v>
      </c>
      <c r="AL74" s="8">
        <v>0</v>
      </c>
      <c r="AM74" s="8">
        <v>0</v>
      </c>
      <c r="AN74" s="8" t="s">
        <v>152</v>
      </c>
      <c r="AO74" s="8">
        <v>0</v>
      </c>
      <c r="AP74"/>
    </row>
    <row r="75" spans="1:42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8">
        <f t="shared" si="0"/>
        <v>0</v>
      </c>
      <c r="P75" s="2"/>
      <c r="Q75" s="2"/>
      <c r="R75" s="2"/>
      <c r="S75" s="2"/>
      <c r="T75" s="18"/>
      <c r="U75" s="18"/>
      <c r="V75" s="18"/>
      <c r="W75" s="2"/>
      <c r="X75" s="2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2"/>
      <c r="AK75" s="7">
        <f t="shared" si="3"/>
        <v>0</v>
      </c>
      <c r="AL75" s="8">
        <v>0</v>
      </c>
      <c r="AM75" s="8">
        <v>0</v>
      </c>
      <c r="AN75" s="8" t="s">
        <v>152</v>
      </c>
      <c r="AO75" s="8">
        <v>0</v>
      </c>
      <c r="AP75"/>
    </row>
    <row r="76" spans="1:42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8">
        <f t="shared" si="0"/>
        <v>0</v>
      </c>
      <c r="P76" s="2"/>
      <c r="Q76" s="2"/>
      <c r="R76" s="2"/>
      <c r="S76" s="2"/>
      <c r="T76" s="18"/>
      <c r="U76" s="18"/>
      <c r="V76" s="18"/>
      <c r="W76" s="2"/>
      <c r="X76" s="2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2"/>
      <c r="AK76" s="7">
        <f t="shared" si="3"/>
        <v>0</v>
      </c>
      <c r="AL76" s="8">
        <v>0</v>
      </c>
      <c r="AM76" s="8">
        <v>0</v>
      </c>
      <c r="AN76" s="8" t="s">
        <v>152</v>
      </c>
      <c r="AO76" s="8">
        <v>0</v>
      </c>
      <c r="AP76"/>
    </row>
    <row r="77" spans="1:42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8">
        <f t="shared" si="0"/>
        <v>0</v>
      </c>
      <c r="P77" s="2"/>
      <c r="Q77" s="2"/>
      <c r="R77" s="2"/>
      <c r="S77" s="2"/>
      <c r="T77" s="18"/>
      <c r="U77" s="18"/>
      <c r="V77" s="18"/>
      <c r="W77" s="2"/>
      <c r="X77" s="2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2"/>
      <c r="AK77" s="7">
        <f t="shared" si="3"/>
        <v>0</v>
      </c>
      <c r="AL77" s="8">
        <v>0</v>
      </c>
      <c r="AM77" s="8">
        <v>0</v>
      </c>
      <c r="AN77" s="8" t="s">
        <v>152</v>
      </c>
      <c r="AO77" s="8">
        <v>0</v>
      </c>
      <c r="AP77"/>
    </row>
    <row r="78" spans="1:42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8">
        <f t="shared" si="0"/>
        <v>0</v>
      </c>
      <c r="P78" s="2"/>
      <c r="Q78" s="2"/>
      <c r="R78" s="2"/>
      <c r="S78" s="2"/>
      <c r="T78" s="18"/>
      <c r="U78" s="18"/>
      <c r="V78" s="18"/>
      <c r="W78" s="2"/>
      <c r="X78" s="2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2"/>
      <c r="AK78" s="7">
        <f t="shared" si="3"/>
        <v>0</v>
      </c>
      <c r="AL78" s="8">
        <v>0</v>
      </c>
      <c r="AM78" s="8">
        <v>0</v>
      </c>
      <c r="AN78" s="8" t="s">
        <v>152</v>
      </c>
      <c r="AO78" s="8">
        <v>0</v>
      </c>
      <c r="AP78"/>
    </row>
    <row r="79" spans="1:42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8">
        <f t="shared" si="0"/>
        <v>0</v>
      </c>
      <c r="P79" s="2"/>
      <c r="Q79" s="2"/>
      <c r="R79" s="2"/>
      <c r="S79" s="2"/>
      <c r="T79" s="18"/>
      <c r="U79" s="18"/>
      <c r="V79" s="18"/>
      <c r="W79" s="2"/>
      <c r="X79" s="2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2"/>
      <c r="AK79" s="7">
        <f t="shared" si="3"/>
        <v>0</v>
      </c>
      <c r="AL79" s="8">
        <v>0</v>
      </c>
      <c r="AM79" s="8">
        <v>0</v>
      </c>
      <c r="AN79" s="8" t="s">
        <v>152</v>
      </c>
      <c r="AO79" s="8">
        <v>0</v>
      </c>
      <c r="AP79"/>
    </row>
    <row r="80" spans="1:42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8">
        <f t="shared" si="0"/>
        <v>0</v>
      </c>
      <c r="P80" s="2"/>
      <c r="Q80" s="2"/>
      <c r="R80" s="2"/>
      <c r="S80" s="2"/>
      <c r="T80" s="18"/>
      <c r="U80" s="18"/>
      <c r="V80" s="18"/>
      <c r="W80" s="2"/>
      <c r="X80" s="2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2"/>
      <c r="AK80" s="7">
        <f t="shared" si="3"/>
        <v>0</v>
      </c>
      <c r="AL80" s="8">
        <v>0</v>
      </c>
      <c r="AM80" s="8">
        <v>0</v>
      </c>
      <c r="AN80" s="8" t="s">
        <v>152</v>
      </c>
      <c r="AO80" s="8">
        <v>0</v>
      </c>
      <c r="AP80"/>
    </row>
    <row r="81" spans="1:42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8">
        <f t="shared" si="0"/>
        <v>0</v>
      </c>
      <c r="P81" s="2"/>
      <c r="Q81" s="2"/>
      <c r="R81" s="2"/>
      <c r="S81" s="2"/>
      <c r="T81" s="18"/>
      <c r="U81" s="18"/>
      <c r="V81" s="18"/>
      <c r="W81" s="2"/>
      <c r="X81" s="2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2"/>
      <c r="AK81" s="7">
        <f t="shared" si="3"/>
        <v>0</v>
      </c>
      <c r="AL81" s="8">
        <v>0</v>
      </c>
      <c r="AM81" s="8">
        <v>0</v>
      </c>
      <c r="AN81" s="8" t="s">
        <v>152</v>
      </c>
      <c r="AO81" s="8">
        <v>0</v>
      </c>
      <c r="AP81"/>
    </row>
    <row r="82" spans="1:42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8">
        <f t="shared" si="0"/>
        <v>0</v>
      </c>
      <c r="P82" s="2"/>
      <c r="Q82" s="2"/>
      <c r="R82" s="2"/>
      <c r="S82" s="2"/>
      <c r="T82" s="18"/>
      <c r="U82" s="18"/>
      <c r="V82" s="18"/>
      <c r="W82" s="2"/>
      <c r="X82" s="2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2"/>
      <c r="AK82" s="7">
        <f t="shared" si="3"/>
        <v>0</v>
      </c>
      <c r="AL82" s="8">
        <v>0</v>
      </c>
      <c r="AM82" s="8">
        <v>0</v>
      </c>
      <c r="AN82" s="8" t="s">
        <v>152</v>
      </c>
      <c r="AO82" s="8">
        <v>0</v>
      </c>
      <c r="AP82"/>
    </row>
    <row r="83" spans="1:42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8">
        <f t="shared" si="0"/>
        <v>0</v>
      </c>
      <c r="P83" s="2"/>
      <c r="Q83" s="2"/>
      <c r="R83" s="2"/>
      <c r="S83" s="2"/>
      <c r="T83" s="18"/>
      <c r="U83" s="18"/>
      <c r="V83" s="18"/>
      <c r="W83" s="2"/>
      <c r="X83" s="2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2"/>
      <c r="AK83" s="7">
        <f t="shared" si="3"/>
        <v>0</v>
      </c>
      <c r="AL83" s="8">
        <v>0</v>
      </c>
      <c r="AM83" s="8">
        <v>0</v>
      </c>
      <c r="AN83" s="8" t="s">
        <v>152</v>
      </c>
      <c r="AO83" s="8">
        <v>0</v>
      </c>
      <c r="AP83"/>
    </row>
    <row r="84" spans="1:42" x14ac:dyDescent="0.25">
      <c r="A84" s="2">
        <v>79</v>
      </c>
      <c r="B84" s="2" t="s">
        <v>128</v>
      </c>
      <c r="C84" s="2" t="s">
        <v>129</v>
      </c>
      <c r="D84" s="2" t="s">
        <v>103</v>
      </c>
      <c r="E84" s="13">
        <v>0.25</v>
      </c>
      <c r="F84" s="2"/>
      <c r="G84" s="3"/>
      <c r="H84" s="3"/>
      <c r="I84" s="2">
        <v>0</v>
      </c>
      <c r="J84" s="2">
        <v>1200</v>
      </c>
      <c r="K84" s="2">
        <v>0</v>
      </c>
      <c r="L84" s="2">
        <v>0</v>
      </c>
      <c r="M84" s="2"/>
      <c r="N84" s="2">
        <v>0</v>
      </c>
      <c r="O84" s="8">
        <f t="shared" si="0"/>
        <v>-1000</v>
      </c>
      <c r="P84" s="2"/>
      <c r="Q84" s="2"/>
      <c r="R84" s="2"/>
      <c r="S84" s="2"/>
      <c r="T84" s="18"/>
      <c r="U84" s="18"/>
      <c r="V84" s="18"/>
      <c r="W84" s="2"/>
      <c r="X84" s="2">
        <v>800</v>
      </c>
      <c r="Y84" s="18"/>
      <c r="Z84" s="18">
        <v>200</v>
      </c>
      <c r="AA84" s="18"/>
      <c r="AB84" s="18"/>
      <c r="AC84" s="18"/>
      <c r="AD84" s="18"/>
      <c r="AE84" s="18">
        <v>1200</v>
      </c>
      <c r="AF84" s="18"/>
      <c r="AG84" s="18"/>
      <c r="AH84" s="18"/>
      <c r="AI84" s="18"/>
      <c r="AJ84" s="2"/>
      <c r="AK84" s="7">
        <f t="shared" si="3"/>
        <v>0</v>
      </c>
      <c r="AL84" s="8" t="s">
        <v>146</v>
      </c>
      <c r="AM84" s="8">
        <v>200</v>
      </c>
      <c r="AN84" s="8" t="s">
        <v>153</v>
      </c>
      <c r="AO84" s="8">
        <f t="shared" si="4"/>
        <v>6</v>
      </c>
      <c r="AP84"/>
    </row>
    <row r="85" spans="1:42" x14ac:dyDescent="0.25">
      <c r="A85" s="2">
        <v>80</v>
      </c>
      <c r="B85" s="2" t="s">
        <v>128</v>
      </c>
      <c r="C85" s="2" t="s">
        <v>129</v>
      </c>
      <c r="D85" s="2" t="s">
        <v>104</v>
      </c>
      <c r="E85" s="13">
        <v>0.25</v>
      </c>
      <c r="F85" s="2"/>
      <c r="G85" s="3"/>
      <c r="H85" s="3"/>
      <c r="I85" s="2">
        <v>0</v>
      </c>
      <c r="J85" s="2">
        <v>2200</v>
      </c>
      <c r="K85" s="2">
        <v>0</v>
      </c>
      <c r="L85" s="2">
        <v>0</v>
      </c>
      <c r="M85" s="2"/>
      <c r="N85" s="2">
        <v>0</v>
      </c>
      <c r="O85" s="8">
        <f t="shared" si="0"/>
        <v>-3000</v>
      </c>
      <c r="P85" s="2"/>
      <c r="Q85" s="2"/>
      <c r="R85" s="2"/>
      <c r="S85" s="2"/>
      <c r="T85" s="18"/>
      <c r="U85" s="18"/>
      <c r="V85" s="18"/>
      <c r="W85" s="2"/>
      <c r="X85" s="2"/>
      <c r="Y85" s="18"/>
      <c r="Z85" s="18">
        <v>1000</v>
      </c>
      <c r="AA85" s="18"/>
      <c r="AB85" s="18">
        <v>1200</v>
      </c>
      <c r="AC85" s="18">
        <v>1200</v>
      </c>
      <c r="AD85" s="18"/>
      <c r="AE85" s="18">
        <v>1800</v>
      </c>
      <c r="AF85" s="18"/>
      <c r="AG85" s="18"/>
      <c r="AH85" s="18"/>
      <c r="AI85" s="18"/>
      <c r="AJ85" s="2"/>
      <c r="AK85" s="7">
        <f t="shared" si="3"/>
        <v>0</v>
      </c>
      <c r="AL85" s="8" t="s">
        <v>146</v>
      </c>
      <c r="AM85" s="8">
        <v>200</v>
      </c>
      <c r="AN85" s="8" t="s">
        <v>153</v>
      </c>
      <c r="AO85" s="8">
        <f t="shared" si="4"/>
        <v>11</v>
      </c>
      <c r="AP85"/>
    </row>
    <row r="86" spans="1:42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2">
        <v>0</v>
      </c>
      <c r="J86" s="2">
        <v>1200</v>
      </c>
      <c r="K86" s="2">
        <v>0</v>
      </c>
      <c r="L86" s="2">
        <v>0</v>
      </c>
      <c r="M86" s="2"/>
      <c r="N86" s="2">
        <v>0</v>
      </c>
      <c r="O86" s="8">
        <f t="shared" si="0"/>
        <v>-1000</v>
      </c>
      <c r="P86" s="2"/>
      <c r="Q86" s="2"/>
      <c r="R86" s="2"/>
      <c r="S86" s="2"/>
      <c r="T86" s="18"/>
      <c r="U86" s="18"/>
      <c r="V86" s="18"/>
      <c r="W86" s="2"/>
      <c r="X86" s="2"/>
      <c r="Y86" s="18"/>
      <c r="Z86" s="18">
        <v>1200</v>
      </c>
      <c r="AA86" s="18"/>
      <c r="AB86" s="18"/>
      <c r="AC86" s="18"/>
      <c r="AD86" s="18"/>
      <c r="AE86" s="18">
        <v>1000</v>
      </c>
      <c r="AF86" s="18"/>
      <c r="AG86" s="18"/>
      <c r="AH86" s="18"/>
      <c r="AI86" s="18"/>
      <c r="AJ86" s="2"/>
      <c r="AK86" s="7">
        <f t="shared" si="3"/>
        <v>0</v>
      </c>
      <c r="AL86" s="8" t="s">
        <v>146</v>
      </c>
      <c r="AM86" s="8">
        <v>200</v>
      </c>
      <c r="AN86" s="8" t="s">
        <v>153</v>
      </c>
      <c r="AO86" s="8">
        <f t="shared" si="4"/>
        <v>6</v>
      </c>
      <c r="AP86"/>
    </row>
    <row r="87" spans="1:42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8">
        <f t="shared" si="0"/>
        <v>0</v>
      </c>
      <c r="P87" s="2"/>
      <c r="Q87" s="2"/>
      <c r="R87" s="2"/>
      <c r="S87" s="2"/>
      <c r="T87" s="18"/>
      <c r="U87" s="18"/>
      <c r="V87" s="18"/>
      <c r="W87" s="2"/>
      <c r="X87" s="2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2"/>
      <c r="AK87" s="7">
        <f t="shared" ref="AK87:AK97" si="5">+G87*SUM(I87:N87)</f>
        <v>0</v>
      </c>
      <c r="AL87" s="8">
        <v>0</v>
      </c>
      <c r="AM87" s="8">
        <v>0</v>
      </c>
      <c r="AN87" s="8" t="s">
        <v>153</v>
      </c>
      <c r="AO87" s="8">
        <v>0</v>
      </c>
      <c r="AP87"/>
    </row>
    <row r="88" spans="1:42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8">
        <f t="shared" si="0"/>
        <v>0</v>
      </c>
      <c r="P88" s="2"/>
      <c r="Q88" s="2"/>
      <c r="R88" s="2"/>
      <c r="S88" s="2"/>
      <c r="T88" s="18"/>
      <c r="U88" s="18"/>
      <c r="V88" s="18"/>
      <c r="W88" s="2"/>
      <c r="X88" s="2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2"/>
      <c r="AK88" s="7">
        <f t="shared" si="5"/>
        <v>0</v>
      </c>
      <c r="AL88" s="8">
        <v>0</v>
      </c>
      <c r="AM88" s="8">
        <v>0</v>
      </c>
      <c r="AN88" s="8" t="s">
        <v>153</v>
      </c>
      <c r="AO88" s="8">
        <v>0</v>
      </c>
      <c r="AP88"/>
    </row>
    <row r="89" spans="1:42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8">
        <f t="shared" si="0"/>
        <v>0</v>
      </c>
      <c r="P89" s="2"/>
      <c r="Q89" s="2"/>
      <c r="R89" s="2"/>
      <c r="S89" s="2"/>
      <c r="T89" s="18"/>
      <c r="U89" s="18"/>
      <c r="V89" s="18"/>
      <c r="W89" s="2"/>
      <c r="X89" s="2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2"/>
      <c r="AK89" s="7">
        <f t="shared" si="5"/>
        <v>0</v>
      </c>
      <c r="AL89" s="8">
        <v>0</v>
      </c>
      <c r="AM89" s="8">
        <v>0</v>
      </c>
      <c r="AN89" s="8" t="s">
        <v>153</v>
      </c>
      <c r="AO89" s="8">
        <v>0</v>
      </c>
      <c r="AP89"/>
    </row>
    <row r="90" spans="1:42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8">
        <f t="shared" si="0"/>
        <v>0</v>
      </c>
      <c r="P90" s="2"/>
      <c r="Q90" s="2"/>
      <c r="R90" s="2"/>
      <c r="S90" s="2"/>
      <c r="T90" s="18"/>
      <c r="U90" s="18"/>
      <c r="V90" s="18"/>
      <c r="W90" s="2"/>
      <c r="X90" s="2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2"/>
      <c r="AK90" s="7">
        <f t="shared" si="5"/>
        <v>0</v>
      </c>
      <c r="AL90" s="8">
        <v>0</v>
      </c>
      <c r="AM90" s="8">
        <v>0</v>
      </c>
      <c r="AN90" s="8" t="s">
        <v>153</v>
      </c>
      <c r="AO90" s="8">
        <v>0</v>
      </c>
      <c r="AP90"/>
    </row>
    <row r="91" spans="1:42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2">
        <v>0</v>
      </c>
      <c r="J91" s="2">
        <v>2200</v>
      </c>
      <c r="K91" s="2">
        <v>0</v>
      </c>
      <c r="L91" s="2">
        <v>0</v>
      </c>
      <c r="M91" s="2"/>
      <c r="N91" s="2">
        <v>0</v>
      </c>
      <c r="O91" s="8">
        <f t="shared" si="0"/>
        <v>-400</v>
      </c>
      <c r="P91" s="2"/>
      <c r="Q91" s="2"/>
      <c r="R91" s="2"/>
      <c r="S91" s="2"/>
      <c r="T91" s="18"/>
      <c r="U91" s="18"/>
      <c r="V91" s="18"/>
      <c r="W91" s="2"/>
      <c r="X91" s="2"/>
      <c r="Y91" s="18"/>
      <c r="Z91" s="18"/>
      <c r="AA91" s="18"/>
      <c r="AB91" s="18"/>
      <c r="AC91" s="18">
        <v>200</v>
      </c>
      <c r="AD91" s="18">
        <v>400</v>
      </c>
      <c r="AE91" s="18"/>
      <c r="AF91" s="18"/>
      <c r="AG91" s="18"/>
      <c r="AH91" s="18"/>
      <c r="AI91" s="18"/>
      <c r="AJ91" s="2">
        <v>2000</v>
      </c>
      <c r="AK91" s="7">
        <f t="shared" si="5"/>
        <v>0</v>
      </c>
      <c r="AL91" s="8" t="s">
        <v>147</v>
      </c>
      <c r="AM91" s="8">
        <v>100</v>
      </c>
      <c r="AN91" s="8" t="s">
        <v>153</v>
      </c>
      <c r="AO91" s="8">
        <f t="shared" si="4"/>
        <v>22</v>
      </c>
      <c r="AP91"/>
    </row>
    <row r="92" spans="1:42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8">
        <f t="shared" si="0"/>
        <v>0</v>
      </c>
      <c r="P92" s="2"/>
      <c r="Q92" s="2"/>
      <c r="R92" s="2"/>
      <c r="S92" s="2"/>
      <c r="T92" s="18"/>
      <c r="U92" s="18"/>
      <c r="V92" s="18"/>
      <c r="W92" s="2"/>
      <c r="X92" s="2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2"/>
      <c r="AK92" s="7">
        <f t="shared" si="5"/>
        <v>0</v>
      </c>
      <c r="AL92" s="8" t="s">
        <v>147</v>
      </c>
      <c r="AM92" s="8">
        <v>200</v>
      </c>
      <c r="AN92" s="8" t="s">
        <v>153</v>
      </c>
      <c r="AO92" s="8">
        <f t="shared" si="4"/>
        <v>0</v>
      </c>
      <c r="AP92"/>
    </row>
    <row r="93" spans="1:42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2">
        <v>0</v>
      </c>
      <c r="J93" s="2">
        <v>0</v>
      </c>
      <c r="K93" s="2">
        <v>1200</v>
      </c>
      <c r="L93" s="2">
        <v>0</v>
      </c>
      <c r="M93" s="2"/>
      <c r="N93" s="2">
        <v>0</v>
      </c>
      <c r="O93" s="8">
        <f t="shared" si="0"/>
        <v>1200</v>
      </c>
      <c r="P93" s="2"/>
      <c r="Q93" s="2"/>
      <c r="R93" s="2"/>
      <c r="S93" s="2"/>
      <c r="T93" s="18"/>
      <c r="U93" s="18"/>
      <c r="V93" s="18"/>
      <c r="W93" s="2"/>
      <c r="X93" s="2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2"/>
      <c r="AK93" s="7">
        <f t="shared" si="5"/>
        <v>0</v>
      </c>
      <c r="AL93" s="8" t="s">
        <v>147</v>
      </c>
      <c r="AM93" s="8">
        <v>200</v>
      </c>
      <c r="AN93" s="8" t="s">
        <v>153</v>
      </c>
      <c r="AO93" s="8">
        <f t="shared" si="4"/>
        <v>6</v>
      </c>
      <c r="AP93"/>
    </row>
    <row r="94" spans="1:42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2">
        <v>0</v>
      </c>
      <c r="J94" s="2">
        <v>0</v>
      </c>
      <c r="K94" s="2">
        <v>2200</v>
      </c>
      <c r="L94" s="2">
        <v>0</v>
      </c>
      <c r="M94" s="2"/>
      <c r="N94" s="2">
        <v>0</v>
      </c>
      <c r="O94" s="8">
        <f t="shared" si="0"/>
        <v>83</v>
      </c>
      <c r="P94" s="2"/>
      <c r="Q94" s="2"/>
      <c r="R94" s="2"/>
      <c r="S94" s="2"/>
      <c r="T94" s="18"/>
      <c r="U94" s="18"/>
      <c r="V94" s="18"/>
      <c r="W94" s="2"/>
      <c r="X94" s="2"/>
      <c r="Y94" s="18"/>
      <c r="Z94" s="18"/>
      <c r="AA94" s="18"/>
      <c r="AB94" s="18"/>
      <c r="AC94" s="18"/>
      <c r="AD94" s="18"/>
      <c r="AE94" s="18"/>
      <c r="AF94" s="18"/>
      <c r="AG94" s="18">
        <v>200</v>
      </c>
      <c r="AH94" s="18"/>
      <c r="AI94" s="18">
        <v>400</v>
      </c>
      <c r="AJ94" s="2">
        <v>1517</v>
      </c>
      <c r="AK94" s="7">
        <f t="shared" si="5"/>
        <v>0</v>
      </c>
      <c r="AL94" s="8" t="s">
        <v>147</v>
      </c>
      <c r="AM94" s="8">
        <v>200</v>
      </c>
      <c r="AN94" s="8" t="s">
        <v>153</v>
      </c>
      <c r="AO94" s="8">
        <f t="shared" si="4"/>
        <v>11</v>
      </c>
      <c r="AP94"/>
    </row>
    <row r="95" spans="1:42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2">
        <v>0</v>
      </c>
      <c r="J95" s="2">
        <v>0</v>
      </c>
      <c r="K95" s="2">
        <v>600</v>
      </c>
      <c r="L95" s="2">
        <v>0</v>
      </c>
      <c r="M95" s="2"/>
      <c r="N95" s="2">
        <v>0</v>
      </c>
      <c r="O95" s="8">
        <f t="shared" si="0"/>
        <v>600</v>
      </c>
      <c r="P95" s="2"/>
      <c r="Q95" s="2"/>
      <c r="R95" s="2"/>
      <c r="S95" s="2"/>
      <c r="T95" s="18"/>
      <c r="U95" s="18"/>
      <c r="V95" s="18"/>
      <c r="W95" s="2"/>
      <c r="X95" s="2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2"/>
      <c r="AK95" s="7">
        <f t="shared" si="5"/>
        <v>0</v>
      </c>
      <c r="AL95" s="8" t="s">
        <v>147</v>
      </c>
      <c r="AM95" s="8">
        <v>200</v>
      </c>
      <c r="AN95" s="8" t="s">
        <v>153</v>
      </c>
      <c r="AO95" s="8">
        <f t="shared" si="4"/>
        <v>3</v>
      </c>
      <c r="AP95"/>
    </row>
    <row r="96" spans="1:42" x14ac:dyDescent="0.25">
      <c r="A96" s="2">
        <v>91</v>
      </c>
      <c r="B96" s="2" t="s">
        <v>128</v>
      </c>
      <c r="C96" s="2" t="s">
        <v>129</v>
      </c>
      <c r="D96" s="2" t="s">
        <v>115</v>
      </c>
      <c r="E96" s="13">
        <v>0.5</v>
      </c>
      <c r="F96" s="2"/>
      <c r="G96" s="3"/>
      <c r="H96" s="3"/>
      <c r="I96" s="2">
        <v>0</v>
      </c>
      <c r="J96" s="2">
        <v>0</v>
      </c>
      <c r="K96" s="2">
        <v>200</v>
      </c>
      <c r="L96" s="2">
        <v>0</v>
      </c>
      <c r="M96" s="2"/>
      <c r="N96" s="2">
        <v>0</v>
      </c>
      <c r="O96" s="8">
        <f t="shared" si="0"/>
        <v>200</v>
      </c>
      <c r="P96" s="2"/>
      <c r="Q96" s="2"/>
      <c r="R96" s="2"/>
      <c r="S96" s="2"/>
      <c r="T96" s="18"/>
      <c r="U96" s="18"/>
      <c r="V96" s="18"/>
      <c r="W96" s="2"/>
      <c r="X96" s="2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2"/>
      <c r="AK96" s="7">
        <f t="shared" si="5"/>
        <v>0</v>
      </c>
      <c r="AL96" s="8" t="s">
        <v>147</v>
      </c>
      <c r="AM96" s="8">
        <v>200</v>
      </c>
      <c r="AN96" s="8" t="s">
        <v>153</v>
      </c>
      <c r="AO96" s="8">
        <f t="shared" si="4"/>
        <v>1</v>
      </c>
      <c r="AP96"/>
    </row>
    <row r="97" spans="1:42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2">
        <v>0</v>
      </c>
      <c r="J97" s="2">
        <v>0</v>
      </c>
      <c r="K97" s="2">
        <v>1200</v>
      </c>
      <c r="L97" s="2">
        <v>0</v>
      </c>
      <c r="M97" s="2"/>
      <c r="N97" s="2">
        <v>0</v>
      </c>
      <c r="O97" s="8">
        <f t="shared" si="0"/>
        <v>1200</v>
      </c>
      <c r="P97" s="2"/>
      <c r="Q97" s="2"/>
      <c r="R97" s="2"/>
      <c r="S97" s="2"/>
      <c r="T97" s="18"/>
      <c r="U97" s="18"/>
      <c r="V97" s="18"/>
      <c r="W97" s="2"/>
      <c r="X97" s="2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2"/>
      <c r="AK97" s="7">
        <f t="shared" si="5"/>
        <v>0</v>
      </c>
      <c r="AL97" s="8" t="s">
        <v>147</v>
      </c>
      <c r="AM97" s="8">
        <v>200</v>
      </c>
      <c r="AN97" s="8" t="s">
        <v>153</v>
      </c>
      <c r="AO97" s="8">
        <f t="shared" si="4"/>
        <v>6</v>
      </c>
      <c r="AP97"/>
    </row>
    <row r="98" spans="1:42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2">
        <v>0</v>
      </c>
      <c r="J98" s="2">
        <v>0</v>
      </c>
      <c r="K98" s="2">
        <v>0</v>
      </c>
      <c r="L98" s="2">
        <v>0</v>
      </c>
      <c r="M98" s="2"/>
      <c r="N98" s="2">
        <v>0</v>
      </c>
      <c r="O98" s="8">
        <f t="shared" si="0"/>
        <v>0</v>
      </c>
      <c r="P98" s="2"/>
      <c r="Q98" s="2"/>
      <c r="R98" s="2"/>
      <c r="S98" s="2"/>
      <c r="T98" s="18"/>
      <c r="U98" s="18"/>
      <c r="V98" s="18"/>
      <c r="W98" s="2"/>
      <c r="X98" s="2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2"/>
      <c r="AK98" s="7">
        <f t="shared" si="1"/>
        <v>0</v>
      </c>
      <c r="AL98" s="8" t="s">
        <v>147</v>
      </c>
      <c r="AM98" s="8">
        <v>150</v>
      </c>
      <c r="AN98" s="8" t="s">
        <v>153</v>
      </c>
      <c r="AO98" s="8">
        <f t="shared" si="4"/>
        <v>0</v>
      </c>
    </row>
    <row r="99" spans="1:42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2">
        <v>0</v>
      </c>
      <c r="J99" s="2">
        <v>1050</v>
      </c>
      <c r="K99" s="2">
        <v>0</v>
      </c>
      <c r="L99" s="2">
        <v>0</v>
      </c>
      <c r="M99" s="2"/>
      <c r="N99" s="2">
        <v>0</v>
      </c>
      <c r="O99" s="8">
        <f t="shared" si="0"/>
        <v>0</v>
      </c>
      <c r="P99" s="2"/>
      <c r="Q99" s="2"/>
      <c r="R99" s="2"/>
      <c r="S99" s="2"/>
      <c r="T99" s="18"/>
      <c r="U99" s="18"/>
      <c r="V99" s="18"/>
      <c r="W99" s="2"/>
      <c r="X99" s="2"/>
      <c r="Y99" s="18"/>
      <c r="Z99" s="18"/>
      <c r="AA99" s="18"/>
      <c r="AB99" s="18">
        <v>750</v>
      </c>
      <c r="AC99" s="18">
        <v>300</v>
      </c>
      <c r="AD99" s="18"/>
      <c r="AE99" s="18"/>
      <c r="AF99" s="18"/>
      <c r="AG99" s="18"/>
      <c r="AH99" s="18"/>
      <c r="AI99" s="18"/>
      <c r="AJ99" s="2"/>
      <c r="AK99" s="7">
        <f t="shared" si="1"/>
        <v>0</v>
      </c>
      <c r="AL99" s="8" t="s">
        <v>147</v>
      </c>
      <c r="AM99" s="8">
        <v>150</v>
      </c>
      <c r="AN99" s="8" t="s">
        <v>153</v>
      </c>
      <c r="AO99" s="8">
        <f t="shared" si="4"/>
        <v>7</v>
      </c>
    </row>
    <row r="100" spans="1:42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2">
        <v>0</v>
      </c>
      <c r="J100" s="2">
        <v>2100</v>
      </c>
      <c r="K100" s="2">
        <v>0</v>
      </c>
      <c r="L100" s="2">
        <v>0</v>
      </c>
      <c r="M100" s="2"/>
      <c r="N100" s="2">
        <v>0</v>
      </c>
      <c r="O100" s="8">
        <f t="shared" si="0"/>
        <v>-51</v>
      </c>
      <c r="P100" s="2">
        <v>51</v>
      </c>
      <c r="Q100" s="2"/>
      <c r="R100" s="2"/>
      <c r="S100" s="2"/>
      <c r="T100" s="18"/>
      <c r="U100" s="18"/>
      <c r="V100" s="18"/>
      <c r="W100" s="2"/>
      <c r="X100" s="2"/>
      <c r="Y100" s="18"/>
      <c r="Z100" s="18"/>
      <c r="AA100" s="18"/>
      <c r="AB100" s="18"/>
      <c r="AC100" s="18"/>
      <c r="AD100" s="18">
        <v>1200</v>
      </c>
      <c r="AE100" s="18"/>
      <c r="AF100" s="18">
        <v>900</v>
      </c>
      <c r="AG100" s="18"/>
      <c r="AH100" s="18"/>
      <c r="AI100" s="18"/>
      <c r="AJ100" s="2"/>
      <c r="AK100" s="7">
        <f t="shared" si="1"/>
        <v>0</v>
      </c>
      <c r="AL100" s="8" t="s">
        <v>147</v>
      </c>
      <c r="AM100" s="8">
        <v>150</v>
      </c>
      <c r="AN100" s="8" t="s">
        <v>153</v>
      </c>
      <c r="AO100" s="8">
        <f t="shared" si="4"/>
        <v>14</v>
      </c>
    </row>
    <row r="101" spans="1:42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2">
        <v>0</v>
      </c>
      <c r="J101" s="2">
        <v>1050</v>
      </c>
      <c r="K101" s="2">
        <v>0</v>
      </c>
      <c r="L101" s="2">
        <v>0</v>
      </c>
      <c r="M101" s="2"/>
      <c r="N101" s="2">
        <v>0</v>
      </c>
      <c r="O101" s="8">
        <f t="shared" si="0"/>
        <v>0</v>
      </c>
      <c r="P101" s="2"/>
      <c r="Q101" s="2"/>
      <c r="R101" s="2"/>
      <c r="S101" s="2"/>
      <c r="T101" s="18"/>
      <c r="U101" s="18"/>
      <c r="V101" s="18"/>
      <c r="W101" s="2"/>
      <c r="X101" s="2"/>
      <c r="Y101" s="18"/>
      <c r="Z101" s="18">
        <v>300</v>
      </c>
      <c r="AA101" s="18">
        <v>750</v>
      </c>
      <c r="AB101" s="18"/>
      <c r="AC101" s="18"/>
      <c r="AD101" s="18"/>
      <c r="AE101" s="18"/>
      <c r="AF101" s="18"/>
      <c r="AG101" s="18"/>
      <c r="AH101" s="18"/>
      <c r="AI101" s="18"/>
      <c r="AJ101" s="2"/>
      <c r="AK101" s="7">
        <f t="shared" si="1"/>
        <v>0</v>
      </c>
      <c r="AL101" s="8" t="s">
        <v>147</v>
      </c>
      <c r="AM101" s="8">
        <v>150</v>
      </c>
      <c r="AN101" s="8" t="s">
        <v>153</v>
      </c>
      <c r="AO101" s="8">
        <f t="shared" si="4"/>
        <v>7</v>
      </c>
    </row>
    <row r="102" spans="1:42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2">
        <v>0</v>
      </c>
      <c r="J102" s="2">
        <v>2160</v>
      </c>
      <c r="K102" s="2">
        <v>0</v>
      </c>
      <c r="L102" s="2">
        <v>0</v>
      </c>
      <c r="M102" s="2"/>
      <c r="N102" s="2">
        <v>0</v>
      </c>
      <c r="O102" s="8">
        <f t="shared" si="0"/>
        <v>0</v>
      </c>
      <c r="P102" s="2"/>
      <c r="Q102" s="2"/>
      <c r="R102" s="2"/>
      <c r="S102" s="2"/>
      <c r="T102" s="18"/>
      <c r="U102" s="18"/>
      <c r="V102" s="18"/>
      <c r="W102" s="2"/>
      <c r="X102" s="2">
        <v>560</v>
      </c>
      <c r="Y102" s="18"/>
      <c r="Z102" s="18">
        <v>500</v>
      </c>
      <c r="AA102" s="18">
        <v>1100</v>
      </c>
      <c r="AB102" s="18"/>
      <c r="AC102" s="18"/>
      <c r="AD102" s="18"/>
      <c r="AE102" s="18"/>
      <c r="AF102" s="18"/>
      <c r="AG102" s="18"/>
      <c r="AH102" s="18"/>
      <c r="AI102" s="18"/>
      <c r="AJ102" s="2"/>
      <c r="AK102" s="7">
        <f t="shared" si="1"/>
        <v>0</v>
      </c>
      <c r="AL102" s="8" t="s">
        <v>147</v>
      </c>
      <c r="AM102" s="8">
        <v>80</v>
      </c>
      <c r="AN102" s="8" t="s">
        <v>153</v>
      </c>
      <c r="AO102" s="8">
        <f t="shared" si="4"/>
        <v>27</v>
      </c>
    </row>
    <row r="103" spans="1:42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2">
        <v>0</v>
      </c>
      <c r="J103" s="2">
        <v>720</v>
      </c>
      <c r="K103" s="2">
        <v>0</v>
      </c>
      <c r="L103" s="2">
        <v>0</v>
      </c>
      <c r="M103" s="2"/>
      <c r="N103" s="2">
        <v>0</v>
      </c>
      <c r="O103" s="8">
        <f t="shared" si="0"/>
        <v>0</v>
      </c>
      <c r="P103" s="2"/>
      <c r="Q103" s="2"/>
      <c r="R103" s="2"/>
      <c r="S103" s="2"/>
      <c r="T103" s="18"/>
      <c r="U103" s="18"/>
      <c r="V103" s="18"/>
      <c r="W103" s="2"/>
      <c r="X103" s="2"/>
      <c r="Y103" s="18"/>
      <c r="Z103" s="18"/>
      <c r="AA103" s="18"/>
      <c r="AB103" s="18">
        <v>320</v>
      </c>
      <c r="AC103" s="18">
        <v>320</v>
      </c>
      <c r="AD103" s="18">
        <v>80</v>
      </c>
      <c r="AE103" s="18"/>
      <c r="AF103" s="18"/>
      <c r="AG103" s="18"/>
      <c r="AH103" s="18"/>
      <c r="AI103" s="18"/>
      <c r="AJ103" s="2"/>
      <c r="AK103" s="7">
        <f t="shared" si="1"/>
        <v>0</v>
      </c>
      <c r="AL103" s="8" t="s">
        <v>147</v>
      </c>
      <c r="AM103" s="8">
        <v>80</v>
      </c>
      <c r="AN103" s="8" t="s">
        <v>153</v>
      </c>
      <c r="AO103" s="8">
        <f t="shared" si="4"/>
        <v>9</v>
      </c>
    </row>
    <row r="104" spans="1:42" x14ac:dyDescent="0.25">
      <c r="A104" s="2">
        <v>99</v>
      </c>
      <c r="B104" s="2" t="s">
        <v>128</v>
      </c>
      <c r="C104" s="2" t="s">
        <v>129</v>
      </c>
      <c r="D104" s="2" t="s">
        <v>123</v>
      </c>
      <c r="E104" s="13">
        <v>0.75</v>
      </c>
      <c r="F104" s="2"/>
      <c r="G104" s="3"/>
      <c r="H104" s="3"/>
      <c r="I104" s="2">
        <v>0</v>
      </c>
      <c r="J104" s="2">
        <v>80</v>
      </c>
      <c r="K104" s="2">
        <v>0</v>
      </c>
      <c r="L104" s="2">
        <v>0</v>
      </c>
      <c r="M104" s="2"/>
      <c r="N104" s="2">
        <v>0</v>
      </c>
      <c r="O104" s="8">
        <f t="shared" si="0"/>
        <v>0</v>
      </c>
      <c r="P104" s="2"/>
      <c r="Q104" s="2"/>
      <c r="R104" s="2"/>
      <c r="S104" s="2"/>
      <c r="T104" s="18"/>
      <c r="U104" s="18"/>
      <c r="V104" s="18"/>
      <c r="W104" s="2"/>
      <c r="X104" s="2"/>
      <c r="Y104" s="18"/>
      <c r="Z104" s="18"/>
      <c r="AA104" s="18"/>
      <c r="AB104" s="18"/>
      <c r="AC104" s="18"/>
      <c r="AD104" s="18">
        <v>80</v>
      </c>
      <c r="AE104" s="18"/>
      <c r="AF104" s="18"/>
      <c r="AG104" s="18"/>
      <c r="AH104" s="18"/>
      <c r="AI104" s="18"/>
      <c r="AJ104" s="2"/>
      <c r="AK104" s="7">
        <f t="shared" si="1"/>
        <v>0</v>
      </c>
      <c r="AL104" s="8" t="s">
        <v>147</v>
      </c>
      <c r="AM104" s="8">
        <v>80</v>
      </c>
      <c r="AN104" s="8" t="s">
        <v>153</v>
      </c>
      <c r="AO104" s="8">
        <f t="shared" si="4"/>
        <v>1</v>
      </c>
    </row>
    <row r="105" spans="1:42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2">
        <v>0</v>
      </c>
      <c r="J105" s="2">
        <v>1200</v>
      </c>
      <c r="K105" s="2">
        <v>0</v>
      </c>
      <c r="L105" s="2">
        <v>0</v>
      </c>
      <c r="M105" s="2"/>
      <c r="N105" s="2">
        <v>0</v>
      </c>
      <c r="O105" s="8">
        <f t="shared" si="0"/>
        <v>110</v>
      </c>
      <c r="P105" s="2"/>
      <c r="Q105" s="2"/>
      <c r="R105" s="2"/>
      <c r="S105" s="2"/>
      <c r="T105" s="18"/>
      <c r="U105" s="18"/>
      <c r="V105" s="18"/>
      <c r="W105" s="2"/>
      <c r="X105" s="2"/>
      <c r="Y105" s="18"/>
      <c r="Z105" s="18"/>
      <c r="AA105" s="18"/>
      <c r="AB105" s="18"/>
      <c r="AC105" s="18"/>
      <c r="AD105" s="18">
        <v>640</v>
      </c>
      <c r="AE105" s="18"/>
      <c r="AF105" s="18"/>
      <c r="AG105" s="18"/>
      <c r="AH105" s="18"/>
      <c r="AI105" s="18"/>
      <c r="AJ105" s="2">
        <v>450</v>
      </c>
      <c r="AK105" s="7">
        <f t="shared" si="1"/>
        <v>0</v>
      </c>
      <c r="AL105" s="8" t="s">
        <v>147</v>
      </c>
      <c r="AM105" s="8">
        <v>80</v>
      </c>
      <c r="AN105" s="8" t="s">
        <v>153</v>
      </c>
      <c r="AO105" s="8">
        <f t="shared" si="4"/>
        <v>15</v>
      </c>
    </row>
    <row r="106" spans="1:42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2">
        <v>0</v>
      </c>
      <c r="J106" s="2">
        <v>700</v>
      </c>
      <c r="K106" s="2">
        <v>0</v>
      </c>
      <c r="L106" s="2">
        <v>0</v>
      </c>
      <c r="M106" s="2"/>
      <c r="N106" s="2">
        <v>0</v>
      </c>
      <c r="O106" s="8">
        <f t="shared" si="0"/>
        <v>-540</v>
      </c>
      <c r="P106" s="2">
        <v>45</v>
      </c>
      <c r="Q106" s="2"/>
      <c r="R106" s="2"/>
      <c r="S106" s="2"/>
      <c r="T106" s="18"/>
      <c r="U106" s="18"/>
      <c r="V106" s="18"/>
      <c r="W106" s="2"/>
      <c r="X106" s="2"/>
      <c r="Y106" s="18">
        <v>400</v>
      </c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2">
        <v>795</v>
      </c>
      <c r="AK106" s="7">
        <f t="shared" si="1"/>
        <v>0</v>
      </c>
      <c r="AL106" s="8" t="s">
        <v>147</v>
      </c>
      <c r="AM106" s="8">
        <v>50</v>
      </c>
      <c r="AN106" s="8" t="s">
        <v>153</v>
      </c>
      <c r="AO106" s="8">
        <f t="shared" si="4"/>
        <v>14</v>
      </c>
    </row>
    <row r="107" spans="1:42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2">
        <v>0</v>
      </c>
      <c r="J107" s="2">
        <v>0</v>
      </c>
      <c r="K107" s="2">
        <v>700</v>
      </c>
      <c r="L107" s="2">
        <v>0</v>
      </c>
      <c r="M107" s="2"/>
      <c r="N107" s="2">
        <v>0</v>
      </c>
      <c r="O107" s="8">
        <f t="shared" si="0"/>
        <v>0</v>
      </c>
      <c r="P107" s="2"/>
      <c r="Q107" s="2"/>
      <c r="R107" s="2"/>
      <c r="S107" s="2"/>
      <c r="T107" s="18"/>
      <c r="U107" s="18"/>
      <c r="V107" s="18"/>
      <c r="W107" s="2"/>
      <c r="X107" s="2"/>
      <c r="Y107" s="18"/>
      <c r="Z107" s="18"/>
      <c r="AA107" s="18"/>
      <c r="AB107" s="18"/>
      <c r="AC107" s="18"/>
      <c r="AD107" s="18"/>
      <c r="AE107" s="18"/>
      <c r="AF107" s="18"/>
      <c r="AG107" s="18">
        <v>700</v>
      </c>
      <c r="AH107" s="18"/>
      <c r="AI107" s="18"/>
      <c r="AJ107" s="2"/>
      <c r="AK107" s="7">
        <f t="shared" si="1"/>
        <v>0</v>
      </c>
      <c r="AL107" s="8" t="s">
        <v>155</v>
      </c>
      <c r="AM107" s="8">
        <v>50</v>
      </c>
      <c r="AN107" s="8" t="s">
        <v>153</v>
      </c>
      <c r="AO107" s="8">
        <f t="shared" si="4"/>
        <v>14</v>
      </c>
    </row>
    <row r="108" spans="1:42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2">
        <v>0</v>
      </c>
      <c r="J108" s="2">
        <v>0</v>
      </c>
      <c r="K108" s="2">
        <v>1200</v>
      </c>
      <c r="L108" s="2">
        <v>0</v>
      </c>
      <c r="M108" s="2"/>
      <c r="N108" s="2">
        <v>0</v>
      </c>
      <c r="O108" s="8">
        <f t="shared" si="0"/>
        <v>50</v>
      </c>
      <c r="P108" s="2"/>
      <c r="Q108" s="2"/>
      <c r="R108" s="2"/>
      <c r="S108" s="2"/>
      <c r="T108" s="18"/>
      <c r="U108" s="18"/>
      <c r="V108" s="18"/>
      <c r="W108" s="2"/>
      <c r="X108" s="2"/>
      <c r="Y108" s="18"/>
      <c r="Z108" s="18"/>
      <c r="AA108" s="18"/>
      <c r="AB108" s="18"/>
      <c r="AC108" s="18"/>
      <c r="AD108" s="18"/>
      <c r="AE108" s="18"/>
      <c r="AF108" s="18"/>
      <c r="AG108" s="18"/>
      <c r="AH108" s="18">
        <v>400</v>
      </c>
      <c r="AI108" s="18">
        <v>750</v>
      </c>
      <c r="AJ108" s="2"/>
      <c r="AK108" s="7">
        <f t="shared" si="1"/>
        <v>0</v>
      </c>
      <c r="AL108" s="8" t="s">
        <v>155</v>
      </c>
      <c r="AM108" s="8">
        <v>50</v>
      </c>
      <c r="AN108" s="8" t="s">
        <v>153</v>
      </c>
      <c r="AO108" s="8">
        <f t="shared" si="4"/>
        <v>24</v>
      </c>
    </row>
    <row r="109" spans="1:42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2">
        <v>0</v>
      </c>
      <c r="J109" s="2">
        <v>0</v>
      </c>
      <c r="K109" s="2">
        <v>0</v>
      </c>
      <c r="L109" s="2">
        <v>3440</v>
      </c>
      <c r="M109" s="2"/>
      <c r="N109" s="2">
        <v>0</v>
      </c>
      <c r="O109" s="8">
        <f t="shared" si="0"/>
        <v>2900</v>
      </c>
      <c r="P109" s="2"/>
      <c r="Q109" s="2"/>
      <c r="R109" s="2"/>
      <c r="S109" s="2"/>
      <c r="T109" s="18"/>
      <c r="U109" s="18"/>
      <c r="V109" s="18"/>
      <c r="W109" s="2"/>
      <c r="X109" s="2"/>
      <c r="Y109" s="18"/>
      <c r="Z109" s="18"/>
      <c r="AA109" s="18"/>
      <c r="AB109" s="18"/>
      <c r="AC109" s="18"/>
      <c r="AD109" s="18"/>
      <c r="AE109" s="18"/>
      <c r="AF109" s="18"/>
      <c r="AG109" s="18"/>
      <c r="AH109" s="18">
        <v>540</v>
      </c>
      <c r="AI109" s="18"/>
      <c r="AJ109" s="2"/>
      <c r="AK109" s="7">
        <f t="shared" si="1"/>
        <v>0</v>
      </c>
      <c r="AL109" s="8" t="s">
        <v>148</v>
      </c>
      <c r="AM109" s="8">
        <v>250</v>
      </c>
      <c r="AN109" s="8" t="s">
        <v>154</v>
      </c>
      <c r="AO109" s="8">
        <f t="shared" si="4"/>
        <v>13.76</v>
      </c>
    </row>
    <row r="110" spans="1:42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2">
        <v>0</v>
      </c>
      <c r="J110" s="2">
        <v>0</v>
      </c>
      <c r="K110" s="2">
        <v>0</v>
      </c>
      <c r="L110" s="2">
        <v>3338</v>
      </c>
      <c r="M110" s="2"/>
      <c r="N110" s="2">
        <v>0</v>
      </c>
      <c r="O110" s="8">
        <f t="shared" si="0"/>
        <v>-5065</v>
      </c>
      <c r="P110" s="2"/>
      <c r="Q110" s="2"/>
      <c r="R110" s="2"/>
      <c r="S110" s="2"/>
      <c r="T110" s="18"/>
      <c r="U110" s="18"/>
      <c r="V110" s="18"/>
      <c r="W110" s="2"/>
      <c r="X110" s="2"/>
      <c r="Y110" s="18"/>
      <c r="Z110" s="18"/>
      <c r="AA110" s="18"/>
      <c r="AB110" s="18"/>
      <c r="AC110" s="18"/>
      <c r="AD110" s="18"/>
      <c r="AE110" s="18"/>
      <c r="AF110" s="18">
        <v>6120</v>
      </c>
      <c r="AG110" s="18"/>
      <c r="AH110" s="18">
        <v>2283</v>
      </c>
      <c r="AI110" s="18"/>
      <c r="AJ110" s="2"/>
      <c r="AK110" s="7">
        <f t="shared" si="1"/>
        <v>0</v>
      </c>
      <c r="AL110" s="8" t="s">
        <v>148</v>
      </c>
      <c r="AM110" s="8">
        <v>250</v>
      </c>
      <c r="AN110" s="8" t="s">
        <v>154</v>
      </c>
      <c r="AO110" s="8">
        <f t="shared" si="4"/>
        <v>13.352</v>
      </c>
    </row>
    <row r="111" spans="1:42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2">
        <v>0</v>
      </c>
      <c r="J111" s="2">
        <v>0</v>
      </c>
      <c r="K111" s="2">
        <v>0</v>
      </c>
      <c r="L111" s="2">
        <v>0</v>
      </c>
      <c r="M111" s="2"/>
      <c r="N111" s="2">
        <v>0</v>
      </c>
      <c r="O111" s="8">
        <f t="shared" si="0"/>
        <v>0</v>
      </c>
      <c r="P111" s="2"/>
      <c r="Q111" s="2"/>
      <c r="R111" s="2"/>
      <c r="S111" s="2"/>
      <c r="T111" s="18"/>
      <c r="U111" s="18"/>
      <c r="V111" s="18"/>
      <c r="W111" s="2"/>
      <c r="X111" s="2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2"/>
      <c r="AK111" s="7">
        <f t="shared" si="1"/>
        <v>0</v>
      </c>
      <c r="AL111" s="8" t="s">
        <v>148</v>
      </c>
      <c r="AM111" s="8">
        <v>250</v>
      </c>
      <c r="AN111" s="8" t="s">
        <v>154</v>
      </c>
      <c r="AO111" s="8">
        <f t="shared" si="4"/>
        <v>0</v>
      </c>
    </row>
    <row r="112" spans="1:42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2">
        <v>0</v>
      </c>
      <c r="J112" s="2">
        <v>0</v>
      </c>
      <c r="K112" s="2">
        <v>0</v>
      </c>
      <c r="L112" s="2">
        <v>914</v>
      </c>
      <c r="M112" s="2"/>
      <c r="N112" s="2">
        <v>0</v>
      </c>
      <c r="O112" s="8">
        <f t="shared" si="0"/>
        <v>914</v>
      </c>
      <c r="P112" s="2"/>
      <c r="Q112" s="2"/>
      <c r="R112" s="2"/>
      <c r="S112" s="2"/>
      <c r="T112" s="18"/>
      <c r="U112" s="18"/>
      <c r="V112" s="18"/>
      <c r="W112" s="2"/>
      <c r="X112" s="2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2"/>
      <c r="AK112" s="7">
        <f t="shared" si="1"/>
        <v>0</v>
      </c>
      <c r="AL112" s="8" t="s">
        <v>150</v>
      </c>
      <c r="AM112" s="8">
        <v>200</v>
      </c>
      <c r="AN112" s="8" t="s">
        <v>154</v>
      </c>
      <c r="AO112" s="8">
        <f t="shared" si="4"/>
        <v>4.57</v>
      </c>
    </row>
    <row r="113" spans="1:41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2">
        <v>0</v>
      </c>
      <c r="J113" s="2">
        <v>0</v>
      </c>
      <c r="K113" s="2">
        <v>0</v>
      </c>
      <c r="L113" s="2">
        <v>1902</v>
      </c>
      <c r="M113" s="2"/>
      <c r="N113" s="2">
        <v>0</v>
      </c>
      <c r="O113" s="8">
        <f t="shared" si="0"/>
        <v>1902</v>
      </c>
      <c r="P113" s="2"/>
      <c r="Q113" s="2"/>
      <c r="R113" s="2"/>
      <c r="S113" s="2"/>
      <c r="T113" s="18"/>
      <c r="U113" s="18"/>
      <c r="V113" s="18"/>
      <c r="W113" s="2"/>
      <c r="X113" s="2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2"/>
      <c r="AK113" s="7">
        <f t="shared" si="1"/>
        <v>0</v>
      </c>
      <c r="AL113" s="8" t="s">
        <v>150</v>
      </c>
      <c r="AM113" s="8">
        <v>200</v>
      </c>
      <c r="AN113" s="8" t="s">
        <v>154</v>
      </c>
      <c r="AO113" s="8">
        <f t="shared" si="4"/>
        <v>9.51</v>
      </c>
    </row>
    <row r="114" spans="1:41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2">
        <v>0</v>
      </c>
      <c r="J114" s="2">
        <v>0</v>
      </c>
      <c r="K114" s="2">
        <v>0</v>
      </c>
      <c r="L114" s="2">
        <v>10</v>
      </c>
      <c r="M114" s="2"/>
      <c r="N114" s="2">
        <v>0</v>
      </c>
      <c r="O114" s="8">
        <f t="shared" si="0"/>
        <v>10</v>
      </c>
      <c r="P114" s="2"/>
      <c r="Q114" s="2"/>
      <c r="R114" s="2"/>
      <c r="S114" s="2"/>
      <c r="T114" s="18"/>
      <c r="U114" s="18"/>
      <c r="V114" s="18"/>
      <c r="W114" s="2"/>
      <c r="X114" s="2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2"/>
      <c r="AK114" s="7">
        <f t="shared" si="1"/>
        <v>0</v>
      </c>
      <c r="AL114" s="8" t="s">
        <v>150</v>
      </c>
      <c r="AM114" s="8">
        <v>200</v>
      </c>
      <c r="AN114" s="8" t="s">
        <v>154</v>
      </c>
      <c r="AO114" s="8">
        <f t="shared" si="4"/>
        <v>0.05</v>
      </c>
    </row>
    <row r="115" spans="1:41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2">
        <v>0</v>
      </c>
      <c r="J115" s="2">
        <v>0</v>
      </c>
      <c r="K115" s="2">
        <v>0</v>
      </c>
      <c r="L115" s="2">
        <v>1887</v>
      </c>
      <c r="M115" s="2"/>
      <c r="N115" s="2">
        <v>0</v>
      </c>
      <c r="O115" s="8">
        <f t="shared" si="0"/>
        <v>1887</v>
      </c>
      <c r="P115" s="2"/>
      <c r="Q115" s="2"/>
      <c r="R115" s="2"/>
      <c r="S115" s="2"/>
      <c r="T115" s="18"/>
      <c r="U115" s="18"/>
      <c r="V115" s="18"/>
      <c r="W115" s="2"/>
      <c r="X115" s="2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2"/>
      <c r="AK115" s="7">
        <f t="shared" si="1"/>
        <v>0</v>
      </c>
      <c r="AL115" s="8" t="s">
        <v>150</v>
      </c>
      <c r="AM115" s="8">
        <v>200</v>
      </c>
      <c r="AN115" s="8" t="s">
        <v>154</v>
      </c>
      <c r="AO115" s="8">
        <f t="shared" si="4"/>
        <v>9.4350000000000005</v>
      </c>
    </row>
    <row r="116" spans="1:41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2">
        <v>0</v>
      </c>
      <c r="J116" s="2">
        <v>0</v>
      </c>
      <c r="K116" s="2">
        <v>0</v>
      </c>
      <c r="L116" s="2">
        <v>63</v>
      </c>
      <c r="M116" s="2"/>
      <c r="N116" s="2">
        <v>0</v>
      </c>
      <c r="O116" s="8">
        <f t="shared" si="0"/>
        <v>63</v>
      </c>
      <c r="P116" s="2"/>
      <c r="Q116" s="2"/>
      <c r="R116" s="2"/>
      <c r="S116" s="2"/>
      <c r="T116" s="18"/>
      <c r="U116" s="18"/>
      <c r="V116" s="18"/>
      <c r="W116" s="2"/>
      <c r="X116" s="2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2"/>
      <c r="AK116" s="7">
        <f t="shared" si="1"/>
        <v>0</v>
      </c>
      <c r="AL116" s="8" t="s">
        <v>150</v>
      </c>
      <c r="AM116" s="8">
        <v>200</v>
      </c>
      <c r="AN116" s="8" t="s">
        <v>154</v>
      </c>
      <c r="AO116" s="8">
        <f t="shared" si="4"/>
        <v>0.315</v>
      </c>
    </row>
    <row r="117" spans="1:41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2">
        <v>0</v>
      </c>
      <c r="J117" s="2">
        <v>0</v>
      </c>
      <c r="K117" s="2">
        <v>0</v>
      </c>
      <c r="L117" s="2">
        <v>7</v>
      </c>
      <c r="M117" s="2"/>
      <c r="N117" s="2">
        <v>0</v>
      </c>
      <c r="O117" s="8">
        <f t="shared" si="0"/>
        <v>7</v>
      </c>
      <c r="P117" s="2"/>
      <c r="Q117" s="2"/>
      <c r="R117" s="2"/>
      <c r="S117" s="2"/>
      <c r="T117" s="18"/>
      <c r="U117" s="18"/>
      <c r="V117" s="18"/>
      <c r="W117" s="2"/>
      <c r="X117" s="2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2"/>
      <c r="AK117" s="7">
        <f t="shared" si="1"/>
        <v>0</v>
      </c>
      <c r="AL117" s="8" t="s">
        <v>150</v>
      </c>
      <c r="AM117" s="8">
        <v>200</v>
      </c>
      <c r="AN117" s="8" t="s">
        <v>154</v>
      </c>
      <c r="AO117" s="8">
        <f t="shared" si="4"/>
        <v>3.5000000000000003E-2</v>
      </c>
    </row>
    <row r="118" spans="1:41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2">
        <v>0</v>
      </c>
      <c r="J118" s="2">
        <v>0</v>
      </c>
      <c r="K118" s="2">
        <v>0</v>
      </c>
      <c r="L118" s="2">
        <v>172</v>
      </c>
      <c r="M118" s="2"/>
      <c r="N118" s="2">
        <v>0</v>
      </c>
      <c r="O118" s="8">
        <f t="shared" si="0"/>
        <v>172</v>
      </c>
      <c r="P118" s="2"/>
      <c r="Q118" s="2"/>
      <c r="R118" s="2"/>
      <c r="S118" s="2"/>
      <c r="T118" s="18"/>
      <c r="U118" s="18"/>
      <c r="V118" s="18"/>
      <c r="W118" s="2"/>
      <c r="X118" s="2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2"/>
      <c r="AK118" s="7">
        <f t="shared" si="1"/>
        <v>0</v>
      </c>
      <c r="AL118" s="8" t="s">
        <v>150</v>
      </c>
      <c r="AM118" s="8">
        <v>200</v>
      </c>
      <c r="AN118" s="8" t="s">
        <v>154</v>
      </c>
      <c r="AO118" s="8">
        <f t="shared" si="4"/>
        <v>0.86</v>
      </c>
    </row>
    <row r="119" spans="1:41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2">
        <v>0</v>
      </c>
      <c r="J119" s="2">
        <v>0</v>
      </c>
      <c r="K119" s="2">
        <v>0</v>
      </c>
      <c r="L119" s="2">
        <v>821</v>
      </c>
      <c r="M119" s="2"/>
      <c r="N119" s="2">
        <v>0</v>
      </c>
      <c r="O119" s="8">
        <f t="shared" si="0"/>
        <v>821</v>
      </c>
      <c r="P119" s="2"/>
      <c r="Q119" s="2"/>
      <c r="R119" s="2"/>
      <c r="S119" s="2"/>
      <c r="T119" s="18"/>
      <c r="U119" s="18"/>
      <c r="V119" s="18"/>
      <c r="W119" s="2"/>
      <c r="X119" s="2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2"/>
      <c r="AK119" s="7">
        <f t="shared" si="1"/>
        <v>0</v>
      </c>
      <c r="AL119" s="8" t="s">
        <v>150</v>
      </c>
      <c r="AM119" s="8">
        <v>200</v>
      </c>
      <c r="AN119" s="8" t="s">
        <v>154</v>
      </c>
      <c r="AO119" s="8">
        <f t="shared" si="4"/>
        <v>4.1050000000000004</v>
      </c>
    </row>
    <row r="120" spans="1:41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2">
        <v>0</v>
      </c>
      <c r="J120" s="2">
        <v>0</v>
      </c>
      <c r="K120" s="2">
        <v>0</v>
      </c>
      <c r="L120" s="2">
        <v>3189</v>
      </c>
      <c r="M120" s="2"/>
      <c r="N120" s="2">
        <v>0</v>
      </c>
      <c r="O120" s="8">
        <f t="shared" si="0"/>
        <v>3189</v>
      </c>
      <c r="P120" s="2"/>
      <c r="Q120" s="2"/>
      <c r="R120" s="2"/>
      <c r="S120" s="2"/>
      <c r="T120" s="18"/>
      <c r="U120" s="18"/>
      <c r="V120" s="18"/>
      <c r="W120" s="2"/>
      <c r="X120" s="2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2"/>
      <c r="AK120" s="7">
        <f t="shared" si="1"/>
        <v>0</v>
      </c>
      <c r="AL120" s="8" t="s">
        <v>150</v>
      </c>
      <c r="AM120" s="8">
        <v>200</v>
      </c>
      <c r="AN120" s="8" t="s">
        <v>154</v>
      </c>
      <c r="AO120" s="8">
        <f t="shared" si="4"/>
        <v>15.945</v>
      </c>
    </row>
    <row r="121" spans="1:41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2">
        <v>0</v>
      </c>
      <c r="J121" s="2">
        <v>0</v>
      </c>
      <c r="K121" s="2">
        <v>0</v>
      </c>
      <c r="L121" s="2">
        <v>0</v>
      </c>
      <c r="M121" s="2"/>
      <c r="N121" s="2">
        <v>0</v>
      </c>
      <c r="O121" s="8">
        <f t="shared" si="0"/>
        <v>0</v>
      </c>
      <c r="P121" s="2"/>
      <c r="Q121" s="2"/>
      <c r="R121" s="2"/>
      <c r="S121" s="2"/>
      <c r="T121" s="18"/>
      <c r="U121" s="18"/>
      <c r="V121" s="18"/>
      <c r="W121" s="2"/>
      <c r="X121" s="2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2"/>
      <c r="AK121" s="7">
        <f t="shared" si="1"/>
        <v>0</v>
      </c>
      <c r="AL121" s="8" t="s">
        <v>150</v>
      </c>
      <c r="AM121" s="8">
        <v>200</v>
      </c>
      <c r="AN121" s="8" t="s">
        <v>154</v>
      </c>
      <c r="AO121" s="8">
        <f t="shared" si="4"/>
        <v>0</v>
      </c>
    </row>
    <row r="122" spans="1:41" x14ac:dyDescent="0.25">
      <c r="A122" s="2">
        <v>117</v>
      </c>
      <c r="B122" s="2" t="s">
        <v>130</v>
      </c>
      <c r="C122" s="2" t="s">
        <v>0</v>
      </c>
      <c r="D122" s="2" t="s">
        <v>144</v>
      </c>
      <c r="E122" s="13">
        <v>0.875</v>
      </c>
      <c r="F122" s="2"/>
      <c r="G122" s="3"/>
      <c r="H122" s="3"/>
      <c r="I122" s="2">
        <v>0</v>
      </c>
      <c r="J122" s="2">
        <v>0</v>
      </c>
      <c r="K122" s="2">
        <v>0</v>
      </c>
      <c r="L122" s="2">
        <v>0</v>
      </c>
      <c r="M122" s="2"/>
      <c r="N122" s="2">
        <v>0</v>
      </c>
      <c r="O122" s="8">
        <f t="shared" si="0"/>
        <v>0</v>
      </c>
      <c r="P122" s="2"/>
      <c r="Q122" s="2"/>
      <c r="R122" s="2"/>
      <c r="S122" s="2"/>
      <c r="T122" s="18"/>
      <c r="U122" s="18"/>
      <c r="V122" s="18"/>
      <c r="W122" s="2"/>
      <c r="X122" s="2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2"/>
      <c r="AK122" s="7">
        <f t="shared" si="1"/>
        <v>0</v>
      </c>
      <c r="AL122" s="8" t="s">
        <v>150</v>
      </c>
      <c r="AM122" s="8">
        <v>200</v>
      </c>
      <c r="AN122" s="8" t="s">
        <v>154</v>
      </c>
      <c r="AO122" s="8">
        <f t="shared" si="4"/>
        <v>0</v>
      </c>
    </row>
    <row r="123" spans="1:41" x14ac:dyDescent="0.25">
      <c r="A123" s="2">
        <v>118</v>
      </c>
      <c r="B123" s="2" t="s">
        <v>188</v>
      </c>
      <c r="C123" s="2" t="s">
        <v>129</v>
      </c>
      <c r="D123" s="2" t="s">
        <v>160</v>
      </c>
      <c r="E123" s="13">
        <v>0.3125</v>
      </c>
      <c r="F123" s="2"/>
      <c r="G123" s="3"/>
      <c r="H123" s="3">
        <v>0.2</v>
      </c>
      <c r="I123" s="2">
        <v>0</v>
      </c>
      <c r="J123" s="2"/>
      <c r="K123" s="2">
        <v>0</v>
      </c>
      <c r="L123" s="2">
        <v>0</v>
      </c>
      <c r="M123" s="2"/>
      <c r="N123" s="2">
        <v>0</v>
      </c>
      <c r="O123" s="8">
        <f t="shared" si="0"/>
        <v>0</v>
      </c>
      <c r="P123" s="2"/>
      <c r="Q123" s="2"/>
      <c r="R123" s="2"/>
      <c r="S123" s="2"/>
      <c r="T123" s="18"/>
      <c r="U123" s="18"/>
      <c r="V123" s="18"/>
      <c r="W123" s="2"/>
      <c r="X123" s="2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2">
        <v>0</v>
      </c>
      <c r="AK123" s="7">
        <f t="shared" si="1"/>
        <v>0</v>
      </c>
      <c r="AL123" s="8" t="s">
        <v>148</v>
      </c>
      <c r="AM123" s="12">
        <v>500</v>
      </c>
      <c r="AN123" s="8" t="s">
        <v>189</v>
      </c>
      <c r="AO123" s="8">
        <f t="shared" si="4"/>
        <v>0</v>
      </c>
    </row>
    <row r="124" spans="1:41" x14ac:dyDescent="0.25">
      <c r="A124" s="2">
        <v>119</v>
      </c>
      <c r="B124" s="2" t="s">
        <v>188</v>
      </c>
      <c r="C124" s="2" t="s">
        <v>129</v>
      </c>
      <c r="D124" s="2" t="s">
        <v>161</v>
      </c>
      <c r="E124" s="13">
        <v>0.3125</v>
      </c>
      <c r="F124" s="2"/>
      <c r="G124" s="3"/>
      <c r="H124" s="3">
        <v>0.2</v>
      </c>
      <c r="I124" s="2">
        <v>0</v>
      </c>
      <c r="J124" s="2"/>
      <c r="K124" s="2">
        <v>0</v>
      </c>
      <c r="L124" s="2">
        <v>0</v>
      </c>
      <c r="M124" s="2"/>
      <c r="N124" s="2">
        <v>1800</v>
      </c>
      <c r="O124" s="8">
        <f t="shared" ref="O124:O149" si="6">+I124+J124+K124+L124+M124+N124-SUM(P124:AJ124)</f>
        <v>0</v>
      </c>
      <c r="P124" s="2"/>
      <c r="Q124" s="2"/>
      <c r="R124" s="2"/>
      <c r="S124" s="2"/>
      <c r="T124" s="18"/>
      <c r="U124" s="18"/>
      <c r="V124" s="18"/>
      <c r="W124" s="2"/>
      <c r="X124" s="2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2">
        <v>1800</v>
      </c>
      <c r="AK124" s="7">
        <f t="shared" ref="AK124:AK149" si="7">+G124*SUM(I124:N124)</f>
        <v>0</v>
      </c>
      <c r="AL124" s="8" t="s">
        <v>148</v>
      </c>
      <c r="AM124" s="12">
        <v>500</v>
      </c>
      <c r="AN124" s="8" t="s">
        <v>189</v>
      </c>
      <c r="AO124" s="8">
        <f t="shared" si="4"/>
        <v>3.6</v>
      </c>
    </row>
    <row r="125" spans="1:41" x14ac:dyDescent="0.25">
      <c r="A125" s="2">
        <v>120</v>
      </c>
      <c r="B125" s="2" t="s">
        <v>188</v>
      </c>
      <c r="C125" s="2" t="s">
        <v>129</v>
      </c>
      <c r="D125" s="2" t="s">
        <v>162</v>
      </c>
      <c r="E125" s="13">
        <v>0.3125</v>
      </c>
      <c r="F125" s="2"/>
      <c r="G125" s="3"/>
      <c r="H125" s="3">
        <v>0.2</v>
      </c>
      <c r="I125" s="2">
        <v>0</v>
      </c>
      <c r="J125" s="2"/>
      <c r="K125" s="2">
        <v>0</v>
      </c>
      <c r="L125" s="2">
        <v>0</v>
      </c>
      <c r="M125" s="2"/>
      <c r="N125" s="2">
        <v>0</v>
      </c>
      <c r="O125" s="8">
        <f t="shared" si="6"/>
        <v>0</v>
      </c>
      <c r="P125" s="2"/>
      <c r="Q125" s="2"/>
      <c r="R125" s="2"/>
      <c r="S125" s="2"/>
      <c r="T125" s="18"/>
      <c r="U125" s="18"/>
      <c r="V125" s="18"/>
      <c r="W125" s="2"/>
      <c r="X125" s="2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2">
        <v>0</v>
      </c>
      <c r="AK125" s="7">
        <f t="shared" si="7"/>
        <v>0</v>
      </c>
      <c r="AL125" s="8" t="s">
        <v>148</v>
      </c>
      <c r="AM125" s="12">
        <v>500</v>
      </c>
      <c r="AN125" s="8" t="s">
        <v>189</v>
      </c>
      <c r="AO125" s="8">
        <f t="shared" si="4"/>
        <v>0</v>
      </c>
    </row>
    <row r="126" spans="1:41" x14ac:dyDescent="0.25">
      <c r="A126" s="2">
        <v>121</v>
      </c>
      <c r="B126" s="2" t="s">
        <v>188</v>
      </c>
      <c r="C126" s="2" t="s">
        <v>129</v>
      </c>
      <c r="D126" s="2" t="s">
        <v>163</v>
      </c>
      <c r="E126" s="13">
        <v>0.3125</v>
      </c>
      <c r="F126" s="2"/>
      <c r="G126" s="3"/>
      <c r="H126" s="3">
        <v>0.2</v>
      </c>
      <c r="I126" s="2">
        <v>0</v>
      </c>
      <c r="J126" s="2"/>
      <c r="K126" s="2">
        <v>0</v>
      </c>
      <c r="L126" s="2">
        <v>0</v>
      </c>
      <c r="M126" s="2"/>
      <c r="N126" s="2">
        <v>2800</v>
      </c>
      <c r="O126" s="8">
        <f t="shared" si="6"/>
        <v>0</v>
      </c>
      <c r="P126" s="2"/>
      <c r="Q126" s="2"/>
      <c r="R126" s="2"/>
      <c r="S126" s="2"/>
      <c r="T126" s="18"/>
      <c r="U126" s="18"/>
      <c r="V126" s="18"/>
      <c r="W126" s="2"/>
      <c r="X126" s="2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2">
        <v>2800</v>
      </c>
      <c r="AK126" s="7">
        <f t="shared" si="7"/>
        <v>0</v>
      </c>
      <c r="AL126" s="8" t="s">
        <v>148</v>
      </c>
      <c r="AM126" s="12">
        <v>500</v>
      </c>
      <c r="AN126" s="8" t="s">
        <v>189</v>
      </c>
      <c r="AO126" s="8">
        <f t="shared" si="4"/>
        <v>5.6</v>
      </c>
    </row>
    <row r="127" spans="1:41" x14ac:dyDescent="0.25">
      <c r="A127" s="2">
        <v>122</v>
      </c>
      <c r="B127" s="2" t="s">
        <v>188</v>
      </c>
      <c r="C127" s="2" t="s">
        <v>129</v>
      </c>
      <c r="D127" s="2" t="s">
        <v>164</v>
      </c>
      <c r="E127" s="13">
        <v>0.3125</v>
      </c>
      <c r="F127" s="2"/>
      <c r="G127" s="3"/>
      <c r="H127" s="3">
        <v>0.2</v>
      </c>
      <c r="I127" s="2">
        <v>0</v>
      </c>
      <c r="J127" s="2"/>
      <c r="K127" s="2">
        <v>0</v>
      </c>
      <c r="L127" s="2">
        <v>0</v>
      </c>
      <c r="M127" s="2"/>
      <c r="N127" s="2">
        <v>0</v>
      </c>
      <c r="O127" s="8">
        <f t="shared" si="6"/>
        <v>0</v>
      </c>
      <c r="P127" s="2"/>
      <c r="Q127" s="2"/>
      <c r="R127" s="2"/>
      <c r="S127" s="2"/>
      <c r="T127" s="18"/>
      <c r="U127" s="18"/>
      <c r="V127" s="18"/>
      <c r="W127" s="2"/>
      <c r="X127" s="2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2">
        <v>0</v>
      </c>
      <c r="AK127" s="7">
        <f t="shared" si="7"/>
        <v>0</v>
      </c>
      <c r="AL127" s="8" t="s">
        <v>148</v>
      </c>
      <c r="AM127" s="12">
        <v>500</v>
      </c>
      <c r="AN127" s="8" t="s">
        <v>189</v>
      </c>
      <c r="AO127" s="8">
        <f t="shared" si="4"/>
        <v>0</v>
      </c>
    </row>
    <row r="128" spans="1:41" x14ac:dyDescent="0.25">
      <c r="A128" s="2">
        <v>123</v>
      </c>
      <c r="B128" s="2" t="s">
        <v>188</v>
      </c>
      <c r="C128" s="2" t="s">
        <v>129</v>
      </c>
      <c r="D128" s="2" t="s">
        <v>165</v>
      </c>
      <c r="E128" s="13">
        <v>0.3125</v>
      </c>
      <c r="F128" s="2"/>
      <c r="G128" s="3"/>
      <c r="H128" s="3">
        <v>0.2</v>
      </c>
      <c r="I128" s="2">
        <v>0</v>
      </c>
      <c r="J128" s="2"/>
      <c r="K128" s="2">
        <v>0</v>
      </c>
      <c r="L128" s="2">
        <v>0</v>
      </c>
      <c r="M128" s="2"/>
      <c r="N128" s="2">
        <v>4000</v>
      </c>
      <c r="O128" s="8">
        <f t="shared" si="6"/>
        <v>0</v>
      </c>
      <c r="P128" s="2"/>
      <c r="Q128" s="2"/>
      <c r="R128" s="2"/>
      <c r="S128" s="2"/>
      <c r="T128" s="18"/>
      <c r="U128" s="18"/>
      <c r="V128" s="18"/>
      <c r="W128" s="2"/>
      <c r="X128" s="2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2">
        <v>4000</v>
      </c>
      <c r="AK128" s="7">
        <f t="shared" si="7"/>
        <v>0</v>
      </c>
      <c r="AL128" s="8" t="s">
        <v>148</v>
      </c>
      <c r="AM128" s="12">
        <v>500</v>
      </c>
      <c r="AN128" s="8" t="s">
        <v>189</v>
      </c>
      <c r="AO128" s="8">
        <f t="shared" si="4"/>
        <v>8</v>
      </c>
    </row>
    <row r="129" spans="1:41" x14ac:dyDescent="0.25">
      <c r="A129" s="2">
        <v>124</v>
      </c>
      <c r="B129" s="2" t="s">
        <v>188</v>
      </c>
      <c r="C129" s="2" t="s">
        <v>129</v>
      </c>
      <c r="D129" s="2" t="s">
        <v>166</v>
      </c>
      <c r="E129" s="13">
        <v>0.3125</v>
      </c>
      <c r="F129" s="2"/>
      <c r="G129" s="3"/>
      <c r="H129" s="3">
        <v>0.16</v>
      </c>
      <c r="I129" s="2">
        <v>0</v>
      </c>
      <c r="J129" s="2"/>
      <c r="K129" s="2">
        <v>0</v>
      </c>
      <c r="L129" s="2">
        <v>0</v>
      </c>
      <c r="M129" s="2"/>
      <c r="N129" s="2">
        <v>0</v>
      </c>
      <c r="O129" s="8">
        <f t="shared" si="6"/>
        <v>0</v>
      </c>
      <c r="P129" s="2"/>
      <c r="Q129" s="2"/>
      <c r="R129" s="2"/>
      <c r="S129" s="2"/>
      <c r="T129" s="18"/>
      <c r="U129" s="18"/>
      <c r="V129" s="18"/>
      <c r="W129" s="2"/>
      <c r="X129" s="2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2">
        <v>0</v>
      </c>
      <c r="AK129" s="7">
        <f t="shared" si="7"/>
        <v>0</v>
      </c>
      <c r="AL129" s="8" t="s">
        <v>148</v>
      </c>
      <c r="AM129" s="12">
        <v>500</v>
      </c>
      <c r="AN129" s="8" t="s">
        <v>189</v>
      </c>
      <c r="AO129" s="8">
        <f t="shared" si="4"/>
        <v>0</v>
      </c>
    </row>
    <row r="130" spans="1:41" x14ac:dyDescent="0.25">
      <c r="A130" s="2">
        <v>125</v>
      </c>
      <c r="B130" s="2" t="s">
        <v>188</v>
      </c>
      <c r="C130" s="2" t="s">
        <v>129</v>
      </c>
      <c r="D130" s="2" t="s">
        <v>167</v>
      </c>
      <c r="E130" s="13">
        <v>0.3125</v>
      </c>
      <c r="F130" s="2"/>
      <c r="G130" s="3"/>
      <c r="H130" s="3">
        <v>0.16</v>
      </c>
      <c r="I130" s="2">
        <v>0</v>
      </c>
      <c r="J130" s="2"/>
      <c r="K130" s="2">
        <v>0</v>
      </c>
      <c r="L130" s="2">
        <v>0</v>
      </c>
      <c r="M130" s="2"/>
      <c r="N130" s="2">
        <v>0</v>
      </c>
      <c r="O130" s="8">
        <f t="shared" si="6"/>
        <v>0</v>
      </c>
      <c r="P130" s="2"/>
      <c r="Q130" s="2"/>
      <c r="R130" s="2"/>
      <c r="S130" s="2"/>
      <c r="T130" s="18"/>
      <c r="U130" s="18"/>
      <c r="V130" s="18"/>
      <c r="W130" s="2"/>
      <c r="X130" s="2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2">
        <v>0</v>
      </c>
      <c r="AK130" s="7">
        <f t="shared" si="7"/>
        <v>0</v>
      </c>
      <c r="AL130" s="8" t="s">
        <v>148</v>
      </c>
      <c r="AM130" s="12">
        <v>500</v>
      </c>
      <c r="AN130" s="8" t="s">
        <v>189</v>
      </c>
      <c r="AO130" s="8">
        <f t="shared" si="4"/>
        <v>0</v>
      </c>
    </row>
    <row r="131" spans="1:41" x14ac:dyDescent="0.25">
      <c r="A131" s="2">
        <v>126</v>
      </c>
      <c r="B131" s="2" t="s">
        <v>188</v>
      </c>
      <c r="C131" s="2" t="s">
        <v>129</v>
      </c>
      <c r="D131" s="2" t="s">
        <v>168</v>
      </c>
      <c r="E131" s="13">
        <v>0.3125</v>
      </c>
      <c r="F131" s="2"/>
      <c r="G131" s="3"/>
      <c r="H131" s="3">
        <v>0.21</v>
      </c>
      <c r="I131" s="2">
        <v>0</v>
      </c>
      <c r="J131" s="2"/>
      <c r="K131" s="2">
        <v>0</v>
      </c>
      <c r="L131" s="2">
        <v>0</v>
      </c>
      <c r="M131" s="2"/>
      <c r="N131" s="2">
        <v>0</v>
      </c>
      <c r="O131" s="8">
        <f t="shared" si="6"/>
        <v>0</v>
      </c>
      <c r="P131" s="2"/>
      <c r="Q131" s="2"/>
      <c r="R131" s="2"/>
      <c r="S131" s="2"/>
      <c r="T131" s="18"/>
      <c r="U131" s="18"/>
      <c r="V131" s="18"/>
      <c r="W131" s="2"/>
      <c r="X131" s="2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2">
        <v>0</v>
      </c>
      <c r="AK131" s="7">
        <f t="shared" si="7"/>
        <v>0</v>
      </c>
      <c r="AL131" s="8" t="s">
        <v>148</v>
      </c>
      <c r="AM131" s="12">
        <v>500</v>
      </c>
      <c r="AN131" s="8" t="s">
        <v>189</v>
      </c>
      <c r="AO131" s="8">
        <f t="shared" si="4"/>
        <v>0</v>
      </c>
    </row>
    <row r="132" spans="1:41" x14ac:dyDescent="0.25">
      <c r="A132" s="2">
        <v>127</v>
      </c>
      <c r="B132" s="2" t="s">
        <v>188</v>
      </c>
      <c r="C132" s="2" t="s">
        <v>129</v>
      </c>
      <c r="D132" s="2" t="s">
        <v>169</v>
      </c>
      <c r="E132" s="13">
        <v>0.3125</v>
      </c>
      <c r="F132" s="2"/>
      <c r="G132" s="3"/>
      <c r="H132" s="3">
        <v>0.21</v>
      </c>
      <c r="I132" s="2">
        <v>0</v>
      </c>
      <c r="J132" s="2"/>
      <c r="K132" s="2">
        <v>0</v>
      </c>
      <c r="L132" s="2">
        <v>0</v>
      </c>
      <c r="M132" s="2"/>
      <c r="N132" s="2">
        <v>0</v>
      </c>
      <c r="O132" s="8">
        <f t="shared" si="6"/>
        <v>0</v>
      </c>
      <c r="P132" s="2"/>
      <c r="Q132" s="2"/>
      <c r="R132" s="2"/>
      <c r="S132" s="2"/>
      <c r="T132" s="18"/>
      <c r="U132" s="18"/>
      <c r="V132" s="18"/>
      <c r="W132" s="2"/>
      <c r="X132" s="2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2">
        <v>0</v>
      </c>
      <c r="AK132" s="7">
        <f t="shared" si="7"/>
        <v>0</v>
      </c>
      <c r="AL132" s="8" t="s">
        <v>148</v>
      </c>
      <c r="AM132" s="12">
        <v>500</v>
      </c>
      <c r="AN132" s="8" t="s">
        <v>189</v>
      </c>
      <c r="AO132" s="8">
        <f t="shared" si="4"/>
        <v>0</v>
      </c>
    </row>
    <row r="133" spans="1:41" x14ac:dyDescent="0.25">
      <c r="A133" s="2">
        <v>128</v>
      </c>
      <c r="B133" s="2" t="s">
        <v>188</v>
      </c>
      <c r="C133" s="2" t="s">
        <v>129</v>
      </c>
      <c r="D133" s="2" t="s">
        <v>170</v>
      </c>
      <c r="E133" s="13">
        <v>0.3125</v>
      </c>
      <c r="F133" s="2"/>
      <c r="G133" s="3"/>
      <c r="H133" s="3">
        <v>0.25</v>
      </c>
      <c r="I133" s="2">
        <v>0</v>
      </c>
      <c r="J133" s="2"/>
      <c r="K133" s="2">
        <v>0</v>
      </c>
      <c r="L133" s="2">
        <v>0</v>
      </c>
      <c r="M133" s="2"/>
      <c r="N133" s="2">
        <v>0</v>
      </c>
      <c r="O133" s="8">
        <f t="shared" si="6"/>
        <v>0</v>
      </c>
      <c r="P133" s="2"/>
      <c r="Q133" s="2"/>
      <c r="R133" s="2"/>
      <c r="S133" s="2"/>
      <c r="T133" s="18"/>
      <c r="U133" s="18"/>
      <c r="V133" s="18"/>
      <c r="W133" s="2"/>
      <c r="X133" s="2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2">
        <v>0</v>
      </c>
      <c r="AK133" s="7">
        <f t="shared" si="7"/>
        <v>0</v>
      </c>
      <c r="AL133" s="8" t="s">
        <v>148</v>
      </c>
      <c r="AM133" s="12">
        <v>500</v>
      </c>
      <c r="AN133" s="8" t="s">
        <v>189</v>
      </c>
      <c r="AO133" s="8">
        <f t="shared" si="4"/>
        <v>0</v>
      </c>
    </row>
    <row r="134" spans="1:41" x14ac:dyDescent="0.25">
      <c r="A134" s="2">
        <v>129</v>
      </c>
      <c r="B134" s="2" t="s">
        <v>188</v>
      </c>
      <c r="C134" s="2" t="s">
        <v>129</v>
      </c>
      <c r="D134" s="2" t="s">
        <v>171</v>
      </c>
      <c r="E134" s="13">
        <v>0.3125</v>
      </c>
      <c r="F134" s="2"/>
      <c r="G134" s="3"/>
      <c r="H134" s="3">
        <v>0.25</v>
      </c>
      <c r="I134" s="2">
        <v>0</v>
      </c>
      <c r="J134" s="2"/>
      <c r="K134" s="2">
        <v>0</v>
      </c>
      <c r="L134" s="2">
        <v>0</v>
      </c>
      <c r="M134" s="2"/>
      <c r="N134" s="2">
        <v>0</v>
      </c>
      <c r="O134" s="8">
        <f t="shared" si="6"/>
        <v>0</v>
      </c>
      <c r="P134" s="2"/>
      <c r="Q134" s="2"/>
      <c r="R134" s="2"/>
      <c r="S134" s="2"/>
      <c r="T134" s="18"/>
      <c r="U134" s="18"/>
      <c r="V134" s="18"/>
      <c r="W134" s="2"/>
      <c r="X134" s="2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2">
        <v>0</v>
      </c>
      <c r="AK134" s="7">
        <f t="shared" si="7"/>
        <v>0</v>
      </c>
      <c r="AL134" s="8" t="s">
        <v>148</v>
      </c>
      <c r="AM134" s="12">
        <v>500</v>
      </c>
      <c r="AN134" s="8" t="s">
        <v>189</v>
      </c>
      <c r="AO134" s="8">
        <f t="shared" si="4"/>
        <v>0</v>
      </c>
    </row>
    <row r="135" spans="1:41" x14ac:dyDescent="0.25">
      <c r="A135" s="2">
        <v>130</v>
      </c>
      <c r="B135" s="2" t="s">
        <v>188</v>
      </c>
      <c r="C135" s="2" t="s">
        <v>129</v>
      </c>
      <c r="D135" s="2" t="s">
        <v>172</v>
      </c>
      <c r="E135" s="13">
        <v>0.3125</v>
      </c>
      <c r="F135" s="2"/>
      <c r="G135" s="3"/>
      <c r="H135" s="3">
        <v>0.21</v>
      </c>
      <c r="I135" s="2">
        <v>0</v>
      </c>
      <c r="J135" s="2"/>
      <c r="K135" s="2">
        <v>0</v>
      </c>
      <c r="L135" s="2">
        <v>0</v>
      </c>
      <c r="M135" s="2"/>
      <c r="N135" s="2">
        <v>0</v>
      </c>
      <c r="O135" s="8">
        <f t="shared" si="6"/>
        <v>0</v>
      </c>
      <c r="P135" s="2"/>
      <c r="Q135" s="2"/>
      <c r="R135" s="2"/>
      <c r="S135" s="2"/>
      <c r="T135" s="18"/>
      <c r="U135" s="18"/>
      <c r="V135" s="18"/>
      <c r="W135" s="2"/>
      <c r="X135" s="2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2">
        <v>0</v>
      </c>
      <c r="AK135" s="7">
        <f t="shared" si="7"/>
        <v>0</v>
      </c>
      <c r="AL135" s="8" t="s">
        <v>148</v>
      </c>
      <c r="AM135" s="12">
        <v>500</v>
      </c>
      <c r="AN135" s="8" t="s">
        <v>189</v>
      </c>
      <c r="AO135" s="8">
        <f t="shared" ref="AO135:AO149" si="8">+SUM(I135:N135)/AM135</f>
        <v>0</v>
      </c>
    </row>
    <row r="136" spans="1:41" x14ac:dyDescent="0.25">
      <c r="A136" s="2">
        <v>131</v>
      </c>
      <c r="B136" s="2" t="s">
        <v>188</v>
      </c>
      <c r="C136" s="2" t="s">
        <v>129</v>
      </c>
      <c r="D136" s="2" t="s">
        <v>173</v>
      </c>
      <c r="E136" s="13">
        <v>0.3125</v>
      </c>
      <c r="F136" s="2"/>
      <c r="G136" s="3"/>
      <c r="H136" s="3">
        <v>0.21</v>
      </c>
      <c r="I136" s="2">
        <v>0</v>
      </c>
      <c r="J136" s="2"/>
      <c r="K136" s="2">
        <v>0</v>
      </c>
      <c r="L136" s="2">
        <v>0</v>
      </c>
      <c r="M136" s="2"/>
      <c r="N136" s="2">
        <v>0</v>
      </c>
      <c r="O136" s="8">
        <f t="shared" si="6"/>
        <v>0</v>
      </c>
      <c r="P136" s="2"/>
      <c r="Q136" s="2"/>
      <c r="R136" s="2"/>
      <c r="S136" s="2"/>
      <c r="T136" s="18"/>
      <c r="U136" s="18"/>
      <c r="V136" s="18"/>
      <c r="W136" s="2"/>
      <c r="X136" s="2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2">
        <v>0</v>
      </c>
      <c r="AK136" s="7">
        <f t="shared" si="7"/>
        <v>0</v>
      </c>
      <c r="AL136" s="8" t="s">
        <v>148</v>
      </c>
      <c r="AM136" s="12">
        <v>500</v>
      </c>
      <c r="AN136" s="8" t="s">
        <v>189</v>
      </c>
      <c r="AO136" s="8">
        <f t="shared" si="8"/>
        <v>0</v>
      </c>
    </row>
    <row r="137" spans="1:41" x14ac:dyDescent="0.25">
      <c r="A137" s="2">
        <v>132</v>
      </c>
      <c r="B137" s="2" t="s">
        <v>188</v>
      </c>
      <c r="C137" s="2" t="s">
        <v>129</v>
      </c>
      <c r="D137" s="2" t="s">
        <v>174</v>
      </c>
      <c r="E137" s="13">
        <v>0.3125</v>
      </c>
      <c r="F137" s="2"/>
      <c r="G137" s="3"/>
      <c r="H137" s="3">
        <v>0.21</v>
      </c>
      <c r="I137" s="2">
        <v>0</v>
      </c>
      <c r="J137" s="2"/>
      <c r="K137" s="2">
        <v>0</v>
      </c>
      <c r="L137" s="2">
        <v>0</v>
      </c>
      <c r="M137" s="2"/>
      <c r="N137" s="2">
        <v>80</v>
      </c>
      <c r="O137" s="8">
        <f t="shared" si="6"/>
        <v>0</v>
      </c>
      <c r="P137" s="2"/>
      <c r="Q137" s="2"/>
      <c r="R137" s="2"/>
      <c r="S137" s="2"/>
      <c r="T137" s="18"/>
      <c r="U137" s="18"/>
      <c r="V137" s="18"/>
      <c r="W137" s="2"/>
      <c r="X137" s="2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2">
        <v>80</v>
      </c>
      <c r="AK137" s="7">
        <f t="shared" si="7"/>
        <v>0</v>
      </c>
      <c r="AL137" s="8" t="s">
        <v>148</v>
      </c>
      <c r="AM137" s="12">
        <v>500</v>
      </c>
      <c r="AN137" s="8" t="s">
        <v>189</v>
      </c>
      <c r="AO137" s="8">
        <f t="shared" si="8"/>
        <v>0.16</v>
      </c>
    </row>
    <row r="138" spans="1:41" x14ac:dyDescent="0.25">
      <c r="A138" s="2">
        <v>133</v>
      </c>
      <c r="B138" s="2" t="s">
        <v>188</v>
      </c>
      <c r="C138" s="2" t="s">
        <v>129</v>
      </c>
      <c r="D138" s="2" t="s">
        <v>175</v>
      </c>
      <c r="E138" s="13">
        <v>0.3125</v>
      </c>
      <c r="F138" s="2"/>
      <c r="G138" s="3"/>
      <c r="H138" s="3">
        <v>0.21</v>
      </c>
      <c r="I138" s="2">
        <v>0</v>
      </c>
      <c r="J138" s="2"/>
      <c r="K138" s="2">
        <v>0</v>
      </c>
      <c r="L138" s="2">
        <v>0</v>
      </c>
      <c r="M138" s="2"/>
      <c r="N138" s="2">
        <v>0</v>
      </c>
      <c r="O138" s="8">
        <f t="shared" si="6"/>
        <v>0</v>
      </c>
      <c r="P138" s="2"/>
      <c r="Q138" s="2"/>
      <c r="R138" s="2"/>
      <c r="S138" s="2"/>
      <c r="T138" s="18"/>
      <c r="U138" s="18"/>
      <c r="V138" s="18"/>
      <c r="W138" s="2"/>
      <c r="X138" s="2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2">
        <v>0</v>
      </c>
      <c r="AK138" s="7">
        <f t="shared" si="7"/>
        <v>0</v>
      </c>
      <c r="AL138" s="8" t="s">
        <v>148</v>
      </c>
      <c r="AM138" s="12">
        <v>500</v>
      </c>
      <c r="AN138" s="8" t="s">
        <v>189</v>
      </c>
      <c r="AO138" s="8">
        <f t="shared" si="8"/>
        <v>0</v>
      </c>
    </row>
    <row r="139" spans="1:41" x14ac:dyDescent="0.25">
      <c r="A139" s="2">
        <v>134</v>
      </c>
      <c r="B139" s="2" t="s">
        <v>188</v>
      </c>
      <c r="C139" s="2" t="s">
        <v>129</v>
      </c>
      <c r="D139" s="2" t="s">
        <v>176</v>
      </c>
      <c r="E139" s="13">
        <v>0.3125</v>
      </c>
      <c r="F139" s="2"/>
      <c r="G139" s="3"/>
      <c r="H139" s="3">
        <v>0.16</v>
      </c>
      <c r="I139" s="2">
        <v>0</v>
      </c>
      <c r="J139" s="2"/>
      <c r="K139" s="2">
        <v>0</v>
      </c>
      <c r="L139" s="2">
        <v>0</v>
      </c>
      <c r="M139" s="2"/>
      <c r="N139" s="2">
        <v>336</v>
      </c>
      <c r="O139" s="8">
        <f t="shared" si="6"/>
        <v>0</v>
      </c>
      <c r="P139" s="2"/>
      <c r="Q139" s="2"/>
      <c r="R139" s="2"/>
      <c r="S139" s="2"/>
      <c r="T139" s="18"/>
      <c r="U139" s="18"/>
      <c r="V139" s="18"/>
      <c r="W139" s="2"/>
      <c r="X139" s="2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2">
        <v>336</v>
      </c>
      <c r="AK139" s="7">
        <f t="shared" si="7"/>
        <v>0</v>
      </c>
      <c r="AL139" s="8" t="s">
        <v>148</v>
      </c>
      <c r="AM139" s="12">
        <v>500</v>
      </c>
      <c r="AN139" s="8" t="s">
        <v>189</v>
      </c>
      <c r="AO139" s="8">
        <f t="shared" si="8"/>
        <v>0.67200000000000004</v>
      </c>
    </row>
    <row r="140" spans="1:41" x14ac:dyDescent="0.25">
      <c r="A140" s="2">
        <v>135</v>
      </c>
      <c r="B140" s="2" t="s">
        <v>188</v>
      </c>
      <c r="C140" s="2" t="s">
        <v>129</v>
      </c>
      <c r="D140" s="2" t="s">
        <v>177</v>
      </c>
      <c r="E140" s="13">
        <v>0.3125</v>
      </c>
      <c r="F140" s="2"/>
      <c r="G140" s="3"/>
      <c r="H140" s="3">
        <v>0.16</v>
      </c>
      <c r="I140" s="2">
        <v>0</v>
      </c>
      <c r="J140" s="2"/>
      <c r="K140" s="2">
        <v>0</v>
      </c>
      <c r="L140" s="2">
        <v>0</v>
      </c>
      <c r="M140" s="2"/>
      <c r="N140" s="2">
        <v>140</v>
      </c>
      <c r="O140" s="8">
        <f t="shared" si="6"/>
        <v>0</v>
      </c>
      <c r="P140" s="2"/>
      <c r="Q140" s="2"/>
      <c r="R140" s="2"/>
      <c r="S140" s="2"/>
      <c r="T140" s="18"/>
      <c r="U140" s="18"/>
      <c r="V140" s="18"/>
      <c r="W140" s="2"/>
      <c r="X140" s="2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2">
        <v>140</v>
      </c>
      <c r="AK140" s="7">
        <f t="shared" si="7"/>
        <v>0</v>
      </c>
      <c r="AL140" s="8" t="s">
        <v>148</v>
      </c>
      <c r="AM140" s="12">
        <v>500</v>
      </c>
      <c r="AN140" s="8" t="s">
        <v>189</v>
      </c>
      <c r="AO140" s="8">
        <f t="shared" si="8"/>
        <v>0.28000000000000003</v>
      </c>
    </row>
    <row r="141" spans="1:41" x14ac:dyDescent="0.25">
      <c r="A141" s="2">
        <v>136</v>
      </c>
      <c r="B141" s="2" t="s">
        <v>188</v>
      </c>
      <c r="C141" s="2" t="s">
        <v>129</v>
      </c>
      <c r="D141" s="2" t="s">
        <v>178</v>
      </c>
      <c r="E141" s="13">
        <v>0.3125</v>
      </c>
      <c r="F141" s="2"/>
      <c r="G141" s="3"/>
      <c r="H141" s="3">
        <v>0.21</v>
      </c>
      <c r="I141" s="2">
        <v>0</v>
      </c>
      <c r="J141" s="2"/>
      <c r="K141" s="2">
        <v>0</v>
      </c>
      <c r="L141" s="2">
        <v>0</v>
      </c>
      <c r="M141" s="2"/>
      <c r="N141" s="2">
        <v>0</v>
      </c>
      <c r="O141" s="8">
        <f t="shared" si="6"/>
        <v>0</v>
      </c>
      <c r="P141" s="2"/>
      <c r="Q141" s="2"/>
      <c r="R141" s="2"/>
      <c r="S141" s="2"/>
      <c r="T141" s="18"/>
      <c r="U141" s="18"/>
      <c r="V141" s="18"/>
      <c r="W141" s="2"/>
      <c r="X141" s="2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2">
        <v>0</v>
      </c>
      <c r="AK141" s="7">
        <f t="shared" si="7"/>
        <v>0</v>
      </c>
      <c r="AL141" s="8" t="s">
        <v>148</v>
      </c>
      <c r="AM141" s="12">
        <v>500</v>
      </c>
      <c r="AN141" s="8" t="s">
        <v>189</v>
      </c>
      <c r="AO141" s="8">
        <f t="shared" si="8"/>
        <v>0</v>
      </c>
    </row>
    <row r="142" spans="1:41" x14ac:dyDescent="0.25">
      <c r="A142" s="2">
        <v>137</v>
      </c>
      <c r="B142" s="2" t="s">
        <v>188</v>
      </c>
      <c r="C142" s="2" t="s">
        <v>129</v>
      </c>
      <c r="D142" s="2" t="s">
        <v>179</v>
      </c>
      <c r="E142" s="13">
        <v>0.3125</v>
      </c>
      <c r="F142" s="2"/>
      <c r="G142" s="3"/>
      <c r="H142" s="3">
        <v>0.16</v>
      </c>
      <c r="I142" s="2">
        <v>0</v>
      </c>
      <c r="J142" s="2"/>
      <c r="K142" s="2">
        <v>0</v>
      </c>
      <c r="L142" s="2">
        <v>0</v>
      </c>
      <c r="M142" s="2"/>
      <c r="N142" s="2">
        <v>0</v>
      </c>
      <c r="O142" s="8">
        <f t="shared" si="6"/>
        <v>0</v>
      </c>
      <c r="P142" s="2"/>
      <c r="Q142" s="2"/>
      <c r="R142" s="2"/>
      <c r="S142" s="2"/>
      <c r="T142" s="18"/>
      <c r="U142" s="18"/>
      <c r="V142" s="18"/>
      <c r="W142" s="2"/>
      <c r="X142" s="2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2">
        <v>0</v>
      </c>
      <c r="AK142" s="7">
        <f t="shared" si="7"/>
        <v>0</v>
      </c>
      <c r="AL142" s="8" t="s">
        <v>148</v>
      </c>
      <c r="AM142" s="12">
        <v>500</v>
      </c>
      <c r="AN142" s="8" t="s">
        <v>189</v>
      </c>
      <c r="AO142" s="8">
        <f t="shared" si="8"/>
        <v>0</v>
      </c>
    </row>
    <row r="143" spans="1:41" x14ac:dyDescent="0.25">
      <c r="A143" s="2">
        <v>138</v>
      </c>
      <c r="B143" s="2" t="s">
        <v>188</v>
      </c>
      <c r="C143" s="2" t="s">
        <v>129</v>
      </c>
      <c r="D143" s="2" t="s">
        <v>180</v>
      </c>
      <c r="E143" s="13">
        <v>0.3125</v>
      </c>
      <c r="F143" s="2"/>
      <c r="G143" s="3"/>
      <c r="H143" s="3">
        <v>0.16</v>
      </c>
      <c r="I143" s="2">
        <v>0</v>
      </c>
      <c r="J143" s="2"/>
      <c r="K143" s="2">
        <v>0</v>
      </c>
      <c r="L143" s="2">
        <v>0</v>
      </c>
      <c r="M143" s="2"/>
      <c r="N143" s="2">
        <v>0</v>
      </c>
      <c r="O143" s="8">
        <f t="shared" si="6"/>
        <v>0</v>
      </c>
      <c r="P143" s="2"/>
      <c r="Q143" s="2"/>
      <c r="R143" s="2"/>
      <c r="S143" s="2"/>
      <c r="T143" s="18"/>
      <c r="U143" s="18"/>
      <c r="V143" s="18"/>
      <c r="W143" s="2"/>
      <c r="X143" s="2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2">
        <v>0</v>
      </c>
      <c r="AK143" s="7">
        <f t="shared" si="7"/>
        <v>0</v>
      </c>
      <c r="AL143" s="8" t="s">
        <v>148</v>
      </c>
      <c r="AM143" s="12">
        <v>500</v>
      </c>
      <c r="AN143" s="8" t="s">
        <v>189</v>
      </c>
      <c r="AO143" s="8">
        <f t="shared" si="8"/>
        <v>0</v>
      </c>
    </row>
    <row r="144" spans="1:41" x14ac:dyDescent="0.25">
      <c r="A144" s="2">
        <v>139</v>
      </c>
      <c r="B144" s="2" t="s">
        <v>188</v>
      </c>
      <c r="C144" s="2" t="s">
        <v>129</v>
      </c>
      <c r="D144" s="2" t="s">
        <v>181</v>
      </c>
      <c r="E144" s="13">
        <v>0.3125</v>
      </c>
      <c r="F144" s="2"/>
      <c r="G144" s="3"/>
      <c r="H144" s="3">
        <v>0.21</v>
      </c>
      <c r="I144" s="2">
        <v>0</v>
      </c>
      <c r="J144" s="2"/>
      <c r="K144" s="2">
        <v>0</v>
      </c>
      <c r="L144" s="2">
        <v>0</v>
      </c>
      <c r="M144" s="2"/>
      <c r="N144" s="2">
        <v>0</v>
      </c>
      <c r="O144" s="8">
        <f t="shared" si="6"/>
        <v>0</v>
      </c>
      <c r="P144" s="2"/>
      <c r="Q144" s="2"/>
      <c r="R144" s="2"/>
      <c r="S144" s="2"/>
      <c r="T144" s="18"/>
      <c r="U144" s="18"/>
      <c r="V144" s="18"/>
      <c r="W144" s="2"/>
      <c r="X144" s="2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2">
        <v>0</v>
      </c>
      <c r="AK144" s="7">
        <f t="shared" si="7"/>
        <v>0</v>
      </c>
      <c r="AL144" s="8" t="s">
        <v>148</v>
      </c>
      <c r="AM144" s="12">
        <v>500</v>
      </c>
      <c r="AN144" s="8" t="s">
        <v>189</v>
      </c>
      <c r="AO144" s="8">
        <f t="shared" si="8"/>
        <v>0</v>
      </c>
    </row>
    <row r="145" spans="1:41" x14ac:dyDescent="0.25">
      <c r="A145" s="2">
        <v>140</v>
      </c>
      <c r="B145" s="2" t="s">
        <v>188</v>
      </c>
      <c r="C145" s="2" t="s">
        <v>129</v>
      </c>
      <c r="D145" s="2" t="s">
        <v>182</v>
      </c>
      <c r="E145" s="13">
        <v>0.3125</v>
      </c>
      <c r="F145" s="2"/>
      <c r="G145" s="3"/>
      <c r="H145" s="3">
        <v>0.21</v>
      </c>
      <c r="I145" s="2">
        <v>0</v>
      </c>
      <c r="J145" s="2"/>
      <c r="K145" s="2">
        <v>0</v>
      </c>
      <c r="L145" s="2">
        <v>0</v>
      </c>
      <c r="M145" s="2"/>
      <c r="N145" s="2">
        <v>0</v>
      </c>
      <c r="O145" s="8">
        <f t="shared" si="6"/>
        <v>0</v>
      </c>
      <c r="P145" s="2"/>
      <c r="Q145" s="2"/>
      <c r="R145" s="2"/>
      <c r="S145" s="2"/>
      <c r="T145" s="18"/>
      <c r="U145" s="18"/>
      <c r="V145" s="18"/>
      <c r="W145" s="2"/>
      <c r="X145" s="2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2">
        <v>0</v>
      </c>
      <c r="AK145" s="7">
        <f t="shared" si="7"/>
        <v>0</v>
      </c>
      <c r="AL145" s="8" t="s">
        <v>148</v>
      </c>
      <c r="AM145" s="12">
        <v>500</v>
      </c>
      <c r="AN145" s="8" t="s">
        <v>189</v>
      </c>
      <c r="AO145" s="8">
        <f t="shared" si="8"/>
        <v>0</v>
      </c>
    </row>
    <row r="146" spans="1:41" x14ac:dyDescent="0.25">
      <c r="A146" s="2">
        <v>141</v>
      </c>
      <c r="B146" s="2" t="s">
        <v>188</v>
      </c>
      <c r="C146" s="2" t="s">
        <v>129</v>
      </c>
      <c r="D146" s="2" t="s">
        <v>183</v>
      </c>
      <c r="E146" s="13">
        <v>0.3125</v>
      </c>
      <c r="F146" s="2"/>
      <c r="G146" s="3"/>
      <c r="H146" s="3">
        <v>0.21</v>
      </c>
      <c r="I146" s="2">
        <v>0</v>
      </c>
      <c r="J146" s="2"/>
      <c r="K146" s="2">
        <v>0</v>
      </c>
      <c r="L146" s="2">
        <v>0</v>
      </c>
      <c r="M146" s="2"/>
      <c r="N146" s="2">
        <v>0</v>
      </c>
      <c r="O146" s="8">
        <f t="shared" si="6"/>
        <v>0</v>
      </c>
      <c r="P146" s="2"/>
      <c r="Q146" s="2"/>
      <c r="R146" s="2"/>
      <c r="S146" s="2"/>
      <c r="T146" s="18"/>
      <c r="U146" s="18"/>
      <c r="V146" s="18"/>
      <c r="W146" s="2"/>
      <c r="X146" s="2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2">
        <v>0</v>
      </c>
      <c r="AK146" s="7">
        <f t="shared" si="7"/>
        <v>0</v>
      </c>
      <c r="AL146" s="8" t="s">
        <v>148</v>
      </c>
      <c r="AM146" s="12">
        <v>500</v>
      </c>
      <c r="AN146" s="8" t="s">
        <v>189</v>
      </c>
      <c r="AO146" s="8">
        <f t="shared" si="8"/>
        <v>0</v>
      </c>
    </row>
    <row r="147" spans="1:41" x14ac:dyDescent="0.25">
      <c r="A147" s="2">
        <v>142</v>
      </c>
      <c r="B147" s="2" t="s">
        <v>188</v>
      </c>
      <c r="C147" s="2" t="s">
        <v>129</v>
      </c>
      <c r="D147" s="2" t="s">
        <v>184</v>
      </c>
      <c r="E147" s="13">
        <v>0.3125</v>
      </c>
      <c r="F147" s="2"/>
      <c r="G147" s="3"/>
      <c r="H147" s="3">
        <v>0.21</v>
      </c>
      <c r="I147" s="2">
        <v>0</v>
      </c>
      <c r="J147" s="2"/>
      <c r="K147" s="2">
        <v>0</v>
      </c>
      <c r="L147" s="2">
        <v>0</v>
      </c>
      <c r="M147" s="2"/>
      <c r="N147" s="2">
        <v>0</v>
      </c>
      <c r="O147" s="8">
        <f t="shared" si="6"/>
        <v>0</v>
      </c>
      <c r="P147" s="2"/>
      <c r="Q147" s="2"/>
      <c r="R147" s="2"/>
      <c r="S147" s="2"/>
      <c r="T147" s="18"/>
      <c r="U147" s="18"/>
      <c r="V147" s="18"/>
      <c r="W147" s="2"/>
      <c r="X147" s="2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2">
        <v>0</v>
      </c>
      <c r="AK147" s="7">
        <f t="shared" si="7"/>
        <v>0</v>
      </c>
      <c r="AL147" s="8" t="s">
        <v>148</v>
      </c>
      <c r="AM147" s="12">
        <v>500</v>
      </c>
      <c r="AN147" s="8" t="s">
        <v>189</v>
      </c>
      <c r="AO147" s="8">
        <f t="shared" si="8"/>
        <v>0</v>
      </c>
    </row>
    <row r="148" spans="1:41" x14ac:dyDescent="0.25">
      <c r="A148" s="2">
        <v>143</v>
      </c>
      <c r="B148" s="2" t="s">
        <v>188</v>
      </c>
      <c r="C148" s="2" t="s">
        <v>129</v>
      </c>
      <c r="D148" s="2" t="s">
        <v>185</v>
      </c>
      <c r="E148" s="13">
        <v>0.3125</v>
      </c>
      <c r="F148" s="2"/>
      <c r="G148" s="3"/>
      <c r="H148" s="3">
        <v>0.19</v>
      </c>
      <c r="I148" s="2">
        <v>0</v>
      </c>
      <c r="J148" s="2"/>
      <c r="K148" s="2">
        <v>0</v>
      </c>
      <c r="L148" s="2">
        <v>0</v>
      </c>
      <c r="M148" s="2"/>
      <c r="N148" s="2">
        <v>0</v>
      </c>
      <c r="O148" s="8">
        <f t="shared" si="6"/>
        <v>0</v>
      </c>
      <c r="P148" s="2"/>
      <c r="Q148" s="2"/>
      <c r="R148" s="2"/>
      <c r="S148" s="2"/>
      <c r="T148" s="18"/>
      <c r="U148" s="18"/>
      <c r="V148" s="18"/>
      <c r="W148" s="2"/>
      <c r="X148" s="2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2">
        <v>0</v>
      </c>
      <c r="AK148" s="7">
        <f t="shared" si="7"/>
        <v>0</v>
      </c>
      <c r="AL148" s="8" t="s">
        <v>148</v>
      </c>
      <c r="AM148" s="12">
        <v>500</v>
      </c>
      <c r="AN148" s="8" t="s">
        <v>189</v>
      </c>
      <c r="AO148" s="8">
        <f t="shared" si="8"/>
        <v>0</v>
      </c>
    </row>
    <row r="149" spans="1:41" x14ac:dyDescent="0.25">
      <c r="A149" s="2">
        <v>144</v>
      </c>
      <c r="B149" s="2" t="s">
        <v>188</v>
      </c>
      <c r="C149" s="2" t="s">
        <v>129</v>
      </c>
      <c r="D149" s="2" t="s">
        <v>186</v>
      </c>
      <c r="E149" s="13">
        <v>0.3125</v>
      </c>
      <c r="F149" s="2"/>
      <c r="G149" s="3"/>
      <c r="H149" s="3">
        <v>0.19</v>
      </c>
      <c r="I149" s="2">
        <v>0</v>
      </c>
      <c r="J149" s="2"/>
      <c r="K149" s="2">
        <v>0</v>
      </c>
      <c r="L149" s="2">
        <v>0</v>
      </c>
      <c r="M149" s="2"/>
      <c r="N149" s="2">
        <v>0</v>
      </c>
      <c r="O149" s="8">
        <f t="shared" si="6"/>
        <v>0</v>
      </c>
      <c r="P149" s="2"/>
      <c r="Q149" s="2"/>
      <c r="R149" s="2"/>
      <c r="S149" s="2"/>
      <c r="T149" s="18"/>
      <c r="U149" s="18"/>
      <c r="V149" s="18"/>
      <c r="W149" s="2"/>
      <c r="X149" s="2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2">
        <v>0</v>
      </c>
      <c r="AK149" s="7">
        <f t="shared" si="7"/>
        <v>0</v>
      </c>
      <c r="AL149" s="8" t="s">
        <v>148</v>
      </c>
      <c r="AM149" s="12">
        <v>500</v>
      </c>
      <c r="AN149" s="8" t="s">
        <v>189</v>
      </c>
      <c r="AO149" s="8">
        <f t="shared" si="8"/>
        <v>0</v>
      </c>
    </row>
    <row r="150" spans="1:41" x14ac:dyDescent="0.25">
      <c r="H150" s="4" t="s">
        <v>19</v>
      </c>
      <c r="I150" s="9">
        <f>SUM(I6:I149)</f>
        <v>6500</v>
      </c>
      <c r="J150" s="9">
        <f t="shared" ref="J150:N150" si="9">SUM(J6:J149)</f>
        <v>15860</v>
      </c>
      <c r="K150" s="9">
        <f t="shared" si="9"/>
        <v>7300</v>
      </c>
      <c r="L150" s="9">
        <f t="shared" si="9"/>
        <v>15743</v>
      </c>
      <c r="M150" s="9">
        <f t="shared" si="9"/>
        <v>0</v>
      </c>
      <c r="N150" s="9">
        <f t="shared" si="9"/>
        <v>9156</v>
      </c>
      <c r="O150" s="11">
        <f t="shared" ref="O150:AK150" si="10">SUM(O6:O122)</f>
        <v>-2235</v>
      </c>
      <c r="P150" s="9">
        <f t="shared" si="10"/>
        <v>96</v>
      </c>
      <c r="Q150" s="9">
        <f t="shared" si="10"/>
        <v>0</v>
      </c>
      <c r="R150" s="9">
        <f t="shared" si="10"/>
        <v>0</v>
      </c>
      <c r="S150" s="9">
        <f t="shared" si="10"/>
        <v>0</v>
      </c>
      <c r="T150" s="19">
        <f t="shared" si="10"/>
        <v>2927</v>
      </c>
      <c r="U150" s="19">
        <f t="shared" si="10"/>
        <v>2039</v>
      </c>
      <c r="V150" s="19">
        <f t="shared" si="10"/>
        <v>2000</v>
      </c>
      <c r="W150" s="9">
        <f t="shared" si="10"/>
        <v>0</v>
      </c>
      <c r="X150" s="9">
        <f t="shared" si="10"/>
        <v>1541</v>
      </c>
      <c r="Y150" s="19">
        <f t="shared" si="10"/>
        <v>1000</v>
      </c>
      <c r="Z150" s="19">
        <f t="shared" si="10"/>
        <v>3200</v>
      </c>
      <c r="AA150" s="19">
        <f t="shared" si="10"/>
        <v>1850</v>
      </c>
      <c r="AB150" s="19">
        <f t="shared" si="10"/>
        <v>2270</v>
      </c>
      <c r="AC150" s="19">
        <f t="shared" si="10"/>
        <v>2020</v>
      </c>
      <c r="AD150" s="19">
        <f t="shared" si="10"/>
        <v>2400</v>
      </c>
      <c r="AE150" s="19">
        <f t="shared" si="10"/>
        <v>4000</v>
      </c>
      <c r="AF150" s="19">
        <f t="shared" si="10"/>
        <v>7020</v>
      </c>
      <c r="AG150" s="19">
        <f t="shared" si="10"/>
        <v>3643</v>
      </c>
      <c r="AH150" s="19">
        <f t="shared" si="10"/>
        <v>5720</v>
      </c>
      <c r="AI150" s="19">
        <f t="shared" si="10"/>
        <v>1150</v>
      </c>
      <c r="AJ150" s="9">
        <f t="shared" si="10"/>
        <v>4762</v>
      </c>
      <c r="AK150" s="9">
        <f t="shared" si="10"/>
        <v>0</v>
      </c>
      <c r="AO150" s="12">
        <f>SUM(AO6:AO122)</f>
        <v>316.93700000000001</v>
      </c>
    </row>
    <row r="151" spans="1:41" x14ac:dyDescent="0.25">
      <c r="H151" s="4" t="s">
        <v>21</v>
      </c>
      <c r="I151" s="99">
        <f>+I150+J150+K150+L150+M150+N150</f>
        <v>54559</v>
      </c>
      <c r="J151" s="99"/>
      <c r="K151" s="99"/>
      <c r="L151" s="99"/>
      <c r="M151" s="99"/>
      <c r="N151" s="99"/>
      <c r="P151" s="123">
        <f>+P150+Q150</f>
        <v>96</v>
      </c>
      <c r="Q151" s="124"/>
      <c r="R151" s="123">
        <f>+R150+S150</f>
        <v>0</v>
      </c>
      <c r="S151" s="124"/>
      <c r="T151" s="123">
        <f>+T150+U150</f>
        <v>4966</v>
      </c>
      <c r="U151" s="124"/>
      <c r="V151" s="123">
        <f t="shared" ref="V151" si="11">+V150+W150</f>
        <v>2000</v>
      </c>
      <c r="W151" s="124"/>
      <c r="X151" s="123">
        <f t="shared" ref="X151" si="12">+X150+Y150</f>
        <v>2541</v>
      </c>
      <c r="Y151" s="124"/>
      <c r="Z151" s="123">
        <f t="shared" ref="Z151" si="13">+Z150+AA150</f>
        <v>5050</v>
      </c>
      <c r="AA151" s="124"/>
      <c r="AB151" s="123">
        <f t="shared" ref="AB151" si="14">+AB150+AC150</f>
        <v>4290</v>
      </c>
      <c r="AC151" s="124"/>
      <c r="AD151" s="123">
        <f t="shared" ref="AD151" si="15">+AD150+AE150</f>
        <v>6400</v>
      </c>
      <c r="AE151" s="124"/>
      <c r="AF151" s="123">
        <f t="shared" ref="AF151" si="16">+AF150+AG150</f>
        <v>10663</v>
      </c>
      <c r="AG151" s="124"/>
      <c r="AH151" s="123">
        <f t="shared" ref="AH151" si="17">+AH150+AI150</f>
        <v>6870</v>
      </c>
      <c r="AI151" s="124"/>
      <c r="AJ151" s="10">
        <f>+AJ150</f>
        <v>4762</v>
      </c>
    </row>
    <row r="152" spans="1:41" x14ac:dyDescent="0.25">
      <c r="I152" s="33">
        <f>+I150</f>
        <v>6500</v>
      </c>
      <c r="J152" s="33">
        <f t="shared" ref="J152:N152" si="18">+J150</f>
        <v>15860</v>
      </c>
      <c r="K152" s="33">
        <f t="shared" si="18"/>
        <v>7300</v>
      </c>
      <c r="L152" s="33">
        <f t="shared" si="18"/>
        <v>15743</v>
      </c>
      <c r="M152" s="33">
        <f t="shared" si="18"/>
        <v>0</v>
      </c>
      <c r="N152" s="33">
        <f t="shared" si="18"/>
        <v>9156</v>
      </c>
    </row>
    <row r="154" spans="1:41" x14ac:dyDescent="0.25">
      <c r="C154" s="2" t="s">
        <v>217</v>
      </c>
      <c r="D154" s="2" t="s">
        <v>218</v>
      </c>
      <c r="E154" s="2" t="s">
        <v>219</v>
      </c>
    </row>
    <row r="155" spans="1:41" x14ac:dyDescent="0.25">
      <c r="B155" s="31" t="s">
        <v>212</v>
      </c>
      <c r="C155" s="8">
        <v>45403</v>
      </c>
      <c r="D155" s="2">
        <f>+C155/5</f>
        <v>9080.6</v>
      </c>
      <c r="E155" s="2">
        <f>+C155/2</f>
        <v>22701.5</v>
      </c>
      <c r="H155" s="22"/>
    </row>
    <row r="156" spans="1:41" x14ac:dyDescent="0.25">
      <c r="B156" s="31" t="s">
        <v>213</v>
      </c>
      <c r="C156" s="8">
        <v>15308</v>
      </c>
      <c r="D156" s="2"/>
      <c r="E156" s="2"/>
    </row>
    <row r="157" spans="1:41" x14ac:dyDescent="0.25">
      <c r="B157" s="31" t="s">
        <v>214</v>
      </c>
      <c r="C157" s="2">
        <f>+C155-C156</f>
        <v>30095</v>
      </c>
      <c r="D157" s="2"/>
      <c r="E157" s="2"/>
    </row>
    <row r="158" spans="1:41" x14ac:dyDescent="0.25">
      <c r="B158" s="31" t="s">
        <v>215</v>
      </c>
      <c r="C158" s="32">
        <f>+C157/C155</f>
        <v>0.66284166244521292</v>
      </c>
      <c r="D158" s="2"/>
      <c r="E158" s="2"/>
    </row>
    <row r="159" spans="1:41" x14ac:dyDescent="0.25">
      <c r="B159" s="31" t="s">
        <v>216</v>
      </c>
      <c r="C159" s="32">
        <f>+C156/C155</f>
        <v>0.33715833755478714</v>
      </c>
      <c r="D159" s="2"/>
      <c r="E159" s="2"/>
    </row>
  </sheetData>
  <autoFilter ref="B5:AO151" xr:uid="{00000000-0009-0000-0000-000003000000}"/>
  <mergeCells count="23">
    <mergeCell ref="B3:B4"/>
    <mergeCell ref="I151:N151"/>
    <mergeCell ref="AD151:AE151"/>
    <mergeCell ref="AF151:AG151"/>
    <mergeCell ref="AH151:AI151"/>
    <mergeCell ref="P151:Q151"/>
    <mergeCell ref="R151:S151"/>
    <mergeCell ref="T151:U151"/>
    <mergeCell ref="V151:W151"/>
    <mergeCell ref="X151:Y151"/>
    <mergeCell ref="Z151:AA151"/>
    <mergeCell ref="AB151:AC151"/>
    <mergeCell ref="C2:D2"/>
    <mergeCell ref="AH4:AI4"/>
    <mergeCell ref="AF4:AG4"/>
    <mergeCell ref="AD4:AE4"/>
    <mergeCell ref="AB4:AC4"/>
    <mergeCell ref="Z4:AA4"/>
    <mergeCell ref="X4:Y4"/>
    <mergeCell ref="V4:W4"/>
    <mergeCell ref="T4:U4"/>
    <mergeCell ref="R4:S4"/>
    <mergeCell ref="P4:Q4"/>
  </mergeCells>
  <pageMargins left="0.70866141732283472" right="0.70866141732283472" top="0.74803149606299213" bottom="0.74803149606299213" header="0.31496062992125984" footer="0.31496062992125984"/>
  <pageSetup paperSize="9" scale="28"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00B050"/>
    <pageSetUpPr fitToPage="1"/>
  </sheetPr>
  <dimension ref="A2:AS159"/>
  <sheetViews>
    <sheetView topLeftCell="A73" zoomScale="85" zoomScaleNormal="85" workbookViewId="0">
      <pane xSplit="15" topLeftCell="P1" activePane="topRight" state="frozen"/>
      <selection pane="topRight" activeCell="D102" sqref="D102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customWidth="1"/>
    <col min="8" max="8" width="15.42578125" style="1" customWidth="1"/>
    <col min="9" max="9" width="11.42578125" style="1" customWidth="1"/>
    <col min="10" max="10" width="10.140625" style="1" customWidth="1"/>
    <col min="11" max="12" width="9.5703125" style="1" customWidth="1"/>
    <col min="13" max="13" width="8.42578125" style="1" customWidth="1"/>
    <col min="14" max="14" width="9.5703125" style="1" bestFit="1" customWidth="1"/>
    <col min="15" max="15" width="10.140625" style="1" customWidth="1"/>
    <col min="16" max="17" width="9.140625" style="1" customWidth="1"/>
    <col min="18" max="18" width="8.7109375" style="16" customWidth="1"/>
    <col min="19" max="20" width="8.7109375" style="1" customWidth="1"/>
    <col min="21" max="23" width="8.7109375" style="16" customWidth="1"/>
    <col min="24" max="24" width="8.7109375" style="1" customWidth="1"/>
    <col min="25" max="35" width="8.7109375" style="16" customWidth="1"/>
    <col min="36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2" spans="1:45" x14ac:dyDescent="0.25">
      <c r="B2" s="4" t="s">
        <v>17</v>
      </c>
      <c r="C2" s="92" t="s">
        <v>18</v>
      </c>
      <c r="D2" s="92"/>
    </row>
    <row r="3" spans="1:45" x14ac:dyDescent="0.25">
      <c r="B3" s="93">
        <f ca="1">TODAY()</f>
        <v>46308</v>
      </c>
      <c r="C3" s="4" t="s">
        <v>15</v>
      </c>
      <c r="D3" s="2" t="s">
        <v>209</v>
      </c>
      <c r="I3" s="4" t="s">
        <v>4</v>
      </c>
    </row>
    <row r="4" spans="1:45" x14ac:dyDescent="0.25">
      <c r="B4" s="93"/>
      <c r="C4" s="4" t="s">
        <v>16</v>
      </c>
      <c r="D4" s="2"/>
      <c r="I4" s="4" t="s">
        <v>5</v>
      </c>
      <c r="J4" s="98" t="s">
        <v>211</v>
      </c>
      <c r="K4" s="98"/>
      <c r="L4" s="98"/>
      <c r="M4" s="98"/>
      <c r="N4" s="98"/>
      <c r="P4" s="122">
        <v>46223</v>
      </c>
      <c r="Q4" s="122"/>
      <c r="R4" s="125">
        <v>46224</v>
      </c>
      <c r="S4" s="125"/>
      <c r="T4" s="126">
        <v>46225</v>
      </c>
      <c r="U4" s="122"/>
      <c r="V4" s="122">
        <v>46226</v>
      </c>
      <c r="W4" s="122"/>
      <c r="X4" s="122">
        <v>46227</v>
      </c>
      <c r="Y4" s="122"/>
      <c r="Z4" s="122">
        <v>46230</v>
      </c>
      <c r="AA4" s="122"/>
      <c r="AB4" s="122">
        <v>46231</v>
      </c>
      <c r="AC4" s="122"/>
      <c r="AD4" s="122">
        <v>46232</v>
      </c>
      <c r="AE4" s="122"/>
      <c r="AF4" s="122">
        <v>46233</v>
      </c>
      <c r="AG4" s="122"/>
      <c r="AH4" s="122">
        <v>46234</v>
      </c>
      <c r="AI4" s="122"/>
      <c r="AJ4" s="6" t="s">
        <v>10</v>
      </c>
    </row>
    <row r="5" spans="1:4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>
        <v>30</v>
      </c>
      <c r="J5" s="4">
        <v>30</v>
      </c>
      <c r="K5" s="4">
        <v>30</v>
      </c>
      <c r="L5" s="4">
        <v>30</v>
      </c>
      <c r="M5" s="4">
        <v>30</v>
      </c>
      <c r="N5" s="4" t="s">
        <v>13</v>
      </c>
      <c r="O5" s="4" t="s">
        <v>14</v>
      </c>
      <c r="P5" s="4" t="s">
        <v>15</v>
      </c>
      <c r="Q5" s="4" t="s">
        <v>16</v>
      </c>
      <c r="R5" s="17" t="s">
        <v>15</v>
      </c>
      <c r="S5" s="4" t="s">
        <v>16</v>
      </c>
      <c r="T5" s="4" t="s">
        <v>15</v>
      </c>
      <c r="U5" s="17" t="s">
        <v>16</v>
      </c>
      <c r="V5" s="17" t="s">
        <v>15</v>
      </c>
      <c r="W5" s="17" t="s">
        <v>16</v>
      </c>
      <c r="X5" s="4" t="s">
        <v>15</v>
      </c>
      <c r="Y5" s="17" t="s">
        <v>16</v>
      </c>
      <c r="Z5" s="17" t="s">
        <v>15</v>
      </c>
      <c r="AA5" s="17" t="s">
        <v>16</v>
      </c>
      <c r="AB5" s="17" t="s">
        <v>15</v>
      </c>
      <c r="AC5" s="17" t="s">
        <v>16</v>
      </c>
      <c r="AD5" s="17" t="s">
        <v>15</v>
      </c>
      <c r="AE5" s="17" t="s">
        <v>16</v>
      </c>
      <c r="AF5" s="17" t="s">
        <v>15</v>
      </c>
      <c r="AG5" s="17" t="s">
        <v>16</v>
      </c>
      <c r="AH5" s="17" t="s">
        <v>15</v>
      </c>
      <c r="AI5" s="17" t="s">
        <v>16</v>
      </c>
      <c r="AJ5" s="4" t="s">
        <v>20</v>
      </c>
      <c r="AK5" s="4" t="s">
        <v>8</v>
      </c>
      <c r="AL5" s="4" t="s">
        <v>22</v>
      </c>
      <c r="AM5" s="4" t="s">
        <v>145</v>
      </c>
      <c r="AN5" s="4" t="s">
        <v>23</v>
      </c>
      <c r="AO5" s="4" t="s">
        <v>156</v>
      </c>
      <c r="AP5"/>
      <c r="AQ5" t="s">
        <v>157</v>
      </c>
      <c r="AR5" t="s">
        <v>159</v>
      </c>
      <c r="AS5"/>
    </row>
    <row r="6" spans="1:45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2">
        <v>0</v>
      </c>
      <c r="J6" s="2">
        <v>0</v>
      </c>
      <c r="K6" s="2">
        <v>0</v>
      </c>
      <c r="L6" s="2">
        <v>0</v>
      </c>
      <c r="M6" s="2">
        <v>0</v>
      </c>
      <c r="N6" s="2"/>
      <c r="O6" s="8">
        <f>+I6+J6+K6+L6+M6+N6-SUM(P6:AJ6)</f>
        <v>0</v>
      </c>
      <c r="P6" s="2"/>
      <c r="Q6" s="2"/>
      <c r="R6" s="18"/>
      <c r="S6" s="2"/>
      <c r="T6" s="18"/>
      <c r="U6" s="18"/>
      <c r="V6" s="18"/>
      <c r="W6" s="18"/>
      <c r="X6" s="2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2"/>
      <c r="AK6" s="7">
        <f>+G6*SUM(I6:N6)</f>
        <v>0</v>
      </c>
      <c r="AL6" s="8" t="s">
        <v>146</v>
      </c>
      <c r="AM6" s="8">
        <v>150</v>
      </c>
      <c r="AN6" s="8" t="s">
        <v>152</v>
      </c>
      <c r="AO6" s="8">
        <f>+SUM(I6:N6)/AM6</f>
        <v>0</v>
      </c>
      <c r="AP6"/>
      <c r="AQ6" s="15">
        <v>0</v>
      </c>
      <c r="AR6">
        <v>0</v>
      </c>
      <c r="AS6"/>
    </row>
    <row r="7" spans="1:45" x14ac:dyDescent="0.25">
      <c r="A7" s="2">
        <v>2</v>
      </c>
      <c r="B7" s="2" t="s">
        <v>24</v>
      </c>
      <c r="C7" s="2" t="s">
        <v>129</v>
      </c>
      <c r="D7" s="2" t="s">
        <v>26</v>
      </c>
      <c r="E7" s="13">
        <v>0.25</v>
      </c>
      <c r="F7" s="2">
        <v>2.8000000000000001E-2</v>
      </c>
      <c r="G7" s="3"/>
      <c r="H7" s="3"/>
      <c r="I7" s="2">
        <v>0</v>
      </c>
      <c r="J7" s="2">
        <v>0</v>
      </c>
      <c r="K7" s="2">
        <v>0</v>
      </c>
      <c r="L7" s="2">
        <v>0</v>
      </c>
      <c r="M7" s="2">
        <v>0</v>
      </c>
      <c r="N7" s="2"/>
      <c r="O7" s="8">
        <f t="shared" ref="O7:O123" si="0">+I7+J7+K7+L7+M7+N7-SUM(P7:AJ7)</f>
        <v>0</v>
      </c>
      <c r="P7" s="2"/>
      <c r="Q7" s="2"/>
      <c r="R7" s="18"/>
      <c r="S7" s="2"/>
      <c r="T7" s="18"/>
      <c r="U7" s="18"/>
      <c r="V7" s="18"/>
      <c r="W7" s="18"/>
      <c r="X7" s="2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2"/>
      <c r="AK7" s="7">
        <f t="shared" ref="AK7:AK123" si="1">+G7*SUM(I7:N7)</f>
        <v>0</v>
      </c>
      <c r="AL7" s="8" t="s">
        <v>146</v>
      </c>
      <c r="AM7" s="8">
        <v>200</v>
      </c>
      <c r="AN7" s="8" t="s">
        <v>152</v>
      </c>
      <c r="AO7" s="8">
        <f t="shared" ref="AO7:AO70" si="2">+SUM(I7:N7)/AM7</f>
        <v>0</v>
      </c>
      <c r="AP7"/>
      <c r="AQ7" s="15" t="s">
        <v>146</v>
      </c>
      <c r="AR7">
        <v>52</v>
      </c>
      <c r="AS7"/>
    </row>
    <row r="8" spans="1:45" x14ac:dyDescent="0.25">
      <c r="A8" s="2">
        <v>3</v>
      </c>
      <c r="B8" s="2" t="s">
        <v>24</v>
      </c>
      <c r="C8" s="2" t="s">
        <v>129</v>
      </c>
      <c r="D8" s="2" t="s">
        <v>27</v>
      </c>
      <c r="E8" s="13">
        <v>0.25</v>
      </c>
      <c r="F8" s="2">
        <v>2.8000000000000001E-2</v>
      </c>
      <c r="G8" s="3"/>
      <c r="H8" s="3"/>
      <c r="I8" s="2">
        <v>0</v>
      </c>
      <c r="J8" s="2">
        <v>0</v>
      </c>
      <c r="K8" s="2">
        <v>0</v>
      </c>
      <c r="L8" s="2">
        <v>0</v>
      </c>
      <c r="M8" s="2">
        <v>0</v>
      </c>
      <c r="N8" s="2"/>
      <c r="O8" s="8">
        <f t="shared" si="0"/>
        <v>0</v>
      </c>
      <c r="P8" s="2"/>
      <c r="Q8" s="2"/>
      <c r="R8" s="18"/>
      <c r="S8" s="2"/>
      <c r="T8" s="18"/>
      <c r="U8" s="18"/>
      <c r="V8" s="18"/>
      <c r="W8" s="18"/>
      <c r="X8" s="2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2"/>
      <c r="AK8" s="7">
        <f t="shared" si="1"/>
        <v>0</v>
      </c>
      <c r="AL8" s="8" t="s">
        <v>146</v>
      </c>
      <c r="AM8" s="8">
        <v>200</v>
      </c>
      <c r="AN8" s="8" t="s">
        <v>152</v>
      </c>
      <c r="AO8" s="8">
        <f t="shared" si="2"/>
        <v>0</v>
      </c>
      <c r="AP8"/>
      <c r="AQ8" s="15" t="s">
        <v>155</v>
      </c>
      <c r="AR8">
        <v>0</v>
      </c>
      <c r="AS8"/>
    </row>
    <row r="9" spans="1:45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2">
        <v>0</v>
      </c>
      <c r="J9" s="2">
        <v>0</v>
      </c>
      <c r="K9" s="2">
        <v>0</v>
      </c>
      <c r="L9" s="2">
        <v>0</v>
      </c>
      <c r="M9" s="2">
        <v>0</v>
      </c>
      <c r="N9" s="2"/>
      <c r="O9" s="8">
        <f t="shared" si="0"/>
        <v>0</v>
      </c>
      <c r="P9" s="2"/>
      <c r="Q9" s="2"/>
      <c r="R9" s="18"/>
      <c r="S9" s="2"/>
      <c r="T9" s="18"/>
      <c r="U9" s="18"/>
      <c r="V9" s="18"/>
      <c r="W9" s="18"/>
      <c r="X9" s="2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2"/>
      <c r="AK9" s="7">
        <f t="shared" si="1"/>
        <v>0</v>
      </c>
      <c r="AL9" s="8" t="s">
        <v>146</v>
      </c>
      <c r="AM9" s="8">
        <v>100</v>
      </c>
      <c r="AN9" s="8" t="s">
        <v>152</v>
      </c>
      <c r="AO9" s="8">
        <f t="shared" si="2"/>
        <v>0</v>
      </c>
      <c r="AP9"/>
      <c r="AQ9" s="15" t="s">
        <v>147</v>
      </c>
      <c r="AR9">
        <v>116</v>
      </c>
      <c r="AS9"/>
    </row>
    <row r="10" spans="1:45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/>
      <c r="O10" s="8">
        <f t="shared" si="0"/>
        <v>0</v>
      </c>
      <c r="P10" s="2"/>
      <c r="Q10" s="2"/>
      <c r="R10" s="18"/>
      <c r="S10" s="2"/>
      <c r="T10" s="18"/>
      <c r="U10" s="18"/>
      <c r="V10" s="18"/>
      <c r="W10" s="18"/>
      <c r="X10" s="2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2"/>
      <c r="AK10" s="7">
        <f t="shared" si="1"/>
        <v>0</v>
      </c>
      <c r="AL10" s="8" t="s">
        <v>146</v>
      </c>
      <c r="AM10" s="8">
        <v>150</v>
      </c>
      <c r="AN10" s="8" t="s">
        <v>152</v>
      </c>
      <c r="AO10" s="8">
        <f t="shared" si="2"/>
        <v>0</v>
      </c>
      <c r="AP10"/>
      <c r="AQ10" s="15" t="s">
        <v>150</v>
      </c>
      <c r="AR10">
        <v>2</v>
      </c>
      <c r="AS10"/>
    </row>
    <row r="11" spans="1:45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2">
        <v>0</v>
      </c>
      <c r="J11" s="2">
        <v>1200</v>
      </c>
      <c r="K11" s="2">
        <v>0</v>
      </c>
      <c r="L11" s="2">
        <v>0</v>
      </c>
      <c r="M11" s="2">
        <v>0</v>
      </c>
      <c r="N11" s="2"/>
      <c r="O11" s="8">
        <f t="shared" si="0"/>
        <v>-700</v>
      </c>
      <c r="P11" s="2"/>
      <c r="Q11" s="2"/>
      <c r="R11" s="18"/>
      <c r="S11" s="2"/>
      <c r="T11" s="2">
        <v>700</v>
      </c>
      <c r="U11" s="18"/>
      <c r="V11" s="18">
        <v>1200</v>
      </c>
      <c r="W11" s="18"/>
      <c r="X11" s="2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2"/>
      <c r="AK11" s="7">
        <f t="shared" si="1"/>
        <v>0</v>
      </c>
      <c r="AL11" s="8" t="s">
        <v>146</v>
      </c>
      <c r="AM11" s="8">
        <v>150</v>
      </c>
      <c r="AN11" s="8" t="s">
        <v>152</v>
      </c>
      <c r="AO11" s="8">
        <f t="shared" si="2"/>
        <v>8</v>
      </c>
      <c r="AP11"/>
      <c r="AQ11" s="15" t="s">
        <v>149</v>
      </c>
      <c r="AR11">
        <v>10</v>
      </c>
      <c r="AS11"/>
    </row>
    <row r="12" spans="1:45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2">
        <v>-106</v>
      </c>
      <c r="J12" s="2">
        <v>0</v>
      </c>
      <c r="K12" s="2">
        <v>0</v>
      </c>
      <c r="L12" s="2">
        <v>0</v>
      </c>
      <c r="M12" s="2">
        <v>0</v>
      </c>
      <c r="N12" s="2"/>
      <c r="O12" s="8">
        <f t="shared" si="0"/>
        <v>-106</v>
      </c>
      <c r="P12" s="2"/>
      <c r="Q12" s="2"/>
      <c r="R12" s="18"/>
      <c r="S12" s="2"/>
      <c r="T12" s="18"/>
      <c r="U12" s="18"/>
      <c r="V12" s="18"/>
      <c r="W12" s="18"/>
      <c r="X12" s="2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2"/>
      <c r="AK12" s="7">
        <f t="shared" si="1"/>
        <v>0</v>
      </c>
      <c r="AL12" s="8" t="s">
        <v>146</v>
      </c>
      <c r="AM12" s="8">
        <v>50</v>
      </c>
      <c r="AN12" s="8" t="s">
        <v>152</v>
      </c>
      <c r="AO12" s="8">
        <f t="shared" si="2"/>
        <v>-2.12</v>
      </c>
      <c r="AP12"/>
      <c r="AQ12" s="15" t="s">
        <v>158</v>
      </c>
      <c r="AR12">
        <v>180</v>
      </c>
      <c r="AS12"/>
    </row>
    <row r="13" spans="1:45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/>
      <c r="O13" s="8">
        <f t="shared" si="0"/>
        <v>0</v>
      </c>
      <c r="P13" s="2"/>
      <c r="Q13" s="2"/>
      <c r="R13" s="18"/>
      <c r="S13" s="2"/>
      <c r="T13" s="18"/>
      <c r="U13" s="18"/>
      <c r="V13" s="18"/>
      <c r="W13" s="18"/>
      <c r="X13" s="2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2"/>
      <c r="AK13" s="7">
        <f t="shared" si="1"/>
        <v>0</v>
      </c>
      <c r="AL13" s="8" t="s">
        <v>146</v>
      </c>
      <c r="AM13" s="8">
        <v>100</v>
      </c>
      <c r="AN13" s="8" t="s">
        <v>152</v>
      </c>
      <c r="AO13" s="8">
        <f t="shared" si="2"/>
        <v>0</v>
      </c>
      <c r="AP13"/>
      <c r="AQ13"/>
      <c r="AR13"/>
      <c r="AS13"/>
    </row>
    <row r="14" spans="1:45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/>
      <c r="O14" s="8">
        <f t="shared" si="0"/>
        <v>0</v>
      </c>
      <c r="P14" s="2"/>
      <c r="Q14" s="2"/>
      <c r="R14" s="18"/>
      <c r="S14" s="2"/>
      <c r="T14" s="18"/>
      <c r="U14" s="18"/>
      <c r="V14" s="18"/>
      <c r="W14" s="18"/>
      <c r="X14" s="2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2"/>
      <c r="AK14" s="7">
        <f t="shared" si="1"/>
        <v>0</v>
      </c>
      <c r="AL14" s="8" t="s">
        <v>146</v>
      </c>
      <c r="AM14" s="8">
        <v>50</v>
      </c>
      <c r="AN14" s="8" t="s">
        <v>152</v>
      </c>
      <c r="AO14" s="8">
        <f t="shared" si="2"/>
        <v>0</v>
      </c>
      <c r="AP14"/>
      <c r="AQ14"/>
      <c r="AR14"/>
      <c r="AS14"/>
    </row>
    <row r="15" spans="1:45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/>
      <c r="O15" s="8">
        <f t="shared" si="0"/>
        <v>0</v>
      </c>
      <c r="P15" s="2"/>
      <c r="Q15" s="2"/>
      <c r="R15" s="18"/>
      <c r="S15" s="2"/>
      <c r="T15" s="18"/>
      <c r="U15" s="18"/>
      <c r="V15" s="18"/>
      <c r="W15" s="18"/>
      <c r="X15" s="2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2"/>
      <c r="AK15" s="7">
        <f t="shared" si="1"/>
        <v>0</v>
      </c>
      <c r="AL15" s="8" t="s">
        <v>147</v>
      </c>
      <c r="AM15" s="8">
        <v>60</v>
      </c>
      <c r="AN15" s="8" t="s">
        <v>152</v>
      </c>
      <c r="AO15" s="8">
        <f t="shared" si="2"/>
        <v>0</v>
      </c>
      <c r="AP15"/>
      <c r="AQ15"/>
      <c r="AR15"/>
      <c r="AS15"/>
    </row>
    <row r="16" spans="1:45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/>
      <c r="O16" s="8">
        <f t="shared" si="0"/>
        <v>0</v>
      </c>
      <c r="P16" s="2"/>
      <c r="Q16" s="2"/>
      <c r="R16" s="18"/>
      <c r="S16" s="2"/>
      <c r="T16" s="18"/>
      <c r="U16" s="18"/>
      <c r="V16" s="18"/>
      <c r="W16" s="18"/>
      <c r="X16" s="2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2"/>
      <c r="AK16" s="7">
        <f t="shared" si="1"/>
        <v>0</v>
      </c>
      <c r="AL16" s="8" t="s">
        <v>148</v>
      </c>
      <c r="AM16" s="8">
        <v>100</v>
      </c>
      <c r="AN16" s="8" t="s">
        <v>152</v>
      </c>
      <c r="AO16" s="8">
        <f t="shared" si="2"/>
        <v>0</v>
      </c>
      <c r="AP16"/>
      <c r="AQ16"/>
      <c r="AR16"/>
      <c r="AS16"/>
    </row>
    <row r="17" spans="1:45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/>
      <c r="O17" s="8">
        <f t="shared" si="0"/>
        <v>0</v>
      </c>
      <c r="P17" s="2"/>
      <c r="Q17" s="2"/>
      <c r="R17" s="18"/>
      <c r="S17" s="2"/>
      <c r="T17" s="18"/>
      <c r="U17" s="18"/>
      <c r="V17" s="18"/>
      <c r="W17" s="18"/>
      <c r="X17" s="2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2"/>
      <c r="AK17" s="7">
        <f t="shared" si="1"/>
        <v>0</v>
      </c>
      <c r="AL17" s="8" t="s">
        <v>149</v>
      </c>
      <c r="AM17" s="8">
        <v>100</v>
      </c>
      <c r="AN17" s="8" t="s">
        <v>152</v>
      </c>
      <c r="AO17" s="8">
        <f t="shared" si="2"/>
        <v>0</v>
      </c>
      <c r="AP17"/>
      <c r="AQ17"/>
      <c r="AR17"/>
      <c r="AS17"/>
    </row>
    <row r="18" spans="1:45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/>
      <c r="O18" s="8">
        <f t="shared" si="0"/>
        <v>0</v>
      </c>
      <c r="P18" s="2"/>
      <c r="Q18" s="2"/>
      <c r="R18" s="18"/>
      <c r="S18" s="2"/>
      <c r="T18" s="18"/>
      <c r="U18" s="18"/>
      <c r="V18" s="18"/>
      <c r="W18" s="18"/>
      <c r="X18" s="2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2"/>
      <c r="AK18" s="7">
        <f t="shared" si="1"/>
        <v>0</v>
      </c>
      <c r="AL18" s="8" t="s">
        <v>149</v>
      </c>
      <c r="AM18" s="8">
        <v>100</v>
      </c>
      <c r="AN18" s="8" t="s">
        <v>152</v>
      </c>
      <c r="AO18" s="8">
        <f t="shared" si="2"/>
        <v>0</v>
      </c>
      <c r="AP18"/>
      <c r="AQ18"/>
      <c r="AR18"/>
      <c r="AS18"/>
    </row>
    <row r="19" spans="1:45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2">
        <v>0</v>
      </c>
      <c r="J19" s="2">
        <v>700</v>
      </c>
      <c r="K19" s="2">
        <v>0</v>
      </c>
      <c r="L19" s="2">
        <v>0</v>
      </c>
      <c r="M19" s="2">
        <v>0</v>
      </c>
      <c r="N19" s="2"/>
      <c r="O19" s="8">
        <f t="shared" si="0"/>
        <v>0</v>
      </c>
      <c r="P19" s="2"/>
      <c r="Q19" s="2"/>
      <c r="R19" s="18"/>
      <c r="S19" s="2"/>
      <c r="T19" s="2"/>
      <c r="U19" s="18"/>
      <c r="V19" s="18">
        <v>700</v>
      </c>
      <c r="W19" s="18"/>
      <c r="X19" s="2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2"/>
      <c r="AK19" s="7">
        <f t="shared" si="1"/>
        <v>0</v>
      </c>
      <c r="AL19" s="8" t="s">
        <v>149</v>
      </c>
      <c r="AM19" s="8">
        <v>100</v>
      </c>
      <c r="AN19" s="8" t="s">
        <v>152</v>
      </c>
      <c r="AO19" s="8">
        <f t="shared" si="2"/>
        <v>7</v>
      </c>
      <c r="AP19"/>
      <c r="AQ19"/>
      <c r="AR19"/>
      <c r="AS19"/>
    </row>
    <row r="20" spans="1:45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/>
      <c r="O20" s="8">
        <f t="shared" si="0"/>
        <v>0</v>
      </c>
      <c r="P20" s="2"/>
      <c r="Q20" s="2"/>
      <c r="R20" s="18"/>
      <c r="S20" s="2"/>
      <c r="T20" s="18"/>
      <c r="U20" s="18"/>
      <c r="V20" s="18"/>
      <c r="W20" s="17"/>
      <c r="X20" s="4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2"/>
      <c r="AK20" s="7">
        <f t="shared" si="1"/>
        <v>0</v>
      </c>
      <c r="AL20" s="8" t="s">
        <v>149</v>
      </c>
      <c r="AM20" s="8">
        <v>80</v>
      </c>
      <c r="AN20" s="8" t="s">
        <v>152</v>
      </c>
      <c r="AO20" s="8">
        <f t="shared" si="2"/>
        <v>0</v>
      </c>
      <c r="AP20"/>
      <c r="AQ20"/>
      <c r="AR20"/>
      <c r="AS20"/>
    </row>
    <row r="21" spans="1:45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2">
        <v>0</v>
      </c>
      <c r="J21" s="2">
        <v>500</v>
      </c>
      <c r="K21" s="2">
        <v>0</v>
      </c>
      <c r="L21" s="2">
        <v>0</v>
      </c>
      <c r="M21" s="2">
        <v>0</v>
      </c>
      <c r="N21" s="2"/>
      <c r="O21" s="8">
        <f t="shared" si="0"/>
        <v>500</v>
      </c>
      <c r="P21" s="2"/>
      <c r="Q21" s="2"/>
      <c r="R21" s="18"/>
      <c r="S21" s="2"/>
      <c r="T21" s="2"/>
      <c r="U21" s="18"/>
      <c r="V21" s="18"/>
      <c r="W21" s="18"/>
      <c r="X21" s="2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2"/>
      <c r="AK21" s="7">
        <f t="shared" si="1"/>
        <v>0</v>
      </c>
      <c r="AL21" s="8" t="s">
        <v>149</v>
      </c>
      <c r="AM21" s="8">
        <v>100</v>
      </c>
      <c r="AN21" s="8" t="s">
        <v>152</v>
      </c>
      <c r="AO21" s="8">
        <f t="shared" si="2"/>
        <v>5</v>
      </c>
      <c r="AP21"/>
      <c r="AQ21"/>
      <c r="AR21"/>
      <c r="AS21"/>
    </row>
    <row r="22" spans="1:45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/>
      <c r="O22" s="8">
        <f t="shared" si="0"/>
        <v>0</v>
      </c>
      <c r="P22" s="2"/>
      <c r="Q22" s="2"/>
      <c r="R22" s="18"/>
      <c r="S22" s="2"/>
      <c r="T22" s="18"/>
      <c r="U22" s="18"/>
      <c r="V22" s="18"/>
      <c r="W22" s="18"/>
      <c r="X22" s="2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2"/>
      <c r="AK22" s="7">
        <f t="shared" si="1"/>
        <v>0</v>
      </c>
      <c r="AL22" s="8">
        <v>0</v>
      </c>
      <c r="AM22" s="8">
        <v>0</v>
      </c>
      <c r="AN22" s="8" t="s">
        <v>152</v>
      </c>
      <c r="AO22" s="8">
        <v>0</v>
      </c>
      <c r="AP22"/>
      <c r="AQ22"/>
      <c r="AR22"/>
      <c r="AS22"/>
    </row>
    <row r="23" spans="1:45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/>
      <c r="O23" s="8">
        <f t="shared" si="0"/>
        <v>0</v>
      </c>
      <c r="P23" s="2"/>
      <c r="Q23" s="2"/>
      <c r="R23" s="18"/>
      <c r="S23" s="2"/>
      <c r="T23" s="18"/>
      <c r="U23" s="18"/>
      <c r="V23" s="18"/>
      <c r="W23" s="18"/>
      <c r="X23" s="2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2"/>
      <c r="AK23" s="7">
        <f t="shared" ref="AK23:AK86" si="3">+G23*SUM(I23:N23)</f>
        <v>0</v>
      </c>
      <c r="AL23" s="8">
        <v>0</v>
      </c>
      <c r="AM23" s="8">
        <v>0</v>
      </c>
      <c r="AN23" s="8" t="s">
        <v>152</v>
      </c>
      <c r="AO23" s="8">
        <v>0</v>
      </c>
      <c r="AP23"/>
    </row>
    <row r="24" spans="1:45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/>
      <c r="O24" s="8">
        <f t="shared" si="0"/>
        <v>0</v>
      </c>
      <c r="P24" s="2"/>
      <c r="Q24" s="2"/>
      <c r="R24" s="18"/>
      <c r="S24" s="2"/>
      <c r="T24" s="18"/>
      <c r="U24" s="18"/>
      <c r="V24" s="18"/>
      <c r="W24" s="18"/>
      <c r="X24" s="2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2"/>
      <c r="AK24" s="7">
        <f t="shared" si="3"/>
        <v>0</v>
      </c>
      <c r="AL24" s="8">
        <v>0</v>
      </c>
      <c r="AM24" s="8">
        <v>0</v>
      </c>
      <c r="AN24" s="8" t="s">
        <v>152</v>
      </c>
      <c r="AO24" s="8">
        <v>0</v>
      </c>
      <c r="AP24"/>
    </row>
    <row r="25" spans="1:45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/>
      <c r="O25" s="8">
        <f t="shared" si="0"/>
        <v>0</v>
      </c>
      <c r="P25" s="2"/>
      <c r="Q25" s="2"/>
      <c r="R25" s="18"/>
      <c r="S25" s="2"/>
      <c r="T25" s="18"/>
      <c r="U25" s="18"/>
      <c r="V25" s="18"/>
      <c r="W25" s="18"/>
      <c r="X25" s="2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2"/>
      <c r="AK25" s="7">
        <f t="shared" si="3"/>
        <v>0</v>
      </c>
      <c r="AL25" s="8">
        <v>0</v>
      </c>
      <c r="AM25" s="8">
        <v>0</v>
      </c>
      <c r="AN25" s="8" t="s">
        <v>152</v>
      </c>
      <c r="AO25" s="8">
        <v>0</v>
      </c>
      <c r="AP25"/>
    </row>
    <row r="26" spans="1:45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/>
      <c r="O26" s="8">
        <f t="shared" si="0"/>
        <v>0</v>
      </c>
      <c r="P26" s="2"/>
      <c r="Q26" s="2"/>
      <c r="R26" s="18"/>
      <c r="S26" s="2"/>
      <c r="T26" s="18"/>
      <c r="U26" s="18"/>
      <c r="V26" s="18"/>
      <c r="W26" s="18"/>
      <c r="X26" s="2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2"/>
      <c r="AK26" s="7">
        <f t="shared" si="3"/>
        <v>0</v>
      </c>
      <c r="AL26" s="8">
        <v>0</v>
      </c>
      <c r="AM26" s="8">
        <v>0</v>
      </c>
      <c r="AN26" s="8" t="s">
        <v>152</v>
      </c>
      <c r="AO26" s="8">
        <v>0</v>
      </c>
      <c r="AP26"/>
    </row>
    <row r="27" spans="1:45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/>
      <c r="O27" s="8">
        <f t="shared" si="0"/>
        <v>0</v>
      </c>
      <c r="P27" s="2"/>
      <c r="Q27" s="2"/>
      <c r="R27" s="18"/>
      <c r="S27" s="2"/>
      <c r="T27" s="18"/>
      <c r="U27" s="18"/>
      <c r="V27" s="18"/>
      <c r="W27" s="18"/>
      <c r="X27" s="2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2"/>
      <c r="AK27" s="7">
        <f t="shared" si="3"/>
        <v>0</v>
      </c>
      <c r="AL27" s="8">
        <v>0</v>
      </c>
      <c r="AM27" s="8">
        <v>0</v>
      </c>
      <c r="AN27" s="8" t="s">
        <v>152</v>
      </c>
      <c r="AO27" s="8">
        <v>0</v>
      </c>
      <c r="AP27"/>
    </row>
    <row r="28" spans="1:45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/>
      <c r="O28" s="8">
        <f t="shared" si="0"/>
        <v>0</v>
      </c>
      <c r="P28" s="2"/>
      <c r="Q28" s="2"/>
      <c r="R28" s="18"/>
      <c r="S28" s="2"/>
      <c r="T28" s="18"/>
      <c r="U28" s="18"/>
      <c r="V28" s="18"/>
      <c r="W28" s="18"/>
      <c r="X28" s="2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2"/>
      <c r="AK28" s="7">
        <f t="shared" si="3"/>
        <v>0</v>
      </c>
      <c r="AL28" s="8">
        <v>0</v>
      </c>
      <c r="AM28" s="8">
        <v>0</v>
      </c>
      <c r="AN28" s="8" t="s">
        <v>152</v>
      </c>
      <c r="AO28" s="8">
        <v>0</v>
      </c>
      <c r="AP28"/>
    </row>
    <row r="29" spans="1:45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/>
      <c r="O29" s="8">
        <f t="shared" si="0"/>
        <v>0</v>
      </c>
      <c r="P29" s="2"/>
      <c r="Q29" s="2"/>
      <c r="R29" s="18"/>
      <c r="S29" s="2"/>
      <c r="T29" s="18"/>
      <c r="U29" s="18"/>
      <c r="V29" s="18"/>
      <c r="W29" s="18"/>
      <c r="X29" s="2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2"/>
      <c r="AK29" s="7">
        <f t="shared" si="3"/>
        <v>0</v>
      </c>
      <c r="AL29" s="8">
        <v>0</v>
      </c>
      <c r="AM29" s="8">
        <v>0</v>
      </c>
      <c r="AN29" s="8" t="s">
        <v>152</v>
      </c>
      <c r="AO29" s="8">
        <v>0</v>
      </c>
      <c r="AP29"/>
    </row>
    <row r="30" spans="1:45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/>
      <c r="O30" s="8">
        <f t="shared" si="0"/>
        <v>0</v>
      </c>
      <c r="P30" s="2"/>
      <c r="Q30" s="2"/>
      <c r="R30" s="18"/>
      <c r="S30" s="2"/>
      <c r="T30" s="18"/>
      <c r="U30" s="18"/>
      <c r="V30" s="18"/>
      <c r="W30" s="18"/>
      <c r="X30" s="2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"/>
      <c r="AK30" s="7">
        <f t="shared" si="3"/>
        <v>0</v>
      </c>
      <c r="AL30" s="8">
        <v>0</v>
      </c>
      <c r="AM30" s="8">
        <v>0</v>
      </c>
      <c r="AN30" s="8" t="s">
        <v>152</v>
      </c>
      <c r="AO30" s="8">
        <v>0</v>
      </c>
      <c r="AP30"/>
    </row>
    <row r="31" spans="1:45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/>
      <c r="O31" s="8">
        <f t="shared" si="0"/>
        <v>0</v>
      </c>
      <c r="P31" s="2"/>
      <c r="Q31" s="2"/>
      <c r="R31" s="18"/>
      <c r="S31" s="2"/>
      <c r="T31" s="18"/>
      <c r="U31" s="18"/>
      <c r="V31" s="18"/>
      <c r="W31" s="18"/>
      <c r="X31" s="2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2"/>
      <c r="AK31" s="7">
        <f t="shared" si="3"/>
        <v>0</v>
      </c>
      <c r="AL31" s="8">
        <v>0</v>
      </c>
      <c r="AM31" s="8">
        <v>0</v>
      </c>
      <c r="AN31" s="8" t="s">
        <v>152</v>
      </c>
      <c r="AO31" s="8">
        <v>0</v>
      </c>
      <c r="AP31"/>
    </row>
    <row r="32" spans="1:45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/>
      <c r="O32" s="8">
        <f t="shared" si="0"/>
        <v>0</v>
      </c>
      <c r="P32" s="2"/>
      <c r="Q32" s="2"/>
      <c r="R32" s="18"/>
      <c r="S32" s="2"/>
      <c r="T32" s="18"/>
      <c r="U32" s="18"/>
      <c r="V32" s="18"/>
      <c r="W32" s="18"/>
      <c r="X32" s="2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2"/>
      <c r="AK32" s="7">
        <f t="shared" si="3"/>
        <v>0</v>
      </c>
      <c r="AL32" s="8">
        <v>0</v>
      </c>
      <c r="AM32" s="8">
        <v>0</v>
      </c>
      <c r="AN32" s="8" t="s">
        <v>152</v>
      </c>
      <c r="AO32" s="8">
        <v>0</v>
      </c>
      <c r="AP32"/>
    </row>
    <row r="33" spans="1:42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/>
      <c r="O33" s="8">
        <f t="shared" si="0"/>
        <v>0</v>
      </c>
      <c r="P33" s="2"/>
      <c r="Q33" s="2"/>
      <c r="R33" s="18"/>
      <c r="S33" s="2"/>
      <c r="T33" s="18"/>
      <c r="U33" s="18"/>
      <c r="V33" s="18"/>
      <c r="W33" s="18"/>
      <c r="X33" s="2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2"/>
      <c r="AK33" s="7">
        <f t="shared" si="3"/>
        <v>0</v>
      </c>
      <c r="AL33" s="8">
        <v>0</v>
      </c>
      <c r="AM33" s="8">
        <v>0</v>
      </c>
      <c r="AN33" s="8" t="s">
        <v>152</v>
      </c>
      <c r="AO33" s="8">
        <v>0</v>
      </c>
      <c r="AP33"/>
    </row>
    <row r="34" spans="1:42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/>
      <c r="O34" s="8">
        <f t="shared" si="0"/>
        <v>0</v>
      </c>
      <c r="P34" s="2"/>
      <c r="Q34" s="2"/>
      <c r="R34" s="18"/>
      <c r="S34" s="2"/>
      <c r="T34" s="18"/>
      <c r="U34" s="18"/>
      <c r="V34" s="18"/>
      <c r="W34" s="18"/>
      <c r="X34" s="2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2"/>
      <c r="AK34" s="7">
        <f t="shared" si="3"/>
        <v>0</v>
      </c>
      <c r="AL34" s="8">
        <v>0</v>
      </c>
      <c r="AM34" s="8">
        <v>0</v>
      </c>
      <c r="AN34" s="8" t="s">
        <v>152</v>
      </c>
      <c r="AO34" s="8">
        <v>0</v>
      </c>
      <c r="AP34"/>
    </row>
    <row r="35" spans="1:42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/>
      <c r="O35" s="8">
        <f t="shared" si="0"/>
        <v>0</v>
      </c>
      <c r="P35" s="2"/>
      <c r="Q35" s="2"/>
      <c r="R35" s="18"/>
      <c r="S35" s="2"/>
      <c r="T35" s="18"/>
      <c r="U35" s="18"/>
      <c r="V35" s="18"/>
      <c r="W35" s="18"/>
      <c r="X35" s="2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2"/>
      <c r="AK35" s="7">
        <f t="shared" si="3"/>
        <v>0</v>
      </c>
      <c r="AL35" s="8">
        <v>0</v>
      </c>
      <c r="AM35" s="8">
        <v>0</v>
      </c>
      <c r="AN35" s="8" t="s">
        <v>152</v>
      </c>
      <c r="AO35" s="8">
        <v>0</v>
      </c>
      <c r="AP35"/>
    </row>
    <row r="36" spans="1:42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2">
        <v>0</v>
      </c>
      <c r="J36" s="2">
        <v>800</v>
      </c>
      <c r="K36" s="2">
        <v>0</v>
      </c>
      <c r="L36" s="2">
        <v>0</v>
      </c>
      <c r="M36" s="2">
        <v>0</v>
      </c>
      <c r="N36" s="2"/>
      <c r="O36" s="8">
        <f t="shared" si="0"/>
        <v>0</v>
      </c>
      <c r="P36" s="2"/>
      <c r="Q36" s="2"/>
      <c r="R36" s="18"/>
      <c r="S36" s="2"/>
      <c r="T36" s="2"/>
      <c r="U36" s="18"/>
      <c r="V36" s="18"/>
      <c r="W36" s="18">
        <v>800</v>
      </c>
      <c r="X36" s="2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2"/>
      <c r="AK36" s="7">
        <f t="shared" si="3"/>
        <v>0</v>
      </c>
      <c r="AL36" s="8" t="s">
        <v>149</v>
      </c>
      <c r="AM36" s="8">
        <v>200</v>
      </c>
      <c r="AN36" s="8" t="s">
        <v>152</v>
      </c>
      <c r="AO36" s="8">
        <f t="shared" si="2"/>
        <v>4</v>
      </c>
      <c r="AP36"/>
    </row>
    <row r="37" spans="1:42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2">
        <v>-181</v>
      </c>
      <c r="J37" s="2">
        <v>0</v>
      </c>
      <c r="K37" s="2">
        <v>0</v>
      </c>
      <c r="L37" s="2">
        <v>0</v>
      </c>
      <c r="M37" s="2">
        <v>0</v>
      </c>
      <c r="N37" s="2"/>
      <c r="O37" s="8">
        <f t="shared" si="0"/>
        <v>-181</v>
      </c>
      <c r="P37" s="2"/>
      <c r="Q37" s="2"/>
      <c r="R37" s="18"/>
      <c r="S37" s="2"/>
      <c r="T37" s="18"/>
      <c r="U37" s="18"/>
      <c r="V37" s="18"/>
      <c r="W37" s="18"/>
      <c r="X37" s="2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2"/>
      <c r="AK37" s="7">
        <f t="shared" si="3"/>
        <v>0</v>
      </c>
      <c r="AL37" s="8" t="s">
        <v>149</v>
      </c>
      <c r="AM37" s="8">
        <v>100</v>
      </c>
      <c r="AN37" s="8" t="s">
        <v>152</v>
      </c>
      <c r="AO37" s="8">
        <f t="shared" si="2"/>
        <v>-1.81</v>
      </c>
      <c r="AP37"/>
    </row>
    <row r="38" spans="1:42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/>
      <c r="O38" s="8">
        <f t="shared" si="0"/>
        <v>0</v>
      </c>
      <c r="P38" s="2"/>
      <c r="Q38" s="2"/>
      <c r="R38" s="18"/>
      <c r="S38" s="2"/>
      <c r="T38" s="18"/>
      <c r="U38" s="18"/>
      <c r="V38" s="18"/>
      <c r="W38" s="18"/>
      <c r="X38" s="2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2"/>
      <c r="AK38" s="7">
        <f t="shared" si="3"/>
        <v>0</v>
      </c>
      <c r="AL38" s="8" t="s">
        <v>149</v>
      </c>
      <c r="AM38" s="8">
        <v>100</v>
      </c>
      <c r="AN38" s="8" t="s">
        <v>152</v>
      </c>
      <c r="AO38" s="8">
        <f t="shared" si="2"/>
        <v>0</v>
      </c>
      <c r="AP38"/>
    </row>
    <row r="39" spans="1:42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2">
        <v>-960</v>
      </c>
      <c r="J39" s="2">
        <v>0</v>
      </c>
      <c r="K39" s="2">
        <v>0</v>
      </c>
      <c r="L39" s="2">
        <v>0</v>
      </c>
      <c r="M39" s="2">
        <v>0</v>
      </c>
      <c r="N39" s="2"/>
      <c r="O39" s="8">
        <f t="shared" si="0"/>
        <v>-960</v>
      </c>
      <c r="P39" s="2"/>
      <c r="Q39" s="2"/>
      <c r="R39" s="18"/>
      <c r="S39" s="2"/>
      <c r="T39" s="18"/>
      <c r="U39" s="18"/>
      <c r="V39" s="18"/>
      <c r="W39" s="18"/>
      <c r="X39" s="2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2"/>
      <c r="AK39" s="7">
        <f t="shared" si="3"/>
        <v>0</v>
      </c>
      <c r="AL39" s="8" t="s">
        <v>150</v>
      </c>
      <c r="AM39" s="8">
        <v>2000</v>
      </c>
      <c r="AN39" s="8" t="s">
        <v>152</v>
      </c>
      <c r="AO39" s="8">
        <f t="shared" si="2"/>
        <v>-0.48</v>
      </c>
      <c r="AP39"/>
    </row>
    <row r="40" spans="1:42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/>
      <c r="O40" s="8">
        <f t="shared" si="0"/>
        <v>0</v>
      </c>
      <c r="P40" s="2"/>
      <c r="Q40" s="2"/>
      <c r="R40" s="18"/>
      <c r="S40" s="2"/>
      <c r="T40" s="18"/>
      <c r="U40" s="18"/>
      <c r="V40" s="18"/>
      <c r="W40" s="18"/>
      <c r="X40" s="2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2"/>
      <c r="AK40" s="7">
        <f t="shared" si="3"/>
        <v>0</v>
      </c>
      <c r="AL40" s="8" t="s">
        <v>150</v>
      </c>
      <c r="AM40" s="8">
        <v>500</v>
      </c>
      <c r="AN40" s="8" t="s">
        <v>152</v>
      </c>
      <c r="AO40" s="8">
        <f t="shared" si="2"/>
        <v>0</v>
      </c>
      <c r="AP40"/>
    </row>
    <row r="41" spans="1:42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/>
      <c r="O41" s="8">
        <f t="shared" si="0"/>
        <v>0</v>
      </c>
      <c r="P41" s="2"/>
      <c r="Q41" s="2"/>
      <c r="R41" s="18"/>
      <c r="S41" s="2"/>
      <c r="T41" s="18"/>
      <c r="U41" s="18"/>
      <c r="V41" s="18"/>
      <c r="W41" s="18"/>
      <c r="X41" s="2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2"/>
      <c r="AK41" s="7">
        <f t="shared" si="3"/>
        <v>0</v>
      </c>
      <c r="AL41" s="8" t="s">
        <v>150</v>
      </c>
      <c r="AM41" s="8">
        <v>250</v>
      </c>
      <c r="AN41" s="8" t="s">
        <v>152</v>
      </c>
      <c r="AO41" s="8">
        <f t="shared" si="2"/>
        <v>0</v>
      </c>
      <c r="AP41"/>
    </row>
    <row r="42" spans="1:42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/>
      <c r="O42" s="8">
        <f t="shared" si="0"/>
        <v>0</v>
      </c>
      <c r="P42" s="2"/>
      <c r="Q42" s="2"/>
      <c r="R42" s="18"/>
      <c r="S42" s="2"/>
      <c r="T42" s="18"/>
      <c r="U42" s="18"/>
      <c r="V42" s="18"/>
      <c r="W42" s="18"/>
      <c r="X42" s="2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2"/>
      <c r="AK42" s="7">
        <f t="shared" si="3"/>
        <v>0</v>
      </c>
      <c r="AL42" s="8" t="s">
        <v>150</v>
      </c>
      <c r="AM42" s="8">
        <v>300</v>
      </c>
      <c r="AN42" s="8" t="s">
        <v>152</v>
      </c>
      <c r="AO42" s="8">
        <f t="shared" si="2"/>
        <v>0</v>
      </c>
      <c r="AP42"/>
    </row>
    <row r="43" spans="1:42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/>
      <c r="O43" s="8">
        <f t="shared" si="0"/>
        <v>0</v>
      </c>
      <c r="P43" s="2"/>
      <c r="Q43" s="2"/>
      <c r="R43" s="18"/>
      <c r="S43" s="2"/>
      <c r="T43" s="18"/>
      <c r="U43" s="18"/>
      <c r="V43" s="18"/>
      <c r="W43" s="18"/>
      <c r="X43" s="2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2"/>
      <c r="AK43" s="7">
        <f t="shared" si="3"/>
        <v>0</v>
      </c>
      <c r="AL43" s="8" t="s">
        <v>150</v>
      </c>
      <c r="AM43" s="8">
        <v>300</v>
      </c>
      <c r="AN43" s="8" t="s">
        <v>152</v>
      </c>
      <c r="AO43" s="8">
        <f t="shared" si="2"/>
        <v>0</v>
      </c>
      <c r="AP43"/>
    </row>
    <row r="44" spans="1:42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/>
      <c r="O44" s="8">
        <f t="shared" si="0"/>
        <v>0</v>
      </c>
      <c r="P44" s="2"/>
      <c r="Q44" s="2"/>
      <c r="R44" s="18"/>
      <c r="S44" s="2"/>
      <c r="T44" s="18"/>
      <c r="U44" s="18"/>
      <c r="V44" s="18"/>
      <c r="W44" s="18"/>
      <c r="X44" s="2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2"/>
      <c r="AK44" s="7">
        <f t="shared" si="3"/>
        <v>0</v>
      </c>
      <c r="AL44" s="8" t="s">
        <v>150</v>
      </c>
      <c r="AM44" s="8">
        <v>2000</v>
      </c>
      <c r="AN44" s="8" t="s">
        <v>152</v>
      </c>
      <c r="AO44" s="8">
        <f t="shared" si="2"/>
        <v>0</v>
      </c>
      <c r="AP44"/>
    </row>
    <row r="45" spans="1:42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/>
      <c r="O45" s="8">
        <f t="shared" si="0"/>
        <v>0</v>
      </c>
      <c r="P45" s="2"/>
      <c r="Q45" s="2"/>
      <c r="R45" s="18"/>
      <c r="S45" s="2"/>
      <c r="T45" s="18"/>
      <c r="U45" s="18"/>
      <c r="V45" s="18"/>
      <c r="W45" s="18"/>
      <c r="X45" s="2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2"/>
      <c r="AK45" s="7">
        <f t="shared" si="3"/>
        <v>0</v>
      </c>
      <c r="AL45" s="8" t="s">
        <v>150</v>
      </c>
      <c r="AM45" s="8">
        <v>1000</v>
      </c>
      <c r="AN45" s="8" t="s">
        <v>152</v>
      </c>
      <c r="AO45" s="8">
        <f t="shared" si="2"/>
        <v>0</v>
      </c>
      <c r="AP45"/>
    </row>
    <row r="46" spans="1:42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/>
      <c r="O46" s="8">
        <f t="shared" si="0"/>
        <v>0</v>
      </c>
      <c r="P46" s="2"/>
      <c r="Q46" s="2"/>
      <c r="R46" s="18"/>
      <c r="S46" s="2"/>
      <c r="T46" s="18"/>
      <c r="U46" s="18"/>
      <c r="V46" s="18"/>
      <c r="W46" s="18"/>
      <c r="X46" s="2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2"/>
      <c r="AK46" s="7">
        <f t="shared" si="3"/>
        <v>0</v>
      </c>
      <c r="AL46" s="8">
        <v>0</v>
      </c>
      <c r="AM46" s="8">
        <v>0</v>
      </c>
      <c r="AN46" s="8" t="s">
        <v>152</v>
      </c>
      <c r="AO46" s="8">
        <v>0</v>
      </c>
      <c r="AP46"/>
    </row>
    <row r="47" spans="1:42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/>
      <c r="O47" s="8">
        <f t="shared" si="0"/>
        <v>0</v>
      </c>
      <c r="P47" s="2"/>
      <c r="Q47" s="2"/>
      <c r="R47" s="18"/>
      <c r="S47" s="2"/>
      <c r="T47" s="18"/>
      <c r="U47" s="18"/>
      <c r="V47" s="18"/>
      <c r="W47" s="18"/>
      <c r="X47" s="2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2"/>
      <c r="AK47" s="7">
        <f t="shared" si="3"/>
        <v>0</v>
      </c>
      <c r="AL47" s="8">
        <v>0</v>
      </c>
      <c r="AM47" s="8">
        <v>0</v>
      </c>
      <c r="AN47" s="8" t="s">
        <v>152</v>
      </c>
      <c r="AO47" s="8">
        <v>0</v>
      </c>
      <c r="AP47"/>
    </row>
    <row r="48" spans="1:42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2">
        <v>-1940</v>
      </c>
      <c r="J48" s="2">
        <v>0</v>
      </c>
      <c r="K48" s="2">
        <v>0</v>
      </c>
      <c r="L48" s="2">
        <v>0</v>
      </c>
      <c r="M48" s="2">
        <v>0</v>
      </c>
      <c r="N48" s="2"/>
      <c r="O48" s="8">
        <f t="shared" si="0"/>
        <v>-1940</v>
      </c>
      <c r="P48" s="2"/>
      <c r="Q48" s="2"/>
      <c r="R48" s="18"/>
      <c r="S48" s="2"/>
      <c r="T48" s="18"/>
      <c r="U48" s="18"/>
      <c r="V48" s="18"/>
      <c r="W48" s="18"/>
      <c r="X48" s="2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2"/>
      <c r="AK48" s="7">
        <f t="shared" si="3"/>
        <v>0</v>
      </c>
      <c r="AL48" s="8">
        <v>0</v>
      </c>
      <c r="AM48" s="8">
        <v>0</v>
      </c>
      <c r="AN48" s="8" t="s">
        <v>152</v>
      </c>
      <c r="AO48" s="8">
        <v>0</v>
      </c>
      <c r="AP48"/>
    </row>
    <row r="49" spans="1:42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/>
      <c r="O49" s="8">
        <f t="shared" si="0"/>
        <v>0</v>
      </c>
      <c r="P49" s="2"/>
      <c r="Q49" s="2"/>
      <c r="R49" s="18"/>
      <c r="S49" s="2"/>
      <c r="T49" s="18"/>
      <c r="U49" s="18"/>
      <c r="V49" s="18"/>
      <c r="W49" s="18"/>
      <c r="X49" s="2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2"/>
      <c r="AK49" s="7">
        <f t="shared" si="3"/>
        <v>0</v>
      </c>
      <c r="AL49" s="8">
        <v>0</v>
      </c>
      <c r="AM49" s="8">
        <v>0</v>
      </c>
      <c r="AN49" s="8" t="s">
        <v>152</v>
      </c>
      <c r="AO49" s="8">
        <v>0</v>
      </c>
      <c r="AP49"/>
    </row>
    <row r="50" spans="1:42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/>
      <c r="O50" s="8">
        <f t="shared" si="0"/>
        <v>0</v>
      </c>
      <c r="P50" s="2"/>
      <c r="Q50" s="2"/>
      <c r="R50" s="18"/>
      <c r="S50" s="2"/>
      <c r="T50" s="18"/>
      <c r="U50" s="18"/>
      <c r="V50" s="18"/>
      <c r="W50" s="18"/>
      <c r="X50" s="2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2"/>
      <c r="AK50" s="7">
        <f t="shared" si="3"/>
        <v>0</v>
      </c>
      <c r="AL50" s="8">
        <v>0</v>
      </c>
      <c r="AM50" s="8">
        <v>0</v>
      </c>
      <c r="AN50" s="8" t="s">
        <v>152</v>
      </c>
      <c r="AO50" s="8">
        <v>0</v>
      </c>
      <c r="AP50"/>
    </row>
    <row r="51" spans="1:42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/>
      <c r="O51" s="8">
        <f t="shared" si="0"/>
        <v>0</v>
      </c>
      <c r="P51" s="2"/>
      <c r="Q51" s="2"/>
      <c r="R51" s="18"/>
      <c r="S51" s="2"/>
      <c r="T51" s="18"/>
      <c r="U51" s="18"/>
      <c r="V51" s="18"/>
      <c r="W51" s="18"/>
      <c r="X51" s="2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2"/>
      <c r="AK51" s="7">
        <f t="shared" si="3"/>
        <v>0</v>
      </c>
      <c r="AL51" s="8">
        <v>0</v>
      </c>
      <c r="AM51" s="8">
        <v>0</v>
      </c>
      <c r="AN51" s="8" t="s">
        <v>152</v>
      </c>
      <c r="AO51" s="8">
        <v>0</v>
      </c>
      <c r="AP51"/>
    </row>
    <row r="52" spans="1:42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/>
      <c r="O52" s="8">
        <f t="shared" si="0"/>
        <v>0</v>
      </c>
      <c r="P52" s="2"/>
      <c r="Q52" s="2"/>
      <c r="R52" s="18"/>
      <c r="S52" s="2"/>
      <c r="T52" s="18"/>
      <c r="U52" s="18"/>
      <c r="V52" s="18"/>
      <c r="W52" s="18"/>
      <c r="X52" s="2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2"/>
      <c r="AK52" s="7">
        <f t="shared" si="3"/>
        <v>0</v>
      </c>
      <c r="AL52" s="8">
        <v>0</v>
      </c>
      <c r="AM52" s="8">
        <v>0</v>
      </c>
      <c r="AN52" s="8" t="s">
        <v>152</v>
      </c>
      <c r="AO52" s="8">
        <v>0</v>
      </c>
      <c r="AP52"/>
    </row>
    <row r="53" spans="1:42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/>
      <c r="O53" s="8">
        <f t="shared" si="0"/>
        <v>0</v>
      </c>
      <c r="P53" s="2"/>
      <c r="Q53" s="2"/>
      <c r="R53" s="18"/>
      <c r="S53" s="2"/>
      <c r="T53" s="18"/>
      <c r="U53" s="18"/>
      <c r="V53" s="18"/>
      <c r="W53" s="18"/>
      <c r="X53" s="2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2"/>
      <c r="AK53" s="7">
        <f t="shared" si="3"/>
        <v>0</v>
      </c>
      <c r="AL53" s="8">
        <v>0</v>
      </c>
      <c r="AM53" s="8">
        <v>0</v>
      </c>
      <c r="AN53" s="8" t="s">
        <v>152</v>
      </c>
      <c r="AO53" s="8">
        <v>0</v>
      </c>
      <c r="AP53"/>
    </row>
    <row r="54" spans="1:42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/>
      <c r="O54" s="8">
        <f t="shared" si="0"/>
        <v>0</v>
      </c>
      <c r="P54" s="2"/>
      <c r="Q54" s="2"/>
      <c r="R54" s="18"/>
      <c r="S54" s="2"/>
      <c r="T54" s="18"/>
      <c r="U54" s="18"/>
      <c r="V54" s="18"/>
      <c r="W54" s="18"/>
      <c r="X54" s="2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2"/>
      <c r="AK54" s="7">
        <f t="shared" si="3"/>
        <v>0</v>
      </c>
      <c r="AL54" s="8">
        <v>0</v>
      </c>
      <c r="AM54" s="8">
        <v>0</v>
      </c>
      <c r="AN54" s="8" t="s">
        <v>152</v>
      </c>
      <c r="AO54" s="8">
        <v>0</v>
      </c>
      <c r="AP54"/>
    </row>
    <row r="55" spans="1:42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/>
      <c r="O55" s="8">
        <f t="shared" si="0"/>
        <v>0</v>
      </c>
      <c r="P55" s="2"/>
      <c r="Q55" s="2"/>
      <c r="R55" s="18"/>
      <c r="S55" s="2"/>
      <c r="T55" s="18"/>
      <c r="U55" s="18"/>
      <c r="V55" s="18"/>
      <c r="W55" s="18"/>
      <c r="X55" s="2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2"/>
      <c r="AK55" s="7">
        <f t="shared" si="3"/>
        <v>0</v>
      </c>
      <c r="AL55" s="8">
        <v>0</v>
      </c>
      <c r="AM55" s="8">
        <v>0</v>
      </c>
      <c r="AN55" s="8" t="s">
        <v>152</v>
      </c>
      <c r="AO55" s="8">
        <v>0</v>
      </c>
      <c r="AP55"/>
    </row>
    <row r="56" spans="1:42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/>
      <c r="O56" s="8">
        <f t="shared" si="0"/>
        <v>0</v>
      </c>
      <c r="P56" s="2"/>
      <c r="Q56" s="2"/>
      <c r="R56" s="18"/>
      <c r="S56" s="2"/>
      <c r="T56" s="18"/>
      <c r="U56" s="18"/>
      <c r="V56" s="18"/>
      <c r="W56" s="18"/>
      <c r="X56" s="2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2"/>
      <c r="AK56" s="7">
        <f t="shared" si="3"/>
        <v>0</v>
      </c>
      <c r="AL56" s="8">
        <v>0</v>
      </c>
      <c r="AM56" s="8">
        <v>0</v>
      </c>
      <c r="AN56" s="8" t="s">
        <v>152</v>
      </c>
      <c r="AO56" s="8">
        <v>0</v>
      </c>
      <c r="AP56"/>
    </row>
    <row r="57" spans="1:42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/>
      <c r="O57" s="8">
        <f t="shared" si="0"/>
        <v>0</v>
      </c>
      <c r="P57" s="2"/>
      <c r="Q57" s="2"/>
      <c r="R57" s="18"/>
      <c r="S57" s="2"/>
      <c r="T57" s="18"/>
      <c r="U57" s="18"/>
      <c r="V57" s="18"/>
      <c r="W57" s="18"/>
      <c r="X57" s="2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2"/>
      <c r="AK57" s="7">
        <f t="shared" si="3"/>
        <v>0</v>
      </c>
      <c r="AL57" s="8" t="s">
        <v>150</v>
      </c>
      <c r="AM57" s="8">
        <v>1000</v>
      </c>
      <c r="AN57" s="8" t="s">
        <v>152</v>
      </c>
      <c r="AO57" s="8">
        <f t="shared" si="2"/>
        <v>0</v>
      </c>
      <c r="AP57"/>
    </row>
    <row r="58" spans="1:42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/>
      <c r="O58" s="8">
        <f t="shared" si="0"/>
        <v>0</v>
      </c>
      <c r="P58" s="2"/>
      <c r="Q58" s="2"/>
      <c r="R58" s="18"/>
      <c r="S58" s="2"/>
      <c r="T58" s="18"/>
      <c r="U58" s="18"/>
      <c r="V58" s="18"/>
      <c r="W58" s="18"/>
      <c r="X58" s="2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2"/>
      <c r="AK58" s="7">
        <f t="shared" si="3"/>
        <v>0</v>
      </c>
      <c r="AL58" s="8" t="s">
        <v>151</v>
      </c>
      <c r="AM58" s="8">
        <v>200</v>
      </c>
      <c r="AN58" s="8" t="s">
        <v>152</v>
      </c>
      <c r="AO58" s="8">
        <f t="shared" si="2"/>
        <v>0</v>
      </c>
      <c r="AP58"/>
    </row>
    <row r="59" spans="1:42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/>
      <c r="O59" s="8">
        <f t="shared" si="0"/>
        <v>0</v>
      </c>
      <c r="P59" s="2"/>
      <c r="Q59" s="2"/>
      <c r="R59" s="18"/>
      <c r="S59" s="2"/>
      <c r="T59" s="18"/>
      <c r="U59" s="18"/>
      <c r="V59" s="18"/>
      <c r="W59" s="18"/>
      <c r="X59" s="2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2"/>
      <c r="AK59" s="7">
        <f t="shared" si="3"/>
        <v>0</v>
      </c>
      <c r="AL59" s="8" t="s">
        <v>150</v>
      </c>
      <c r="AM59" s="8">
        <v>1000</v>
      </c>
      <c r="AN59" s="8" t="s">
        <v>152</v>
      </c>
      <c r="AO59" s="8">
        <f t="shared" si="2"/>
        <v>0</v>
      </c>
      <c r="AP59"/>
    </row>
    <row r="60" spans="1:42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/>
      <c r="O60" s="8">
        <f t="shared" si="0"/>
        <v>0</v>
      </c>
      <c r="P60" s="2"/>
      <c r="Q60" s="2"/>
      <c r="R60" s="18"/>
      <c r="S60" s="2"/>
      <c r="T60" s="18"/>
      <c r="U60" s="18"/>
      <c r="V60" s="18"/>
      <c r="W60" s="18"/>
      <c r="X60" s="2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2"/>
      <c r="AK60" s="7">
        <f t="shared" si="3"/>
        <v>0</v>
      </c>
      <c r="AL60" s="8" t="s">
        <v>151</v>
      </c>
      <c r="AM60" s="8">
        <v>500</v>
      </c>
      <c r="AN60" s="8" t="s">
        <v>152</v>
      </c>
      <c r="AO60" s="8">
        <f t="shared" si="2"/>
        <v>0</v>
      </c>
      <c r="AP60"/>
    </row>
    <row r="61" spans="1:42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2">
        <v>0</v>
      </c>
      <c r="J61" s="2">
        <v>1000</v>
      </c>
      <c r="K61" s="2">
        <v>0</v>
      </c>
      <c r="L61" s="2">
        <v>0</v>
      </c>
      <c r="M61" s="2">
        <v>0</v>
      </c>
      <c r="N61" s="2"/>
      <c r="O61" s="8">
        <f t="shared" si="0"/>
        <v>99</v>
      </c>
      <c r="P61" s="2"/>
      <c r="Q61" s="2"/>
      <c r="R61" s="18"/>
      <c r="S61" s="2"/>
      <c r="T61" s="2">
        <v>901</v>
      </c>
      <c r="U61" s="18"/>
      <c r="V61" s="18"/>
      <c r="W61" s="18"/>
      <c r="X61" s="2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2"/>
      <c r="AK61" s="7">
        <f t="shared" si="3"/>
        <v>0</v>
      </c>
      <c r="AL61" s="8" t="s">
        <v>150</v>
      </c>
      <c r="AM61" s="8">
        <v>1000</v>
      </c>
      <c r="AN61" s="8" t="s">
        <v>152</v>
      </c>
      <c r="AO61" s="8">
        <f t="shared" si="2"/>
        <v>1</v>
      </c>
      <c r="AP61"/>
    </row>
    <row r="62" spans="1:42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2">
        <v>0</v>
      </c>
      <c r="J62" s="2">
        <v>600</v>
      </c>
      <c r="K62" s="2">
        <v>0</v>
      </c>
      <c r="L62" s="2">
        <v>0</v>
      </c>
      <c r="M62" s="2">
        <v>0</v>
      </c>
      <c r="N62" s="2"/>
      <c r="O62" s="8">
        <f t="shared" si="0"/>
        <v>600</v>
      </c>
      <c r="P62" s="2"/>
      <c r="Q62" s="2"/>
      <c r="R62" s="18"/>
      <c r="S62" s="2"/>
      <c r="T62" s="2"/>
      <c r="U62" s="18"/>
      <c r="V62" s="18"/>
      <c r="W62" s="18"/>
      <c r="X62" s="2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2"/>
      <c r="AK62" s="7">
        <f t="shared" si="3"/>
        <v>0</v>
      </c>
      <c r="AL62" s="8" t="s">
        <v>151</v>
      </c>
      <c r="AM62" s="8">
        <v>200</v>
      </c>
      <c r="AN62" s="8" t="s">
        <v>152</v>
      </c>
      <c r="AO62" s="8">
        <f t="shared" si="2"/>
        <v>3</v>
      </c>
      <c r="AP62"/>
    </row>
    <row r="63" spans="1:42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2">
        <v>0</v>
      </c>
      <c r="J63" s="2">
        <v>500</v>
      </c>
      <c r="K63" s="2">
        <v>0</v>
      </c>
      <c r="L63" s="2">
        <v>0</v>
      </c>
      <c r="M63" s="2">
        <v>0</v>
      </c>
      <c r="N63" s="2"/>
      <c r="O63" s="8">
        <f t="shared" si="0"/>
        <v>500</v>
      </c>
      <c r="P63" s="2"/>
      <c r="Q63" s="2"/>
      <c r="R63" s="18"/>
      <c r="S63" s="2"/>
      <c r="T63" s="2"/>
      <c r="U63" s="18"/>
      <c r="V63" s="18"/>
      <c r="W63" s="18"/>
      <c r="X63" s="2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2"/>
      <c r="AK63" s="7">
        <f t="shared" si="3"/>
        <v>0</v>
      </c>
      <c r="AL63" s="8" t="s">
        <v>151</v>
      </c>
      <c r="AM63" s="8">
        <v>500</v>
      </c>
      <c r="AN63" s="8" t="s">
        <v>152</v>
      </c>
      <c r="AO63" s="8">
        <f t="shared" si="2"/>
        <v>1</v>
      </c>
      <c r="AP63"/>
    </row>
    <row r="64" spans="1:42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/>
      <c r="O64" s="8">
        <f t="shared" si="0"/>
        <v>0</v>
      </c>
      <c r="P64" s="2"/>
      <c r="Q64" s="2"/>
      <c r="R64" s="18"/>
      <c r="S64" s="2"/>
      <c r="T64" s="18"/>
      <c r="U64" s="18"/>
      <c r="V64" s="18"/>
      <c r="W64" s="18"/>
      <c r="X64" s="2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2"/>
      <c r="AK64" s="7">
        <f t="shared" si="3"/>
        <v>0</v>
      </c>
      <c r="AL64" s="8">
        <v>0</v>
      </c>
      <c r="AM64" s="8">
        <v>0</v>
      </c>
      <c r="AN64" s="8" t="s">
        <v>152</v>
      </c>
      <c r="AO64" s="8">
        <v>0</v>
      </c>
      <c r="AP64"/>
    </row>
    <row r="65" spans="1:42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2">
        <v>-2057</v>
      </c>
      <c r="J65" s="2">
        <v>0</v>
      </c>
      <c r="K65" s="2">
        <v>0</v>
      </c>
      <c r="L65" s="2">
        <v>0</v>
      </c>
      <c r="M65" s="2">
        <v>0</v>
      </c>
      <c r="N65" s="2"/>
      <c r="O65" s="8">
        <f t="shared" si="0"/>
        <v>-2057</v>
      </c>
      <c r="P65" s="2"/>
      <c r="Q65" s="2"/>
      <c r="R65" s="18"/>
      <c r="S65" s="2"/>
      <c r="T65" s="18"/>
      <c r="U65" s="18"/>
      <c r="V65" s="18"/>
      <c r="W65" s="18"/>
      <c r="X65" s="2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2"/>
      <c r="AK65" s="7">
        <f t="shared" si="3"/>
        <v>0</v>
      </c>
      <c r="AL65" s="8">
        <v>0</v>
      </c>
      <c r="AM65" s="8">
        <v>0</v>
      </c>
      <c r="AN65" s="8" t="s">
        <v>152</v>
      </c>
      <c r="AO65" s="8">
        <v>0</v>
      </c>
      <c r="AP65"/>
    </row>
    <row r="66" spans="1:42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/>
      <c r="O66" s="8">
        <f t="shared" si="0"/>
        <v>0</v>
      </c>
      <c r="P66" s="2"/>
      <c r="Q66" s="2"/>
      <c r="R66" s="18"/>
      <c r="S66" s="2"/>
      <c r="T66" s="18"/>
      <c r="U66" s="18"/>
      <c r="V66" s="18"/>
      <c r="W66" s="18"/>
      <c r="X66" s="2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2"/>
      <c r="AK66" s="7">
        <f t="shared" si="3"/>
        <v>0</v>
      </c>
      <c r="AL66" s="8">
        <v>0</v>
      </c>
      <c r="AM66" s="8">
        <v>0</v>
      </c>
      <c r="AN66" s="8" t="s">
        <v>152</v>
      </c>
      <c r="AO66" s="8">
        <v>0</v>
      </c>
      <c r="AP66"/>
    </row>
    <row r="67" spans="1:42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/>
      <c r="O67" s="8">
        <f t="shared" si="0"/>
        <v>0</v>
      </c>
      <c r="P67" s="2"/>
      <c r="Q67" s="2"/>
      <c r="R67" s="18"/>
      <c r="S67" s="2"/>
      <c r="T67" s="18"/>
      <c r="U67" s="18"/>
      <c r="V67" s="18"/>
      <c r="W67" s="18"/>
      <c r="X67" s="2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2"/>
      <c r="AK67" s="7">
        <f t="shared" si="3"/>
        <v>0</v>
      </c>
      <c r="AL67" s="8" t="s">
        <v>151</v>
      </c>
      <c r="AM67" s="8">
        <v>200</v>
      </c>
      <c r="AN67" s="8" t="s">
        <v>152</v>
      </c>
      <c r="AO67" s="8">
        <f t="shared" si="2"/>
        <v>0</v>
      </c>
      <c r="AP67"/>
    </row>
    <row r="68" spans="1:42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/>
      <c r="O68" s="8">
        <f t="shared" si="0"/>
        <v>0</v>
      </c>
      <c r="P68" s="2"/>
      <c r="Q68" s="2"/>
      <c r="R68" s="18"/>
      <c r="S68" s="2"/>
      <c r="T68" s="18"/>
      <c r="U68" s="18"/>
      <c r="V68" s="18"/>
      <c r="W68" s="18"/>
      <c r="X68" s="2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2"/>
      <c r="AK68" s="7">
        <f t="shared" si="3"/>
        <v>0</v>
      </c>
      <c r="AL68" s="8">
        <v>0</v>
      </c>
      <c r="AM68" s="8">
        <v>0</v>
      </c>
      <c r="AN68" s="8" t="s">
        <v>152</v>
      </c>
      <c r="AO68" s="8">
        <v>0</v>
      </c>
      <c r="AP68"/>
    </row>
    <row r="69" spans="1:42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2">
        <v>-1243</v>
      </c>
      <c r="J69" s="2">
        <v>0</v>
      </c>
      <c r="K69" s="2">
        <v>0</v>
      </c>
      <c r="L69" s="2">
        <v>0</v>
      </c>
      <c r="M69" s="2">
        <v>0</v>
      </c>
      <c r="N69" s="2"/>
      <c r="O69" s="8">
        <f t="shared" si="0"/>
        <v>-1243</v>
      </c>
      <c r="P69" s="2"/>
      <c r="Q69" s="2"/>
      <c r="R69" s="18"/>
      <c r="S69" s="2"/>
      <c r="T69" s="18"/>
      <c r="U69" s="18"/>
      <c r="V69" s="18"/>
      <c r="W69" s="18"/>
      <c r="X69" s="2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2"/>
      <c r="AK69" s="7">
        <f t="shared" si="3"/>
        <v>0</v>
      </c>
      <c r="AL69" s="8">
        <v>0</v>
      </c>
      <c r="AM69" s="8">
        <v>0</v>
      </c>
      <c r="AN69" s="8" t="s">
        <v>152</v>
      </c>
      <c r="AO69" s="8">
        <v>0</v>
      </c>
      <c r="AP69"/>
    </row>
    <row r="70" spans="1:42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/>
      <c r="O70" s="8">
        <f t="shared" si="0"/>
        <v>0</v>
      </c>
      <c r="P70" s="2"/>
      <c r="Q70" s="2"/>
      <c r="R70" s="18"/>
      <c r="S70" s="2"/>
      <c r="T70" s="18"/>
      <c r="U70" s="18"/>
      <c r="V70" s="18"/>
      <c r="W70" s="18"/>
      <c r="X70" s="2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2"/>
      <c r="AK70" s="7">
        <f t="shared" si="3"/>
        <v>0</v>
      </c>
      <c r="AL70" s="8" t="s">
        <v>151</v>
      </c>
      <c r="AM70" s="8">
        <v>200</v>
      </c>
      <c r="AN70" s="8" t="s">
        <v>152</v>
      </c>
      <c r="AO70" s="8">
        <f t="shared" si="2"/>
        <v>0</v>
      </c>
      <c r="AP70"/>
    </row>
    <row r="71" spans="1:42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/>
      <c r="O71" s="8">
        <f t="shared" si="0"/>
        <v>0</v>
      </c>
      <c r="P71" s="2"/>
      <c r="Q71" s="2"/>
      <c r="R71" s="18"/>
      <c r="S71" s="2"/>
      <c r="T71" s="18"/>
      <c r="U71" s="18"/>
      <c r="V71" s="18"/>
      <c r="W71" s="18"/>
      <c r="X71" s="2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2"/>
      <c r="AK71" s="7">
        <f t="shared" si="3"/>
        <v>0</v>
      </c>
      <c r="AL71" s="8" t="s">
        <v>151</v>
      </c>
      <c r="AM71" s="8">
        <v>500</v>
      </c>
      <c r="AN71" s="8" t="s">
        <v>152</v>
      </c>
      <c r="AO71" s="8">
        <f t="shared" ref="AO71:AO134" si="4">+SUM(I71:N71)/AM71</f>
        <v>0</v>
      </c>
      <c r="AP71"/>
    </row>
    <row r="72" spans="1:42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/>
      <c r="O72" s="8">
        <f t="shared" si="0"/>
        <v>0</v>
      </c>
      <c r="P72" s="2"/>
      <c r="Q72" s="2"/>
      <c r="R72" s="18"/>
      <c r="S72" s="2"/>
      <c r="T72" s="18"/>
      <c r="U72" s="18"/>
      <c r="V72" s="18"/>
      <c r="W72" s="18"/>
      <c r="X72" s="2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2"/>
      <c r="AK72" s="7">
        <f t="shared" si="3"/>
        <v>0</v>
      </c>
      <c r="AL72" s="8" t="s">
        <v>151</v>
      </c>
      <c r="AM72" s="8">
        <v>200</v>
      </c>
      <c r="AN72" s="8" t="s">
        <v>152</v>
      </c>
      <c r="AO72" s="8">
        <f t="shared" si="4"/>
        <v>0</v>
      </c>
      <c r="AP72"/>
    </row>
    <row r="73" spans="1:42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/>
      <c r="O73" s="8">
        <f t="shared" si="0"/>
        <v>0</v>
      </c>
      <c r="P73" s="2"/>
      <c r="Q73" s="2"/>
      <c r="R73" s="18"/>
      <c r="S73" s="2"/>
      <c r="T73" s="18"/>
      <c r="U73" s="18"/>
      <c r="V73" s="18"/>
      <c r="W73" s="18"/>
      <c r="X73" s="2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2"/>
      <c r="AK73" s="7">
        <f t="shared" si="3"/>
        <v>0</v>
      </c>
      <c r="AL73" s="8">
        <v>0</v>
      </c>
      <c r="AM73" s="8">
        <v>0</v>
      </c>
      <c r="AN73" s="8" t="s">
        <v>152</v>
      </c>
      <c r="AO73" s="8">
        <v>0</v>
      </c>
      <c r="AP73"/>
    </row>
    <row r="74" spans="1:42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/>
      <c r="O74" s="8">
        <f t="shared" si="0"/>
        <v>0</v>
      </c>
      <c r="P74" s="2"/>
      <c r="Q74" s="2"/>
      <c r="R74" s="18"/>
      <c r="S74" s="2"/>
      <c r="T74" s="18"/>
      <c r="U74" s="18"/>
      <c r="V74" s="18"/>
      <c r="W74" s="18"/>
      <c r="X74" s="2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2"/>
      <c r="AK74" s="7">
        <f t="shared" si="3"/>
        <v>0</v>
      </c>
      <c r="AL74" s="8">
        <v>0</v>
      </c>
      <c r="AM74" s="8">
        <v>0</v>
      </c>
      <c r="AN74" s="8" t="s">
        <v>152</v>
      </c>
      <c r="AO74" s="8">
        <v>0</v>
      </c>
      <c r="AP74"/>
    </row>
    <row r="75" spans="1:42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/>
      <c r="O75" s="8">
        <f t="shared" si="0"/>
        <v>0</v>
      </c>
      <c r="P75" s="2"/>
      <c r="Q75" s="2"/>
      <c r="R75" s="18"/>
      <c r="S75" s="2"/>
      <c r="T75" s="18"/>
      <c r="U75" s="18"/>
      <c r="V75" s="18"/>
      <c r="W75" s="18"/>
      <c r="X75" s="2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2"/>
      <c r="AK75" s="7">
        <f t="shared" si="3"/>
        <v>0</v>
      </c>
      <c r="AL75" s="8">
        <v>0</v>
      </c>
      <c r="AM75" s="8">
        <v>0</v>
      </c>
      <c r="AN75" s="8" t="s">
        <v>152</v>
      </c>
      <c r="AO75" s="8">
        <v>0</v>
      </c>
      <c r="AP75"/>
    </row>
    <row r="76" spans="1:42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/>
      <c r="O76" s="8">
        <f t="shared" si="0"/>
        <v>0</v>
      </c>
      <c r="P76" s="2"/>
      <c r="Q76" s="2"/>
      <c r="R76" s="18"/>
      <c r="S76" s="2"/>
      <c r="T76" s="18"/>
      <c r="U76" s="18"/>
      <c r="V76" s="18"/>
      <c r="W76" s="18"/>
      <c r="X76" s="2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2"/>
      <c r="AK76" s="7">
        <f t="shared" si="3"/>
        <v>0</v>
      </c>
      <c r="AL76" s="8">
        <v>0</v>
      </c>
      <c r="AM76" s="8">
        <v>0</v>
      </c>
      <c r="AN76" s="8" t="s">
        <v>152</v>
      </c>
      <c r="AO76" s="8">
        <v>0</v>
      </c>
      <c r="AP76"/>
    </row>
    <row r="77" spans="1:42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/>
      <c r="O77" s="8">
        <f t="shared" si="0"/>
        <v>0</v>
      </c>
      <c r="P77" s="2"/>
      <c r="Q77" s="2"/>
      <c r="R77" s="18"/>
      <c r="S77" s="2"/>
      <c r="T77" s="18"/>
      <c r="U77" s="18"/>
      <c r="V77" s="18"/>
      <c r="W77" s="18"/>
      <c r="X77" s="2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2"/>
      <c r="AK77" s="7">
        <f t="shared" si="3"/>
        <v>0</v>
      </c>
      <c r="AL77" s="8">
        <v>0</v>
      </c>
      <c r="AM77" s="8">
        <v>0</v>
      </c>
      <c r="AN77" s="8" t="s">
        <v>152</v>
      </c>
      <c r="AO77" s="8">
        <v>0</v>
      </c>
      <c r="AP77"/>
    </row>
    <row r="78" spans="1:42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/>
      <c r="O78" s="8">
        <f t="shared" si="0"/>
        <v>0</v>
      </c>
      <c r="P78" s="2"/>
      <c r="Q78" s="2"/>
      <c r="R78" s="18"/>
      <c r="S78" s="2"/>
      <c r="T78" s="18"/>
      <c r="U78" s="18"/>
      <c r="V78" s="18"/>
      <c r="W78" s="18"/>
      <c r="X78" s="2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2"/>
      <c r="AK78" s="7">
        <f t="shared" si="3"/>
        <v>0</v>
      </c>
      <c r="AL78" s="8">
        <v>0</v>
      </c>
      <c r="AM78" s="8">
        <v>0</v>
      </c>
      <c r="AN78" s="8" t="s">
        <v>152</v>
      </c>
      <c r="AO78" s="8">
        <v>0</v>
      </c>
      <c r="AP78"/>
    </row>
    <row r="79" spans="1:42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/>
      <c r="O79" s="8">
        <f t="shared" si="0"/>
        <v>0</v>
      </c>
      <c r="P79" s="2"/>
      <c r="Q79" s="2"/>
      <c r="R79" s="18"/>
      <c r="S79" s="2"/>
      <c r="T79" s="18"/>
      <c r="U79" s="18"/>
      <c r="V79" s="18"/>
      <c r="W79" s="18"/>
      <c r="X79" s="2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2"/>
      <c r="AK79" s="7">
        <f t="shared" si="3"/>
        <v>0</v>
      </c>
      <c r="AL79" s="8">
        <v>0</v>
      </c>
      <c r="AM79" s="8">
        <v>0</v>
      </c>
      <c r="AN79" s="8" t="s">
        <v>152</v>
      </c>
      <c r="AO79" s="8">
        <v>0</v>
      </c>
      <c r="AP79"/>
    </row>
    <row r="80" spans="1:42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/>
      <c r="O80" s="8">
        <f t="shared" si="0"/>
        <v>0</v>
      </c>
      <c r="P80" s="2"/>
      <c r="Q80" s="2"/>
      <c r="R80" s="18"/>
      <c r="S80" s="2"/>
      <c r="T80" s="18"/>
      <c r="U80" s="18"/>
      <c r="V80" s="18"/>
      <c r="W80" s="18"/>
      <c r="X80" s="2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2"/>
      <c r="AK80" s="7">
        <f t="shared" si="3"/>
        <v>0</v>
      </c>
      <c r="AL80" s="8">
        <v>0</v>
      </c>
      <c r="AM80" s="8">
        <v>0</v>
      </c>
      <c r="AN80" s="8" t="s">
        <v>152</v>
      </c>
      <c r="AO80" s="8">
        <v>0</v>
      </c>
      <c r="AP80"/>
    </row>
    <row r="81" spans="1:42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/>
      <c r="O81" s="8">
        <f t="shared" si="0"/>
        <v>0</v>
      </c>
      <c r="P81" s="2"/>
      <c r="Q81" s="2"/>
      <c r="R81" s="18"/>
      <c r="S81" s="2"/>
      <c r="T81" s="18"/>
      <c r="U81" s="18"/>
      <c r="V81" s="18"/>
      <c r="W81" s="18"/>
      <c r="X81" s="2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2"/>
      <c r="AK81" s="7">
        <f t="shared" si="3"/>
        <v>0</v>
      </c>
      <c r="AL81" s="8">
        <v>0</v>
      </c>
      <c r="AM81" s="8">
        <v>0</v>
      </c>
      <c r="AN81" s="8" t="s">
        <v>152</v>
      </c>
      <c r="AO81" s="8">
        <v>0</v>
      </c>
      <c r="AP81"/>
    </row>
    <row r="82" spans="1:42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/>
      <c r="O82" s="8">
        <f t="shared" si="0"/>
        <v>0</v>
      </c>
      <c r="P82" s="2"/>
      <c r="Q82" s="2"/>
      <c r="R82" s="18"/>
      <c r="S82" s="2"/>
      <c r="T82" s="18"/>
      <c r="U82" s="18"/>
      <c r="V82" s="18"/>
      <c r="W82" s="18"/>
      <c r="X82" s="2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2"/>
      <c r="AK82" s="7">
        <f t="shared" si="3"/>
        <v>0</v>
      </c>
      <c r="AL82" s="8">
        <v>0</v>
      </c>
      <c r="AM82" s="8">
        <v>0</v>
      </c>
      <c r="AN82" s="8" t="s">
        <v>152</v>
      </c>
      <c r="AO82" s="8">
        <v>0</v>
      </c>
      <c r="AP82"/>
    </row>
    <row r="83" spans="1:42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/>
      <c r="O83" s="8">
        <f t="shared" si="0"/>
        <v>0</v>
      </c>
      <c r="P83" s="2"/>
      <c r="Q83" s="2"/>
      <c r="R83" s="18"/>
      <c r="S83" s="2"/>
      <c r="T83" s="18"/>
      <c r="U83" s="18"/>
      <c r="V83" s="18"/>
      <c r="W83" s="18"/>
      <c r="X83" s="2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2"/>
      <c r="AK83" s="7">
        <f t="shared" si="3"/>
        <v>0</v>
      </c>
      <c r="AL83" s="8">
        <v>0</v>
      </c>
      <c r="AM83" s="8">
        <v>0</v>
      </c>
      <c r="AN83" s="8" t="s">
        <v>152</v>
      </c>
      <c r="AO83" s="8">
        <v>0</v>
      </c>
      <c r="AP83"/>
    </row>
    <row r="84" spans="1:42" x14ac:dyDescent="0.25">
      <c r="A84" s="2">
        <v>79</v>
      </c>
      <c r="B84" s="2" t="s">
        <v>128</v>
      </c>
      <c r="C84" s="2" t="s">
        <v>129</v>
      </c>
      <c r="D84" s="2" t="s">
        <v>103</v>
      </c>
      <c r="E84" s="13">
        <v>0.25</v>
      </c>
      <c r="F84" s="2"/>
      <c r="G84" s="3"/>
      <c r="H84" s="3"/>
      <c r="I84" s="2">
        <v>-1000</v>
      </c>
      <c r="J84" s="2">
        <v>0</v>
      </c>
      <c r="K84" s="2">
        <v>1200</v>
      </c>
      <c r="L84" s="2">
        <v>0</v>
      </c>
      <c r="M84" s="2">
        <v>0</v>
      </c>
      <c r="N84" s="2"/>
      <c r="O84" s="8">
        <f t="shared" si="0"/>
        <v>200</v>
      </c>
      <c r="P84" s="2"/>
      <c r="Q84" s="2"/>
      <c r="R84" s="18"/>
      <c r="S84" s="2"/>
      <c r="T84" s="2"/>
      <c r="U84" s="18"/>
      <c r="V84" s="18"/>
      <c r="W84" s="18"/>
      <c r="X84" s="2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2"/>
      <c r="AK84" s="7">
        <f t="shared" si="3"/>
        <v>0</v>
      </c>
      <c r="AL84" s="8" t="s">
        <v>146</v>
      </c>
      <c r="AM84" s="8">
        <v>200</v>
      </c>
      <c r="AN84" s="8" t="s">
        <v>153</v>
      </c>
      <c r="AO84" s="8">
        <f t="shared" si="4"/>
        <v>1</v>
      </c>
      <c r="AP84"/>
    </row>
    <row r="85" spans="1:42" x14ac:dyDescent="0.25">
      <c r="A85" s="2">
        <v>80</v>
      </c>
      <c r="B85" s="2" t="s">
        <v>128</v>
      </c>
      <c r="C85" s="2" t="s">
        <v>129</v>
      </c>
      <c r="D85" s="2" t="s">
        <v>104</v>
      </c>
      <c r="E85" s="13">
        <v>0.25</v>
      </c>
      <c r="F85" s="2"/>
      <c r="G85" s="3"/>
      <c r="H85" s="3"/>
      <c r="I85" s="2">
        <v>-3000</v>
      </c>
      <c r="J85" s="2">
        <v>0</v>
      </c>
      <c r="K85" s="2">
        <v>2200</v>
      </c>
      <c r="L85" s="2">
        <v>0</v>
      </c>
      <c r="M85" s="2">
        <v>0</v>
      </c>
      <c r="N85" s="2"/>
      <c r="O85" s="8">
        <f t="shared" si="0"/>
        <v>-800</v>
      </c>
      <c r="P85" s="2"/>
      <c r="Q85" s="2"/>
      <c r="R85" s="18"/>
      <c r="S85" s="2"/>
      <c r="T85" s="18"/>
      <c r="U85" s="18"/>
      <c r="V85" s="18"/>
      <c r="W85" s="18"/>
      <c r="X85" s="2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2"/>
      <c r="AK85" s="7">
        <f t="shared" si="3"/>
        <v>0</v>
      </c>
      <c r="AL85" s="8" t="s">
        <v>146</v>
      </c>
      <c r="AM85" s="8">
        <v>200</v>
      </c>
      <c r="AN85" s="8" t="s">
        <v>153</v>
      </c>
      <c r="AO85" s="8">
        <f t="shared" si="4"/>
        <v>-4</v>
      </c>
      <c r="AP85"/>
    </row>
    <row r="86" spans="1:42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2">
        <v>-1000</v>
      </c>
      <c r="J86" s="2">
        <v>0</v>
      </c>
      <c r="K86" s="2">
        <v>1200</v>
      </c>
      <c r="L86" s="2">
        <v>0</v>
      </c>
      <c r="M86" s="2">
        <v>0</v>
      </c>
      <c r="N86" s="2"/>
      <c r="O86" s="8">
        <f t="shared" si="0"/>
        <v>200</v>
      </c>
      <c r="P86" s="2"/>
      <c r="Q86" s="2"/>
      <c r="R86" s="18"/>
      <c r="S86" s="2"/>
      <c r="T86" s="2"/>
      <c r="U86" s="18"/>
      <c r="V86" s="18"/>
      <c r="W86" s="18"/>
      <c r="X86" s="2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2"/>
      <c r="AK86" s="7">
        <f t="shared" si="3"/>
        <v>0</v>
      </c>
      <c r="AL86" s="8" t="s">
        <v>146</v>
      </c>
      <c r="AM86" s="8">
        <v>200</v>
      </c>
      <c r="AN86" s="8" t="s">
        <v>153</v>
      </c>
      <c r="AO86" s="8">
        <f t="shared" si="4"/>
        <v>1</v>
      </c>
      <c r="AP86"/>
    </row>
    <row r="87" spans="1:42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/>
      <c r="O87" s="8">
        <f t="shared" si="0"/>
        <v>0</v>
      </c>
      <c r="P87" s="2"/>
      <c r="Q87" s="2"/>
      <c r="R87" s="18"/>
      <c r="S87" s="2"/>
      <c r="T87" s="18"/>
      <c r="U87" s="18"/>
      <c r="V87" s="18"/>
      <c r="W87" s="18"/>
      <c r="X87" s="2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2"/>
      <c r="AK87" s="7">
        <f t="shared" ref="AK87:AK97" si="5">+G87*SUM(I87:N87)</f>
        <v>0</v>
      </c>
      <c r="AL87" s="8">
        <v>0</v>
      </c>
      <c r="AM87" s="8">
        <v>0</v>
      </c>
      <c r="AN87" s="8" t="s">
        <v>153</v>
      </c>
      <c r="AO87" s="8">
        <v>0</v>
      </c>
      <c r="AP87"/>
    </row>
    <row r="88" spans="1:42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/>
      <c r="O88" s="8">
        <f t="shared" si="0"/>
        <v>0</v>
      </c>
      <c r="P88" s="2"/>
      <c r="Q88" s="2"/>
      <c r="R88" s="18"/>
      <c r="S88" s="2"/>
      <c r="T88" s="18"/>
      <c r="U88" s="18"/>
      <c r="V88" s="18"/>
      <c r="W88" s="18"/>
      <c r="X88" s="2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2"/>
      <c r="AK88" s="7">
        <f t="shared" si="5"/>
        <v>0</v>
      </c>
      <c r="AL88" s="8">
        <v>0</v>
      </c>
      <c r="AM88" s="8">
        <v>0</v>
      </c>
      <c r="AN88" s="8" t="s">
        <v>153</v>
      </c>
      <c r="AO88" s="8">
        <v>0</v>
      </c>
      <c r="AP88"/>
    </row>
    <row r="89" spans="1:42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/>
      <c r="O89" s="8">
        <f t="shared" si="0"/>
        <v>0</v>
      </c>
      <c r="P89" s="2"/>
      <c r="Q89" s="2"/>
      <c r="R89" s="18"/>
      <c r="S89" s="2"/>
      <c r="T89" s="18"/>
      <c r="U89" s="18"/>
      <c r="V89" s="18"/>
      <c r="W89" s="18"/>
      <c r="X89" s="2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2"/>
      <c r="AK89" s="7">
        <f t="shared" si="5"/>
        <v>0</v>
      </c>
      <c r="AL89" s="8">
        <v>0</v>
      </c>
      <c r="AM89" s="8">
        <v>0</v>
      </c>
      <c r="AN89" s="8" t="s">
        <v>153</v>
      </c>
      <c r="AO89" s="8">
        <v>0</v>
      </c>
      <c r="AP89"/>
    </row>
    <row r="90" spans="1:42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/>
      <c r="O90" s="8">
        <f t="shared" si="0"/>
        <v>0</v>
      </c>
      <c r="P90" s="2"/>
      <c r="Q90" s="2"/>
      <c r="R90" s="18"/>
      <c r="S90" s="2"/>
      <c r="T90" s="18"/>
      <c r="U90" s="18"/>
      <c r="V90" s="18"/>
      <c r="W90" s="18"/>
      <c r="X90" s="2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2"/>
      <c r="AK90" s="7">
        <f t="shared" si="5"/>
        <v>0</v>
      </c>
      <c r="AL90" s="8">
        <v>0</v>
      </c>
      <c r="AM90" s="8">
        <v>0</v>
      </c>
      <c r="AN90" s="8" t="s">
        <v>153</v>
      </c>
      <c r="AO90" s="8">
        <v>0</v>
      </c>
      <c r="AP90"/>
    </row>
    <row r="91" spans="1:42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2">
        <v>-400</v>
      </c>
      <c r="J91" s="2">
        <v>0</v>
      </c>
      <c r="K91" s="2">
        <v>0</v>
      </c>
      <c r="L91" s="2">
        <v>0</v>
      </c>
      <c r="M91" s="2">
        <v>2200</v>
      </c>
      <c r="N91" s="2"/>
      <c r="O91" s="8">
        <f t="shared" si="0"/>
        <v>-300</v>
      </c>
      <c r="P91" s="2"/>
      <c r="Q91" s="2"/>
      <c r="R91" s="18"/>
      <c r="S91" s="2"/>
      <c r="T91" s="18"/>
      <c r="U91" s="18"/>
      <c r="V91" s="18"/>
      <c r="W91" s="18"/>
      <c r="X91" s="2">
        <v>800</v>
      </c>
      <c r="Y91" s="18">
        <v>1300</v>
      </c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2"/>
      <c r="AK91" s="7">
        <f t="shared" si="5"/>
        <v>0</v>
      </c>
      <c r="AL91" s="8" t="s">
        <v>147</v>
      </c>
      <c r="AM91" s="8">
        <v>100</v>
      </c>
      <c r="AN91" s="8" t="s">
        <v>153</v>
      </c>
      <c r="AO91" s="8">
        <f t="shared" si="4"/>
        <v>18</v>
      </c>
      <c r="AP91"/>
    </row>
    <row r="92" spans="1:42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/>
      <c r="O92" s="8">
        <f t="shared" si="0"/>
        <v>0</v>
      </c>
      <c r="P92" s="2"/>
      <c r="Q92" s="2"/>
      <c r="R92" s="18"/>
      <c r="S92" s="2"/>
      <c r="T92" s="18"/>
      <c r="U92" s="18"/>
      <c r="V92" s="18"/>
      <c r="W92" s="18"/>
      <c r="X92" s="2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2"/>
      <c r="AK92" s="7">
        <f t="shared" si="5"/>
        <v>0</v>
      </c>
      <c r="AL92" s="8" t="s">
        <v>147</v>
      </c>
      <c r="AM92" s="8">
        <v>200</v>
      </c>
      <c r="AN92" s="8" t="s">
        <v>153</v>
      </c>
      <c r="AO92" s="8">
        <f t="shared" si="4"/>
        <v>0</v>
      </c>
      <c r="AP92"/>
    </row>
    <row r="93" spans="1:42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2">
        <v>1200</v>
      </c>
      <c r="J93" s="2">
        <v>0</v>
      </c>
      <c r="K93" s="2">
        <v>0</v>
      </c>
      <c r="L93" s="2">
        <v>0</v>
      </c>
      <c r="M93" s="2">
        <v>1200</v>
      </c>
      <c r="N93" s="2"/>
      <c r="O93" s="8">
        <f t="shared" si="0"/>
        <v>2100</v>
      </c>
      <c r="P93" s="2">
        <v>300</v>
      </c>
      <c r="Q93" s="2"/>
      <c r="R93" s="18"/>
      <c r="S93" s="2"/>
      <c r="T93" s="2"/>
      <c r="U93" s="18"/>
      <c r="V93" s="18"/>
      <c r="W93" s="18"/>
      <c r="X93" s="2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2"/>
      <c r="AK93" s="7">
        <f t="shared" si="5"/>
        <v>0</v>
      </c>
      <c r="AL93" s="8" t="s">
        <v>147</v>
      </c>
      <c r="AM93" s="8">
        <v>200</v>
      </c>
      <c r="AN93" s="8" t="s">
        <v>153</v>
      </c>
      <c r="AO93" s="8">
        <f t="shared" si="4"/>
        <v>12</v>
      </c>
      <c r="AP93"/>
    </row>
    <row r="94" spans="1:42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2">
        <v>83</v>
      </c>
      <c r="J94" s="2">
        <v>0</v>
      </c>
      <c r="K94" s="2">
        <v>0</v>
      </c>
      <c r="L94" s="2">
        <v>0</v>
      </c>
      <c r="M94" s="2">
        <v>2200</v>
      </c>
      <c r="N94" s="2"/>
      <c r="O94" s="8">
        <f t="shared" si="0"/>
        <v>1366</v>
      </c>
      <c r="P94" s="2">
        <v>917</v>
      </c>
      <c r="Q94" s="2"/>
      <c r="R94" s="18"/>
      <c r="S94" s="2"/>
      <c r="T94" s="18"/>
      <c r="U94" s="18"/>
      <c r="V94" s="18"/>
      <c r="W94" s="18"/>
      <c r="X94" s="2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2"/>
      <c r="AK94" s="7">
        <f t="shared" si="5"/>
        <v>0</v>
      </c>
      <c r="AL94" s="8" t="s">
        <v>147</v>
      </c>
      <c r="AM94" s="8">
        <v>200</v>
      </c>
      <c r="AN94" s="8" t="s">
        <v>153</v>
      </c>
      <c r="AO94" s="8">
        <f t="shared" si="4"/>
        <v>11.414999999999999</v>
      </c>
      <c r="AP94"/>
    </row>
    <row r="95" spans="1:42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2">
        <v>600</v>
      </c>
      <c r="J95" s="2">
        <v>0</v>
      </c>
      <c r="K95" s="2">
        <v>0</v>
      </c>
      <c r="L95" s="2">
        <v>0</v>
      </c>
      <c r="M95" s="2">
        <v>600</v>
      </c>
      <c r="N95" s="2"/>
      <c r="O95" s="8">
        <f t="shared" si="0"/>
        <v>750</v>
      </c>
      <c r="P95" s="2"/>
      <c r="Q95" s="2"/>
      <c r="R95" s="18">
        <v>250</v>
      </c>
      <c r="S95" s="2"/>
      <c r="T95" s="2"/>
      <c r="U95" s="18">
        <v>200</v>
      </c>
      <c r="V95" s="18"/>
      <c r="W95" s="18"/>
      <c r="X95" s="2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2"/>
      <c r="AK95" s="7">
        <f t="shared" si="5"/>
        <v>0</v>
      </c>
      <c r="AL95" s="8" t="s">
        <v>147</v>
      </c>
      <c r="AM95" s="8">
        <v>200</v>
      </c>
      <c r="AN95" s="8" t="s">
        <v>153</v>
      </c>
      <c r="AO95" s="8">
        <f t="shared" si="4"/>
        <v>6</v>
      </c>
      <c r="AP95"/>
    </row>
    <row r="96" spans="1:42" x14ac:dyDescent="0.25">
      <c r="A96" s="2">
        <v>91</v>
      </c>
      <c r="B96" s="2" t="s">
        <v>128</v>
      </c>
      <c r="C96" s="2" t="s">
        <v>129</v>
      </c>
      <c r="D96" s="2" t="s">
        <v>115</v>
      </c>
      <c r="E96" s="13">
        <v>0.5</v>
      </c>
      <c r="F96" s="2"/>
      <c r="G96" s="3"/>
      <c r="H96" s="3"/>
      <c r="I96" s="2">
        <v>200</v>
      </c>
      <c r="J96" s="2">
        <v>0</v>
      </c>
      <c r="K96" s="2">
        <v>0</v>
      </c>
      <c r="L96" s="2">
        <v>0</v>
      </c>
      <c r="M96" s="2">
        <v>200</v>
      </c>
      <c r="N96" s="2"/>
      <c r="O96" s="8">
        <f t="shared" si="0"/>
        <v>200</v>
      </c>
      <c r="P96" s="2"/>
      <c r="Q96" s="2"/>
      <c r="R96" s="18"/>
      <c r="S96" s="2"/>
      <c r="T96" s="2"/>
      <c r="U96" s="18"/>
      <c r="V96" s="18">
        <v>200</v>
      </c>
      <c r="W96" s="18"/>
      <c r="X96" s="2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2"/>
      <c r="AK96" s="7">
        <f t="shared" si="5"/>
        <v>0</v>
      </c>
      <c r="AL96" s="8" t="s">
        <v>147</v>
      </c>
      <c r="AM96" s="8">
        <v>200</v>
      </c>
      <c r="AN96" s="8" t="s">
        <v>153</v>
      </c>
      <c r="AO96" s="8">
        <f t="shared" si="4"/>
        <v>2</v>
      </c>
      <c r="AP96"/>
    </row>
    <row r="97" spans="1:42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2">
        <v>1200</v>
      </c>
      <c r="J97" s="2">
        <v>0</v>
      </c>
      <c r="K97" s="2">
        <v>0</v>
      </c>
      <c r="L97" s="2">
        <v>0</v>
      </c>
      <c r="M97" s="2">
        <v>1200</v>
      </c>
      <c r="N97" s="2"/>
      <c r="O97" s="8">
        <f t="shared" si="0"/>
        <v>1500</v>
      </c>
      <c r="P97" s="2"/>
      <c r="Q97" s="2"/>
      <c r="R97" s="18">
        <v>300</v>
      </c>
      <c r="S97" s="2"/>
      <c r="T97" s="2">
        <v>600</v>
      </c>
      <c r="U97" s="18"/>
      <c r="V97" s="18"/>
      <c r="W97" s="18"/>
      <c r="X97" s="2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2"/>
      <c r="AK97" s="7">
        <f t="shared" si="5"/>
        <v>0</v>
      </c>
      <c r="AL97" s="8" t="s">
        <v>147</v>
      </c>
      <c r="AM97" s="8">
        <v>200</v>
      </c>
      <c r="AN97" s="8" t="s">
        <v>153</v>
      </c>
      <c r="AO97" s="8">
        <f t="shared" si="4"/>
        <v>12</v>
      </c>
      <c r="AP97"/>
    </row>
    <row r="98" spans="1:42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/>
      <c r="O98" s="8">
        <f t="shared" si="0"/>
        <v>0</v>
      </c>
      <c r="P98" s="2"/>
      <c r="Q98" s="2"/>
      <c r="R98" s="18"/>
      <c r="S98" s="2"/>
      <c r="T98" s="18"/>
      <c r="U98" s="18"/>
      <c r="V98" s="18"/>
      <c r="W98" s="18"/>
      <c r="X98" s="2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2"/>
      <c r="AK98" s="7">
        <f t="shared" si="1"/>
        <v>0</v>
      </c>
      <c r="AL98" s="8" t="s">
        <v>147</v>
      </c>
      <c r="AM98" s="8">
        <v>150</v>
      </c>
      <c r="AN98" s="8" t="s">
        <v>153</v>
      </c>
      <c r="AO98" s="8">
        <f t="shared" si="4"/>
        <v>0</v>
      </c>
    </row>
    <row r="99" spans="1:42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2">
        <v>0</v>
      </c>
      <c r="J99" s="2">
        <v>0</v>
      </c>
      <c r="K99" s="2">
        <v>1050</v>
      </c>
      <c r="L99" s="2">
        <v>0</v>
      </c>
      <c r="M99" s="2">
        <v>0</v>
      </c>
      <c r="N99" s="2"/>
      <c r="O99" s="8">
        <f t="shared" si="0"/>
        <v>0</v>
      </c>
      <c r="P99" s="2">
        <v>150</v>
      </c>
      <c r="Q99" s="2">
        <v>600</v>
      </c>
      <c r="R99" s="18">
        <v>300</v>
      </c>
      <c r="S99" s="18"/>
      <c r="T99" s="18"/>
      <c r="U99" s="18"/>
      <c r="V99" s="18"/>
      <c r="W99" s="18"/>
      <c r="X99" s="2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2"/>
      <c r="AK99" s="7">
        <f t="shared" si="1"/>
        <v>0</v>
      </c>
      <c r="AL99" s="8" t="s">
        <v>147</v>
      </c>
      <c r="AM99" s="8">
        <v>150</v>
      </c>
      <c r="AN99" s="8" t="s">
        <v>153</v>
      </c>
      <c r="AO99" s="8">
        <f t="shared" si="4"/>
        <v>7</v>
      </c>
    </row>
    <row r="100" spans="1:42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2">
        <v>-51</v>
      </c>
      <c r="J100" s="2">
        <v>0</v>
      </c>
      <c r="K100" s="2">
        <v>2100</v>
      </c>
      <c r="L100" s="2">
        <v>0</v>
      </c>
      <c r="M100" s="2">
        <v>0</v>
      </c>
      <c r="N100" s="2"/>
      <c r="O100" s="8">
        <f t="shared" si="0"/>
        <v>699</v>
      </c>
      <c r="P100" s="2"/>
      <c r="Q100" s="2"/>
      <c r="R100" s="18">
        <v>150</v>
      </c>
      <c r="S100" s="18"/>
      <c r="T100" s="2">
        <v>450</v>
      </c>
      <c r="U100" s="18">
        <v>450</v>
      </c>
      <c r="V100" s="18">
        <v>300</v>
      </c>
      <c r="W100" s="18"/>
      <c r="X100" s="2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2"/>
      <c r="AK100" s="7">
        <f t="shared" si="1"/>
        <v>0</v>
      </c>
      <c r="AL100" s="8" t="s">
        <v>147</v>
      </c>
      <c r="AM100" s="8">
        <v>150</v>
      </c>
      <c r="AN100" s="8" t="s">
        <v>153</v>
      </c>
      <c r="AO100" s="8">
        <f t="shared" si="4"/>
        <v>13.66</v>
      </c>
    </row>
    <row r="101" spans="1:42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2">
        <v>0</v>
      </c>
      <c r="J101" s="2">
        <v>0</v>
      </c>
      <c r="K101" s="2">
        <v>1050</v>
      </c>
      <c r="L101" s="2">
        <v>0</v>
      </c>
      <c r="M101" s="2">
        <v>0</v>
      </c>
      <c r="N101" s="2"/>
      <c r="O101" s="8">
        <f t="shared" si="0"/>
        <v>0</v>
      </c>
      <c r="P101" s="2"/>
      <c r="Q101" s="2"/>
      <c r="R101" s="18"/>
      <c r="S101" s="18"/>
      <c r="T101" s="2"/>
      <c r="U101" s="18"/>
      <c r="V101" s="18">
        <v>1050</v>
      </c>
      <c r="W101" s="18"/>
      <c r="X101" s="2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2"/>
      <c r="AK101" s="7">
        <f t="shared" si="1"/>
        <v>0</v>
      </c>
      <c r="AL101" s="8" t="s">
        <v>147</v>
      </c>
      <c r="AM101" s="8">
        <v>150</v>
      </c>
      <c r="AN101" s="8" t="s">
        <v>153</v>
      </c>
      <c r="AO101" s="8">
        <f t="shared" si="4"/>
        <v>7</v>
      </c>
    </row>
    <row r="102" spans="1:42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2">
        <v>0</v>
      </c>
      <c r="J102" s="2">
        <v>0</v>
      </c>
      <c r="K102" s="2">
        <v>2160</v>
      </c>
      <c r="L102" s="2">
        <v>0</v>
      </c>
      <c r="M102" s="2">
        <v>0</v>
      </c>
      <c r="N102" s="2"/>
      <c r="O102" s="8">
        <f t="shared" si="0"/>
        <v>0</v>
      </c>
      <c r="P102" s="2"/>
      <c r="Q102" s="2"/>
      <c r="R102" s="18">
        <v>240</v>
      </c>
      <c r="S102" s="18">
        <v>1120</v>
      </c>
      <c r="T102" s="2">
        <v>800</v>
      </c>
      <c r="U102" s="18"/>
      <c r="V102" s="18"/>
      <c r="W102" s="18"/>
      <c r="X102" s="2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2"/>
      <c r="AK102" s="7">
        <f t="shared" si="1"/>
        <v>0</v>
      </c>
      <c r="AL102" s="8" t="s">
        <v>147</v>
      </c>
      <c r="AM102" s="8">
        <v>80</v>
      </c>
      <c r="AN102" s="8" t="s">
        <v>153</v>
      </c>
      <c r="AO102" s="8">
        <f t="shared" si="4"/>
        <v>27</v>
      </c>
    </row>
    <row r="103" spans="1:42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2">
        <v>0</v>
      </c>
      <c r="J103" s="2">
        <v>0</v>
      </c>
      <c r="K103" s="2">
        <v>720</v>
      </c>
      <c r="L103" s="2">
        <v>0</v>
      </c>
      <c r="M103" s="2">
        <v>0</v>
      </c>
      <c r="N103" s="2"/>
      <c r="O103" s="8">
        <f t="shared" si="0"/>
        <v>200</v>
      </c>
      <c r="P103" s="2"/>
      <c r="Q103" s="2"/>
      <c r="R103" s="18"/>
      <c r="S103" s="18"/>
      <c r="T103" s="2"/>
      <c r="U103" s="18"/>
      <c r="V103" s="18">
        <v>240</v>
      </c>
      <c r="W103" s="18">
        <v>280</v>
      </c>
      <c r="X103" s="2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2"/>
      <c r="AK103" s="7">
        <f t="shared" si="1"/>
        <v>0</v>
      </c>
      <c r="AL103" s="8" t="s">
        <v>147</v>
      </c>
      <c r="AM103" s="8">
        <v>80</v>
      </c>
      <c r="AN103" s="8" t="s">
        <v>153</v>
      </c>
      <c r="AO103" s="8">
        <f t="shared" si="4"/>
        <v>9</v>
      </c>
    </row>
    <row r="104" spans="1:42" x14ac:dyDescent="0.25">
      <c r="A104" s="2">
        <v>99</v>
      </c>
      <c r="B104" s="2" t="s">
        <v>128</v>
      </c>
      <c r="C104" s="2" t="s">
        <v>129</v>
      </c>
      <c r="D104" s="2" t="s">
        <v>123</v>
      </c>
      <c r="E104" s="13">
        <v>0.75</v>
      </c>
      <c r="F104" s="2"/>
      <c r="G104" s="3"/>
      <c r="H104" s="3"/>
      <c r="I104" s="2">
        <v>0</v>
      </c>
      <c r="J104" s="2">
        <v>0</v>
      </c>
      <c r="K104" s="2">
        <v>80</v>
      </c>
      <c r="L104" s="2">
        <v>0</v>
      </c>
      <c r="M104" s="2">
        <v>0</v>
      </c>
      <c r="N104" s="2"/>
      <c r="O104" s="8">
        <f t="shared" si="0"/>
        <v>80</v>
      </c>
      <c r="P104" s="2"/>
      <c r="Q104" s="2"/>
      <c r="R104" s="18"/>
      <c r="S104" s="18"/>
      <c r="T104" s="2"/>
      <c r="U104" s="18"/>
      <c r="V104" s="18"/>
      <c r="W104" s="18"/>
      <c r="X104" s="2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2"/>
      <c r="AK104" s="7">
        <f t="shared" si="1"/>
        <v>0</v>
      </c>
      <c r="AL104" s="8" t="s">
        <v>147</v>
      </c>
      <c r="AM104" s="8">
        <v>80</v>
      </c>
      <c r="AN104" s="8" t="s">
        <v>153</v>
      </c>
      <c r="AO104" s="8">
        <f t="shared" si="4"/>
        <v>1</v>
      </c>
    </row>
    <row r="105" spans="1:42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2">
        <v>110</v>
      </c>
      <c r="J105" s="2">
        <v>0</v>
      </c>
      <c r="K105" s="2">
        <v>1200</v>
      </c>
      <c r="L105" s="2">
        <v>0</v>
      </c>
      <c r="M105" s="2">
        <v>0</v>
      </c>
      <c r="N105" s="2"/>
      <c r="O105" s="8">
        <f t="shared" si="0"/>
        <v>270</v>
      </c>
      <c r="P105" s="2"/>
      <c r="Q105" s="2"/>
      <c r="R105" s="18"/>
      <c r="S105" s="18"/>
      <c r="T105" s="2"/>
      <c r="U105" s="18">
        <v>1040</v>
      </c>
      <c r="V105" s="18"/>
      <c r="W105" s="18"/>
      <c r="X105" s="2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2"/>
      <c r="AK105" s="7">
        <f t="shared" si="1"/>
        <v>0</v>
      </c>
      <c r="AL105" s="8" t="s">
        <v>147</v>
      </c>
      <c r="AM105" s="8">
        <v>80</v>
      </c>
      <c r="AN105" s="8" t="s">
        <v>153</v>
      </c>
      <c r="AO105" s="8">
        <f t="shared" si="4"/>
        <v>16.375</v>
      </c>
    </row>
    <row r="106" spans="1:42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2">
        <v>-540</v>
      </c>
      <c r="J106" s="2">
        <v>0</v>
      </c>
      <c r="K106" s="2">
        <v>0</v>
      </c>
      <c r="L106" s="2">
        <v>0</v>
      </c>
      <c r="M106" s="2">
        <v>700</v>
      </c>
      <c r="N106" s="2"/>
      <c r="O106" s="8">
        <f t="shared" si="0"/>
        <v>160</v>
      </c>
      <c r="P106" s="2"/>
      <c r="Q106" s="2"/>
      <c r="R106" s="18"/>
      <c r="S106" s="18"/>
      <c r="T106" s="18"/>
      <c r="U106" s="18"/>
      <c r="V106" s="18"/>
      <c r="W106" s="18"/>
      <c r="X106" s="2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2"/>
      <c r="AK106" s="7">
        <f t="shared" si="1"/>
        <v>0</v>
      </c>
      <c r="AL106" s="8" t="s">
        <v>147</v>
      </c>
      <c r="AM106" s="8">
        <v>50</v>
      </c>
      <c r="AN106" s="8" t="s">
        <v>153</v>
      </c>
      <c r="AO106" s="8">
        <f t="shared" si="4"/>
        <v>3.2</v>
      </c>
    </row>
    <row r="107" spans="1:42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2">
        <v>0</v>
      </c>
      <c r="J107" s="2">
        <v>0</v>
      </c>
      <c r="K107" s="2">
        <v>0</v>
      </c>
      <c r="L107" s="2">
        <v>0</v>
      </c>
      <c r="M107" s="2">
        <v>700</v>
      </c>
      <c r="N107" s="2"/>
      <c r="O107" s="8">
        <f t="shared" si="0"/>
        <v>700</v>
      </c>
      <c r="P107" s="2"/>
      <c r="Q107" s="2"/>
      <c r="R107" s="18"/>
      <c r="S107" s="18"/>
      <c r="T107" s="18"/>
      <c r="U107" s="18"/>
      <c r="V107" s="18"/>
      <c r="W107" s="18"/>
      <c r="X107" s="2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2"/>
      <c r="AK107" s="7">
        <f t="shared" si="1"/>
        <v>0</v>
      </c>
      <c r="AL107" s="8" t="s">
        <v>155</v>
      </c>
      <c r="AM107" s="8">
        <v>50</v>
      </c>
      <c r="AN107" s="8" t="s">
        <v>153</v>
      </c>
      <c r="AO107" s="8">
        <f t="shared" si="4"/>
        <v>14</v>
      </c>
    </row>
    <row r="108" spans="1:42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2">
        <v>50</v>
      </c>
      <c r="J108" s="2">
        <v>0</v>
      </c>
      <c r="K108" s="2">
        <v>0</v>
      </c>
      <c r="L108" s="2">
        <v>0</v>
      </c>
      <c r="M108" s="2">
        <v>1200</v>
      </c>
      <c r="N108" s="2"/>
      <c r="O108" s="8">
        <f t="shared" si="0"/>
        <v>1250</v>
      </c>
      <c r="P108" s="2"/>
      <c r="Q108" s="2"/>
      <c r="R108" s="18"/>
      <c r="S108" s="18"/>
      <c r="T108" s="2"/>
      <c r="U108" s="18"/>
      <c r="V108" s="18"/>
      <c r="W108" s="18"/>
      <c r="X108" s="2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2"/>
      <c r="AK108" s="7">
        <f t="shared" si="1"/>
        <v>0</v>
      </c>
      <c r="AL108" s="8" t="s">
        <v>155</v>
      </c>
      <c r="AM108" s="8">
        <v>50</v>
      </c>
      <c r="AN108" s="8" t="s">
        <v>153</v>
      </c>
      <c r="AO108" s="8">
        <f t="shared" si="4"/>
        <v>25</v>
      </c>
    </row>
    <row r="109" spans="1:42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2">
        <v>2900</v>
      </c>
      <c r="J109" s="2">
        <v>0</v>
      </c>
      <c r="K109" s="2">
        <v>0</v>
      </c>
      <c r="L109" s="2">
        <v>0</v>
      </c>
      <c r="M109" s="2">
        <v>0</v>
      </c>
      <c r="N109" s="2"/>
      <c r="O109" s="8">
        <f t="shared" si="0"/>
        <v>225</v>
      </c>
      <c r="P109" s="2">
        <v>900</v>
      </c>
      <c r="Q109" s="2">
        <v>1440</v>
      </c>
      <c r="R109" s="18">
        <v>335</v>
      </c>
      <c r="S109" s="18"/>
      <c r="T109" s="2"/>
      <c r="U109" s="18"/>
      <c r="V109" s="18"/>
      <c r="W109" s="18"/>
      <c r="X109" s="2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2"/>
      <c r="AK109" s="7">
        <f t="shared" si="1"/>
        <v>0</v>
      </c>
      <c r="AL109" s="8" t="s">
        <v>148</v>
      </c>
      <c r="AM109" s="8">
        <v>250</v>
      </c>
      <c r="AN109" s="8" t="s">
        <v>154</v>
      </c>
      <c r="AO109" s="8">
        <f t="shared" si="4"/>
        <v>11.6</v>
      </c>
    </row>
    <row r="110" spans="1:42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2">
        <v>-5065</v>
      </c>
      <c r="J110" s="2">
        <v>0</v>
      </c>
      <c r="K110" s="2">
        <v>0</v>
      </c>
      <c r="L110" s="2">
        <v>4673</v>
      </c>
      <c r="M110" s="2">
        <v>0</v>
      </c>
      <c r="N110" s="2"/>
      <c r="O110" s="8">
        <f t="shared" si="0"/>
        <v>-392</v>
      </c>
      <c r="P110" s="2"/>
      <c r="Q110" s="2"/>
      <c r="R110" s="18"/>
      <c r="S110" s="18"/>
      <c r="T110" s="18"/>
      <c r="U110" s="18"/>
      <c r="V110" s="18"/>
      <c r="W110" s="18"/>
      <c r="X110" s="2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2"/>
      <c r="AK110" s="7">
        <f t="shared" si="1"/>
        <v>0</v>
      </c>
      <c r="AL110" s="8" t="s">
        <v>148</v>
      </c>
      <c r="AM110" s="8">
        <v>250</v>
      </c>
      <c r="AN110" s="8" t="s">
        <v>154</v>
      </c>
      <c r="AO110" s="8">
        <f t="shared" si="4"/>
        <v>-1.5680000000000001</v>
      </c>
    </row>
    <row r="111" spans="1:42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/>
      <c r="O111" s="8">
        <f t="shared" si="0"/>
        <v>0</v>
      </c>
      <c r="P111" s="2"/>
      <c r="Q111" s="2"/>
      <c r="R111" s="18"/>
      <c r="S111" s="18"/>
      <c r="T111" s="18"/>
      <c r="U111" s="18"/>
      <c r="V111" s="18"/>
      <c r="W111" s="18"/>
      <c r="X111" s="2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2"/>
      <c r="AK111" s="7">
        <f t="shared" si="1"/>
        <v>0</v>
      </c>
      <c r="AL111" s="8" t="s">
        <v>148</v>
      </c>
      <c r="AM111" s="8">
        <v>250</v>
      </c>
      <c r="AN111" s="8" t="s">
        <v>154</v>
      </c>
      <c r="AO111" s="8">
        <f t="shared" si="4"/>
        <v>0</v>
      </c>
    </row>
    <row r="112" spans="1:42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2">
        <v>900</v>
      </c>
      <c r="J112" s="2">
        <v>0</v>
      </c>
      <c r="K112" s="2">
        <v>0</v>
      </c>
      <c r="L112" s="2">
        <v>0</v>
      </c>
      <c r="M112" s="2">
        <v>0</v>
      </c>
      <c r="N112" s="2">
        <v>300</v>
      </c>
      <c r="O112" s="8">
        <f t="shared" si="0"/>
        <v>1200</v>
      </c>
      <c r="P112" s="2"/>
      <c r="Q112" s="2"/>
      <c r="R112" s="18"/>
      <c r="S112" s="18"/>
      <c r="T112" s="2"/>
      <c r="U112" s="18"/>
      <c r="V112" s="18"/>
      <c r="W112" s="18"/>
      <c r="X112" s="2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2"/>
      <c r="AK112" s="7">
        <f t="shared" si="1"/>
        <v>0</v>
      </c>
      <c r="AL112" s="8" t="s">
        <v>150</v>
      </c>
      <c r="AM112" s="8">
        <v>200</v>
      </c>
      <c r="AN112" s="8" t="s">
        <v>154</v>
      </c>
      <c r="AO112" s="8">
        <f t="shared" si="4"/>
        <v>6</v>
      </c>
    </row>
    <row r="113" spans="1:41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2">
        <v>1900</v>
      </c>
      <c r="J113" s="2">
        <v>0</v>
      </c>
      <c r="K113" s="2">
        <v>0</v>
      </c>
      <c r="L113" s="2">
        <v>0</v>
      </c>
      <c r="M113" s="2">
        <v>0</v>
      </c>
      <c r="N113" s="2"/>
      <c r="O113" s="8">
        <f t="shared" si="0"/>
        <v>1900</v>
      </c>
      <c r="P113" s="2"/>
      <c r="Q113" s="2"/>
      <c r="R113" s="18"/>
      <c r="S113" s="18"/>
      <c r="T113" s="2"/>
      <c r="U113" s="18"/>
      <c r="V113" s="18"/>
      <c r="W113" s="18"/>
      <c r="X113" s="2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2"/>
      <c r="AK113" s="7">
        <f t="shared" si="1"/>
        <v>0</v>
      </c>
      <c r="AL113" s="8" t="s">
        <v>150</v>
      </c>
      <c r="AM113" s="8">
        <v>200</v>
      </c>
      <c r="AN113" s="8" t="s">
        <v>154</v>
      </c>
      <c r="AO113" s="8">
        <f t="shared" si="4"/>
        <v>9.5</v>
      </c>
    </row>
    <row r="114" spans="1:41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2">
        <v>10</v>
      </c>
      <c r="J114" s="2">
        <v>0</v>
      </c>
      <c r="K114" s="2">
        <v>0</v>
      </c>
      <c r="L114" s="2">
        <v>0</v>
      </c>
      <c r="M114" s="2">
        <v>0</v>
      </c>
      <c r="N114" s="2"/>
      <c r="O114" s="8">
        <f t="shared" si="0"/>
        <v>10</v>
      </c>
      <c r="P114" s="2"/>
      <c r="Q114" s="2"/>
      <c r="R114" s="18"/>
      <c r="S114" s="18"/>
      <c r="T114" s="2"/>
      <c r="U114" s="18"/>
      <c r="V114" s="18"/>
      <c r="W114" s="18"/>
      <c r="X114" s="2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2"/>
      <c r="AK114" s="7">
        <f t="shared" si="1"/>
        <v>0</v>
      </c>
      <c r="AL114" s="8" t="s">
        <v>150</v>
      </c>
      <c r="AM114" s="8">
        <v>200</v>
      </c>
      <c r="AN114" s="8" t="s">
        <v>154</v>
      </c>
      <c r="AO114" s="8">
        <f t="shared" si="4"/>
        <v>0.05</v>
      </c>
    </row>
    <row r="115" spans="1:41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2">
        <v>1900</v>
      </c>
      <c r="J115" s="2">
        <v>0</v>
      </c>
      <c r="K115" s="2">
        <v>0</v>
      </c>
      <c r="L115" s="2">
        <v>0</v>
      </c>
      <c r="M115" s="2">
        <v>0</v>
      </c>
      <c r="N115" s="2"/>
      <c r="O115" s="8">
        <f t="shared" si="0"/>
        <v>388</v>
      </c>
      <c r="P115" s="2"/>
      <c r="Q115" s="2"/>
      <c r="R115" s="18"/>
      <c r="S115" s="18"/>
      <c r="T115" s="2"/>
      <c r="U115" s="18"/>
      <c r="V115" s="18"/>
      <c r="W115" s="18"/>
      <c r="X115" s="2"/>
      <c r="Y115" s="18">
        <v>1512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2"/>
      <c r="AK115" s="7">
        <f t="shared" si="1"/>
        <v>0</v>
      </c>
      <c r="AL115" s="8" t="s">
        <v>150</v>
      </c>
      <c r="AM115" s="8">
        <v>200</v>
      </c>
      <c r="AN115" s="8" t="s">
        <v>154</v>
      </c>
      <c r="AO115" s="8">
        <f t="shared" si="4"/>
        <v>9.5</v>
      </c>
    </row>
    <row r="116" spans="1:41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2">
        <v>63</v>
      </c>
      <c r="J116" s="2">
        <v>0</v>
      </c>
      <c r="K116" s="2">
        <v>0</v>
      </c>
      <c r="L116" s="2">
        <v>0</v>
      </c>
      <c r="M116" s="2">
        <v>0</v>
      </c>
      <c r="N116" s="2"/>
      <c r="O116" s="8">
        <f t="shared" si="0"/>
        <v>63</v>
      </c>
      <c r="P116" s="2"/>
      <c r="Q116" s="2"/>
      <c r="R116" s="18"/>
      <c r="S116" s="18"/>
      <c r="T116" s="2"/>
      <c r="U116" s="18"/>
      <c r="V116" s="18"/>
      <c r="W116" s="18"/>
      <c r="X116" s="2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2"/>
      <c r="AK116" s="7">
        <f t="shared" si="1"/>
        <v>0</v>
      </c>
      <c r="AL116" s="8" t="s">
        <v>150</v>
      </c>
      <c r="AM116" s="8">
        <v>200</v>
      </c>
      <c r="AN116" s="8" t="s">
        <v>154</v>
      </c>
      <c r="AO116" s="8">
        <f t="shared" si="4"/>
        <v>0.315</v>
      </c>
    </row>
    <row r="117" spans="1:41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2">
        <v>7</v>
      </c>
      <c r="J117" s="2">
        <v>0</v>
      </c>
      <c r="K117" s="2">
        <v>0</v>
      </c>
      <c r="L117" s="2">
        <v>0</v>
      </c>
      <c r="M117" s="2">
        <v>0</v>
      </c>
      <c r="N117" s="2"/>
      <c r="O117" s="8">
        <f t="shared" si="0"/>
        <v>7</v>
      </c>
      <c r="P117" s="2"/>
      <c r="Q117" s="2"/>
      <c r="R117" s="18"/>
      <c r="S117" s="18"/>
      <c r="T117" s="2"/>
      <c r="U117" s="18"/>
      <c r="V117" s="18"/>
      <c r="W117" s="18"/>
      <c r="X117" s="2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2"/>
      <c r="AK117" s="7">
        <f t="shared" si="1"/>
        <v>0</v>
      </c>
      <c r="AL117" s="8" t="s">
        <v>150</v>
      </c>
      <c r="AM117" s="8">
        <v>200</v>
      </c>
      <c r="AN117" s="8" t="s">
        <v>154</v>
      </c>
      <c r="AO117" s="8">
        <f t="shared" si="4"/>
        <v>3.5000000000000003E-2</v>
      </c>
    </row>
    <row r="118" spans="1:41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2">
        <v>172</v>
      </c>
      <c r="J118" s="2">
        <v>0</v>
      </c>
      <c r="K118" s="2">
        <v>0</v>
      </c>
      <c r="L118" s="2">
        <v>0</v>
      </c>
      <c r="M118" s="2">
        <v>0</v>
      </c>
      <c r="N118" s="2"/>
      <c r="O118" s="8">
        <f t="shared" si="0"/>
        <v>172</v>
      </c>
      <c r="P118" s="2"/>
      <c r="Q118" s="2"/>
      <c r="R118" s="18"/>
      <c r="S118" s="18"/>
      <c r="T118" s="2"/>
      <c r="U118" s="18"/>
      <c r="V118" s="18"/>
      <c r="W118" s="18"/>
      <c r="X118" s="2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2"/>
      <c r="AK118" s="7">
        <f t="shared" si="1"/>
        <v>0</v>
      </c>
      <c r="AL118" s="8" t="s">
        <v>150</v>
      </c>
      <c r="AM118" s="8">
        <v>200</v>
      </c>
      <c r="AN118" s="8" t="s">
        <v>154</v>
      </c>
      <c r="AO118" s="8">
        <f t="shared" si="4"/>
        <v>0.86</v>
      </c>
    </row>
    <row r="119" spans="1:41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2">
        <v>821</v>
      </c>
      <c r="J119" s="2">
        <v>0</v>
      </c>
      <c r="K119" s="2">
        <v>0</v>
      </c>
      <c r="L119" s="2">
        <v>0</v>
      </c>
      <c r="M119" s="2">
        <v>0</v>
      </c>
      <c r="N119" s="2">
        <v>500</v>
      </c>
      <c r="O119" s="8">
        <f t="shared" si="0"/>
        <v>529</v>
      </c>
      <c r="P119" s="2"/>
      <c r="Q119" s="2"/>
      <c r="R119" s="18">
        <v>480</v>
      </c>
      <c r="S119" s="18">
        <v>312</v>
      </c>
      <c r="T119" s="2"/>
      <c r="U119" s="18"/>
      <c r="V119" s="18"/>
      <c r="W119" s="18"/>
      <c r="X119" s="2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2"/>
      <c r="AK119" s="7">
        <f t="shared" si="1"/>
        <v>0</v>
      </c>
      <c r="AL119" s="8" t="s">
        <v>150</v>
      </c>
      <c r="AM119" s="8">
        <v>200</v>
      </c>
      <c r="AN119" s="8" t="s">
        <v>154</v>
      </c>
      <c r="AO119" s="8">
        <f t="shared" si="4"/>
        <v>6.6050000000000004</v>
      </c>
    </row>
    <row r="120" spans="1:41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2">
        <v>3189</v>
      </c>
      <c r="J120" s="2">
        <v>0</v>
      </c>
      <c r="K120" s="2">
        <v>0</v>
      </c>
      <c r="L120" s="2">
        <v>0</v>
      </c>
      <c r="M120" s="2">
        <v>0</v>
      </c>
      <c r="N120" s="2"/>
      <c r="O120" s="8">
        <f t="shared" si="0"/>
        <v>389</v>
      </c>
      <c r="P120" s="2"/>
      <c r="Q120" s="2"/>
      <c r="R120" s="18"/>
      <c r="S120" s="18"/>
      <c r="T120" s="2">
        <v>650</v>
      </c>
      <c r="U120" s="18">
        <v>200</v>
      </c>
      <c r="V120" s="18">
        <v>520</v>
      </c>
      <c r="W120" s="18">
        <v>400</v>
      </c>
      <c r="X120" s="2">
        <v>390</v>
      </c>
      <c r="Y120" s="18">
        <v>640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2"/>
      <c r="AK120" s="7">
        <f t="shared" si="1"/>
        <v>0</v>
      </c>
      <c r="AL120" s="8" t="s">
        <v>150</v>
      </c>
      <c r="AM120" s="8">
        <v>200</v>
      </c>
      <c r="AN120" s="8" t="s">
        <v>154</v>
      </c>
      <c r="AO120" s="8">
        <f t="shared" si="4"/>
        <v>15.945</v>
      </c>
    </row>
    <row r="121" spans="1:41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/>
      <c r="O121" s="8">
        <f t="shared" si="0"/>
        <v>0</v>
      </c>
      <c r="P121" s="2"/>
      <c r="Q121" s="2"/>
      <c r="R121" s="18"/>
      <c r="S121" s="18"/>
      <c r="T121" s="18"/>
      <c r="U121" s="18"/>
      <c r="V121" s="18"/>
      <c r="W121" s="18"/>
      <c r="X121" s="2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2"/>
      <c r="AK121" s="7">
        <f t="shared" si="1"/>
        <v>0</v>
      </c>
      <c r="AL121" s="8" t="s">
        <v>150</v>
      </c>
      <c r="AM121" s="8">
        <v>200</v>
      </c>
      <c r="AN121" s="8" t="s">
        <v>154</v>
      </c>
      <c r="AO121" s="8">
        <f t="shared" si="4"/>
        <v>0</v>
      </c>
    </row>
    <row r="122" spans="1:41" x14ac:dyDescent="0.25">
      <c r="A122" s="2">
        <v>117</v>
      </c>
      <c r="B122" s="2" t="s">
        <v>130</v>
      </c>
      <c r="C122" s="2" t="s">
        <v>0</v>
      </c>
      <c r="D122" s="2" t="s">
        <v>144</v>
      </c>
      <c r="E122" s="13">
        <v>0.875</v>
      </c>
      <c r="F122" s="2"/>
      <c r="G122" s="3"/>
      <c r="H122" s="3"/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/>
      <c r="O122" s="8">
        <f t="shared" si="0"/>
        <v>0</v>
      </c>
      <c r="P122" s="2"/>
      <c r="Q122" s="2"/>
      <c r="R122" s="18"/>
      <c r="S122" s="18"/>
      <c r="T122" s="18"/>
      <c r="U122" s="18"/>
      <c r="V122" s="18"/>
      <c r="W122" s="18"/>
      <c r="X122" s="2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2"/>
      <c r="AK122" s="7">
        <f t="shared" si="1"/>
        <v>0</v>
      </c>
      <c r="AL122" s="8" t="s">
        <v>150</v>
      </c>
      <c r="AM122" s="8">
        <v>200</v>
      </c>
      <c r="AN122" s="8" t="s">
        <v>154</v>
      </c>
      <c r="AO122" s="8">
        <f t="shared" si="4"/>
        <v>0</v>
      </c>
    </row>
    <row r="123" spans="1:41" x14ac:dyDescent="0.25">
      <c r="A123" s="2">
        <v>118</v>
      </c>
      <c r="B123" s="2" t="s">
        <v>188</v>
      </c>
      <c r="C123" s="2" t="s">
        <v>129</v>
      </c>
      <c r="D123" s="2" t="s">
        <v>160</v>
      </c>
      <c r="E123" s="13">
        <v>0.3125</v>
      </c>
      <c r="F123" s="2"/>
      <c r="G123" s="3"/>
      <c r="H123" s="3">
        <v>0.2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/>
      <c r="O123" s="8">
        <f t="shared" si="0"/>
        <v>0</v>
      </c>
      <c r="P123" s="2"/>
      <c r="Q123" s="2"/>
      <c r="R123" s="18"/>
      <c r="S123" s="2"/>
      <c r="T123" s="18"/>
      <c r="U123" s="18"/>
      <c r="V123" s="18"/>
      <c r="W123" s="18"/>
      <c r="X123" s="2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2"/>
      <c r="AK123" s="7">
        <f t="shared" si="1"/>
        <v>0</v>
      </c>
      <c r="AL123" s="8" t="s">
        <v>148</v>
      </c>
      <c r="AM123" s="12">
        <v>500</v>
      </c>
      <c r="AN123" s="8" t="s">
        <v>189</v>
      </c>
      <c r="AO123" s="8">
        <f t="shared" si="4"/>
        <v>0</v>
      </c>
    </row>
    <row r="124" spans="1:41" x14ac:dyDescent="0.25">
      <c r="A124" s="2">
        <v>119</v>
      </c>
      <c r="B124" s="2" t="s">
        <v>188</v>
      </c>
      <c r="C124" s="2" t="s">
        <v>129</v>
      </c>
      <c r="D124" s="2" t="s">
        <v>161</v>
      </c>
      <c r="E124" s="13">
        <v>0.3125</v>
      </c>
      <c r="F124" s="2"/>
      <c r="G124" s="3"/>
      <c r="H124" s="3">
        <v>0.2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/>
      <c r="O124" s="8">
        <f t="shared" ref="O124:O149" si="6">+I124+J124+K124+L124+M124+N124-SUM(P124:AJ124)</f>
        <v>0</v>
      </c>
      <c r="P124" s="2"/>
      <c r="Q124" s="2"/>
      <c r="R124" s="18"/>
      <c r="S124" s="2"/>
      <c r="T124" s="18"/>
      <c r="U124" s="18"/>
      <c r="V124" s="18"/>
      <c r="W124" s="18"/>
      <c r="X124" s="2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2"/>
      <c r="AK124" s="7">
        <f t="shared" ref="AK124:AK149" si="7">+G124*SUM(I124:N124)</f>
        <v>0</v>
      </c>
      <c r="AL124" s="8" t="s">
        <v>148</v>
      </c>
      <c r="AM124" s="12">
        <v>500</v>
      </c>
      <c r="AN124" s="8" t="s">
        <v>189</v>
      </c>
      <c r="AO124" s="8">
        <f t="shared" si="4"/>
        <v>0</v>
      </c>
    </row>
    <row r="125" spans="1:41" x14ac:dyDescent="0.25">
      <c r="A125" s="2">
        <v>120</v>
      </c>
      <c r="B125" s="2" t="s">
        <v>188</v>
      </c>
      <c r="C125" s="2" t="s">
        <v>129</v>
      </c>
      <c r="D125" s="2" t="s">
        <v>162</v>
      </c>
      <c r="E125" s="13">
        <v>0.3125</v>
      </c>
      <c r="F125" s="2"/>
      <c r="G125" s="3"/>
      <c r="H125" s="3">
        <v>0.2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/>
      <c r="O125" s="8">
        <f t="shared" si="6"/>
        <v>0</v>
      </c>
      <c r="P125" s="2"/>
      <c r="Q125" s="2"/>
      <c r="R125" s="18"/>
      <c r="S125" s="2"/>
      <c r="T125" s="18"/>
      <c r="U125" s="18"/>
      <c r="V125" s="18"/>
      <c r="W125" s="18"/>
      <c r="X125" s="2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2"/>
      <c r="AK125" s="7">
        <f t="shared" si="7"/>
        <v>0</v>
      </c>
      <c r="AL125" s="8" t="s">
        <v>148</v>
      </c>
      <c r="AM125" s="12">
        <v>500</v>
      </c>
      <c r="AN125" s="8" t="s">
        <v>189</v>
      </c>
      <c r="AO125" s="8">
        <f t="shared" si="4"/>
        <v>0</v>
      </c>
    </row>
    <row r="126" spans="1:41" x14ac:dyDescent="0.25">
      <c r="A126" s="2">
        <v>121</v>
      </c>
      <c r="B126" s="2" t="s">
        <v>188</v>
      </c>
      <c r="C126" s="2" t="s">
        <v>129</v>
      </c>
      <c r="D126" s="2" t="s">
        <v>163</v>
      </c>
      <c r="E126" s="13">
        <v>0.3125</v>
      </c>
      <c r="F126" s="2"/>
      <c r="G126" s="3"/>
      <c r="H126" s="3">
        <v>0.2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/>
      <c r="O126" s="8">
        <f t="shared" si="6"/>
        <v>0</v>
      </c>
      <c r="P126" s="2"/>
      <c r="Q126" s="2"/>
      <c r="R126" s="18"/>
      <c r="S126" s="2"/>
      <c r="T126" s="18"/>
      <c r="U126" s="18"/>
      <c r="V126" s="18"/>
      <c r="W126" s="18"/>
      <c r="X126" s="2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2"/>
      <c r="AK126" s="7">
        <f t="shared" si="7"/>
        <v>0</v>
      </c>
      <c r="AL126" s="8" t="s">
        <v>148</v>
      </c>
      <c r="AM126" s="12">
        <v>500</v>
      </c>
      <c r="AN126" s="8" t="s">
        <v>189</v>
      </c>
      <c r="AO126" s="8">
        <f t="shared" si="4"/>
        <v>0</v>
      </c>
    </row>
    <row r="127" spans="1:41" x14ac:dyDescent="0.25">
      <c r="A127" s="2">
        <v>122</v>
      </c>
      <c r="B127" s="2" t="s">
        <v>188</v>
      </c>
      <c r="C127" s="2" t="s">
        <v>129</v>
      </c>
      <c r="D127" s="2" t="s">
        <v>164</v>
      </c>
      <c r="E127" s="13">
        <v>0.3125</v>
      </c>
      <c r="F127" s="2"/>
      <c r="G127" s="3"/>
      <c r="H127" s="3">
        <v>0.2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/>
      <c r="O127" s="8">
        <f t="shared" si="6"/>
        <v>0</v>
      </c>
      <c r="P127" s="2"/>
      <c r="Q127" s="2"/>
      <c r="R127" s="18"/>
      <c r="S127" s="2"/>
      <c r="T127" s="18"/>
      <c r="U127" s="18"/>
      <c r="V127" s="18"/>
      <c r="W127" s="18"/>
      <c r="X127" s="2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2"/>
      <c r="AK127" s="7">
        <f t="shared" si="7"/>
        <v>0</v>
      </c>
      <c r="AL127" s="8" t="s">
        <v>148</v>
      </c>
      <c r="AM127" s="12">
        <v>500</v>
      </c>
      <c r="AN127" s="8" t="s">
        <v>189</v>
      </c>
      <c r="AO127" s="8">
        <f t="shared" si="4"/>
        <v>0</v>
      </c>
    </row>
    <row r="128" spans="1:41" x14ac:dyDescent="0.25">
      <c r="A128" s="2">
        <v>123</v>
      </c>
      <c r="B128" s="2" t="s">
        <v>188</v>
      </c>
      <c r="C128" s="2" t="s">
        <v>129</v>
      </c>
      <c r="D128" s="2" t="s">
        <v>165</v>
      </c>
      <c r="E128" s="13">
        <v>0.3125</v>
      </c>
      <c r="F128" s="2"/>
      <c r="G128" s="3"/>
      <c r="H128" s="3">
        <v>0.2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/>
      <c r="O128" s="8">
        <f t="shared" si="6"/>
        <v>0</v>
      </c>
      <c r="P128" s="2"/>
      <c r="Q128" s="2"/>
      <c r="R128" s="18"/>
      <c r="S128" s="2"/>
      <c r="T128" s="18"/>
      <c r="U128" s="18"/>
      <c r="V128" s="18"/>
      <c r="W128" s="18"/>
      <c r="X128" s="2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2"/>
      <c r="AK128" s="7">
        <f t="shared" si="7"/>
        <v>0</v>
      </c>
      <c r="AL128" s="8" t="s">
        <v>148</v>
      </c>
      <c r="AM128" s="12">
        <v>500</v>
      </c>
      <c r="AN128" s="8" t="s">
        <v>189</v>
      </c>
      <c r="AO128" s="8">
        <f t="shared" si="4"/>
        <v>0</v>
      </c>
    </row>
    <row r="129" spans="1:41" x14ac:dyDescent="0.25">
      <c r="A129" s="2">
        <v>124</v>
      </c>
      <c r="B129" s="2" t="s">
        <v>188</v>
      </c>
      <c r="C129" s="2" t="s">
        <v>129</v>
      </c>
      <c r="D129" s="2" t="s">
        <v>166</v>
      </c>
      <c r="E129" s="13">
        <v>0.3125</v>
      </c>
      <c r="F129" s="2"/>
      <c r="G129" s="3"/>
      <c r="H129" s="3">
        <v>0.16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/>
      <c r="O129" s="8">
        <f t="shared" si="6"/>
        <v>0</v>
      </c>
      <c r="P129" s="2"/>
      <c r="Q129" s="2"/>
      <c r="R129" s="18"/>
      <c r="S129" s="2"/>
      <c r="T129" s="18"/>
      <c r="U129" s="18"/>
      <c r="V129" s="18"/>
      <c r="W129" s="18"/>
      <c r="X129" s="2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2"/>
      <c r="AK129" s="7">
        <f t="shared" si="7"/>
        <v>0</v>
      </c>
      <c r="AL129" s="8" t="s">
        <v>148</v>
      </c>
      <c r="AM129" s="12">
        <v>500</v>
      </c>
      <c r="AN129" s="8" t="s">
        <v>189</v>
      </c>
      <c r="AO129" s="8">
        <f t="shared" si="4"/>
        <v>0</v>
      </c>
    </row>
    <row r="130" spans="1:41" x14ac:dyDescent="0.25">
      <c r="A130" s="2">
        <v>125</v>
      </c>
      <c r="B130" s="2" t="s">
        <v>188</v>
      </c>
      <c r="C130" s="2" t="s">
        <v>129</v>
      </c>
      <c r="D130" s="2" t="s">
        <v>167</v>
      </c>
      <c r="E130" s="13">
        <v>0.3125</v>
      </c>
      <c r="F130" s="2"/>
      <c r="G130" s="3"/>
      <c r="H130" s="3">
        <v>0.16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/>
      <c r="O130" s="8">
        <f t="shared" si="6"/>
        <v>0</v>
      </c>
      <c r="P130" s="2"/>
      <c r="Q130" s="2"/>
      <c r="R130" s="18"/>
      <c r="S130" s="2"/>
      <c r="T130" s="18"/>
      <c r="U130" s="18"/>
      <c r="V130" s="18"/>
      <c r="W130" s="18"/>
      <c r="X130" s="2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2"/>
      <c r="AK130" s="7">
        <f t="shared" si="7"/>
        <v>0</v>
      </c>
      <c r="AL130" s="8" t="s">
        <v>148</v>
      </c>
      <c r="AM130" s="12">
        <v>500</v>
      </c>
      <c r="AN130" s="8" t="s">
        <v>189</v>
      </c>
      <c r="AO130" s="8">
        <f t="shared" si="4"/>
        <v>0</v>
      </c>
    </row>
    <row r="131" spans="1:41" x14ac:dyDescent="0.25">
      <c r="A131" s="2">
        <v>126</v>
      </c>
      <c r="B131" s="2" t="s">
        <v>188</v>
      </c>
      <c r="C131" s="2" t="s">
        <v>129</v>
      </c>
      <c r="D131" s="2" t="s">
        <v>168</v>
      </c>
      <c r="E131" s="13">
        <v>0.3125</v>
      </c>
      <c r="F131" s="2"/>
      <c r="G131" s="3"/>
      <c r="H131" s="3">
        <v>0.21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/>
      <c r="O131" s="8">
        <f t="shared" si="6"/>
        <v>0</v>
      </c>
      <c r="P131" s="2"/>
      <c r="Q131" s="2"/>
      <c r="R131" s="18"/>
      <c r="S131" s="2"/>
      <c r="T131" s="18"/>
      <c r="U131" s="18"/>
      <c r="V131" s="18"/>
      <c r="W131" s="18"/>
      <c r="X131" s="2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2"/>
      <c r="AK131" s="7">
        <f t="shared" si="7"/>
        <v>0</v>
      </c>
      <c r="AL131" s="8" t="s">
        <v>148</v>
      </c>
      <c r="AM131" s="12">
        <v>500</v>
      </c>
      <c r="AN131" s="8" t="s">
        <v>189</v>
      </c>
      <c r="AO131" s="8">
        <f t="shared" si="4"/>
        <v>0</v>
      </c>
    </row>
    <row r="132" spans="1:41" x14ac:dyDescent="0.25">
      <c r="A132" s="2">
        <v>127</v>
      </c>
      <c r="B132" s="2" t="s">
        <v>188</v>
      </c>
      <c r="C132" s="2" t="s">
        <v>129</v>
      </c>
      <c r="D132" s="2" t="s">
        <v>169</v>
      </c>
      <c r="E132" s="13">
        <v>0.3125</v>
      </c>
      <c r="F132" s="2"/>
      <c r="G132" s="3"/>
      <c r="H132" s="3">
        <v>0.21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/>
      <c r="O132" s="8">
        <f t="shared" si="6"/>
        <v>0</v>
      </c>
      <c r="P132" s="2"/>
      <c r="Q132" s="2"/>
      <c r="R132" s="18"/>
      <c r="S132" s="2"/>
      <c r="T132" s="18"/>
      <c r="U132" s="18"/>
      <c r="V132" s="18"/>
      <c r="W132" s="18"/>
      <c r="X132" s="2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2"/>
      <c r="AK132" s="7">
        <f t="shared" si="7"/>
        <v>0</v>
      </c>
      <c r="AL132" s="8" t="s">
        <v>148</v>
      </c>
      <c r="AM132" s="12">
        <v>500</v>
      </c>
      <c r="AN132" s="8" t="s">
        <v>189</v>
      </c>
      <c r="AO132" s="8">
        <f t="shared" si="4"/>
        <v>0</v>
      </c>
    </row>
    <row r="133" spans="1:41" x14ac:dyDescent="0.25">
      <c r="A133" s="2">
        <v>128</v>
      </c>
      <c r="B133" s="2" t="s">
        <v>188</v>
      </c>
      <c r="C133" s="2" t="s">
        <v>129</v>
      </c>
      <c r="D133" s="2" t="s">
        <v>170</v>
      </c>
      <c r="E133" s="13">
        <v>0.3125</v>
      </c>
      <c r="F133" s="2"/>
      <c r="G133" s="3"/>
      <c r="H133" s="3">
        <v>0.25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/>
      <c r="O133" s="8">
        <f t="shared" si="6"/>
        <v>0</v>
      </c>
      <c r="P133" s="2"/>
      <c r="Q133" s="2"/>
      <c r="R133" s="18"/>
      <c r="S133" s="2"/>
      <c r="T133" s="18"/>
      <c r="U133" s="18"/>
      <c r="V133" s="18"/>
      <c r="W133" s="18"/>
      <c r="X133" s="2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2"/>
      <c r="AK133" s="7">
        <f t="shared" si="7"/>
        <v>0</v>
      </c>
      <c r="AL133" s="8" t="s">
        <v>148</v>
      </c>
      <c r="AM133" s="12">
        <v>500</v>
      </c>
      <c r="AN133" s="8" t="s">
        <v>189</v>
      </c>
      <c r="AO133" s="8">
        <f t="shared" si="4"/>
        <v>0</v>
      </c>
    </row>
    <row r="134" spans="1:41" x14ac:dyDescent="0.25">
      <c r="A134" s="2">
        <v>129</v>
      </c>
      <c r="B134" s="2" t="s">
        <v>188</v>
      </c>
      <c r="C134" s="2" t="s">
        <v>129</v>
      </c>
      <c r="D134" s="2" t="s">
        <v>171</v>
      </c>
      <c r="E134" s="13">
        <v>0.3125</v>
      </c>
      <c r="F134" s="2"/>
      <c r="G134" s="3"/>
      <c r="H134" s="3">
        <v>0.25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8">
        <f t="shared" si="6"/>
        <v>0</v>
      </c>
      <c r="P134" s="2"/>
      <c r="Q134" s="2"/>
      <c r="R134" s="18"/>
      <c r="S134" s="2"/>
      <c r="T134" s="18"/>
      <c r="U134" s="18"/>
      <c r="V134" s="18"/>
      <c r="W134" s="18"/>
      <c r="X134" s="2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2"/>
      <c r="AK134" s="7">
        <f t="shared" si="7"/>
        <v>0</v>
      </c>
      <c r="AL134" s="8" t="s">
        <v>148</v>
      </c>
      <c r="AM134" s="12">
        <v>500</v>
      </c>
      <c r="AN134" s="8" t="s">
        <v>189</v>
      </c>
      <c r="AO134" s="8">
        <f t="shared" si="4"/>
        <v>0</v>
      </c>
    </row>
    <row r="135" spans="1:41" x14ac:dyDescent="0.25">
      <c r="A135" s="2">
        <v>130</v>
      </c>
      <c r="B135" s="2" t="s">
        <v>188</v>
      </c>
      <c r="C135" s="2" t="s">
        <v>129</v>
      </c>
      <c r="D135" s="2" t="s">
        <v>172</v>
      </c>
      <c r="E135" s="13">
        <v>0.3125</v>
      </c>
      <c r="F135" s="2"/>
      <c r="G135" s="3"/>
      <c r="H135" s="3">
        <v>0.21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/>
      <c r="O135" s="8">
        <f t="shared" si="6"/>
        <v>0</v>
      </c>
      <c r="P135" s="2"/>
      <c r="Q135" s="2"/>
      <c r="R135" s="18"/>
      <c r="S135" s="2"/>
      <c r="T135" s="18"/>
      <c r="U135" s="18"/>
      <c r="V135" s="18"/>
      <c r="W135" s="18"/>
      <c r="X135" s="2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2"/>
      <c r="AK135" s="7">
        <f t="shared" si="7"/>
        <v>0</v>
      </c>
      <c r="AL135" s="8" t="s">
        <v>148</v>
      </c>
      <c r="AM135" s="12">
        <v>500</v>
      </c>
      <c r="AN135" s="8" t="s">
        <v>189</v>
      </c>
      <c r="AO135" s="8">
        <f t="shared" ref="AO135:AO149" si="8">+SUM(I135:N135)/AM135</f>
        <v>0</v>
      </c>
    </row>
    <row r="136" spans="1:41" x14ac:dyDescent="0.25">
      <c r="A136" s="2">
        <v>131</v>
      </c>
      <c r="B136" s="2" t="s">
        <v>188</v>
      </c>
      <c r="C136" s="2" t="s">
        <v>129</v>
      </c>
      <c r="D136" s="2" t="s">
        <v>173</v>
      </c>
      <c r="E136" s="13">
        <v>0.3125</v>
      </c>
      <c r="F136" s="2"/>
      <c r="G136" s="3"/>
      <c r="H136" s="3">
        <v>0.21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/>
      <c r="O136" s="8">
        <f t="shared" si="6"/>
        <v>0</v>
      </c>
      <c r="P136" s="2"/>
      <c r="Q136" s="2"/>
      <c r="R136" s="18"/>
      <c r="S136" s="2"/>
      <c r="T136" s="18"/>
      <c r="U136" s="18"/>
      <c r="V136" s="18"/>
      <c r="W136" s="18"/>
      <c r="X136" s="2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2"/>
      <c r="AK136" s="7">
        <f t="shared" si="7"/>
        <v>0</v>
      </c>
      <c r="AL136" s="8" t="s">
        <v>148</v>
      </c>
      <c r="AM136" s="12">
        <v>500</v>
      </c>
      <c r="AN136" s="8" t="s">
        <v>189</v>
      </c>
      <c r="AO136" s="8">
        <f t="shared" si="8"/>
        <v>0</v>
      </c>
    </row>
    <row r="137" spans="1:41" x14ac:dyDescent="0.25">
      <c r="A137" s="2">
        <v>132</v>
      </c>
      <c r="B137" s="2" t="s">
        <v>188</v>
      </c>
      <c r="C137" s="2" t="s">
        <v>129</v>
      </c>
      <c r="D137" s="2" t="s">
        <v>174</v>
      </c>
      <c r="E137" s="13">
        <v>0.3125</v>
      </c>
      <c r="F137" s="2"/>
      <c r="G137" s="3"/>
      <c r="H137" s="3">
        <v>0.21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/>
      <c r="O137" s="8">
        <f t="shared" si="6"/>
        <v>0</v>
      </c>
      <c r="P137" s="2"/>
      <c r="Q137" s="2"/>
      <c r="R137" s="18"/>
      <c r="S137" s="2"/>
      <c r="T137" s="18"/>
      <c r="U137" s="18"/>
      <c r="V137" s="18"/>
      <c r="W137" s="18"/>
      <c r="X137" s="2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2"/>
      <c r="AK137" s="7">
        <f t="shared" si="7"/>
        <v>0</v>
      </c>
      <c r="AL137" s="8" t="s">
        <v>148</v>
      </c>
      <c r="AM137" s="12">
        <v>500</v>
      </c>
      <c r="AN137" s="8" t="s">
        <v>189</v>
      </c>
      <c r="AO137" s="8">
        <f t="shared" si="8"/>
        <v>0</v>
      </c>
    </row>
    <row r="138" spans="1:41" x14ac:dyDescent="0.25">
      <c r="A138" s="2">
        <v>133</v>
      </c>
      <c r="B138" s="2" t="s">
        <v>188</v>
      </c>
      <c r="C138" s="2" t="s">
        <v>129</v>
      </c>
      <c r="D138" s="2" t="s">
        <v>175</v>
      </c>
      <c r="E138" s="13">
        <v>0.3125</v>
      </c>
      <c r="F138" s="2"/>
      <c r="G138" s="3"/>
      <c r="H138" s="3">
        <v>0.21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/>
      <c r="O138" s="8">
        <f t="shared" si="6"/>
        <v>0</v>
      </c>
      <c r="P138" s="2"/>
      <c r="Q138" s="2"/>
      <c r="R138" s="18"/>
      <c r="S138" s="2"/>
      <c r="T138" s="18"/>
      <c r="U138" s="18"/>
      <c r="V138" s="18"/>
      <c r="W138" s="18"/>
      <c r="X138" s="2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2"/>
      <c r="AK138" s="7">
        <f t="shared" si="7"/>
        <v>0</v>
      </c>
      <c r="AL138" s="8" t="s">
        <v>148</v>
      </c>
      <c r="AM138" s="12">
        <v>500</v>
      </c>
      <c r="AN138" s="8" t="s">
        <v>189</v>
      </c>
      <c r="AO138" s="8">
        <f t="shared" si="8"/>
        <v>0</v>
      </c>
    </row>
    <row r="139" spans="1:41" x14ac:dyDescent="0.25">
      <c r="A139" s="2">
        <v>134</v>
      </c>
      <c r="B139" s="2" t="s">
        <v>188</v>
      </c>
      <c r="C139" s="2" t="s">
        <v>129</v>
      </c>
      <c r="D139" s="2" t="s">
        <v>176</v>
      </c>
      <c r="E139" s="13">
        <v>0.3125</v>
      </c>
      <c r="F139" s="2"/>
      <c r="G139" s="3"/>
      <c r="H139" s="3">
        <v>0.16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8">
        <f t="shared" si="6"/>
        <v>0</v>
      </c>
      <c r="P139" s="2"/>
      <c r="Q139" s="2"/>
      <c r="R139" s="18"/>
      <c r="S139" s="2"/>
      <c r="T139" s="18"/>
      <c r="U139" s="18"/>
      <c r="V139" s="18"/>
      <c r="W139" s="18"/>
      <c r="X139" s="2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2"/>
      <c r="AK139" s="7">
        <f t="shared" si="7"/>
        <v>0</v>
      </c>
      <c r="AL139" s="8" t="s">
        <v>148</v>
      </c>
      <c r="AM139" s="12">
        <v>500</v>
      </c>
      <c r="AN139" s="8" t="s">
        <v>189</v>
      </c>
      <c r="AO139" s="8">
        <f t="shared" si="8"/>
        <v>0</v>
      </c>
    </row>
    <row r="140" spans="1:41" x14ac:dyDescent="0.25">
      <c r="A140" s="2">
        <v>135</v>
      </c>
      <c r="B140" s="2" t="s">
        <v>188</v>
      </c>
      <c r="C140" s="2" t="s">
        <v>129</v>
      </c>
      <c r="D140" s="2" t="s">
        <v>177</v>
      </c>
      <c r="E140" s="13">
        <v>0.3125</v>
      </c>
      <c r="F140" s="2"/>
      <c r="G140" s="3"/>
      <c r="H140" s="3">
        <v>0.16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/>
      <c r="O140" s="8">
        <f t="shared" si="6"/>
        <v>0</v>
      </c>
      <c r="P140" s="2"/>
      <c r="Q140" s="2"/>
      <c r="R140" s="18"/>
      <c r="S140" s="2"/>
      <c r="T140" s="18"/>
      <c r="U140" s="18"/>
      <c r="V140" s="18"/>
      <c r="W140" s="18"/>
      <c r="X140" s="2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2"/>
      <c r="AK140" s="7">
        <f t="shared" si="7"/>
        <v>0</v>
      </c>
      <c r="AL140" s="8" t="s">
        <v>148</v>
      </c>
      <c r="AM140" s="12">
        <v>500</v>
      </c>
      <c r="AN140" s="8" t="s">
        <v>189</v>
      </c>
      <c r="AO140" s="8">
        <f t="shared" si="8"/>
        <v>0</v>
      </c>
    </row>
    <row r="141" spans="1:41" x14ac:dyDescent="0.25">
      <c r="A141" s="2">
        <v>136</v>
      </c>
      <c r="B141" s="2" t="s">
        <v>188</v>
      </c>
      <c r="C141" s="2" t="s">
        <v>129</v>
      </c>
      <c r="D141" s="2" t="s">
        <v>178</v>
      </c>
      <c r="E141" s="13">
        <v>0.3125</v>
      </c>
      <c r="F141" s="2"/>
      <c r="G141" s="3"/>
      <c r="H141" s="3">
        <v>0.21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/>
      <c r="O141" s="8">
        <f t="shared" si="6"/>
        <v>0</v>
      </c>
      <c r="P141" s="2"/>
      <c r="Q141" s="2"/>
      <c r="R141" s="18"/>
      <c r="S141" s="2"/>
      <c r="T141" s="18"/>
      <c r="U141" s="18"/>
      <c r="V141" s="18"/>
      <c r="W141" s="18"/>
      <c r="X141" s="2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2"/>
      <c r="AK141" s="7">
        <f t="shared" si="7"/>
        <v>0</v>
      </c>
      <c r="AL141" s="8" t="s">
        <v>148</v>
      </c>
      <c r="AM141" s="12">
        <v>500</v>
      </c>
      <c r="AN141" s="8" t="s">
        <v>189</v>
      </c>
      <c r="AO141" s="8">
        <f t="shared" si="8"/>
        <v>0</v>
      </c>
    </row>
    <row r="142" spans="1:41" x14ac:dyDescent="0.25">
      <c r="A142" s="2">
        <v>137</v>
      </c>
      <c r="B142" s="2" t="s">
        <v>188</v>
      </c>
      <c r="C142" s="2" t="s">
        <v>129</v>
      </c>
      <c r="D142" s="2" t="s">
        <v>179</v>
      </c>
      <c r="E142" s="13">
        <v>0.3125</v>
      </c>
      <c r="F142" s="2"/>
      <c r="G142" s="3"/>
      <c r="H142" s="3">
        <v>0.16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/>
      <c r="O142" s="8">
        <f t="shared" si="6"/>
        <v>0</v>
      </c>
      <c r="P142" s="2"/>
      <c r="Q142" s="2"/>
      <c r="R142" s="18"/>
      <c r="S142" s="2"/>
      <c r="T142" s="18"/>
      <c r="U142" s="18"/>
      <c r="V142" s="18"/>
      <c r="W142" s="18"/>
      <c r="X142" s="2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2"/>
      <c r="AK142" s="7">
        <f t="shared" si="7"/>
        <v>0</v>
      </c>
      <c r="AL142" s="8" t="s">
        <v>148</v>
      </c>
      <c r="AM142" s="12">
        <v>500</v>
      </c>
      <c r="AN142" s="8" t="s">
        <v>189</v>
      </c>
      <c r="AO142" s="8">
        <f t="shared" si="8"/>
        <v>0</v>
      </c>
    </row>
    <row r="143" spans="1:41" x14ac:dyDescent="0.25">
      <c r="A143" s="2">
        <v>138</v>
      </c>
      <c r="B143" s="2" t="s">
        <v>188</v>
      </c>
      <c r="C143" s="2" t="s">
        <v>129</v>
      </c>
      <c r="D143" s="2" t="s">
        <v>180</v>
      </c>
      <c r="E143" s="13">
        <v>0.3125</v>
      </c>
      <c r="F143" s="2"/>
      <c r="G143" s="3"/>
      <c r="H143" s="3">
        <v>0.16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/>
      <c r="O143" s="8">
        <f t="shared" si="6"/>
        <v>0</v>
      </c>
      <c r="P143" s="2"/>
      <c r="Q143" s="2"/>
      <c r="R143" s="18"/>
      <c r="S143" s="2"/>
      <c r="T143" s="18"/>
      <c r="U143" s="18"/>
      <c r="V143" s="18"/>
      <c r="W143" s="18"/>
      <c r="X143" s="2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2"/>
      <c r="AK143" s="7">
        <f t="shared" si="7"/>
        <v>0</v>
      </c>
      <c r="AL143" s="8" t="s">
        <v>148</v>
      </c>
      <c r="AM143" s="12">
        <v>500</v>
      </c>
      <c r="AN143" s="8" t="s">
        <v>189</v>
      </c>
      <c r="AO143" s="8">
        <f t="shared" si="8"/>
        <v>0</v>
      </c>
    </row>
    <row r="144" spans="1:41" x14ac:dyDescent="0.25">
      <c r="A144" s="2">
        <v>139</v>
      </c>
      <c r="B144" s="2" t="s">
        <v>188</v>
      </c>
      <c r="C144" s="2" t="s">
        <v>129</v>
      </c>
      <c r="D144" s="2" t="s">
        <v>181</v>
      </c>
      <c r="E144" s="13">
        <v>0.3125</v>
      </c>
      <c r="F144" s="2"/>
      <c r="G144" s="3"/>
      <c r="H144" s="3">
        <v>0.21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/>
      <c r="O144" s="8">
        <f t="shared" si="6"/>
        <v>0</v>
      </c>
      <c r="P144" s="2"/>
      <c r="Q144" s="2"/>
      <c r="R144" s="18"/>
      <c r="S144" s="2"/>
      <c r="T144" s="18"/>
      <c r="U144" s="18"/>
      <c r="V144" s="18"/>
      <c r="W144" s="18"/>
      <c r="X144" s="2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2"/>
      <c r="AK144" s="7">
        <f t="shared" si="7"/>
        <v>0</v>
      </c>
      <c r="AL144" s="8" t="s">
        <v>148</v>
      </c>
      <c r="AM144" s="12">
        <v>500</v>
      </c>
      <c r="AN144" s="8" t="s">
        <v>189</v>
      </c>
      <c r="AO144" s="8">
        <f t="shared" si="8"/>
        <v>0</v>
      </c>
    </row>
    <row r="145" spans="1:41" x14ac:dyDescent="0.25">
      <c r="A145" s="2">
        <v>140</v>
      </c>
      <c r="B145" s="2" t="s">
        <v>188</v>
      </c>
      <c r="C145" s="2" t="s">
        <v>129</v>
      </c>
      <c r="D145" s="2" t="s">
        <v>182</v>
      </c>
      <c r="E145" s="13">
        <v>0.3125</v>
      </c>
      <c r="F145" s="2"/>
      <c r="G145" s="3"/>
      <c r="H145" s="3">
        <v>0.21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/>
      <c r="O145" s="8">
        <f t="shared" si="6"/>
        <v>0</v>
      </c>
      <c r="P145" s="2"/>
      <c r="Q145" s="2"/>
      <c r="R145" s="18"/>
      <c r="S145" s="2"/>
      <c r="T145" s="18"/>
      <c r="U145" s="18"/>
      <c r="V145" s="18"/>
      <c r="W145" s="18"/>
      <c r="X145" s="2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2"/>
      <c r="AK145" s="7">
        <f t="shared" si="7"/>
        <v>0</v>
      </c>
      <c r="AL145" s="8" t="s">
        <v>148</v>
      </c>
      <c r="AM145" s="12">
        <v>500</v>
      </c>
      <c r="AN145" s="8" t="s">
        <v>189</v>
      </c>
      <c r="AO145" s="8">
        <f t="shared" si="8"/>
        <v>0</v>
      </c>
    </row>
    <row r="146" spans="1:41" x14ac:dyDescent="0.25">
      <c r="A146" s="2">
        <v>141</v>
      </c>
      <c r="B146" s="2" t="s">
        <v>188</v>
      </c>
      <c r="C146" s="2" t="s">
        <v>129</v>
      </c>
      <c r="D146" s="2" t="s">
        <v>183</v>
      </c>
      <c r="E146" s="13">
        <v>0.3125</v>
      </c>
      <c r="F146" s="2"/>
      <c r="G146" s="3"/>
      <c r="H146" s="3">
        <v>0.21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/>
      <c r="O146" s="8">
        <f t="shared" si="6"/>
        <v>0</v>
      </c>
      <c r="P146" s="2"/>
      <c r="Q146" s="2"/>
      <c r="R146" s="18"/>
      <c r="S146" s="2"/>
      <c r="T146" s="18"/>
      <c r="U146" s="18"/>
      <c r="V146" s="18"/>
      <c r="W146" s="18"/>
      <c r="X146" s="2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2"/>
      <c r="AK146" s="7">
        <f t="shared" si="7"/>
        <v>0</v>
      </c>
      <c r="AL146" s="8" t="s">
        <v>148</v>
      </c>
      <c r="AM146" s="12">
        <v>500</v>
      </c>
      <c r="AN146" s="8" t="s">
        <v>189</v>
      </c>
      <c r="AO146" s="8">
        <f t="shared" si="8"/>
        <v>0</v>
      </c>
    </row>
    <row r="147" spans="1:41" x14ac:dyDescent="0.25">
      <c r="A147" s="2">
        <v>142</v>
      </c>
      <c r="B147" s="2" t="s">
        <v>188</v>
      </c>
      <c r="C147" s="2" t="s">
        <v>129</v>
      </c>
      <c r="D147" s="2" t="s">
        <v>184</v>
      </c>
      <c r="E147" s="13">
        <v>0.3125</v>
      </c>
      <c r="F147" s="2"/>
      <c r="G147" s="3"/>
      <c r="H147" s="3">
        <v>0.21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/>
      <c r="O147" s="8">
        <f t="shared" si="6"/>
        <v>0</v>
      </c>
      <c r="P147" s="2"/>
      <c r="Q147" s="2"/>
      <c r="R147" s="18"/>
      <c r="S147" s="2"/>
      <c r="T147" s="18"/>
      <c r="U147" s="18"/>
      <c r="V147" s="18"/>
      <c r="W147" s="18"/>
      <c r="X147" s="2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2"/>
      <c r="AK147" s="7">
        <f t="shared" si="7"/>
        <v>0</v>
      </c>
      <c r="AL147" s="8" t="s">
        <v>148</v>
      </c>
      <c r="AM147" s="12">
        <v>500</v>
      </c>
      <c r="AN147" s="8" t="s">
        <v>189</v>
      </c>
      <c r="AO147" s="8">
        <f t="shared" si="8"/>
        <v>0</v>
      </c>
    </row>
    <row r="148" spans="1:41" x14ac:dyDescent="0.25">
      <c r="A148" s="2">
        <v>143</v>
      </c>
      <c r="B148" s="2" t="s">
        <v>188</v>
      </c>
      <c r="C148" s="2" t="s">
        <v>129</v>
      </c>
      <c r="D148" s="2" t="s">
        <v>185</v>
      </c>
      <c r="E148" s="13">
        <v>0.3125</v>
      </c>
      <c r="F148" s="2"/>
      <c r="G148" s="3"/>
      <c r="H148" s="3">
        <v>0.19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/>
      <c r="O148" s="8">
        <f t="shared" si="6"/>
        <v>0</v>
      </c>
      <c r="P148" s="2"/>
      <c r="Q148" s="2"/>
      <c r="R148" s="18"/>
      <c r="S148" s="2"/>
      <c r="T148" s="18"/>
      <c r="U148" s="18"/>
      <c r="V148" s="18"/>
      <c r="W148" s="18"/>
      <c r="X148" s="2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2"/>
      <c r="AK148" s="7">
        <f t="shared" si="7"/>
        <v>0</v>
      </c>
      <c r="AL148" s="8" t="s">
        <v>148</v>
      </c>
      <c r="AM148" s="12">
        <v>500</v>
      </c>
      <c r="AN148" s="8" t="s">
        <v>189</v>
      </c>
      <c r="AO148" s="8">
        <f t="shared" si="8"/>
        <v>0</v>
      </c>
    </row>
    <row r="149" spans="1:41" x14ac:dyDescent="0.25">
      <c r="A149" s="2">
        <v>144</v>
      </c>
      <c r="B149" s="2" t="s">
        <v>188</v>
      </c>
      <c r="C149" s="2" t="s">
        <v>129</v>
      </c>
      <c r="D149" s="2" t="s">
        <v>186</v>
      </c>
      <c r="E149" s="13">
        <v>0.3125</v>
      </c>
      <c r="F149" s="2"/>
      <c r="G149" s="3"/>
      <c r="H149" s="3">
        <v>0.19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8">
        <f t="shared" si="6"/>
        <v>0</v>
      </c>
      <c r="P149" s="2"/>
      <c r="Q149" s="2"/>
      <c r="R149" s="18"/>
      <c r="S149" s="2"/>
      <c r="T149" s="18"/>
      <c r="U149" s="18"/>
      <c r="V149" s="18"/>
      <c r="W149" s="18"/>
      <c r="X149" s="2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2"/>
      <c r="AK149" s="7">
        <f t="shared" si="7"/>
        <v>0</v>
      </c>
      <c r="AL149" s="8" t="s">
        <v>148</v>
      </c>
      <c r="AM149" s="12">
        <v>500</v>
      </c>
      <c r="AN149" s="8" t="s">
        <v>189</v>
      </c>
      <c r="AO149" s="8">
        <f t="shared" si="8"/>
        <v>0</v>
      </c>
    </row>
    <row r="150" spans="1:41" x14ac:dyDescent="0.25">
      <c r="H150" s="4" t="s">
        <v>19</v>
      </c>
      <c r="I150" s="9">
        <f t="shared" ref="I150:AK150" si="9">SUM(I6:I122)</f>
        <v>-2238</v>
      </c>
      <c r="J150" s="9">
        <f t="shared" si="9"/>
        <v>5300</v>
      </c>
      <c r="K150" s="9">
        <f t="shared" si="9"/>
        <v>12960</v>
      </c>
      <c r="L150" s="9">
        <f t="shared" si="9"/>
        <v>4673</v>
      </c>
      <c r="M150" s="9">
        <f t="shared" si="9"/>
        <v>10200</v>
      </c>
      <c r="N150" s="9">
        <f t="shared" si="9"/>
        <v>800</v>
      </c>
      <c r="O150" s="11">
        <f t="shared" si="9"/>
        <v>7578</v>
      </c>
      <c r="P150" s="9">
        <f t="shared" si="9"/>
        <v>2267</v>
      </c>
      <c r="Q150" s="9">
        <f t="shared" si="9"/>
        <v>2040</v>
      </c>
      <c r="R150" s="9">
        <f t="shared" si="9"/>
        <v>2055</v>
      </c>
      <c r="S150" s="9">
        <f t="shared" si="9"/>
        <v>1432</v>
      </c>
      <c r="T150" s="9">
        <f t="shared" si="9"/>
        <v>4101</v>
      </c>
      <c r="U150" s="9">
        <f t="shared" si="9"/>
        <v>1890</v>
      </c>
      <c r="V150" s="9">
        <f t="shared" si="9"/>
        <v>4210</v>
      </c>
      <c r="W150" s="19">
        <f t="shared" si="9"/>
        <v>1480</v>
      </c>
      <c r="X150" s="9">
        <f t="shared" si="9"/>
        <v>1190</v>
      </c>
      <c r="Y150" s="9">
        <f t="shared" si="9"/>
        <v>3452</v>
      </c>
      <c r="Z150" s="9">
        <f t="shared" si="9"/>
        <v>0</v>
      </c>
      <c r="AA150" s="9">
        <f t="shared" si="9"/>
        <v>0</v>
      </c>
      <c r="AB150" s="9">
        <f t="shared" si="9"/>
        <v>0</v>
      </c>
      <c r="AC150" s="9">
        <f t="shared" si="9"/>
        <v>0</v>
      </c>
      <c r="AD150" s="9">
        <f t="shared" si="9"/>
        <v>0</v>
      </c>
      <c r="AE150" s="9">
        <f t="shared" si="9"/>
        <v>0</v>
      </c>
      <c r="AF150" s="9">
        <f t="shared" si="9"/>
        <v>0</v>
      </c>
      <c r="AG150" s="9">
        <f t="shared" si="9"/>
        <v>0</v>
      </c>
      <c r="AH150" s="9">
        <f t="shared" si="9"/>
        <v>0</v>
      </c>
      <c r="AI150" s="9">
        <f t="shared" si="9"/>
        <v>0</v>
      </c>
      <c r="AJ150" s="9">
        <f t="shared" si="9"/>
        <v>0</v>
      </c>
      <c r="AK150" s="9">
        <f t="shared" si="9"/>
        <v>0</v>
      </c>
      <c r="AO150" s="12">
        <f>SUM(AO6:AO122)</f>
        <v>266.08199999999999</v>
      </c>
    </row>
    <row r="151" spans="1:41" x14ac:dyDescent="0.25">
      <c r="H151" s="4" t="s">
        <v>21</v>
      </c>
      <c r="I151" s="99">
        <f>+I150+J150+K150+L150+M150+N150</f>
        <v>31695</v>
      </c>
      <c r="J151" s="99"/>
      <c r="K151" s="99"/>
      <c r="L151" s="99"/>
      <c r="M151" s="99"/>
      <c r="N151" s="99"/>
      <c r="P151" s="123">
        <f>+P150+Q150</f>
        <v>4307</v>
      </c>
      <c r="Q151" s="124"/>
      <c r="R151" s="123">
        <f>+R150+S150</f>
        <v>3487</v>
      </c>
      <c r="S151" s="124"/>
      <c r="T151" s="123">
        <f>+T150+U150</f>
        <v>5991</v>
      </c>
      <c r="U151" s="124"/>
      <c r="V151" s="123">
        <f t="shared" ref="V151" si="10">+V150+W150</f>
        <v>5690</v>
      </c>
      <c r="W151" s="124"/>
      <c r="X151" s="123">
        <f t="shared" ref="X151" si="11">+X150+Y150</f>
        <v>4642</v>
      </c>
      <c r="Y151" s="124"/>
      <c r="Z151" s="123">
        <f t="shared" ref="Z151" si="12">+Z150+AA150</f>
        <v>0</v>
      </c>
      <c r="AA151" s="124"/>
      <c r="AB151" s="123">
        <f t="shared" ref="AB151" si="13">+AB150+AC150</f>
        <v>0</v>
      </c>
      <c r="AC151" s="124"/>
      <c r="AD151" s="123">
        <f t="shared" ref="AD151" si="14">+AD150+AE150</f>
        <v>0</v>
      </c>
      <c r="AE151" s="124"/>
      <c r="AF151" s="123">
        <f t="shared" ref="AF151" si="15">+AF150+AG150</f>
        <v>0</v>
      </c>
      <c r="AG151" s="124"/>
      <c r="AH151" s="123">
        <f t="shared" ref="AH151" si="16">+AH150+AI150</f>
        <v>0</v>
      </c>
      <c r="AI151" s="124"/>
      <c r="AJ151" s="10">
        <f>+AJ150</f>
        <v>0</v>
      </c>
    </row>
    <row r="152" spans="1:41" x14ac:dyDescent="0.25">
      <c r="I152" s="34">
        <v>15308</v>
      </c>
      <c r="J152" s="34">
        <f t="shared" ref="J152:N152" si="17">+J150</f>
        <v>5300</v>
      </c>
      <c r="K152" s="34">
        <f t="shared" si="17"/>
        <v>12960</v>
      </c>
      <c r="L152" s="34">
        <f t="shared" si="17"/>
        <v>4673</v>
      </c>
      <c r="M152" s="34">
        <f t="shared" si="17"/>
        <v>10200</v>
      </c>
      <c r="N152" s="34">
        <f t="shared" si="17"/>
        <v>800</v>
      </c>
    </row>
    <row r="154" spans="1:41" x14ac:dyDescent="0.25">
      <c r="C154" s="2" t="s">
        <v>217</v>
      </c>
      <c r="D154" s="2" t="s">
        <v>218</v>
      </c>
      <c r="E154" s="2" t="s">
        <v>219</v>
      </c>
    </row>
    <row r="155" spans="1:41" x14ac:dyDescent="0.25">
      <c r="B155" s="31" t="s">
        <v>212</v>
      </c>
      <c r="C155" s="8">
        <v>49241</v>
      </c>
      <c r="D155" s="2">
        <f>+C155/5</f>
        <v>9848.2000000000007</v>
      </c>
      <c r="E155" s="2">
        <f>+D155/2</f>
        <v>4924.1000000000004</v>
      </c>
      <c r="H155" s="22"/>
    </row>
    <row r="156" spans="1:41" x14ac:dyDescent="0.25">
      <c r="B156" s="31" t="s">
        <v>213</v>
      </c>
      <c r="C156" s="8">
        <v>16257</v>
      </c>
      <c r="D156" s="2">
        <f>+C156/5</f>
        <v>3251.4</v>
      </c>
      <c r="E156" s="2">
        <f>+D156/2</f>
        <v>1625.7</v>
      </c>
    </row>
    <row r="157" spans="1:41" x14ac:dyDescent="0.25">
      <c r="B157" s="31" t="s">
        <v>214</v>
      </c>
      <c r="C157" s="2">
        <f>+C155-C156</f>
        <v>32984</v>
      </c>
      <c r="D157" s="2"/>
      <c r="E157" s="2"/>
    </row>
    <row r="158" spans="1:41" x14ac:dyDescent="0.25">
      <c r="B158" s="31" t="s">
        <v>215</v>
      </c>
      <c r="C158" s="32">
        <f>+C157/C155</f>
        <v>0.66984829715074834</v>
      </c>
      <c r="D158" s="2"/>
      <c r="E158" s="2"/>
    </row>
    <row r="159" spans="1:41" x14ac:dyDescent="0.25">
      <c r="B159" s="31" t="s">
        <v>216</v>
      </c>
      <c r="C159" s="32">
        <f>+C156/C155</f>
        <v>0.33015170284925166</v>
      </c>
      <c r="D159" s="2"/>
      <c r="E159" s="2"/>
    </row>
  </sheetData>
  <autoFilter ref="B5:AO151" xr:uid="{00000000-0009-0000-0000-000004000000}"/>
  <mergeCells count="24">
    <mergeCell ref="AF4:AG4"/>
    <mergeCell ref="AH4:AI4"/>
    <mergeCell ref="C2:D2"/>
    <mergeCell ref="B3:B4"/>
    <mergeCell ref="P4:Q4"/>
    <mergeCell ref="R4:S4"/>
    <mergeCell ref="T4:U4"/>
    <mergeCell ref="V4:W4"/>
    <mergeCell ref="X4:Y4"/>
    <mergeCell ref="Z4:AA4"/>
    <mergeCell ref="AB4:AC4"/>
    <mergeCell ref="AD4:AE4"/>
    <mergeCell ref="J4:N4"/>
    <mergeCell ref="Z151:AA151"/>
    <mergeCell ref="AB151:AC151"/>
    <mergeCell ref="AD151:AE151"/>
    <mergeCell ref="AF151:AG151"/>
    <mergeCell ref="AH151:AI151"/>
    <mergeCell ref="X151:Y151"/>
    <mergeCell ref="I151:N151"/>
    <mergeCell ref="P151:Q151"/>
    <mergeCell ref="R151:S151"/>
    <mergeCell ref="T151:U151"/>
    <mergeCell ref="V151:W151"/>
  </mergeCells>
  <pageMargins left="0.70866141732283472" right="0.70866141732283472" top="0.74803149606299213" bottom="0.74803149606299213" header="0.31496062992125984" footer="0.31496062992125984"/>
  <pageSetup paperSize="9" scale="34" orientation="landscape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50"/>
    <pageSetUpPr fitToPage="1"/>
  </sheetPr>
  <dimension ref="A1:AJ165"/>
  <sheetViews>
    <sheetView topLeftCell="A91" zoomScale="80" zoomScaleNormal="80" zoomScaleSheetLayoutView="100" workbookViewId="0">
      <pane xSplit="16" topLeftCell="Q1" activePane="topRight" state="frozen"/>
      <selection activeCell="P7" sqref="P7"/>
      <selection pane="topRight" activeCell="E110" sqref="E110"/>
    </sheetView>
  </sheetViews>
  <sheetFormatPr baseColWidth="10" defaultColWidth="8.7109375" defaultRowHeight="15" x14ac:dyDescent="0.25"/>
  <cols>
    <col min="1" max="2" width="8.7109375" style="16"/>
    <col min="3" max="3" width="21.140625" style="16" bestFit="1" customWidth="1"/>
    <col min="4" max="4" width="14.42578125" style="16" customWidth="1"/>
    <col min="5" max="5" width="17.140625" style="16" customWidth="1"/>
    <col min="6" max="6" width="14.5703125" style="16" customWidth="1"/>
    <col min="7" max="7" width="8.7109375" style="16" customWidth="1"/>
    <col min="8" max="8" width="10.5703125" style="16" hidden="1" customWidth="1"/>
    <col min="9" max="9" width="15.42578125" style="16" hidden="1" customWidth="1"/>
    <col min="10" max="10" width="11.42578125" style="16" customWidth="1"/>
    <col min="11" max="11" width="10.140625" style="16" customWidth="1"/>
    <col min="12" max="12" width="9.5703125" style="16" customWidth="1"/>
    <col min="13" max="13" width="9.5703125" style="16" hidden="1" customWidth="1"/>
    <col min="14" max="14" width="8.42578125" style="16" hidden="1" customWidth="1"/>
    <col min="15" max="15" width="9.5703125" style="16" hidden="1" customWidth="1"/>
    <col min="16" max="16" width="10.140625" style="16" customWidth="1"/>
    <col min="17" max="18" width="9.140625" style="16" customWidth="1"/>
    <col min="19" max="27" width="8.7109375" style="16" customWidth="1"/>
    <col min="28" max="28" width="8.7109375" style="16"/>
    <col min="29" max="29" width="14.42578125" style="16" bestFit="1" customWidth="1"/>
    <col min="30" max="30" width="13" style="16" customWidth="1"/>
    <col min="31" max="31" width="11.5703125" style="16" bestFit="1" customWidth="1"/>
    <col min="32" max="32" width="12.140625" style="16" bestFit="1" customWidth="1"/>
    <col min="33" max="33" width="8.7109375" style="16"/>
    <col min="34" max="34" width="14.42578125" style="16" bestFit="1" customWidth="1"/>
    <col min="35" max="35" width="18.42578125" style="16" bestFit="1" customWidth="1"/>
    <col min="36" max="16384" width="8.7109375" style="16"/>
  </cols>
  <sheetData>
    <row r="1" spans="2:36" x14ac:dyDescent="0.25">
      <c r="AG1" s="128"/>
    </row>
    <row r="2" spans="2:36" x14ac:dyDescent="0.25">
      <c r="C2" s="4" t="s">
        <v>17</v>
      </c>
      <c r="D2" s="92" t="s">
        <v>18</v>
      </c>
      <c r="E2" s="92"/>
      <c r="AG2" s="128"/>
    </row>
    <row r="3" spans="2:36" x14ac:dyDescent="0.25">
      <c r="C3" s="93">
        <f ca="1">TODAY()</f>
        <v>46308</v>
      </c>
      <c r="D3" s="4" t="s">
        <v>15</v>
      </c>
      <c r="E3" s="2" t="s">
        <v>209</v>
      </c>
      <c r="J3" s="17" t="s">
        <v>4</v>
      </c>
      <c r="AG3" s="128"/>
    </row>
    <row r="4" spans="2:36" x14ac:dyDescent="0.25">
      <c r="C4" s="93"/>
      <c r="D4" s="4" t="s">
        <v>16</v>
      </c>
      <c r="E4" s="2"/>
      <c r="H4" s="1"/>
      <c r="I4" s="1"/>
      <c r="J4" s="4" t="s">
        <v>5</v>
      </c>
      <c r="K4" s="98" t="s">
        <v>211</v>
      </c>
      <c r="L4" s="98"/>
      <c r="M4" s="98"/>
      <c r="N4" s="98"/>
      <c r="O4" s="98"/>
      <c r="P4" s="1"/>
      <c r="Q4" s="122">
        <v>46230</v>
      </c>
      <c r="R4" s="122"/>
      <c r="S4" s="125">
        <v>46231</v>
      </c>
      <c r="T4" s="122"/>
      <c r="U4" s="122">
        <v>46232</v>
      </c>
      <c r="V4" s="122"/>
      <c r="W4" s="122">
        <v>46233</v>
      </c>
      <c r="X4" s="122"/>
      <c r="Y4" s="122">
        <v>46234</v>
      </c>
      <c r="Z4" s="125"/>
      <c r="AA4" s="6" t="s">
        <v>10</v>
      </c>
      <c r="AG4" s="128"/>
    </row>
    <row r="5" spans="2:36" x14ac:dyDescent="0.25">
      <c r="C5" s="4" t="s">
        <v>0</v>
      </c>
      <c r="D5" s="4" t="s">
        <v>6</v>
      </c>
      <c r="E5" s="4" t="s">
        <v>7</v>
      </c>
      <c r="F5" s="4" t="s">
        <v>1</v>
      </c>
      <c r="G5" s="4" t="s">
        <v>2</v>
      </c>
      <c r="H5" s="4" t="s">
        <v>3</v>
      </c>
      <c r="I5" s="4" t="s">
        <v>187</v>
      </c>
      <c r="J5" s="5">
        <v>31</v>
      </c>
      <c r="K5" s="4" t="s">
        <v>10</v>
      </c>
      <c r="L5" s="4" t="s">
        <v>9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17" t="s">
        <v>15</v>
      </c>
      <c r="T5" s="4" t="s">
        <v>16</v>
      </c>
      <c r="U5" s="17" t="s">
        <v>15</v>
      </c>
      <c r="V5" s="17" t="s">
        <v>16</v>
      </c>
      <c r="W5" s="17" t="s">
        <v>15</v>
      </c>
      <c r="X5" s="17" t="s">
        <v>16</v>
      </c>
      <c r="Y5" s="17" t="s">
        <v>15</v>
      </c>
      <c r="Z5" s="17" t="s">
        <v>16</v>
      </c>
      <c r="AA5" s="4" t="s">
        <v>20</v>
      </c>
      <c r="AB5" s="4" t="s">
        <v>8</v>
      </c>
      <c r="AC5" s="4" t="s">
        <v>22</v>
      </c>
      <c r="AD5" s="4" t="s">
        <v>145</v>
      </c>
      <c r="AE5" s="4" t="s">
        <v>23</v>
      </c>
      <c r="AF5" s="4" t="s">
        <v>156</v>
      </c>
      <c r="AG5" s="128"/>
      <c r="AH5" t="s">
        <v>157</v>
      </c>
      <c r="AI5" t="s">
        <v>159</v>
      </c>
      <c r="AJ5" s="37"/>
    </row>
    <row r="6" spans="2:36" x14ac:dyDescent="0.25">
      <c r="B6" s="2">
        <v>1</v>
      </c>
      <c r="C6" s="2" t="s">
        <v>24</v>
      </c>
      <c r="D6" s="2" t="s">
        <v>129</v>
      </c>
      <c r="E6" s="2" t="s">
        <v>25</v>
      </c>
      <c r="F6" s="13">
        <v>0.25</v>
      </c>
      <c r="G6" s="2">
        <v>2.8000000000000001E-2</v>
      </c>
      <c r="H6" s="3"/>
      <c r="I6" s="3"/>
      <c r="J6" s="2">
        <v>0</v>
      </c>
      <c r="K6" s="2"/>
      <c r="L6" s="2">
        <v>0</v>
      </c>
      <c r="M6" s="2"/>
      <c r="N6" s="2"/>
      <c r="O6" s="2"/>
      <c r="P6" s="8">
        <f t="shared" ref="P6:P37" si="0">+J6+K6+L6+M6+N6+O6-SUM(Q6:AA6)</f>
        <v>0</v>
      </c>
      <c r="Q6" s="2"/>
      <c r="R6" s="2"/>
      <c r="S6" s="18"/>
      <c r="T6" s="2"/>
      <c r="U6" s="18"/>
      <c r="V6" s="18"/>
      <c r="W6" s="18"/>
      <c r="X6" s="18"/>
      <c r="Y6" s="18"/>
      <c r="Z6" s="18"/>
      <c r="AA6" s="2"/>
      <c r="AB6" s="7">
        <f t="shared" ref="AB6:AB37" si="1">+H6*SUM(J6:O6)</f>
        <v>0</v>
      </c>
      <c r="AC6" s="8" t="s">
        <v>146</v>
      </c>
      <c r="AD6" s="8">
        <v>150</v>
      </c>
      <c r="AE6" s="8" t="s">
        <v>152</v>
      </c>
      <c r="AF6" s="8">
        <f t="shared" ref="AF6:AF21" si="2">+SUM(J6:O6)/AD6</f>
        <v>0</v>
      </c>
      <c r="AG6" s="128"/>
      <c r="AH6" s="15">
        <v>0</v>
      </c>
      <c r="AI6">
        <v>0</v>
      </c>
      <c r="AJ6" s="37"/>
    </row>
    <row r="7" spans="2:36" x14ac:dyDescent="0.25">
      <c r="B7" s="2">
        <v>2</v>
      </c>
      <c r="C7" s="2" t="s">
        <v>24</v>
      </c>
      <c r="D7" s="2" t="s">
        <v>129</v>
      </c>
      <c r="E7" s="2" t="s">
        <v>26</v>
      </c>
      <c r="F7" s="13">
        <v>0.25</v>
      </c>
      <c r="G7" s="2">
        <v>2.8000000000000001E-2</v>
      </c>
      <c r="H7" s="3"/>
      <c r="I7" s="3"/>
      <c r="J7" s="2">
        <v>0</v>
      </c>
      <c r="K7" s="2"/>
      <c r="L7" s="2">
        <v>0</v>
      </c>
      <c r="M7" s="2"/>
      <c r="N7" s="2"/>
      <c r="O7" s="2"/>
      <c r="P7" s="8">
        <f t="shared" si="0"/>
        <v>0</v>
      </c>
      <c r="Q7" s="2"/>
      <c r="R7" s="2"/>
      <c r="S7" s="18"/>
      <c r="T7" s="2"/>
      <c r="U7" s="18"/>
      <c r="V7" s="18"/>
      <c r="W7" s="18"/>
      <c r="X7" s="18"/>
      <c r="Y7" s="18"/>
      <c r="Z7" s="18"/>
      <c r="AA7" s="2"/>
      <c r="AB7" s="7">
        <f t="shared" si="1"/>
        <v>0</v>
      </c>
      <c r="AC7" s="8" t="s">
        <v>146</v>
      </c>
      <c r="AD7" s="8">
        <v>200</v>
      </c>
      <c r="AE7" s="8" t="s">
        <v>152</v>
      </c>
      <c r="AF7" s="8">
        <f t="shared" si="2"/>
        <v>0</v>
      </c>
      <c r="AG7" s="128"/>
      <c r="AH7" s="15" t="s">
        <v>146</v>
      </c>
      <c r="AI7">
        <v>52</v>
      </c>
      <c r="AJ7" s="37"/>
    </row>
    <row r="8" spans="2:36" x14ac:dyDescent="0.25">
      <c r="B8" s="2">
        <v>3</v>
      </c>
      <c r="C8" s="2" t="s">
        <v>24</v>
      </c>
      <c r="D8" s="2" t="s">
        <v>129</v>
      </c>
      <c r="E8" s="2" t="s">
        <v>27</v>
      </c>
      <c r="F8" s="13">
        <v>0.25</v>
      </c>
      <c r="G8" s="2">
        <v>2.8000000000000001E-2</v>
      </c>
      <c r="H8" s="3"/>
      <c r="I8" s="3"/>
      <c r="J8" s="2">
        <v>0</v>
      </c>
      <c r="K8" s="2"/>
      <c r="L8" s="2">
        <v>0</v>
      </c>
      <c r="M8" s="2"/>
      <c r="N8" s="2"/>
      <c r="O8" s="2"/>
      <c r="P8" s="8">
        <f t="shared" si="0"/>
        <v>0</v>
      </c>
      <c r="Q8" s="2"/>
      <c r="R8" s="2"/>
      <c r="S8" s="18"/>
      <c r="T8" s="2"/>
      <c r="U8" s="18"/>
      <c r="V8" s="18"/>
      <c r="W8" s="18"/>
      <c r="X8" s="18"/>
      <c r="Y8" s="18"/>
      <c r="Z8" s="18"/>
      <c r="AA8" s="2"/>
      <c r="AB8" s="7">
        <f t="shared" si="1"/>
        <v>0</v>
      </c>
      <c r="AC8" s="8" t="s">
        <v>146</v>
      </c>
      <c r="AD8" s="8">
        <v>200</v>
      </c>
      <c r="AE8" s="8" t="s">
        <v>152</v>
      </c>
      <c r="AF8" s="8">
        <f t="shared" si="2"/>
        <v>0</v>
      </c>
      <c r="AG8" s="128"/>
      <c r="AH8" s="15" t="s">
        <v>155</v>
      </c>
      <c r="AI8">
        <v>0</v>
      </c>
      <c r="AJ8" s="37"/>
    </row>
    <row r="9" spans="2:36" x14ac:dyDescent="0.25">
      <c r="B9" s="2">
        <v>4</v>
      </c>
      <c r="C9" s="2" t="s">
        <v>24</v>
      </c>
      <c r="D9" s="2" t="s">
        <v>129</v>
      </c>
      <c r="E9" s="2" t="s">
        <v>28</v>
      </c>
      <c r="F9" s="13">
        <v>0.375</v>
      </c>
      <c r="G9" s="2">
        <v>2.8000000000000001E-2</v>
      </c>
      <c r="H9" s="3"/>
      <c r="I9" s="3"/>
      <c r="J9" s="2">
        <v>0</v>
      </c>
      <c r="K9" s="2"/>
      <c r="L9" s="2">
        <v>0</v>
      </c>
      <c r="M9" s="2"/>
      <c r="N9" s="2"/>
      <c r="O9" s="2"/>
      <c r="P9" s="8">
        <f t="shared" si="0"/>
        <v>0</v>
      </c>
      <c r="Q9" s="2"/>
      <c r="R9" s="2"/>
      <c r="S9" s="18"/>
      <c r="T9" s="2"/>
      <c r="U9" s="18"/>
      <c r="V9" s="18"/>
      <c r="W9" s="18"/>
      <c r="X9" s="18"/>
      <c r="Y9" s="18"/>
      <c r="Z9" s="18"/>
      <c r="AA9" s="2"/>
      <c r="AB9" s="7">
        <f t="shared" si="1"/>
        <v>0</v>
      </c>
      <c r="AC9" s="8" t="s">
        <v>146</v>
      </c>
      <c r="AD9" s="8">
        <v>100</v>
      </c>
      <c r="AE9" s="8" t="s">
        <v>152</v>
      </c>
      <c r="AF9" s="8">
        <f t="shared" si="2"/>
        <v>0</v>
      </c>
      <c r="AG9" s="128"/>
      <c r="AH9" s="15" t="s">
        <v>147</v>
      </c>
      <c r="AI9">
        <v>116</v>
      </c>
      <c r="AJ9" s="37"/>
    </row>
    <row r="10" spans="2:36" x14ac:dyDescent="0.25">
      <c r="B10" s="2">
        <v>5</v>
      </c>
      <c r="C10" s="2" t="s">
        <v>24</v>
      </c>
      <c r="D10" s="2" t="s">
        <v>129</v>
      </c>
      <c r="E10" s="2" t="s">
        <v>29</v>
      </c>
      <c r="F10" s="13">
        <v>0.375</v>
      </c>
      <c r="G10" s="2">
        <v>2.8000000000000001E-2</v>
      </c>
      <c r="H10" s="3"/>
      <c r="I10" s="3"/>
      <c r="J10" s="2">
        <v>0</v>
      </c>
      <c r="K10" s="2"/>
      <c r="L10" s="2">
        <v>0</v>
      </c>
      <c r="M10" s="2"/>
      <c r="N10" s="2"/>
      <c r="O10" s="2"/>
      <c r="P10" s="8">
        <f t="shared" si="0"/>
        <v>0</v>
      </c>
      <c r="Q10" s="2"/>
      <c r="R10" s="2"/>
      <c r="S10" s="18"/>
      <c r="T10" s="2"/>
      <c r="U10" s="18"/>
      <c r="V10" s="18"/>
      <c r="W10" s="18"/>
      <c r="X10" s="18"/>
      <c r="Y10" s="18"/>
      <c r="Z10" s="18"/>
      <c r="AA10" s="2"/>
      <c r="AB10" s="7">
        <f t="shared" si="1"/>
        <v>0</v>
      </c>
      <c r="AC10" s="8" t="s">
        <v>146</v>
      </c>
      <c r="AD10" s="8">
        <v>150</v>
      </c>
      <c r="AE10" s="8" t="s">
        <v>152</v>
      </c>
      <c r="AF10" s="8">
        <f t="shared" si="2"/>
        <v>0</v>
      </c>
      <c r="AG10" s="128"/>
      <c r="AH10" s="15" t="s">
        <v>150</v>
      </c>
      <c r="AI10">
        <v>2</v>
      </c>
      <c r="AJ10" s="37"/>
    </row>
    <row r="11" spans="2:36" x14ac:dyDescent="0.25">
      <c r="B11" s="2">
        <v>6</v>
      </c>
      <c r="C11" s="2" t="s">
        <v>24</v>
      </c>
      <c r="D11" s="2" t="s">
        <v>129</v>
      </c>
      <c r="E11" s="2" t="s">
        <v>30</v>
      </c>
      <c r="F11" s="13">
        <v>0.375</v>
      </c>
      <c r="G11" s="2">
        <v>2.8000000000000001E-2</v>
      </c>
      <c r="H11" s="3"/>
      <c r="I11" s="3"/>
      <c r="J11" s="2">
        <v>0</v>
      </c>
      <c r="K11" s="2">
        <v>100</v>
      </c>
      <c r="L11" s="2">
        <v>0</v>
      </c>
      <c r="M11" s="2"/>
      <c r="N11" s="2"/>
      <c r="O11" s="2"/>
      <c r="P11" s="8">
        <f t="shared" si="0"/>
        <v>0</v>
      </c>
      <c r="Q11" s="2">
        <v>100</v>
      </c>
      <c r="R11" s="2"/>
      <c r="S11" s="18"/>
      <c r="T11" s="2"/>
      <c r="U11" s="18"/>
      <c r="V11" s="18"/>
      <c r="W11" s="18"/>
      <c r="X11" s="18"/>
      <c r="Y11" s="18"/>
      <c r="Z11" s="18"/>
      <c r="AA11" s="2"/>
      <c r="AB11" s="7">
        <f t="shared" si="1"/>
        <v>0</v>
      </c>
      <c r="AC11" s="8" t="s">
        <v>146</v>
      </c>
      <c r="AD11" s="8">
        <v>150</v>
      </c>
      <c r="AE11" s="8" t="s">
        <v>152</v>
      </c>
      <c r="AF11" s="8">
        <f t="shared" si="2"/>
        <v>0.66666666666666663</v>
      </c>
      <c r="AG11" s="128"/>
      <c r="AH11" s="15" t="s">
        <v>149</v>
      </c>
      <c r="AI11">
        <v>10</v>
      </c>
      <c r="AJ11" s="37"/>
    </row>
    <row r="12" spans="2:36" x14ac:dyDescent="0.25">
      <c r="B12" s="2">
        <v>7</v>
      </c>
      <c r="C12" s="2" t="s">
        <v>24</v>
      </c>
      <c r="D12" s="2" t="s">
        <v>129</v>
      </c>
      <c r="E12" s="2" t="s">
        <v>31</v>
      </c>
      <c r="F12" s="13">
        <v>0.375</v>
      </c>
      <c r="G12" s="2">
        <v>2.8000000000000001E-2</v>
      </c>
      <c r="H12" s="3"/>
      <c r="I12" s="3"/>
      <c r="J12" s="2">
        <v>0</v>
      </c>
      <c r="K12" s="2"/>
      <c r="L12" s="2">
        <v>0</v>
      </c>
      <c r="M12" s="2"/>
      <c r="N12" s="2"/>
      <c r="O12" s="2"/>
      <c r="P12" s="8">
        <f t="shared" si="0"/>
        <v>0</v>
      </c>
      <c r="Q12" s="2"/>
      <c r="R12" s="2"/>
      <c r="S12" s="18"/>
      <c r="T12" s="2"/>
      <c r="U12" s="18"/>
      <c r="V12" s="18"/>
      <c r="W12" s="18"/>
      <c r="X12" s="18"/>
      <c r="Y12" s="18"/>
      <c r="Z12" s="18"/>
      <c r="AA12" s="2"/>
      <c r="AB12" s="7">
        <f t="shared" si="1"/>
        <v>0</v>
      </c>
      <c r="AC12" s="8" t="s">
        <v>146</v>
      </c>
      <c r="AD12" s="8">
        <v>50</v>
      </c>
      <c r="AE12" s="8" t="s">
        <v>152</v>
      </c>
      <c r="AF12" s="8">
        <f t="shared" si="2"/>
        <v>0</v>
      </c>
      <c r="AG12" s="128"/>
      <c r="AH12" s="15" t="s">
        <v>158</v>
      </c>
      <c r="AI12">
        <v>180</v>
      </c>
      <c r="AJ12" s="37"/>
    </row>
    <row r="13" spans="2:36" x14ac:dyDescent="0.25">
      <c r="B13" s="2">
        <v>8</v>
      </c>
      <c r="C13" s="2" t="s">
        <v>24</v>
      </c>
      <c r="D13" s="2" t="s">
        <v>129</v>
      </c>
      <c r="E13" s="2" t="s">
        <v>32</v>
      </c>
      <c r="F13" s="13">
        <v>0.375</v>
      </c>
      <c r="G13" s="2">
        <v>2.8000000000000001E-2</v>
      </c>
      <c r="H13" s="3"/>
      <c r="I13" s="3"/>
      <c r="J13" s="2">
        <v>0</v>
      </c>
      <c r="K13" s="2"/>
      <c r="L13" s="2">
        <v>0</v>
      </c>
      <c r="M13" s="2"/>
      <c r="N13" s="2"/>
      <c r="O13" s="2"/>
      <c r="P13" s="8">
        <f t="shared" si="0"/>
        <v>0</v>
      </c>
      <c r="Q13" s="2"/>
      <c r="R13" s="2"/>
      <c r="S13" s="18"/>
      <c r="T13" s="2"/>
      <c r="U13" s="18"/>
      <c r="V13" s="18"/>
      <c r="W13" s="18"/>
      <c r="X13" s="18"/>
      <c r="Y13" s="18"/>
      <c r="Z13" s="18"/>
      <c r="AA13" s="2"/>
      <c r="AB13" s="7">
        <f t="shared" si="1"/>
        <v>0</v>
      </c>
      <c r="AC13" s="8" t="s">
        <v>146</v>
      </c>
      <c r="AD13" s="8">
        <v>100</v>
      </c>
      <c r="AE13" s="8" t="s">
        <v>152</v>
      </c>
      <c r="AF13" s="8">
        <f t="shared" si="2"/>
        <v>0</v>
      </c>
      <c r="AG13" s="37"/>
      <c r="AH13" s="37"/>
      <c r="AI13" s="37"/>
      <c r="AJ13" s="37"/>
    </row>
    <row r="14" spans="2:36" x14ac:dyDescent="0.25">
      <c r="B14" s="2">
        <v>9</v>
      </c>
      <c r="C14" s="2" t="s">
        <v>24</v>
      </c>
      <c r="D14" s="2" t="s">
        <v>129</v>
      </c>
      <c r="E14" s="2" t="s">
        <v>33</v>
      </c>
      <c r="F14" s="13">
        <v>0.375</v>
      </c>
      <c r="G14" s="2">
        <v>2.8000000000000001E-2</v>
      </c>
      <c r="H14" s="3"/>
      <c r="I14" s="3"/>
      <c r="J14" s="2">
        <v>0</v>
      </c>
      <c r="K14" s="2"/>
      <c r="L14" s="2">
        <v>0</v>
      </c>
      <c r="M14" s="2"/>
      <c r="N14" s="2"/>
      <c r="O14" s="2"/>
      <c r="P14" s="8">
        <f t="shared" si="0"/>
        <v>0</v>
      </c>
      <c r="Q14" s="2"/>
      <c r="R14" s="2"/>
      <c r="S14" s="18"/>
      <c r="T14" s="2"/>
      <c r="U14" s="18"/>
      <c r="V14" s="18"/>
      <c r="W14" s="18"/>
      <c r="X14" s="18"/>
      <c r="Y14" s="18"/>
      <c r="Z14" s="18"/>
      <c r="AA14" s="2"/>
      <c r="AB14" s="7">
        <f t="shared" si="1"/>
        <v>0</v>
      </c>
      <c r="AC14" s="8" t="s">
        <v>146</v>
      </c>
      <c r="AD14" s="8">
        <v>50</v>
      </c>
      <c r="AE14" s="8" t="s">
        <v>152</v>
      </c>
      <c r="AF14" s="8">
        <f t="shared" si="2"/>
        <v>0</v>
      </c>
      <c r="AG14" s="37"/>
      <c r="AH14" s="37"/>
      <c r="AI14" s="37"/>
      <c r="AJ14" s="37"/>
    </row>
    <row r="15" spans="2:36" x14ac:dyDescent="0.25">
      <c r="B15" s="2">
        <v>10</v>
      </c>
      <c r="C15" s="2" t="s">
        <v>24</v>
      </c>
      <c r="D15" s="2" t="s">
        <v>129</v>
      </c>
      <c r="E15" s="2" t="s">
        <v>34</v>
      </c>
      <c r="F15" s="13">
        <v>0.375</v>
      </c>
      <c r="G15" s="2">
        <v>2.8000000000000001E-2</v>
      </c>
      <c r="H15" s="3"/>
      <c r="I15" s="3"/>
      <c r="J15" s="2">
        <v>0</v>
      </c>
      <c r="K15" s="2"/>
      <c r="L15" s="2">
        <v>0</v>
      </c>
      <c r="M15" s="2"/>
      <c r="N15" s="2"/>
      <c r="O15" s="2"/>
      <c r="P15" s="8">
        <f t="shared" si="0"/>
        <v>0</v>
      </c>
      <c r="Q15" s="2"/>
      <c r="R15" s="2"/>
      <c r="S15" s="18"/>
      <c r="T15" s="2"/>
      <c r="U15" s="18"/>
      <c r="V15" s="18"/>
      <c r="W15" s="18"/>
      <c r="X15" s="18"/>
      <c r="Y15" s="18"/>
      <c r="Z15" s="18"/>
      <c r="AA15" s="2"/>
      <c r="AB15" s="7">
        <f t="shared" si="1"/>
        <v>0</v>
      </c>
      <c r="AC15" s="8" t="s">
        <v>147</v>
      </c>
      <c r="AD15" s="8">
        <v>60</v>
      </c>
      <c r="AE15" s="8" t="s">
        <v>152</v>
      </c>
      <c r="AF15" s="8">
        <f t="shared" si="2"/>
        <v>0</v>
      </c>
      <c r="AG15" s="37"/>
      <c r="AH15" s="37"/>
      <c r="AI15" s="37"/>
      <c r="AJ15" s="37"/>
    </row>
    <row r="16" spans="2:36" x14ac:dyDescent="0.25">
      <c r="B16" s="2">
        <v>11</v>
      </c>
      <c r="C16" s="2" t="s">
        <v>24</v>
      </c>
      <c r="D16" s="2" t="s">
        <v>129</v>
      </c>
      <c r="E16" s="2" t="s">
        <v>35</v>
      </c>
      <c r="F16" s="13">
        <v>0.5</v>
      </c>
      <c r="G16" s="2">
        <v>2.8000000000000001E-2</v>
      </c>
      <c r="H16" s="3"/>
      <c r="I16" s="3"/>
      <c r="J16" s="2">
        <v>0</v>
      </c>
      <c r="K16" s="2"/>
      <c r="L16" s="2">
        <v>0</v>
      </c>
      <c r="M16" s="2"/>
      <c r="N16" s="2"/>
      <c r="O16" s="2"/>
      <c r="P16" s="8">
        <f t="shared" si="0"/>
        <v>0</v>
      </c>
      <c r="Q16" s="2"/>
      <c r="R16" s="2"/>
      <c r="S16" s="18"/>
      <c r="T16" s="2"/>
      <c r="U16" s="18"/>
      <c r="V16" s="18"/>
      <c r="W16" s="18"/>
      <c r="X16" s="18"/>
      <c r="Y16" s="18"/>
      <c r="Z16" s="18"/>
      <c r="AA16" s="2"/>
      <c r="AB16" s="7">
        <f t="shared" si="1"/>
        <v>0</v>
      </c>
      <c r="AC16" s="8" t="s">
        <v>148</v>
      </c>
      <c r="AD16" s="8">
        <v>100</v>
      </c>
      <c r="AE16" s="8" t="s">
        <v>152</v>
      </c>
      <c r="AF16" s="8">
        <f t="shared" si="2"/>
        <v>0</v>
      </c>
      <c r="AG16" s="37"/>
      <c r="AH16" s="37"/>
      <c r="AI16" s="37"/>
      <c r="AJ16" s="37"/>
    </row>
    <row r="17" spans="2:36" x14ac:dyDescent="0.25">
      <c r="B17" s="2">
        <v>12</v>
      </c>
      <c r="C17" s="2" t="s">
        <v>24</v>
      </c>
      <c r="D17" s="2" t="s">
        <v>129</v>
      </c>
      <c r="E17" s="2" t="s">
        <v>36</v>
      </c>
      <c r="F17" s="13">
        <v>0.5</v>
      </c>
      <c r="G17" s="2">
        <v>2.8000000000000001E-2</v>
      </c>
      <c r="H17" s="3"/>
      <c r="I17" s="3"/>
      <c r="J17" s="2">
        <v>0</v>
      </c>
      <c r="K17" s="2"/>
      <c r="L17" s="2">
        <v>0</v>
      </c>
      <c r="M17" s="2"/>
      <c r="N17" s="2"/>
      <c r="O17" s="2"/>
      <c r="P17" s="8">
        <f t="shared" si="0"/>
        <v>-756</v>
      </c>
      <c r="Q17" s="2"/>
      <c r="R17" s="2"/>
      <c r="S17" s="18"/>
      <c r="T17" s="2"/>
      <c r="U17" s="18"/>
      <c r="V17" s="18"/>
      <c r="W17" s="18">
        <v>756</v>
      </c>
      <c r="X17" s="18"/>
      <c r="Y17" s="18"/>
      <c r="Z17" s="18"/>
      <c r="AA17" s="2"/>
      <c r="AB17" s="7">
        <f t="shared" si="1"/>
        <v>0</v>
      </c>
      <c r="AC17" s="8" t="s">
        <v>149</v>
      </c>
      <c r="AD17" s="8">
        <v>100</v>
      </c>
      <c r="AE17" s="8" t="s">
        <v>152</v>
      </c>
      <c r="AF17" s="8">
        <f t="shared" si="2"/>
        <v>0</v>
      </c>
      <c r="AG17" s="37"/>
      <c r="AH17" s="37"/>
      <c r="AI17" s="37"/>
      <c r="AJ17" s="37"/>
    </row>
    <row r="18" spans="2:36" x14ac:dyDescent="0.25">
      <c r="B18" s="2">
        <v>13</v>
      </c>
      <c r="C18" s="2" t="s">
        <v>24</v>
      </c>
      <c r="D18" s="2" t="s">
        <v>129</v>
      </c>
      <c r="E18" s="2" t="s">
        <v>37</v>
      </c>
      <c r="F18" s="13">
        <v>0.5</v>
      </c>
      <c r="G18" s="2">
        <v>2.8000000000000001E-2</v>
      </c>
      <c r="H18" s="3"/>
      <c r="I18" s="3"/>
      <c r="J18" s="2">
        <v>0</v>
      </c>
      <c r="K18" s="2"/>
      <c r="L18" s="2">
        <v>0</v>
      </c>
      <c r="M18" s="2"/>
      <c r="N18" s="2"/>
      <c r="O18" s="2"/>
      <c r="P18" s="8">
        <f t="shared" si="0"/>
        <v>0</v>
      </c>
      <c r="Q18" s="2"/>
      <c r="R18" s="2"/>
      <c r="S18" s="18"/>
      <c r="T18" s="2"/>
      <c r="U18" s="18"/>
      <c r="V18" s="18"/>
      <c r="W18" s="18"/>
      <c r="X18" s="18"/>
      <c r="Y18" s="18"/>
      <c r="Z18" s="18"/>
      <c r="AA18" s="2"/>
      <c r="AB18" s="7">
        <f t="shared" si="1"/>
        <v>0</v>
      </c>
      <c r="AC18" s="8" t="s">
        <v>149</v>
      </c>
      <c r="AD18" s="8">
        <v>100</v>
      </c>
      <c r="AE18" s="8" t="s">
        <v>152</v>
      </c>
      <c r="AF18" s="8">
        <f t="shared" si="2"/>
        <v>0</v>
      </c>
      <c r="AG18" s="37"/>
      <c r="AH18" s="37"/>
      <c r="AI18" s="37"/>
      <c r="AJ18" s="37"/>
    </row>
    <row r="19" spans="2:36" x14ac:dyDescent="0.25">
      <c r="B19" s="2">
        <v>14</v>
      </c>
      <c r="C19" s="2" t="s">
        <v>24</v>
      </c>
      <c r="D19" s="2" t="s">
        <v>129</v>
      </c>
      <c r="E19" s="2" t="s">
        <v>38</v>
      </c>
      <c r="F19" s="13">
        <v>0.5</v>
      </c>
      <c r="G19" s="2">
        <v>2.8000000000000001E-2</v>
      </c>
      <c r="H19" s="3"/>
      <c r="I19" s="3"/>
      <c r="J19" s="2">
        <v>0</v>
      </c>
      <c r="K19" s="2"/>
      <c r="L19" s="2">
        <v>0</v>
      </c>
      <c r="M19" s="2"/>
      <c r="N19" s="2"/>
      <c r="O19" s="2"/>
      <c r="P19" s="8">
        <f t="shared" si="0"/>
        <v>0</v>
      </c>
      <c r="Q19" s="2"/>
      <c r="R19" s="2"/>
      <c r="S19" s="18"/>
      <c r="T19" s="2"/>
      <c r="U19" s="18"/>
      <c r="V19" s="18"/>
      <c r="W19" s="18"/>
      <c r="X19" s="18"/>
      <c r="Y19" s="18"/>
      <c r="Z19" s="18"/>
      <c r="AA19" s="2"/>
      <c r="AB19" s="7">
        <f t="shared" si="1"/>
        <v>0</v>
      </c>
      <c r="AC19" s="8" t="s">
        <v>149</v>
      </c>
      <c r="AD19" s="8">
        <v>100</v>
      </c>
      <c r="AE19" s="8" t="s">
        <v>152</v>
      </c>
      <c r="AF19" s="8">
        <f t="shared" si="2"/>
        <v>0</v>
      </c>
      <c r="AG19" s="37"/>
      <c r="AH19" s="37"/>
      <c r="AI19" s="37"/>
      <c r="AJ19" s="37"/>
    </row>
    <row r="20" spans="2:36" x14ac:dyDescent="0.25">
      <c r="B20" s="2">
        <v>15</v>
      </c>
      <c r="C20" s="2" t="s">
        <v>24</v>
      </c>
      <c r="D20" s="2" t="s">
        <v>129</v>
      </c>
      <c r="E20" s="2" t="s">
        <v>39</v>
      </c>
      <c r="F20" s="13">
        <v>0.5</v>
      </c>
      <c r="G20" s="2">
        <v>2.8000000000000001E-2</v>
      </c>
      <c r="H20" s="3"/>
      <c r="I20" s="3"/>
      <c r="J20" s="2">
        <v>0</v>
      </c>
      <c r="K20" s="2"/>
      <c r="L20" s="2">
        <v>0</v>
      </c>
      <c r="M20" s="2"/>
      <c r="N20" s="2"/>
      <c r="O20" s="2"/>
      <c r="P20" s="8">
        <f t="shared" si="0"/>
        <v>0</v>
      </c>
      <c r="Q20" s="2"/>
      <c r="R20" s="2"/>
      <c r="S20" s="18"/>
      <c r="T20" s="2"/>
      <c r="U20" s="18"/>
      <c r="V20" s="18"/>
      <c r="W20" s="18"/>
      <c r="X20" s="17"/>
      <c r="Y20" s="17"/>
      <c r="Z20" s="18"/>
      <c r="AA20" s="2"/>
      <c r="AB20" s="7">
        <f t="shared" si="1"/>
        <v>0</v>
      </c>
      <c r="AC20" s="8" t="s">
        <v>149</v>
      </c>
      <c r="AD20" s="8">
        <v>80</v>
      </c>
      <c r="AE20" s="8" t="s">
        <v>152</v>
      </c>
      <c r="AF20" s="8">
        <f t="shared" si="2"/>
        <v>0</v>
      </c>
      <c r="AG20" s="37"/>
      <c r="AH20" s="37"/>
      <c r="AI20" s="37"/>
      <c r="AJ20" s="37"/>
    </row>
    <row r="21" spans="2:36" x14ac:dyDescent="0.25">
      <c r="B21" s="2">
        <v>16</v>
      </c>
      <c r="C21" s="2" t="s">
        <v>24</v>
      </c>
      <c r="D21" s="2" t="s">
        <v>129</v>
      </c>
      <c r="E21" s="40" t="s">
        <v>40</v>
      </c>
      <c r="F21" s="13">
        <v>0.5</v>
      </c>
      <c r="G21" s="2">
        <v>2.8000000000000001E-2</v>
      </c>
      <c r="H21" s="3"/>
      <c r="I21" s="3"/>
      <c r="J21" s="2">
        <v>500</v>
      </c>
      <c r="K21" s="2"/>
      <c r="L21" s="2">
        <v>0</v>
      </c>
      <c r="M21" s="2"/>
      <c r="N21" s="2"/>
      <c r="O21" s="2"/>
      <c r="P21" s="8">
        <f t="shared" si="0"/>
        <v>500</v>
      </c>
      <c r="Q21" s="2"/>
      <c r="R21" s="2"/>
      <c r="S21" s="18"/>
      <c r="T21" s="2"/>
      <c r="U21" s="18"/>
      <c r="V21" s="18"/>
      <c r="W21" s="18"/>
      <c r="X21" s="18"/>
      <c r="Y21" s="18"/>
      <c r="Z21" s="18"/>
      <c r="AA21" s="2"/>
      <c r="AB21" s="7">
        <f t="shared" si="1"/>
        <v>0</v>
      </c>
      <c r="AC21" s="8" t="s">
        <v>149</v>
      </c>
      <c r="AD21" s="8">
        <v>100</v>
      </c>
      <c r="AE21" s="8" t="s">
        <v>152</v>
      </c>
      <c r="AF21" s="8">
        <f t="shared" si="2"/>
        <v>5</v>
      </c>
      <c r="AG21" s="37"/>
      <c r="AH21" s="37"/>
      <c r="AI21" s="37"/>
      <c r="AJ21" s="37"/>
    </row>
    <row r="22" spans="2:36" x14ac:dyDescent="0.25">
      <c r="B22" s="2">
        <v>17</v>
      </c>
      <c r="C22" s="2" t="s">
        <v>24</v>
      </c>
      <c r="D22" s="2" t="s">
        <v>129</v>
      </c>
      <c r="E22" s="2" t="s">
        <v>41</v>
      </c>
      <c r="F22" s="13">
        <v>0.5</v>
      </c>
      <c r="G22" s="2">
        <v>2.8000000000000001E-2</v>
      </c>
      <c r="H22" s="3"/>
      <c r="I22" s="3"/>
      <c r="J22" s="2">
        <v>0</v>
      </c>
      <c r="K22" s="2"/>
      <c r="L22" s="2">
        <v>0</v>
      </c>
      <c r="M22" s="2"/>
      <c r="N22" s="2"/>
      <c r="O22" s="2"/>
      <c r="P22" s="8">
        <f t="shared" si="0"/>
        <v>0</v>
      </c>
      <c r="Q22" s="2"/>
      <c r="R22" s="2"/>
      <c r="S22" s="18"/>
      <c r="T22" s="2"/>
      <c r="U22" s="18"/>
      <c r="V22" s="18"/>
      <c r="W22" s="18"/>
      <c r="X22" s="18"/>
      <c r="Y22" s="18"/>
      <c r="Z22" s="18"/>
      <c r="AA22" s="2"/>
      <c r="AB22" s="7">
        <f t="shared" si="1"/>
        <v>0</v>
      </c>
      <c r="AC22" s="8">
        <v>0</v>
      </c>
      <c r="AD22" s="8">
        <v>0</v>
      </c>
      <c r="AE22" s="8" t="s">
        <v>152</v>
      </c>
      <c r="AF22" s="8">
        <v>0</v>
      </c>
      <c r="AG22" s="37"/>
      <c r="AH22" s="37"/>
      <c r="AI22" s="37"/>
      <c r="AJ22" s="37"/>
    </row>
    <row r="23" spans="2:36" x14ac:dyDescent="0.25">
      <c r="B23" s="2">
        <v>18</v>
      </c>
      <c r="C23" s="2" t="s">
        <v>24</v>
      </c>
      <c r="D23" s="2" t="s">
        <v>129</v>
      </c>
      <c r="E23" s="2" t="s">
        <v>42</v>
      </c>
      <c r="F23" s="13">
        <v>0.5</v>
      </c>
      <c r="G23" s="2">
        <v>2.8000000000000001E-2</v>
      </c>
      <c r="H23" s="3"/>
      <c r="I23" s="3"/>
      <c r="J23" s="2">
        <v>0</v>
      </c>
      <c r="K23" s="2"/>
      <c r="L23" s="2">
        <v>0</v>
      </c>
      <c r="M23" s="2"/>
      <c r="N23" s="2"/>
      <c r="O23" s="2"/>
      <c r="P23" s="8">
        <f t="shared" si="0"/>
        <v>0</v>
      </c>
      <c r="Q23" s="2"/>
      <c r="R23" s="2"/>
      <c r="S23" s="18"/>
      <c r="T23" s="2"/>
      <c r="U23" s="18"/>
      <c r="V23" s="18"/>
      <c r="W23" s="18"/>
      <c r="X23" s="18"/>
      <c r="Y23" s="18"/>
      <c r="Z23" s="18"/>
      <c r="AA23" s="2"/>
      <c r="AB23" s="7">
        <f t="shared" si="1"/>
        <v>0</v>
      </c>
      <c r="AC23" s="8">
        <v>0</v>
      </c>
      <c r="AD23" s="8">
        <v>0</v>
      </c>
      <c r="AE23" s="8" t="s">
        <v>152</v>
      </c>
      <c r="AF23" s="8">
        <v>0</v>
      </c>
      <c r="AG23" s="37"/>
    </row>
    <row r="24" spans="2:36" x14ac:dyDescent="0.25">
      <c r="B24" s="2">
        <v>19</v>
      </c>
      <c r="C24" s="2" t="s">
        <v>24</v>
      </c>
      <c r="D24" s="2" t="s">
        <v>129</v>
      </c>
      <c r="E24" s="2" t="s">
        <v>43</v>
      </c>
      <c r="F24" s="13">
        <v>0.5</v>
      </c>
      <c r="G24" s="2">
        <v>2.8000000000000001E-2</v>
      </c>
      <c r="H24" s="3"/>
      <c r="I24" s="3"/>
      <c r="J24" s="2">
        <v>0</v>
      </c>
      <c r="K24" s="2"/>
      <c r="L24" s="2">
        <v>0</v>
      </c>
      <c r="M24" s="2"/>
      <c r="N24" s="2"/>
      <c r="O24" s="2"/>
      <c r="P24" s="8">
        <f t="shared" si="0"/>
        <v>0</v>
      </c>
      <c r="Q24" s="2"/>
      <c r="R24" s="2"/>
      <c r="S24" s="18"/>
      <c r="T24" s="2"/>
      <c r="U24" s="18"/>
      <c r="V24" s="18"/>
      <c r="W24" s="18"/>
      <c r="X24" s="18"/>
      <c r="Y24" s="18"/>
      <c r="Z24" s="18"/>
      <c r="AA24" s="2"/>
      <c r="AB24" s="7">
        <f t="shared" si="1"/>
        <v>0</v>
      </c>
      <c r="AC24" s="8">
        <v>0</v>
      </c>
      <c r="AD24" s="8">
        <v>0</v>
      </c>
      <c r="AE24" s="8" t="s">
        <v>152</v>
      </c>
      <c r="AF24" s="8">
        <v>0</v>
      </c>
      <c r="AG24" s="37"/>
    </row>
    <row r="25" spans="2:36" x14ac:dyDescent="0.25">
      <c r="B25" s="2">
        <v>20</v>
      </c>
      <c r="C25" s="2" t="s">
        <v>24</v>
      </c>
      <c r="D25" s="2" t="s">
        <v>129</v>
      </c>
      <c r="E25" s="2" t="s">
        <v>44</v>
      </c>
      <c r="F25" s="13">
        <v>0.5</v>
      </c>
      <c r="G25" s="2">
        <v>2.8000000000000001E-2</v>
      </c>
      <c r="H25" s="3"/>
      <c r="I25" s="3"/>
      <c r="J25" s="2">
        <v>0</v>
      </c>
      <c r="K25" s="2"/>
      <c r="L25" s="2">
        <v>0</v>
      </c>
      <c r="M25" s="2"/>
      <c r="N25" s="2"/>
      <c r="O25" s="2"/>
      <c r="P25" s="8">
        <f t="shared" si="0"/>
        <v>0</v>
      </c>
      <c r="Q25" s="2"/>
      <c r="R25" s="2"/>
      <c r="S25" s="18"/>
      <c r="T25" s="2"/>
      <c r="U25" s="18"/>
      <c r="V25" s="18"/>
      <c r="W25" s="18"/>
      <c r="X25" s="18"/>
      <c r="Y25" s="18"/>
      <c r="Z25" s="18"/>
      <c r="AA25" s="2"/>
      <c r="AB25" s="7">
        <f t="shared" si="1"/>
        <v>0</v>
      </c>
      <c r="AC25" s="8">
        <v>0</v>
      </c>
      <c r="AD25" s="8">
        <v>0</v>
      </c>
      <c r="AE25" s="8" t="s">
        <v>152</v>
      </c>
      <c r="AF25" s="8">
        <v>0</v>
      </c>
      <c r="AG25" s="37"/>
    </row>
    <row r="26" spans="2:36" x14ac:dyDescent="0.25">
      <c r="B26" s="2">
        <v>21</v>
      </c>
      <c r="C26" s="2" t="s">
        <v>24</v>
      </c>
      <c r="D26" s="2" t="s">
        <v>129</v>
      </c>
      <c r="E26" s="2" t="s">
        <v>45</v>
      </c>
      <c r="F26" s="13">
        <v>0.5</v>
      </c>
      <c r="G26" s="2">
        <v>2.8000000000000001E-2</v>
      </c>
      <c r="H26" s="3"/>
      <c r="I26" s="3"/>
      <c r="J26" s="2">
        <v>0</v>
      </c>
      <c r="K26" s="2"/>
      <c r="L26" s="2">
        <v>0</v>
      </c>
      <c r="M26" s="2"/>
      <c r="N26" s="2"/>
      <c r="O26" s="2"/>
      <c r="P26" s="8">
        <f t="shared" si="0"/>
        <v>0</v>
      </c>
      <c r="Q26" s="2"/>
      <c r="R26" s="2"/>
      <c r="S26" s="18"/>
      <c r="T26" s="2"/>
      <c r="U26" s="18"/>
      <c r="V26" s="18"/>
      <c r="W26" s="18"/>
      <c r="X26" s="18"/>
      <c r="Y26" s="18"/>
      <c r="Z26" s="18"/>
      <c r="AA26" s="2"/>
      <c r="AB26" s="7">
        <f t="shared" si="1"/>
        <v>0</v>
      </c>
      <c r="AC26" s="8">
        <v>0</v>
      </c>
      <c r="AD26" s="8">
        <v>0</v>
      </c>
      <c r="AE26" s="8" t="s">
        <v>152</v>
      </c>
      <c r="AF26" s="8">
        <v>0</v>
      </c>
      <c r="AG26" s="37"/>
    </row>
    <row r="27" spans="2:36" x14ac:dyDescent="0.25">
      <c r="B27" s="2">
        <v>22</v>
      </c>
      <c r="C27" s="2" t="s">
        <v>24</v>
      </c>
      <c r="D27" s="2" t="s">
        <v>129</v>
      </c>
      <c r="E27" s="2" t="s">
        <v>46</v>
      </c>
      <c r="F27" s="13">
        <v>0.5</v>
      </c>
      <c r="G27" s="2">
        <v>2.8000000000000001E-2</v>
      </c>
      <c r="H27" s="3"/>
      <c r="I27" s="3"/>
      <c r="J27" s="2">
        <v>0</v>
      </c>
      <c r="K27" s="2"/>
      <c r="L27" s="2">
        <v>0</v>
      </c>
      <c r="M27" s="2"/>
      <c r="N27" s="2"/>
      <c r="O27" s="2"/>
      <c r="P27" s="8">
        <f t="shared" si="0"/>
        <v>0</v>
      </c>
      <c r="Q27" s="2"/>
      <c r="R27" s="2"/>
      <c r="S27" s="18"/>
      <c r="T27" s="2"/>
      <c r="U27" s="18"/>
      <c r="V27" s="18"/>
      <c r="W27" s="18"/>
      <c r="X27" s="18"/>
      <c r="Y27" s="18"/>
      <c r="Z27" s="18"/>
      <c r="AA27" s="2"/>
      <c r="AB27" s="7">
        <f t="shared" si="1"/>
        <v>0</v>
      </c>
      <c r="AC27" s="8">
        <v>0</v>
      </c>
      <c r="AD27" s="8">
        <v>0</v>
      </c>
      <c r="AE27" s="8" t="s">
        <v>152</v>
      </c>
      <c r="AF27" s="8">
        <v>0</v>
      </c>
      <c r="AG27" s="37"/>
    </row>
    <row r="28" spans="2:36" x14ac:dyDescent="0.25">
      <c r="B28" s="2">
        <v>23</v>
      </c>
      <c r="C28" s="2" t="s">
        <v>24</v>
      </c>
      <c r="D28" s="2" t="s">
        <v>129</v>
      </c>
      <c r="E28" s="2" t="s">
        <v>47</v>
      </c>
      <c r="F28" s="13">
        <v>0.5</v>
      </c>
      <c r="G28" s="2">
        <v>2.8000000000000001E-2</v>
      </c>
      <c r="H28" s="3"/>
      <c r="I28" s="3"/>
      <c r="J28" s="2">
        <v>0</v>
      </c>
      <c r="K28" s="2"/>
      <c r="L28" s="2">
        <v>0</v>
      </c>
      <c r="M28" s="2"/>
      <c r="N28" s="2"/>
      <c r="O28" s="2"/>
      <c r="P28" s="8">
        <f t="shared" si="0"/>
        <v>0</v>
      </c>
      <c r="Q28" s="2"/>
      <c r="R28" s="2"/>
      <c r="S28" s="18"/>
      <c r="T28" s="2"/>
      <c r="U28" s="18"/>
      <c r="V28" s="18"/>
      <c r="W28" s="18"/>
      <c r="X28" s="18"/>
      <c r="Y28" s="18"/>
      <c r="Z28" s="18"/>
      <c r="AA28" s="2"/>
      <c r="AB28" s="7">
        <f t="shared" si="1"/>
        <v>0</v>
      </c>
      <c r="AC28" s="8">
        <v>0</v>
      </c>
      <c r="AD28" s="8">
        <v>0</v>
      </c>
      <c r="AE28" s="8" t="s">
        <v>152</v>
      </c>
      <c r="AF28" s="8">
        <v>0</v>
      </c>
      <c r="AG28" s="37"/>
    </row>
    <row r="29" spans="2:36" x14ac:dyDescent="0.25">
      <c r="B29" s="2">
        <v>24</v>
      </c>
      <c r="C29" s="2" t="s">
        <v>24</v>
      </c>
      <c r="D29" s="2" t="s">
        <v>129</v>
      </c>
      <c r="E29" s="2" t="s">
        <v>48</v>
      </c>
      <c r="F29" s="13">
        <v>0.5</v>
      </c>
      <c r="G29" s="2">
        <v>2.8000000000000001E-2</v>
      </c>
      <c r="H29" s="3"/>
      <c r="I29" s="3"/>
      <c r="J29" s="2">
        <v>0</v>
      </c>
      <c r="K29" s="2"/>
      <c r="L29" s="2">
        <v>0</v>
      </c>
      <c r="M29" s="2"/>
      <c r="N29" s="2"/>
      <c r="O29" s="2"/>
      <c r="P29" s="8">
        <f t="shared" si="0"/>
        <v>0</v>
      </c>
      <c r="Q29" s="2"/>
      <c r="R29" s="2"/>
      <c r="S29" s="18"/>
      <c r="T29" s="2"/>
      <c r="U29" s="18"/>
      <c r="V29" s="18"/>
      <c r="W29" s="18"/>
      <c r="X29" s="18"/>
      <c r="Y29" s="18"/>
      <c r="Z29" s="18"/>
      <c r="AA29" s="2"/>
      <c r="AB29" s="7">
        <f t="shared" si="1"/>
        <v>0</v>
      </c>
      <c r="AC29" s="8">
        <v>0</v>
      </c>
      <c r="AD29" s="8">
        <v>0</v>
      </c>
      <c r="AE29" s="8" t="s">
        <v>152</v>
      </c>
      <c r="AF29" s="8">
        <v>0</v>
      </c>
      <c r="AG29" s="37"/>
    </row>
    <row r="30" spans="2:36" x14ac:dyDescent="0.25">
      <c r="B30" s="2">
        <v>25</v>
      </c>
      <c r="C30" s="2" t="s">
        <v>24</v>
      </c>
      <c r="D30" s="2" t="s">
        <v>129</v>
      </c>
      <c r="E30" s="2" t="s">
        <v>49</v>
      </c>
      <c r="F30" s="13">
        <v>0.5</v>
      </c>
      <c r="G30" s="2">
        <v>2.8000000000000001E-2</v>
      </c>
      <c r="H30" s="3"/>
      <c r="I30" s="3"/>
      <c r="J30" s="2">
        <v>0</v>
      </c>
      <c r="K30" s="2"/>
      <c r="L30" s="2">
        <v>0</v>
      </c>
      <c r="M30" s="2"/>
      <c r="N30" s="2"/>
      <c r="O30" s="2"/>
      <c r="P30" s="8">
        <f t="shared" si="0"/>
        <v>0</v>
      </c>
      <c r="Q30" s="2"/>
      <c r="R30" s="2"/>
      <c r="S30" s="18"/>
      <c r="T30" s="2"/>
      <c r="U30" s="18"/>
      <c r="V30" s="18"/>
      <c r="W30" s="18"/>
      <c r="X30" s="18"/>
      <c r="Y30" s="18"/>
      <c r="Z30" s="18"/>
      <c r="AA30" s="2"/>
      <c r="AB30" s="7">
        <f t="shared" si="1"/>
        <v>0</v>
      </c>
      <c r="AC30" s="8">
        <v>0</v>
      </c>
      <c r="AD30" s="8">
        <v>0</v>
      </c>
      <c r="AE30" s="8" t="s">
        <v>152</v>
      </c>
      <c r="AF30" s="8">
        <v>0</v>
      </c>
      <c r="AG30" s="37"/>
    </row>
    <row r="31" spans="2:36" x14ac:dyDescent="0.25">
      <c r="B31" s="2">
        <v>26</v>
      </c>
      <c r="C31" s="2" t="s">
        <v>24</v>
      </c>
      <c r="D31" s="2" t="s">
        <v>129</v>
      </c>
      <c r="E31" s="2" t="s">
        <v>50</v>
      </c>
      <c r="F31" s="13">
        <v>0.5</v>
      </c>
      <c r="G31" s="2">
        <v>2.8000000000000001E-2</v>
      </c>
      <c r="H31" s="3"/>
      <c r="I31" s="3"/>
      <c r="J31" s="2">
        <v>0</v>
      </c>
      <c r="K31" s="2"/>
      <c r="L31" s="2">
        <v>0</v>
      </c>
      <c r="M31" s="2"/>
      <c r="N31" s="2"/>
      <c r="O31" s="2"/>
      <c r="P31" s="8">
        <f t="shared" si="0"/>
        <v>0</v>
      </c>
      <c r="Q31" s="2"/>
      <c r="R31" s="2"/>
      <c r="S31" s="18"/>
      <c r="T31" s="2"/>
      <c r="U31" s="18"/>
      <c r="V31" s="18"/>
      <c r="W31" s="18"/>
      <c r="X31" s="18"/>
      <c r="Y31" s="18"/>
      <c r="Z31" s="18"/>
      <c r="AA31" s="2"/>
      <c r="AB31" s="7">
        <f t="shared" si="1"/>
        <v>0</v>
      </c>
      <c r="AC31" s="8">
        <v>0</v>
      </c>
      <c r="AD31" s="8">
        <v>0</v>
      </c>
      <c r="AE31" s="8" t="s">
        <v>152</v>
      </c>
      <c r="AF31" s="8">
        <v>0</v>
      </c>
      <c r="AG31" s="37"/>
    </row>
    <row r="32" spans="2:36" x14ac:dyDescent="0.25">
      <c r="B32" s="2">
        <v>27</v>
      </c>
      <c r="C32" s="2" t="s">
        <v>24</v>
      </c>
      <c r="D32" s="2" t="s">
        <v>129</v>
      </c>
      <c r="E32" s="2" t="s">
        <v>51</v>
      </c>
      <c r="F32" s="13">
        <v>0.5</v>
      </c>
      <c r="G32" s="2">
        <v>2.8000000000000001E-2</v>
      </c>
      <c r="H32" s="3"/>
      <c r="I32" s="3"/>
      <c r="J32" s="2">
        <v>0</v>
      </c>
      <c r="K32" s="2"/>
      <c r="L32" s="2">
        <v>0</v>
      </c>
      <c r="M32" s="2"/>
      <c r="N32" s="2"/>
      <c r="O32" s="2"/>
      <c r="P32" s="8">
        <f t="shared" si="0"/>
        <v>0</v>
      </c>
      <c r="Q32" s="2"/>
      <c r="R32" s="2"/>
      <c r="S32" s="18"/>
      <c r="T32" s="2"/>
      <c r="U32" s="18"/>
      <c r="V32" s="18"/>
      <c r="W32" s="18"/>
      <c r="X32" s="18"/>
      <c r="Y32" s="18"/>
      <c r="Z32" s="18"/>
      <c r="AA32" s="2"/>
      <c r="AB32" s="7">
        <f t="shared" si="1"/>
        <v>0</v>
      </c>
      <c r="AC32" s="8">
        <v>0</v>
      </c>
      <c r="AD32" s="8">
        <v>0</v>
      </c>
      <c r="AE32" s="8" t="s">
        <v>152</v>
      </c>
      <c r="AF32" s="8">
        <v>0</v>
      </c>
      <c r="AG32" s="37"/>
    </row>
    <row r="33" spans="2:33" x14ac:dyDescent="0.25">
      <c r="B33" s="2">
        <v>28</v>
      </c>
      <c r="C33" s="2" t="s">
        <v>24</v>
      </c>
      <c r="D33" s="2" t="s">
        <v>129</v>
      </c>
      <c r="E33" s="2" t="s">
        <v>52</v>
      </c>
      <c r="F33" s="13">
        <v>0.5</v>
      </c>
      <c r="G33" s="2">
        <v>2.8000000000000001E-2</v>
      </c>
      <c r="H33" s="3"/>
      <c r="I33" s="3"/>
      <c r="J33" s="2">
        <v>0</v>
      </c>
      <c r="K33" s="2"/>
      <c r="L33" s="2">
        <v>0</v>
      </c>
      <c r="M33" s="2"/>
      <c r="N33" s="2"/>
      <c r="O33" s="2"/>
      <c r="P33" s="8">
        <f t="shared" si="0"/>
        <v>0</v>
      </c>
      <c r="Q33" s="2"/>
      <c r="R33" s="2"/>
      <c r="S33" s="18"/>
      <c r="T33" s="2"/>
      <c r="U33" s="18"/>
      <c r="V33" s="18"/>
      <c r="W33" s="18"/>
      <c r="X33" s="18"/>
      <c r="Y33" s="18"/>
      <c r="Z33" s="18"/>
      <c r="AA33" s="2"/>
      <c r="AB33" s="7">
        <f t="shared" si="1"/>
        <v>0</v>
      </c>
      <c r="AC33" s="8">
        <v>0</v>
      </c>
      <c r="AD33" s="8">
        <v>0</v>
      </c>
      <c r="AE33" s="8" t="s">
        <v>152</v>
      </c>
      <c r="AF33" s="8">
        <v>0</v>
      </c>
      <c r="AG33" s="37"/>
    </row>
    <row r="34" spans="2:33" x14ac:dyDescent="0.25">
      <c r="B34" s="2">
        <v>29</v>
      </c>
      <c r="C34" s="2" t="s">
        <v>24</v>
      </c>
      <c r="D34" s="2" t="s">
        <v>129</v>
      </c>
      <c r="E34" s="2" t="s">
        <v>53</v>
      </c>
      <c r="F34" s="13">
        <v>0.5</v>
      </c>
      <c r="G34" s="2">
        <v>2.8000000000000001E-2</v>
      </c>
      <c r="H34" s="3"/>
      <c r="I34" s="3"/>
      <c r="J34" s="2">
        <v>0</v>
      </c>
      <c r="K34" s="2"/>
      <c r="L34" s="2">
        <v>0</v>
      </c>
      <c r="M34" s="2"/>
      <c r="N34" s="2"/>
      <c r="O34" s="2"/>
      <c r="P34" s="8">
        <f t="shared" si="0"/>
        <v>0</v>
      </c>
      <c r="Q34" s="2"/>
      <c r="R34" s="2"/>
      <c r="S34" s="18"/>
      <c r="T34" s="2"/>
      <c r="U34" s="18"/>
      <c r="V34" s="18"/>
      <c r="W34" s="18"/>
      <c r="X34" s="18"/>
      <c r="Y34" s="18"/>
      <c r="Z34" s="18"/>
      <c r="AA34" s="2"/>
      <c r="AB34" s="7">
        <f t="shared" si="1"/>
        <v>0</v>
      </c>
      <c r="AC34" s="8">
        <v>0</v>
      </c>
      <c r="AD34" s="8">
        <v>0</v>
      </c>
      <c r="AE34" s="8" t="s">
        <v>152</v>
      </c>
      <c r="AF34" s="8">
        <v>0</v>
      </c>
      <c r="AG34" s="37"/>
    </row>
    <row r="35" spans="2:33" x14ac:dyDescent="0.25">
      <c r="B35" s="2">
        <v>30</v>
      </c>
      <c r="C35" s="2" t="s">
        <v>24</v>
      </c>
      <c r="D35" s="2" t="s">
        <v>129</v>
      </c>
      <c r="E35" s="2" t="s">
        <v>54</v>
      </c>
      <c r="F35" s="13">
        <v>0.5</v>
      </c>
      <c r="G35" s="2">
        <v>2.8000000000000001E-2</v>
      </c>
      <c r="H35" s="3"/>
      <c r="I35" s="3"/>
      <c r="J35" s="2">
        <v>0</v>
      </c>
      <c r="K35" s="2"/>
      <c r="L35" s="2">
        <v>0</v>
      </c>
      <c r="M35" s="2"/>
      <c r="N35" s="2"/>
      <c r="O35" s="2"/>
      <c r="P35" s="8">
        <f t="shared" si="0"/>
        <v>0</v>
      </c>
      <c r="Q35" s="2"/>
      <c r="R35" s="2"/>
      <c r="S35" s="18"/>
      <c r="T35" s="2"/>
      <c r="U35" s="18"/>
      <c r="V35" s="18"/>
      <c r="W35" s="18"/>
      <c r="X35" s="18"/>
      <c r="Y35" s="18"/>
      <c r="Z35" s="18"/>
      <c r="AA35" s="2"/>
      <c r="AB35" s="7">
        <f t="shared" si="1"/>
        <v>0</v>
      </c>
      <c r="AC35" s="8">
        <v>0</v>
      </c>
      <c r="AD35" s="8">
        <v>0</v>
      </c>
      <c r="AE35" s="8" t="s">
        <v>152</v>
      </c>
      <c r="AF35" s="8">
        <v>0</v>
      </c>
      <c r="AG35" s="37"/>
    </row>
    <row r="36" spans="2:33" x14ac:dyDescent="0.25">
      <c r="B36" s="2">
        <v>31</v>
      </c>
      <c r="C36" s="2" t="s">
        <v>24</v>
      </c>
      <c r="D36" s="2" t="s">
        <v>129</v>
      </c>
      <c r="E36" s="2" t="s">
        <v>55</v>
      </c>
      <c r="F36" s="13">
        <v>0.625</v>
      </c>
      <c r="G36" s="2">
        <v>3.5000000000000003E-2</v>
      </c>
      <c r="H36" s="3"/>
      <c r="I36" s="3"/>
      <c r="J36" s="2">
        <v>0</v>
      </c>
      <c r="K36" s="2"/>
      <c r="L36" s="2">
        <v>0</v>
      </c>
      <c r="M36" s="2"/>
      <c r="N36" s="2"/>
      <c r="O36" s="2"/>
      <c r="P36" s="8">
        <f t="shared" si="0"/>
        <v>0</v>
      </c>
      <c r="Q36" s="2"/>
      <c r="R36" s="2"/>
      <c r="S36" s="18"/>
      <c r="T36" s="2"/>
      <c r="U36" s="18"/>
      <c r="V36" s="18"/>
      <c r="W36" s="18"/>
      <c r="X36" s="18"/>
      <c r="Y36" s="18"/>
      <c r="Z36" s="18"/>
      <c r="AA36" s="2"/>
      <c r="AB36" s="7">
        <f t="shared" si="1"/>
        <v>0</v>
      </c>
      <c r="AC36" s="8" t="s">
        <v>149</v>
      </c>
      <c r="AD36" s="8">
        <v>200</v>
      </c>
      <c r="AE36" s="8" t="s">
        <v>152</v>
      </c>
      <c r="AF36" s="8">
        <f t="shared" ref="AF36:AF45" si="3">+SUM(J36:O36)/AD36</f>
        <v>0</v>
      </c>
      <c r="AG36" s="37"/>
    </row>
    <row r="37" spans="2:33" x14ac:dyDescent="0.25">
      <c r="B37" s="2">
        <v>32</v>
      </c>
      <c r="C37" s="2" t="s">
        <v>24</v>
      </c>
      <c r="D37" s="2" t="s">
        <v>129</v>
      </c>
      <c r="E37" s="2" t="s">
        <v>56</v>
      </c>
      <c r="F37" s="13">
        <v>0.625</v>
      </c>
      <c r="G37" s="2">
        <v>3.5000000000000003E-2</v>
      </c>
      <c r="H37" s="3"/>
      <c r="I37" s="3"/>
      <c r="J37" s="2">
        <v>0</v>
      </c>
      <c r="K37" s="2"/>
      <c r="L37" s="2">
        <v>0</v>
      </c>
      <c r="M37" s="2"/>
      <c r="N37" s="2"/>
      <c r="O37" s="2"/>
      <c r="P37" s="8">
        <f t="shared" si="0"/>
        <v>0</v>
      </c>
      <c r="Q37" s="2"/>
      <c r="R37" s="2"/>
      <c r="S37" s="18"/>
      <c r="T37" s="2"/>
      <c r="U37" s="18"/>
      <c r="V37" s="18"/>
      <c r="W37" s="18"/>
      <c r="X37" s="18"/>
      <c r="Y37" s="18"/>
      <c r="Z37" s="18"/>
      <c r="AA37" s="2"/>
      <c r="AB37" s="7">
        <f t="shared" si="1"/>
        <v>0</v>
      </c>
      <c r="AC37" s="8" t="s">
        <v>149</v>
      </c>
      <c r="AD37" s="8">
        <v>100</v>
      </c>
      <c r="AE37" s="8" t="s">
        <v>152</v>
      </c>
      <c r="AF37" s="8">
        <f t="shared" si="3"/>
        <v>0</v>
      </c>
      <c r="AG37" s="37"/>
    </row>
    <row r="38" spans="2:33" x14ac:dyDescent="0.25">
      <c r="B38" s="2">
        <v>33</v>
      </c>
      <c r="C38" s="2" t="s">
        <v>24</v>
      </c>
      <c r="D38" s="2" t="s">
        <v>129</v>
      </c>
      <c r="E38" s="2" t="s">
        <v>57</v>
      </c>
      <c r="F38" s="13">
        <v>0.625</v>
      </c>
      <c r="G38" s="2">
        <v>3.5000000000000003E-2</v>
      </c>
      <c r="H38" s="3"/>
      <c r="I38" s="3"/>
      <c r="J38" s="2">
        <v>0</v>
      </c>
      <c r="K38" s="2"/>
      <c r="L38" s="2">
        <v>0</v>
      </c>
      <c r="M38" s="2"/>
      <c r="N38" s="2"/>
      <c r="O38" s="2"/>
      <c r="P38" s="8">
        <f t="shared" ref="P38:P69" si="4">+J38+K38+L38+M38+N38+O38-SUM(Q38:AA38)</f>
        <v>0</v>
      </c>
      <c r="Q38" s="2"/>
      <c r="R38" s="2"/>
      <c r="S38" s="18"/>
      <c r="T38" s="2"/>
      <c r="U38" s="18"/>
      <c r="V38" s="18"/>
      <c r="W38" s="18"/>
      <c r="X38" s="18"/>
      <c r="Y38" s="18"/>
      <c r="Z38" s="18"/>
      <c r="AA38" s="2"/>
      <c r="AB38" s="7">
        <f t="shared" ref="AB38:AB69" si="5">+H38*SUM(J38:O38)</f>
        <v>0</v>
      </c>
      <c r="AC38" s="8" t="s">
        <v>149</v>
      </c>
      <c r="AD38" s="8">
        <v>100</v>
      </c>
      <c r="AE38" s="8" t="s">
        <v>152</v>
      </c>
      <c r="AF38" s="8">
        <f t="shared" si="3"/>
        <v>0</v>
      </c>
      <c r="AG38" s="37"/>
    </row>
    <row r="39" spans="2:33" x14ac:dyDescent="0.25">
      <c r="B39" s="2">
        <v>34</v>
      </c>
      <c r="C39" s="2" t="s">
        <v>24</v>
      </c>
      <c r="D39" s="2" t="s">
        <v>129</v>
      </c>
      <c r="E39" s="2" t="s">
        <v>58</v>
      </c>
      <c r="F39" s="13">
        <v>0.75</v>
      </c>
      <c r="G39" s="2">
        <v>3.5000000000000003E-2</v>
      </c>
      <c r="H39" s="3"/>
      <c r="I39" s="3"/>
      <c r="J39" s="2">
        <v>0</v>
      </c>
      <c r="K39" s="2"/>
      <c r="L39" s="2">
        <v>0</v>
      </c>
      <c r="M39" s="2"/>
      <c r="N39" s="2"/>
      <c r="O39" s="2"/>
      <c r="P39" s="8">
        <f t="shared" si="4"/>
        <v>0</v>
      </c>
      <c r="Q39" s="2"/>
      <c r="R39" s="2"/>
      <c r="S39" s="18"/>
      <c r="T39" s="2"/>
      <c r="U39" s="18"/>
      <c r="V39" s="18"/>
      <c r="W39" s="18"/>
      <c r="X39" s="18"/>
      <c r="Y39" s="18"/>
      <c r="Z39" s="18"/>
      <c r="AA39" s="2"/>
      <c r="AB39" s="7">
        <f t="shared" si="5"/>
        <v>0</v>
      </c>
      <c r="AC39" s="8" t="s">
        <v>150</v>
      </c>
      <c r="AD39" s="8">
        <v>2000</v>
      </c>
      <c r="AE39" s="8" t="s">
        <v>152</v>
      </c>
      <c r="AF39" s="8">
        <f t="shared" si="3"/>
        <v>0</v>
      </c>
      <c r="AG39" s="37"/>
    </row>
    <row r="40" spans="2:33" x14ac:dyDescent="0.25">
      <c r="B40" s="2">
        <v>35</v>
      </c>
      <c r="C40" s="2" t="s">
        <v>24</v>
      </c>
      <c r="D40" s="2" t="s">
        <v>129</v>
      </c>
      <c r="E40" s="2" t="s">
        <v>59</v>
      </c>
      <c r="F40" s="13">
        <v>0.75</v>
      </c>
      <c r="G40" s="2">
        <v>3.5000000000000003E-2</v>
      </c>
      <c r="H40" s="3"/>
      <c r="I40" s="3"/>
      <c r="J40" s="2">
        <v>0</v>
      </c>
      <c r="K40" s="2"/>
      <c r="L40" s="2">
        <v>0</v>
      </c>
      <c r="M40" s="2"/>
      <c r="N40" s="2"/>
      <c r="O40" s="2"/>
      <c r="P40" s="8">
        <f t="shared" si="4"/>
        <v>0</v>
      </c>
      <c r="Q40" s="2"/>
      <c r="R40" s="2"/>
      <c r="S40" s="18"/>
      <c r="T40" s="2"/>
      <c r="U40" s="18"/>
      <c r="V40" s="18"/>
      <c r="W40" s="18"/>
      <c r="X40" s="18"/>
      <c r="Y40" s="18"/>
      <c r="Z40" s="18"/>
      <c r="AA40" s="2"/>
      <c r="AB40" s="7">
        <f t="shared" si="5"/>
        <v>0</v>
      </c>
      <c r="AC40" s="8" t="s">
        <v>150</v>
      </c>
      <c r="AD40" s="8">
        <v>500</v>
      </c>
      <c r="AE40" s="8" t="s">
        <v>152</v>
      </c>
      <c r="AF40" s="8">
        <f t="shared" si="3"/>
        <v>0</v>
      </c>
      <c r="AG40" s="37"/>
    </row>
    <row r="41" spans="2:33" x14ac:dyDescent="0.25">
      <c r="B41" s="2">
        <v>36</v>
      </c>
      <c r="C41" s="2" t="s">
        <v>24</v>
      </c>
      <c r="D41" s="2" t="s">
        <v>129</v>
      </c>
      <c r="E41" s="2" t="s">
        <v>60</v>
      </c>
      <c r="F41" s="13">
        <v>0.75</v>
      </c>
      <c r="G41" s="2">
        <v>3.5000000000000003E-2</v>
      </c>
      <c r="H41" s="3"/>
      <c r="I41" s="3"/>
      <c r="J41" s="2">
        <v>0</v>
      </c>
      <c r="K41" s="2"/>
      <c r="L41" s="2">
        <v>0</v>
      </c>
      <c r="M41" s="2"/>
      <c r="N41" s="2"/>
      <c r="O41" s="2"/>
      <c r="P41" s="8">
        <f t="shared" si="4"/>
        <v>0</v>
      </c>
      <c r="Q41" s="2"/>
      <c r="R41" s="2"/>
      <c r="S41" s="18"/>
      <c r="T41" s="2"/>
      <c r="U41" s="18"/>
      <c r="V41" s="18"/>
      <c r="W41" s="18"/>
      <c r="X41" s="18"/>
      <c r="Y41" s="18"/>
      <c r="Z41" s="18"/>
      <c r="AA41" s="2"/>
      <c r="AB41" s="7">
        <f t="shared" si="5"/>
        <v>0</v>
      </c>
      <c r="AC41" s="8" t="s">
        <v>150</v>
      </c>
      <c r="AD41" s="8">
        <v>250</v>
      </c>
      <c r="AE41" s="8" t="s">
        <v>152</v>
      </c>
      <c r="AF41" s="8">
        <f t="shared" si="3"/>
        <v>0</v>
      </c>
      <c r="AG41" s="37"/>
    </row>
    <row r="42" spans="2:33" x14ac:dyDescent="0.25">
      <c r="B42" s="2">
        <v>37</v>
      </c>
      <c r="C42" s="2" t="s">
        <v>24</v>
      </c>
      <c r="D42" s="2" t="s">
        <v>129</v>
      </c>
      <c r="E42" s="2" t="s">
        <v>61</v>
      </c>
      <c r="F42" s="13">
        <v>0.75</v>
      </c>
      <c r="G42" s="2">
        <v>3.5000000000000003E-2</v>
      </c>
      <c r="H42" s="3"/>
      <c r="I42" s="3"/>
      <c r="J42" s="2">
        <v>0</v>
      </c>
      <c r="K42" s="2"/>
      <c r="L42" s="2">
        <v>0</v>
      </c>
      <c r="M42" s="2"/>
      <c r="N42" s="2"/>
      <c r="O42" s="2"/>
      <c r="P42" s="8">
        <f t="shared" si="4"/>
        <v>0</v>
      </c>
      <c r="Q42" s="2"/>
      <c r="R42" s="2"/>
      <c r="S42" s="18"/>
      <c r="T42" s="2"/>
      <c r="U42" s="18"/>
      <c r="V42" s="18"/>
      <c r="W42" s="18"/>
      <c r="X42" s="18"/>
      <c r="Y42" s="18"/>
      <c r="Z42" s="18"/>
      <c r="AA42" s="2"/>
      <c r="AB42" s="7">
        <f t="shared" si="5"/>
        <v>0</v>
      </c>
      <c r="AC42" s="8" t="s">
        <v>150</v>
      </c>
      <c r="AD42" s="8">
        <v>300</v>
      </c>
      <c r="AE42" s="8" t="s">
        <v>152</v>
      </c>
      <c r="AF42" s="8">
        <f t="shared" si="3"/>
        <v>0</v>
      </c>
      <c r="AG42" s="37"/>
    </row>
    <row r="43" spans="2:33" x14ac:dyDescent="0.25">
      <c r="B43" s="2">
        <v>38</v>
      </c>
      <c r="C43" s="2" t="s">
        <v>24</v>
      </c>
      <c r="D43" s="2" t="s">
        <v>129</v>
      </c>
      <c r="E43" s="2" t="s">
        <v>62</v>
      </c>
      <c r="F43" s="13">
        <v>0.75</v>
      </c>
      <c r="G43" s="2">
        <v>3.5000000000000003E-2</v>
      </c>
      <c r="H43" s="3"/>
      <c r="I43" s="3"/>
      <c r="J43" s="2">
        <v>0</v>
      </c>
      <c r="K43" s="2"/>
      <c r="L43" s="2">
        <v>0</v>
      </c>
      <c r="M43" s="2"/>
      <c r="N43" s="2"/>
      <c r="O43" s="2"/>
      <c r="P43" s="8">
        <f t="shared" si="4"/>
        <v>0</v>
      </c>
      <c r="Q43" s="2"/>
      <c r="R43" s="2"/>
      <c r="S43" s="18"/>
      <c r="T43" s="2"/>
      <c r="U43" s="18"/>
      <c r="V43" s="18"/>
      <c r="W43" s="18"/>
      <c r="X43" s="18"/>
      <c r="Y43" s="18"/>
      <c r="Z43" s="18"/>
      <c r="AA43" s="2"/>
      <c r="AB43" s="7">
        <f t="shared" si="5"/>
        <v>0</v>
      </c>
      <c r="AC43" s="8" t="s">
        <v>150</v>
      </c>
      <c r="AD43" s="8">
        <v>300</v>
      </c>
      <c r="AE43" s="8" t="s">
        <v>152</v>
      </c>
      <c r="AF43" s="8">
        <f t="shared" si="3"/>
        <v>0</v>
      </c>
      <c r="AG43" s="37"/>
    </row>
    <row r="44" spans="2:33" x14ac:dyDescent="0.25">
      <c r="B44" s="2">
        <v>39</v>
      </c>
      <c r="C44" s="2" t="s">
        <v>24</v>
      </c>
      <c r="D44" s="2" t="s">
        <v>129</v>
      </c>
      <c r="E44" s="2" t="s">
        <v>63</v>
      </c>
      <c r="F44" s="13">
        <v>0.75</v>
      </c>
      <c r="G44" s="2">
        <v>3.5000000000000003E-2</v>
      </c>
      <c r="H44" s="3"/>
      <c r="I44" s="3"/>
      <c r="J44" s="2">
        <v>0</v>
      </c>
      <c r="K44" s="2"/>
      <c r="L44" s="2">
        <v>0</v>
      </c>
      <c r="M44" s="2"/>
      <c r="N44" s="2"/>
      <c r="O44" s="2"/>
      <c r="P44" s="8">
        <f t="shared" si="4"/>
        <v>0</v>
      </c>
      <c r="Q44" s="2"/>
      <c r="R44" s="2"/>
      <c r="S44" s="18"/>
      <c r="T44" s="2"/>
      <c r="U44" s="18"/>
      <c r="V44" s="18"/>
      <c r="W44" s="18"/>
      <c r="X44" s="18"/>
      <c r="Y44" s="18"/>
      <c r="Z44" s="18"/>
      <c r="AA44" s="2"/>
      <c r="AB44" s="7">
        <f t="shared" si="5"/>
        <v>0</v>
      </c>
      <c r="AC44" s="8" t="s">
        <v>150</v>
      </c>
      <c r="AD44" s="8">
        <v>2000</v>
      </c>
      <c r="AE44" s="8" t="s">
        <v>152</v>
      </c>
      <c r="AF44" s="8">
        <f t="shared" si="3"/>
        <v>0</v>
      </c>
      <c r="AG44" s="37"/>
    </row>
    <row r="45" spans="2:33" x14ac:dyDescent="0.25">
      <c r="B45" s="2">
        <v>40</v>
      </c>
      <c r="C45" s="2" t="s">
        <v>24</v>
      </c>
      <c r="D45" s="2" t="s">
        <v>129</v>
      </c>
      <c r="E45" s="2" t="s">
        <v>64</v>
      </c>
      <c r="F45" s="13">
        <v>0.75</v>
      </c>
      <c r="G45" s="2">
        <v>3.5000000000000003E-2</v>
      </c>
      <c r="H45" s="3"/>
      <c r="I45" s="3"/>
      <c r="J45" s="2">
        <v>0</v>
      </c>
      <c r="K45" s="2"/>
      <c r="L45" s="2">
        <v>0</v>
      </c>
      <c r="M45" s="2"/>
      <c r="N45" s="2"/>
      <c r="O45" s="2"/>
      <c r="P45" s="8">
        <f t="shared" si="4"/>
        <v>0</v>
      </c>
      <c r="Q45" s="2"/>
      <c r="R45" s="2"/>
      <c r="S45" s="18"/>
      <c r="T45" s="2"/>
      <c r="U45" s="18"/>
      <c r="V45" s="18"/>
      <c r="W45" s="18"/>
      <c r="X45" s="18"/>
      <c r="Y45" s="18"/>
      <c r="Z45" s="18"/>
      <c r="AA45" s="2"/>
      <c r="AB45" s="7">
        <f t="shared" si="5"/>
        <v>0</v>
      </c>
      <c r="AC45" s="8" t="s">
        <v>150</v>
      </c>
      <c r="AD45" s="8">
        <v>1000</v>
      </c>
      <c r="AE45" s="8" t="s">
        <v>152</v>
      </c>
      <c r="AF45" s="8">
        <f t="shared" si="3"/>
        <v>0</v>
      </c>
      <c r="AG45" s="37"/>
    </row>
    <row r="46" spans="2:33" x14ac:dyDescent="0.25">
      <c r="B46" s="2">
        <v>41</v>
      </c>
      <c r="C46" s="2" t="s">
        <v>24</v>
      </c>
      <c r="D46" s="2" t="s">
        <v>129</v>
      </c>
      <c r="E46" s="2" t="s">
        <v>65</v>
      </c>
      <c r="F46" s="13">
        <v>0.75</v>
      </c>
      <c r="G46" s="2">
        <v>3.5000000000000003E-2</v>
      </c>
      <c r="H46" s="3"/>
      <c r="I46" s="3"/>
      <c r="J46" s="2">
        <v>0</v>
      </c>
      <c r="K46" s="2"/>
      <c r="L46" s="2">
        <v>0</v>
      </c>
      <c r="M46" s="2"/>
      <c r="N46" s="2"/>
      <c r="O46" s="2"/>
      <c r="P46" s="8">
        <f t="shared" si="4"/>
        <v>0</v>
      </c>
      <c r="Q46" s="2"/>
      <c r="R46" s="2"/>
      <c r="S46" s="18"/>
      <c r="T46" s="2"/>
      <c r="U46" s="18"/>
      <c r="V46" s="18"/>
      <c r="W46" s="18"/>
      <c r="X46" s="18"/>
      <c r="Y46" s="18"/>
      <c r="Z46" s="18"/>
      <c r="AA46" s="2"/>
      <c r="AB46" s="7">
        <f t="shared" si="5"/>
        <v>0</v>
      </c>
      <c r="AC46" s="8">
        <v>0</v>
      </c>
      <c r="AD46" s="8">
        <v>0</v>
      </c>
      <c r="AE46" s="8" t="s">
        <v>152</v>
      </c>
      <c r="AF46" s="8">
        <v>0</v>
      </c>
      <c r="AG46" s="37"/>
    </row>
    <row r="47" spans="2:33" x14ac:dyDescent="0.25">
      <c r="B47" s="2">
        <v>42</v>
      </c>
      <c r="C47" s="2" t="s">
        <v>24</v>
      </c>
      <c r="D47" s="2" t="s">
        <v>129</v>
      </c>
      <c r="E47" s="2" t="s">
        <v>66</v>
      </c>
      <c r="F47" s="13">
        <v>0.75</v>
      </c>
      <c r="G47" s="2">
        <v>3.5000000000000003E-2</v>
      </c>
      <c r="H47" s="3"/>
      <c r="I47" s="3"/>
      <c r="J47" s="2">
        <v>0</v>
      </c>
      <c r="K47" s="2"/>
      <c r="L47" s="2">
        <v>0</v>
      </c>
      <c r="M47" s="2"/>
      <c r="N47" s="2"/>
      <c r="O47" s="2"/>
      <c r="P47" s="8">
        <f t="shared" si="4"/>
        <v>0</v>
      </c>
      <c r="Q47" s="2"/>
      <c r="R47" s="2"/>
      <c r="S47" s="18"/>
      <c r="T47" s="2"/>
      <c r="U47" s="18"/>
      <c r="V47" s="18"/>
      <c r="W47" s="18"/>
      <c r="X47" s="18"/>
      <c r="Y47" s="18"/>
      <c r="Z47" s="18"/>
      <c r="AA47" s="2"/>
      <c r="AB47" s="7">
        <f t="shared" si="5"/>
        <v>0</v>
      </c>
      <c r="AC47" s="8">
        <v>0</v>
      </c>
      <c r="AD47" s="8">
        <v>0</v>
      </c>
      <c r="AE47" s="8" t="s">
        <v>152</v>
      </c>
      <c r="AF47" s="8">
        <v>0</v>
      </c>
      <c r="AG47" s="37"/>
    </row>
    <row r="48" spans="2:33" x14ac:dyDescent="0.25">
      <c r="B48" s="2">
        <v>43</v>
      </c>
      <c r="C48" s="2" t="s">
        <v>24</v>
      </c>
      <c r="D48" s="2" t="s">
        <v>129</v>
      </c>
      <c r="E48" s="2" t="s">
        <v>67</v>
      </c>
      <c r="F48" s="13">
        <v>0.75</v>
      </c>
      <c r="G48" s="2">
        <v>3.5000000000000003E-2</v>
      </c>
      <c r="H48" s="3"/>
      <c r="I48" s="3"/>
      <c r="J48" s="2">
        <v>0</v>
      </c>
      <c r="K48" s="2"/>
      <c r="L48" s="2">
        <v>0</v>
      </c>
      <c r="M48" s="2"/>
      <c r="N48" s="2"/>
      <c r="O48" s="2"/>
      <c r="P48" s="8">
        <f t="shared" si="4"/>
        <v>0</v>
      </c>
      <c r="Q48" s="2"/>
      <c r="R48" s="2"/>
      <c r="S48" s="18"/>
      <c r="T48" s="2"/>
      <c r="U48" s="18"/>
      <c r="V48" s="18"/>
      <c r="W48" s="18"/>
      <c r="X48" s="18"/>
      <c r="Y48" s="18"/>
      <c r="Z48" s="18"/>
      <c r="AA48" s="2"/>
      <c r="AB48" s="7">
        <f t="shared" si="5"/>
        <v>0</v>
      </c>
      <c r="AC48" s="8">
        <v>0</v>
      </c>
      <c r="AD48" s="8">
        <v>0</v>
      </c>
      <c r="AE48" s="8" t="s">
        <v>152</v>
      </c>
      <c r="AF48" s="8">
        <v>0</v>
      </c>
      <c r="AG48" s="37"/>
    </row>
    <row r="49" spans="2:33" x14ac:dyDescent="0.25">
      <c r="B49" s="2">
        <v>44</v>
      </c>
      <c r="C49" s="2" t="s">
        <v>24</v>
      </c>
      <c r="D49" s="2" t="s">
        <v>129</v>
      </c>
      <c r="E49" s="2" t="s">
        <v>68</v>
      </c>
      <c r="F49" s="13">
        <v>0.75</v>
      </c>
      <c r="G49" s="2">
        <v>3.5000000000000003E-2</v>
      </c>
      <c r="H49" s="3"/>
      <c r="I49" s="3"/>
      <c r="J49" s="2">
        <v>0</v>
      </c>
      <c r="K49" s="2"/>
      <c r="L49" s="2">
        <v>0</v>
      </c>
      <c r="M49" s="2"/>
      <c r="N49" s="2"/>
      <c r="O49" s="2"/>
      <c r="P49" s="8">
        <f t="shared" si="4"/>
        <v>0</v>
      </c>
      <c r="Q49" s="2"/>
      <c r="R49" s="2"/>
      <c r="S49" s="18"/>
      <c r="T49" s="2"/>
      <c r="U49" s="18"/>
      <c r="V49" s="18"/>
      <c r="W49" s="18"/>
      <c r="X49" s="18"/>
      <c r="Y49" s="18"/>
      <c r="Z49" s="18"/>
      <c r="AA49" s="2"/>
      <c r="AB49" s="7">
        <f t="shared" si="5"/>
        <v>0</v>
      </c>
      <c r="AC49" s="8">
        <v>0</v>
      </c>
      <c r="AD49" s="8">
        <v>0</v>
      </c>
      <c r="AE49" s="8" t="s">
        <v>152</v>
      </c>
      <c r="AF49" s="8">
        <v>0</v>
      </c>
      <c r="AG49" s="37"/>
    </row>
    <row r="50" spans="2:33" x14ac:dyDescent="0.25">
      <c r="B50" s="2">
        <v>45</v>
      </c>
      <c r="C50" s="2" t="s">
        <v>24</v>
      </c>
      <c r="D50" s="2" t="s">
        <v>129</v>
      </c>
      <c r="E50" s="2" t="s">
        <v>69</v>
      </c>
      <c r="F50" s="13">
        <v>0.75</v>
      </c>
      <c r="G50" s="2">
        <v>3.5000000000000003E-2</v>
      </c>
      <c r="H50" s="3"/>
      <c r="I50" s="3"/>
      <c r="J50" s="2">
        <v>0</v>
      </c>
      <c r="K50" s="2"/>
      <c r="L50" s="2">
        <v>0</v>
      </c>
      <c r="M50" s="2"/>
      <c r="N50" s="2"/>
      <c r="O50" s="2"/>
      <c r="P50" s="8">
        <f t="shared" si="4"/>
        <v>0</v>
      </c>
      <c r="Q50" s="2"/>
      <c r="R50" s="2"/>
      <c r="S50" s="18"/>
      <c r="T50" s="2"/>
      <c r="U50" s="18"/>
      <c r="V50" s="18"/>
      <c r="W50" s="18"/>
      <c r="X50" s="18"/>
      <c r="Y50" s="18"/>
      <c r="Z50" s="18"/>
      <c r="AA50" s="2"/>
      <c r="AB50" s="7">
        <f t="shared" si="5"/>
        <v>0</v>
      </c>
      <c r="AC50" s="8">
        <v>0</v>
      </c>
      <c r="AD50" s="8">
        <v>0</v>
      </c>
      <c r="AE50" s="8" t="s">
        <v>152</v>
      </c>
      <c r="AF50" s="8">
        <v>0</v>
      </c>
      <c r="AG50" s="37"/>
    </row>
    <row r="51" spans="2:33" x14ac:dyDescent="0.25">
      <c r="B51" s="2">
        <v>46</v>
      </c>
      <c r="C51" s="2" t="s">
        <v>24</v>
      </c>
      <c r="D51" s="2" t="s">
        <v>129</v>
      </c>
      <c r="E51" s="2" t="s">
        <v>70</v>
      </c>
      <c r="F51" s="13">
        <v>0.75</v>
      </c>
      <c r="G51" s="2">
        <v>3.5000000000000003E-2</v>
      </c>
      <c r="H51" s="3"/>
      <c r="I51" s="3"/>
      <c r="J51" s="2">
        <v>0</v>
      </c>
      <c r="K51" s="2"/>
      <c r="L51" s="2">
        <v>0</v>
      </c>
      <c r="M51" s="2"/>
      <c r="N51" s="2"/>
      <c r="O51" s="2"/>
      <c r="P51" s="8">
        <f t="shared" si="4"/>
        <v>0</v>
      </c>
      <c r="Q51" s="2"/>
      <c r="R51" s="2"/>
      <c r="S51" s="18"/>
      <c r="T51" s="2"/>
      <c r="U51" s="18"/>
      <c r="V51" s="18"/>
      <c r="W51" s="18"/>
      <c r="X51" s="18"/>
      <c r="Y51" s="18"/>
      <c r="Z51" s="18"/>
      <c r="AA51" s="2"/>
      <c r="AB51" s="7">
        <f t="shared" si="5"/>
        <v>0</v>
      </c>
      <c r="AC51" s="8">
        <v>0</v>
      </c>
      <c r="AD51" s="8">
        <v>0</v>
      </c>
      <c r="AE51" s="8" t="s">
        <v>152</v>
      </c>
      <c r="AF51" s="8">
        <v>0</v>
      </c>
      <c r="AG51" s="37"/>
    </row>
    <row r="52" spans="2:33" x14ac:dyDescent="0.25">
      <c r="B52" s="2">
        <v>47</v>
      </c>
      <c r="C52" s="2" t="s">
        <v>24</v>
      </c>
      <c r="D52" s="2" t="s">
        <v>129</v>
      </c>
      <c r="E52" s="2" t="s">
        <v>71</v>
      </c>
      <c r="F52" s="13">
        <v>0.75</v>
      </c>
      <c r="G52" s="2">
        <v>3.5000000000000003E-2</v>
      </c>
      <c r="H52" s="3"/>
      <c r="I52" s="3"/>
      <c r="J52" s="2">
        <v>0</v>
      </c>
      <c r="K52" s="2"/>
      <c r="L52" s="2">
        <v>0</v>
      </c>
      <c r="M52" s="2"/>
      <c r="N52" s="2"/>
      <c r="O52" s="2"/>
      <c r="P52" s="8">
        <f t="shared" si="4"/>
        <v>0</v>
      </c>
      <c r="Q52" s="2"/>
      <c r="R52" s="2"/>
      <c r="S52" s="18"/>
      <c r="T52" s="2"/>
      <c r="U52" s="18"/>
      <c r="V52" s="18"/>
      <c r="W52" s="18"/>
      <c r="X52" s="18"/>
      <c r="Y52" s="18"/>
      <c r="Z52" s="18"/>
      <c r="AA52" s="2"/>
      <c r="AB52" s="7">
        <f t="shared" si="5"/>
        <v>0</v>
      </c>
      <c r="AC52" s="8">
        <v>0</v>
      </c>
      <c r="AD52" s="8">
        <v>0</v>
      </c>
      <c r="AE52" s="8" t="s">
        <v>152</v>
      </c>
      <c r="AF52" s="8">
        <v>0</v>
      </c>
      <c r="AG52" s="37"/>
    </row>
    <row r="53" spans="2:33" x14ac:dyDescent="0.25">
      <c r="B53" s="2">
        <v>48</v>
      </c>
      <c r="C53" s="2" t="s">
        <v>24</v>
      </c>
      <c r="D53" s="2" t="s">
        <v>129</v>
      </c>
      <c r="E53" s="2" t="s">
        <v>72</v>
      </c>
      <c r="F53" s="13">
        <v>0.75</v>
      </c>
      <c r="G53" s="2">
        <v>3.5000000000000003E-2</v>
      </c>
      <c r="H53" s="3"/>
      <c r="I53" s="3"/>
      <c r="J53" s="2">
        <v>0</v>
      </c>
      <c r="K53" s="2"/>
      <c r="L53" s="2">
        <v>0</v>
      </c>
      <c r="M53" s="2"/>
      <c r="N53" s="2"/>
      <c r="O53" s="2"/>
      <c r="P53" s="8">
        <f t="shared" si="4"/>
        <v>0</v>
      </c>
      <c r="Q53" s="2"/>
      <c r="R53" s="2"/>
      <c r="S53" s="18"/>
      <c r="T53" s="2"/>
      <c r="U53" s="18"/>
      <c r="V53" s="18"/>
      <c r="W53" s="18"/>
      <c r="X53" s="18"/>
      <c r="Y53" s="18"/>
      <c r="Z53" s="18"/>
      <c r="AA53" s="2"/>
      <c r="AB53" s="7">
        <f t="shared" si="5"/>
        <v>0</v>
      </c>
      <c r="AC53" s="8">
        <v>0</v>
      </c>
      <c r="AD53" s="8">
        <v>0</v>
      </c>
      <c r="AE53" s="8" t="s">
        <v>152</v>
      </c>
      <c r="AF53" s="8">
        <v>0</v>
      </c>
      <c r="AG53" s="37"/>
    </row>
    <row r="54" spans="2:33" x14ac:dyDescent="0.25">
      <c r="B54" s="2">
        <v>49</v>
      </c>
      <c r="C54" s="2" t="s">
        <v>24</v>
      </c>
      <c r="D54" s="2" t="s">
        <v>129</v>
      </c>
      <c r="E54" s="2" t="s">
        <v>73</v>
      </c>
      <c r="F54" s="13">
        <v>0.75</v>
      </c>
      <c r="G54" s="2">
        <v>3.5000000000000003E-2</v>
      </c>
      <c r="H54" s="3"/>
      <c r="I54" s="3"/>
      <c r="J54" s="2">
        <v>0</v>
      </c>
      <c r="K54" s="2"/>
      <c r="L54" s="2">
        <v>0</v>
      </c>
      <c r="M54" s="2"/>
      <c r="N54" s="2"/>
      <c r="O54" s="2"/>
      <c r="P54" s="8">
        <f t="shared" si="4"/>
        <v>0</v>
      </c>
      <c r="Q54" s="2"/>
      <c r="R54" s="2"/>
      <c r="S54" s="18"/>
      <c r="T54" s="2"/>
      <c r="U54" s="18"/>
      <c r="V54" s="18"/>
      <c r="W54" s="18"/>
      <c r="X54" s="18"/>
      <c r="Y54" s="18"/>
      <c r="Z54" s="18"/>
      <c r="AA54" s="2"/>
      <c r="AB54" s="7">
        <f t="shared" si="5"/>
        <v>0</v>
      </c>
      <c r="AC54" s="8">
        <v>0</v>
      </c>
      <c r="AD54" s="8">
        <v>0</v>
      </c>
      <c r="AE54" s="8" t="s">
        <v>152</v>
      </c>
      <c r="AF54" s="8">
        <v>0</v>
      </c>
      <c r="AG54" s="37"/>
    </row>
    <row r="55" spans="2:33" x14ac:dyDescent="0.25">
      <c r="B55" s="2">
        <v>50</v>
      </c>
      <c r="C55" s="2" t="s">
        <v>24</v>
      </c>
      <c r="D55" s="2" t="s">
        <v>129</v>
      </c>
      <c r="E55" s="2" t="s">
        <v>74</v>
      </c>
      <c r="F55" s="13">
        <v>0.75</v>
      </c>
      <c r="G55" s="2">
        <v>3.5000000000000003E-2</v>
      </c>
      <c r="H55" s="3"/>
      <c r="I55" s="3"/>
      <c r="J55" s="2">
        <v>0</v>
      </c>
      <c r="K55" s="2"/>
      <c r="L55" s="2">
        <v>0</v>
      </c>
      <c r="M55" s="2"/>
      <c r="N55" s="2"/>
      <c r="O55" s="2"/>
      <c r="P55" s="8">
        <f t="shared" si="4"/>
        <v>0</v>
      </c>
      <c r="Q55" s="2"/>
      <c r="R55" s="2"/>
      <c r="S55" s="18"/>
      <c r="T55" s="2"/>
      <c r="U55" s="18"/>
      <c r="V55" s="18"/>
      <c r="W55" s="18"/>
      <c r="X55" s="18"/>
      <c r="Y55" s="18"/>
      <c r="Z55" s="18"/>
      <c r="AA55" s="2"/>
      <c r="AB55" s="7">
        <f t="shared" si="5"/>
        <v>0</v>
      </c>
      <c r="AC55" s="8">
        <v>0</v>
      </c>
      <c r="AD55" s="8">
        <v>0</v>
      </c>
      <c r="AE55" s="8" t="s">
        <v>152</v>
      </c>
      <c r="AF55" s="8">
        <v>0</v>
      </c>
      <c r="AG55" s="37"/>
    </row>
    <row r="56" spans="2:33" x14ac:dyDescent="0.25">
      <c r="B56" s="2">
        <v>51</v>
      </c>
      <c r="C56" s="2" t="s">
        <v>24</v>
      </c>
      <c r="D56" s="2" t="s">
        <v>129</v>
      </c>
      <c r="E56" s="2" t="s">
        <v>75</v>
      </c>
      <c r="F56" s="13">
        <v>0.75</v>
      </c>
      <c r="G56" s="2">
        <v>3.5000000000000003E-2</v>
      </c>
      <c r="H56" s="3"/>
      <c r="I56" s="3"/>
      <c r="J56" s="2">
        <v>0</v>
      </c>
      <c r="K56" s="2"/>
      <c r="L56" s="2">
        <v>0</v>
      </c>
      <c r="M56" s="2"/>
      <c r="N56" s="2"/>
      <c r="O56" s="2"/>
      <c r="P56" s="8">
        <f t="shared" si="4"/>
        <v>0</v>
      </c>
      <c r="Q56" s="2"/>
      <c r="R56" s="2"/>
      <c r="S56" s="18"/>
      <c r="T56" s="2"/>
      <c r="U56" s="18"/>
      <c r="V56" s="18"/>
      <c r="W56" s="18"/>
      <c r="X56" s="18"/>
      <c r="Y56" s="18"/>
      <c r="Z56" s="18"/>
      <c r="AA56" s="2"/>
      <c r="AB56" s="7">
        <f t="shared" si="5"/>
        <v>0</v>
      </c>
      <c r="AC56" s="8">
        <v>0</v>
      </c>
      <c r="AD56" s="8">
        <v>0</v>
      </c>
      <c r="AE56" s="8" t="s">
        <v>152</v>
      </c>
      <c r="AF56" s="8">
        <v>0</v>
      </c>
      <c r="AG56" s="37"/>
    </row>
    <row r="57" spans="2:33" x14ac:dyDescent="0.25">
      <c r="B57" s="2">
        <v>52</v>
      </c>
      <c r="C57" s="2" t="s">
        <v>24</v>
      </c>
      <c r="D57" s="2" t="s">
        <v>129</v>
      </c>
      <c r="E57" s="2" t="s">
        <v>76</v>
      </c>
      <c r="F57" s="13">
        <v>0.875</v>
      </c>
      <c r="G57" s="2">
        <v>4.4999999999999998E-2</v>
      </c>
      <c r="H57" s="3"/>
      <c r="I57" s="3"/>
      <c r="J57" s="2">
        <v>0</v>
      </c>
      <c r="K57" s="2"/>
      <c r="L57" s="2">
        <v>0</v>
      </c>
      <c r="M57" s="2"/>
      <c r="N57" s="2"/>
      <c r="O57" s="2"/>
      <c r="P57" s="8">
        <f t="shared" si="4"/>
        <v>0</v>
      </c>
      <c r="Q57" s="2"/>
      <c r="R57" s="2"/>
      <c r="S57" s="18"/>
      <c r="T57" s="2"/>
      <c r="U57" s="18"/>
      <c r="V57" s="18"/>
      <c r="W57" s="18"/>
      <c r="X57" s="18"/>
      <c r="Y57" s="18"/>
      <c r="Z57" s="18"/>
      <c r="AA57" s="2"/>
      <c r="AB57" s="7">
        <f t="shared" si="5"/>
        <v>0</v>
      </c>
      <c r="AC57" s="8" t="s">
        <v>150</v>
      </c>
      <c r="AD57" s="8">
        <v>1000</v>
      </c>
      <c r="AE57" s="8" t="s">
        <v>152</v>
      </c>
      <c r="AF57" s="8">
        <f t="shared" ref="AF57:AF63" si="6">+SUM(J57:O57)/AD57</f>
        <v>0</v>
      </c>
      <c r="AG57" s="37"/>
    </row>
    <row r="58" spans="2:33" x14ac:dyDescent="0.25">
      <c r="B58" s="2">
        <v>53</v>
      </c>
      <c r="C58" s="2" t="s">
        <v>24</v>
      </c>
      <c r="D58" s="2" t="s">
        <v>129</v>
      </c>
      <c r="E58" s="2" t="s">
        <v>77</v>
      </c>
      <c r="F58" s="13">
        <v>0.875</v>
      </c>
      <c r="G58" s="2">
        <v>4.4999999999999998E-2</v>
      </c>
      <c r="H58" s="3"/>
      <c r="I58" s="3"/>
      <c r="J58" s="2">
        <v>0</v>
      </c>
      <c r="K58" s="2"/>
      <c r="L58" s="2">
        <v>0</v>
      </c>
      <c r="M58" s="2"/>
      <c r="N58" s="2"/>
      <c r="O58" s="2"/>
      <c r="P58" s="8">
        <f t="shared" si="4"/>
        <v>0</v>
      </c>
      <c r="Q58" s="2"/>
      <c r="R58" s="2"/>
      <c r="S58" s="18"/>
      <c r="T58" s="2"/>
      <c r="U58" s="18"/>
      <c r="V58" s="18"/>
      <c r="W58" s="18"/>
      <c r="X58" s="18"/>
      <c r="Y58" s="18"/>
      <c r="Z58" s="18"/>
      <c r="AA58" s="2"/>
      <c r="AB58" s="7">
        <f t="shared" si="5"/>
        <v>0</v>
      </c>
      <c r="AC58" s="8" t="s">
        <v>151</v>
      </c>
      <c r="AD58" s="8">
        <v>200</v>
      </c>
      <c r="AE58" s="8" t="s">
        <v>152</v>
      </c>
      <c r="AF58" s="8">
        <f t="shared" si="6"/>
        <v>0</v>
      </c>
      <c r="AG58" s="37"/>
    </row>
    <row r="59" spans="2:33" x14ac:dyDescent="0.25">
      <c r="B59" s="2">
        <v>54</v>
      </c>
      <c r="C59" s="2" t="s">
        <v>24</v>
      </c>
      <c r="D59" s="2" t="s">
        <v>129</v>
      </c>
      <c r="E59" s="2" t="s">
        <v>78</v>
      </c>
      <c r="F59" s="13">
        <v>0.875</v>
      </c>
      <c r="G59" s="2">
        <v>4.4999999999999998E-2</v>
      </c>
      <c r="H59" s="3"/>
      <c r="I59" s="3"/>
      <c r="J59" s="2">
        <v>0</v>
      </c>
      <c r="K59" s="2"/>
      <c r="L59" s="2">
        <v>0</v>
      </c>
      <c r="M59" s="2"/>
      <c r="N59" s="2"/>
      <c r="O59" s="2"/>
      <c r="P59" s="8">
        <f t="shared" si="4"/>
        <v>0</v>
      </c>
      <c r="Q59" s="2"/>
      <c r="R59" s="2"/>
      <c r="S59" s="18"/>
      <c r="T59" s="2"/>
      <c r="U59" s="18"/>
      <c r="V59" s="18"/>
      <c r="W59" s="18"/>
      <c r="X59" s="18"/>
      <c r="Y59" s="18"/>
      <c r="Z59" s="18"/>
      <c r="AA59" s="2"/>
      <c r="AB59" s="7">
        <f t="shared" si="5"/>
        <v>0</v>
      </c>
      <c r="AC59" s="8" t="s">
        <v>150</v>
      </c>
      <c r="AD59" s="8">
        <v>1000</v>
      </c>
      <c r="AE59" s="8" t="s">
        <v>152</v>
      </c>
      <c r="AF59" s="8">
        <f t="shared" si="6"/>
        <v>0</v>
      </c>
      <c r="AG59" s="37"/>
    </row>
    <row r="60" spans="2:33" x14ac:dyDescent="0.25">
      <c r="B60" s="2">
        <v>55</v>
      </c>
      <c r="C60" s="2" t="s">
        <v>24</v>
      </c>
      <c r="D60" s="2" t="s">
        <v>129</v>
      </c>
      <c r="E60" s="2" t="s">
        <v>79</v>
      </c>
      <c r="F60" s="13">
        <v>0.875</v>
      </c>
      <c r="G60" s="2">
        <v>4.4999999999999998E-2</v>
      </c>
      <c r="H60" s="3"/>
      <c r="I60" s="3"/>
      <c r="J60" s="2">
        <v>0</v>
      </c>
      <c r="K60" s="2"/>
      <c r="L60" s="2">
        <v>0</v>
      </c>
      <c r="M60" s="2"/>
      <c r="N60" s="2"/>
      <c r="O60" s="2"/>
      <c r="P60" s="8">
        <f t="shared" si="4"/>
        <v>0</v>
      </c>
      <c r="Q60" s="2"/>
      <c r="R60" s="2"/>
      <c r="S60" s="18"/>
      <c r="T60" s="2"/>
      <c r="U60" s="18"/>
      <c r="V60" s="18"/>
      <c r="W60" s="18"/>
      <c r="X60" s="18"/>
      <c r="Y60" s="18"/>
      <c r="Z60" s="18"/>
      <c r="AA60" s="2"/>
      <c r="AB60" s="7">
        <f t="shared" si="5"/>
        <v>0</v>
      </c>
      <c r="AC60" s="8" t="s">
        <v>151</v>
      </c>
      <c r="AD60" s="8">
        <v>500</v>
      </c>
      <c r="AE60" s="8" t="s">
        <v>152</v>
      </c>
      <c r="AF60" s="8">
        <f t="shared" si="6"/>
        <v>0</v>
      </c>
      <c r="AG60" s="37"/>
    </row>
    <row r="61" spans="2:33" x14ac:dyDescent="0.25">
      <c r="B61" s="2">
        <v>56</v>
      </c>
      <c r="C61" s="2" t="s">
        <v>24</v>
      </c>
      <c r="D61" s="2" t="s">
        <v>129</v>
      </c>
      <c r="E61" s="40" t="s">
        <v>80</v>
      </c>
      <c r="F61" s="13">
        <v>0.875</v>
      </c>
      <c r="G61" s="2">
        <v>4.4999999999999998E-2</v>
      </c>
      <c r="H61" s="3"/>
      <c r="I61" s="3"/>
      <c r="J61" s="2">
        <v>99</v>
      </c>
      <c r="K61" s="2"/>
      <c r="L61" s="2">
        <v>0</v>
      </c>
      <c r="M61" s="2"/>
      <c r="N61" s="2"/>
      <c r="O61" s="2"/>
      <c r="P61" s="8">
        <f t="shared" si="4"/>
        <v>99</v>
      </c>
      <c r="Q61" s="2"/>
      <c r="R61" s="2"/>
      <c r="S61" s="18"/>
      <c r="T61" s="2"/>
      <c r="U61" s="18"/>
      <c r="V61" s="18"/>
      <c r="W61" s="18"/>
      <c r="X61" s="18"/>
      <c r="Y61" s="18"/>
      <c r="Z61" s="18"/>
      <c r="AA61" s="2"/>
      <c r="AB61" s="7">
        <f t="shared" si="5"/>
        <v>0</v>
      </c>
      <c r="AC61" s="8" t="s">
        <v>150</v>
      </c>
      <c r="AD61" s="8">
        <v>1000</v>
      </c>
      <c r="AE61" s="8" t="s">
        <v>152</v>
      </c>
      <c r="AF61" s="8">
        <f t="shared" si="6"/>
        <v>9.9000000000000005E-2</v>
      </c>
      <c r="AG61" s="37"/>
    </row>
    <row r="62" spans="2:33" x14ac:dyDescent="0.25">
      <c r="B62" s="2">
        <v>57</v>
      </c>
      <c r="C62" s="2" t="s">
        <v>24</v>
      </c>
      <c r="D62" s="2" t="s">
        <v>129</v>
      </c>
      <c r="E62" s="40" t="s">
        <v>81</v>
      </c>
      <c r="F62" s="13">
        <v>0.875</v>
      </c>
      <c r="G62" s="2">
        <v>4.4999999999999998E-2</v>
      </c>
      <c r="H62" s="3"/>
      <c r="I62" s="3"/>
      <c r="J62" s="2">
        <v>600</v>
      </c>
      <c r="K62" s="2"/>
      <c r="L62" s="2">
        <v>0</v>
      </c>
      <c r="M62" s="2"/>
      <c r="N62" s="2"/>
      <c r="O62" s="2"/>
      <c r="P62" s="8">
        <f t="shared" si="4"/>
        <v>50</v>
      </c>
      <c r="Q62" s="2">
        <v>300</v>
      </c>
      <c r="R62" s="2">
        <v>250</v>
      </c>
      <c r="S62" s="18"/>
      <c r="T62" s="2"/>
      <c r="U62" s="18"/>
      <c r="V62" s="18"/>
      <c r="W62" s="18"/>
      <c r="X62" s="18"/>
      <c r="Y62" s="18"/>
      <c r="Z62" s="18"/>
      <c r="AA62" s="2"/>
      <c r="AB62" s="7">
        <f t="shared" si="5"/>
        <v>0</v>
      </c>
      <c r="AC62" s="8" t="s">
        <v>151</v>
      </c>
      <c r="AD62" s="8">
        <v>200</v>
      </c>
      <c r="AE62" s="8" t="s">
        <v>152</v>
      </c>
      <c r="AF62" s="8">
        <f t="shared" si="6"/>
        <v>3</v>
      </c>
      <c r="AG62" s="37"/>
    </row>
    <row r="63" spans="2:33" x14ac:dyDescent="0.25">
      <c r="B63" s="2">
        <v>58</v>
      </c>
      <c r="C63" s="2" t="s">
        <v>24</v>
      </c>
      <c r="D63" s="2" t="s">
        <v>129</v>
      </c>
      <c r="E63" s="40" t="s">
        <v>82</v>
      </c>
      <c r="F63" s="13">
        <v>0.875</v>
      </c>
      <c r="G63" s="2">
        <v>4.4999999999999998E-2</v>
      </c>
      <c r="H63" s="3"/>
      <c r="I63" s="3"/>
      <c r="J63" s="2">
        <v>500</v>
      </c>
      <c r="K63" s="2"/>
      <c r="L63" s="2">
        <v>0</v>
      </c>
      <c r="M63" s="2"/>
      <c r="N63" s="2"/>
      <c r="O63" s="2"/>
      <c r="P63" s="8">
        <f t="shared" si="4"/>
        <v>500</v>
      </c>
      <c r="Q63" s="2"/>
      <c r="R63" s="2"/>
      <c r="S63" s="18"/>
      <c r="T63" s="2"/>
      <c r="U63" s="18"/>
      <c r="V63" s="18"/>
      <c r="W63" s="18"/>
      <c r="X63" s="18"/>
      <c r="Y63" s="18"/>
      <c r="Z63" s="18"/>
      <c r="AA63" s="2"/>
      <c r="AB63" s="7">
        <f t="shared" si="5"/>
        <v>0</v>
      </c>
      <c r="AC63" s="8" t="s">
        <v>151</v>
      </c>
      <c r="AD63" s="8">
        <v>500</v>
      </c>
      <c r="AE63" s="8" t="s">
        <v>152</v>
      </c>
      <c r="AF63" s="8">
        <f t="shared" si="6"/>
        <v>1</v>
      </c>
      <c r="AG63" s="37"/>
    </row>
    <row r="64" spans="2:33" x14ac:dyDescent="0.25">
      <c r="B64" s="2">
        <v>59</v>
      </c>
      <c r="C64" s="2" t="s">
        <v>24</v>
      </c>
      <c r="D64" s="2" t="s">
        <v>129</v>
      </c>
      <c r="E64" s="2" t="s">
        <v>83</v>
      </c>
      <c r="F64" s="13">
        <v>0.875</v>
      </c>
      <c r="G64" s="2">
        <v>4.4999999999999998E-2</v>
      </c>
      <c r="H64" s="3"/>
      <c r="I64" s="3"/>
      <c r="J64" s="2">
        <v>0</v>
      </c>
      <c r="K64" s="2"/>
      <c r="L64" s="2">
        <v>0</v>
      </c>
      <c r="M64" s="2"/>
      <c r="N64" s="2"/>
      <c r="O64" s="2"/>
      <c r="P64" s="8">
        <f t="shared" si="4"/>
        <v>0</v>
      </c>
      <c r="Q64" s="2"/>
      <c r="R64" s="2"/>
      <c r="S64" s="18"/>
      <c r="T64" s="2"/>
      <c r="U64" s="18"/>
      <c r="V64" s="18"/>
      <c r="W64" s="18"/>
      <c r="X64" s="18"/>
      <c r="Y64" s="18"/>
      <c r="Z64" s="18"/>
      <c r="AA64" s="2"/>
      <c r="AB64" s="7">
        <f t="shared" si="5"/>
        <v>0</v>
      </c>
      <c r="AC64" s="8">
        <v>0</v>
      </c>
      <c r="AD64" s="8">
        <v>0</v>
      </c>
      <c r="AE64" s="8" t="s">
        <v>152</v>
      </c>
      <c r="AF64" s="8">
        <v>0</v>
      </c>
      <c r="AG64" s="37"/>
    </row>
    <row r="65" spans="2:33" x14ac:dyDescent="0.25">
      <c r="B65" s="2">
        <v>60</v>
      </c>
      <c r="C65" s="2" t="s">
        <v>24</v>
      </c>
      <c r="D65" s="2" t="s">
        <v>129</v>
      </c>
      <c r="E65" s="2" t="s">
        <v>84</v>
      </c>
      <c r="F65" s="13">
        <v>0.875</v>
      </c>
      <c r="G65" s="2">
        <v>4.4999999999999998E-2</v>
      </c>
      <c r="H65" s="3"/>
      <c r="I65" s="3"/>
      <c r="J65" s="2">
        <v>0</v>
      </c>
      <c r="K65" s="2"/>
      <c r="L65" s="2">
        <v>0</v>
      </c>
      <c r="M65" s="2"/>
      <c r="N65" s="2"/>
      <c r="O65" s="2"/>
      <c r="P65" s="8">
        <f t="shared" si="4"/>
        <v>0</v>
      </c>
      <c r="Q65" s="2"/>
      <c r="R65" s="2"/>
      <c r="S65" s="18"/>
      <c r="T65" s="2"/>
      <c r="U65" s="18"/>
      <c r="V65" s="18"/>
      <c r="W65" s="18"/>
      <c r="X65" s="18"/>
      <c r="Y65" s="18"/>
      <c r="Z65" s="18"/>
      <c r="AA65" s="2"/>
      <c r="AB65" s="7">
        <f t="shared" si="5"/>
        <v>0</v>
      </c>
      <c r="AC65" s="8">
        <v>0</v>
      </c>
      <c r="AD65" s="8">
        <v>0</v>
      </c>
      <c r="AE65" s="8" t="s">
        <v>152</v>
      </c>
      <c r="AF65" s="8">
        <v>0</v>
      </c>
      <c r="AG65" s="37"/>
    </row>
    <row r="66" spans="2:33" x14ac:dyDescent="0.25">
      <c r="B66" s="2">
        <v>61</v>
      </c>
      <c r="C66" s="2" t="s">
        <v>24</v>
      </c>
      <c r="D66" s="2" t="s">
        <v>129</v>
      </c>
      <c r="E66" s="2" t="s">
        <v>85</v>
      </c>
      <c r="F66" s="13">
        <v>0.875</v>
      </c>
      <c r="G66" s="2">
        <v>4.4999999999999998E-2</v>
      </c>
      <c r="H66" s="3"/>
      <c r="I66" s="3"/>
      <c r="J66" s="2">
        <v>0</v>
      </c>
      <c r="K66" s="2"/>
      <c r="L66" s="2">
        <v>0</v>
      </c>
      <c r="M66" s="2"/>
      <c r="N66" s="2"/>
      <c r="O66" s="2"/>
      <c r="P66" s="8">
        <f t="shared" si="4"/>
        <v>0</v>
      </c>
      <c r="Q66" s="2"/>
      <c r="R66" s="2"/>
      <c r="S66" s="18"/>
      <c r="T66" s="2"/>
      <c r="U66" s="18"/>
      <c r="V66" s="18"/>
      <c r="W66" s="18"/>
      <c r="X66" s="18"/>
      <c r="Y66" s="18"/>
      <c r="Z66" s="18"/>
      <c r="AA66" s="2"/>
      <c r="AB66" s="7">
        <f t="shared" si="5"/>
        <v>0</v>
      </c>
      <c r="AC66" s="8">
        <v>0</v>
      </c>
      <c r="AD66" s="8">
        <v>0</v>
      </c>
      <c r="AE66" s="8" t="s">
        <v>152</v>
      </c>
      <c r="AF66" s="8">
        <v>0</v>
      </c>
      <c r="AG66" s="37"/>
    </row>
    <row r="67" spans="2:33" x14ac:dyDescent="0.25">
      <c r="B67" s="2">
        <v>62</v>
      </c>
      <c r="C67" s="2" t="s">
        <v>24</v>
      </c>
      <c r="D67" s="2" t="s">
        <v>129</v>
      </c>
      <c r="E67" s="2" t="s">
        <v>86</v>
      </c>
      <c r="F67" s="13">
        <v>0.875</v>
      </c>
      <c r="G67" s="2">
        <v>4.4999999999999998E-2</v>
      </c>
      <c r="H67" s="3"/>
      <c r="I67" s="3"/>
      <c r="J67" s="2">
        <v>0</v>
      </c>
      <c r="K67" s="2"/>
      <c r="L67" s="2">
        <v>0</v>
      </c>
      <c r="M67" s="2"/>
      <c r="N67" s="2"/>
      <c r="O67" s="2"/>
      <c r="P67" s="8">
        <f t="shared" si="4"/>
        <v>0</v>
      </c>
      <c r="Q67" s="2"/>
      <c r="R67" s="2"/>
      <c r="S67" s="18"/>
      <c r="T67" s="2"/>
      <c r="U67" s="18"/>
      <c r="V67" s="18"/>
      <c r="W67" s="18"/>
      <c r="X67" s="18"/>
      <c r="Y67" s="18"/>
      <c r="Z67" s="18"/>
      <c r="AA67" s="2"/>
      <c r="AB67" s="7">
        <f t="shared" si="5"/>
        <v>0</v>
      </c>
      <c r="AC67" s="8" t="s">
        <v>151</v>
      </c>
      <c r="AD67" s="8">
        <v>200</v>
      </c>
      <c r="AE67" s="8" t="s">
        <v>152</v>
      </c>
      <c r="AF67" s="8">
        <f>+SUM(J67:O67)/AD67</f>
        <v>0</v>
      </c>
      <c r="AG67" s="37"/>
    </row>
    <row r="68" spans="2:33" x14ac:dyDescent="0.25">
      <c r="B68" s="2">
        <v>63</v>
      </c>
      <c r="C68" s="2" t="s">
        <v>24</v>
      </c>
      <c r="D68" s="2" t="s">
        <v>129</v>
      </c>
      <c r="E68" s="2" t="s">
        <v>87</v>
      </c>
      <c r="F68" s="13">
        <v>0.875</v>
      </c>
      <c r="G68" s="2">
        <v>4.4999999999999998E-2</v>
      </c>
      <c r="H68" s="3"/>
      <c r="I68" s="3"/>
      <c r="J68" s="2">
        <v>0</v>
      </c>
      <c r="K68" s="2"/>
      <c r="L68" s="2">
        <v>0</v>
      </c>
      <c r="M68" s="2"/>
      <c r="N68" s="2"/>
      <c r="O68" s="2"/>
      <c r="P68" s="8">
        <f t="shared" si="4"/>
        <v>0</v>
      </c>
      <c r="Q68" s="2"/>
      <c r="R68" s="2"/>
      <c r="S68" s="18"/>
      <c r="T68" s="2"/>
      <c r="U68" s="18"/>
      <c r="V68" s="18"/>
      <c r="W68" s="18"/>
      <c r="X68" s="18"/>
      <c r="Y68" s="18"/>
      <c r="Z68" s="18"/>
      <c r="AA68" s="2"/>
      <c r="AB68" s="7">
        <f t="shared" si="5"/>
        <v>0</v>
      </c>
      <c r="AC68" s="8">
        <v>0</v>
      </c>
      <c r="AD68" s="8">
        <v>0</v>
      </c>
      <c r="AE68" s="8" t="s">
        <v>152</v>
      </c>
      <c r="AF68" s="8">
        <v>0</v>
      </c>
      <c r="AG68" s="37"/>
    </row>
    <row r="69" spans="2:33" x14ac:dyDescent="0.25">
      <c r="B69" s="2">
        <v>64</v>
      </c>
      <c r="C69" s="2" t="s">
        <v>24</v>
      </c>
      <c r="D69" s="2" t="s">
        <v>129</v>
      </c>
      <c r="E69" s="2" t="s">
        <v>88</v>
      </c>
      <c r="F69" s="13">
        <v>0.875</v>
      </c>
      <c r="G69" s="2">
        <v>4.4999999999999998E-2</v>
      </c>
      <c r="H69" s="3"/>
      <c r="I69" s="3"/>
      <c r="J69" s="2">
        <v>0</v>
      </c>
      <c r="K69" s="2"/>
      <c r="L69" s="2">
        <v>0</v>
      </c>
      <c r="M69" s="2"/>
      <c r="N69" s="2"/>
      <c r="O69" s="2"/>
      <c r="P69" s="8">
        <f t="shared" si="4"/>
        <v>0</v>
      </c>
      <c r="Q69" s="2"/>
      <c r="R69" s="2"/>
      <c r="S69" s="18"/>
      <c r="T69" s="2"/>
      <c r="U69" s="18"/>
      <c r="V69" s="18"/>
      <c r="W69" s="18"/>
      <c r="X69" s="18"/>
      <c r="Y69" s="18"/>
      <c r="Z69" s="18"/>
      <c r="AA69" s="2"/>
      <c r="AB69" s="7">
        <f t="shared" si="5"/>
        <v>0</v>
      </c>
      <c r="AC69" s="8">
        <v>0</v>
      </c>
      <c r="AD69" s="8">
        <v>0</v>
      </c>
      <c r="AE69" s="8" t="s">
        <v>152</v>
      </c>
      <c r="AF69" s="8">
        <v>0</v>
      </c>
      <c r="AG69" s="37"/>
    </row>
    <row r="70" spans="2:33" x14ac:dyDescent="0.25">
      <c r="B70" s="2">
        <v>65</v>
      </c>
      <c r="C70" s="2" t="s">
        <v>24</v>
      </c>
      <c r="D70" s="2" t="s">
        <v>129</v>
      </c>
      <c r="E70" s="2" t="s">
        <v>89</v>
      </c>
      <c r="F70" s="13">
        <v>0.875</v>
      </c>
      <c r="G70" s="2">
        <v>4.4999999999999998E-2</v>
      </c>
      <c r="H70" s="3"/>
      <c r="I70" s="3"/>
      <c r="J70" s="2">
        <v>0</v>
      </c>
      <c r="K70" s="2"/>
      <c r="L70" s="2">
        <v>0</v>
      </c>
      <c r="M70" s="2"/>
      <c r="N70" s="2"/>
      <c r="O70" s="2"/>
      <c r="P70" s="8">
        <f t="shared" ref="P70:P101" si="7">+J70+K70+L70+M70+N70+O70-SUM(Q70:AA70)</f>
        <v>0</v>
      </c>
      <c r="Q70" s="2"/>
      <c r="R70" s="2"/>
      <c r="S70" s="18"/>
      <c r="T70" s="2"/>
      <c r="U70" s="18"/>
      <c r="V70" s="18"/>
      <c r="W70" s="18"/>
      <c r="X70" s="18"/>
      <c r="Y70" s="18"/>
      <c r="Z70" s="18"/>
      <c r="AA70" s="2"/>
      <c r="AB70" s="7">
        <f t="shared" ref="AB70:AB101" si="8">+H70*SUM(J70:O70)</f>
        <v>0</v>
      </c>
      <c r="AC70" s="8" t="s">
        <v>151</v>
      </c>
      <c r="AD70" s="8">
        <v>200</v>
      </c>
      <c r="AE70" s="8" t="s">
        <v>152</v>
      </c>
      <c r="AF70" s="8">
        <f>+SUM(J70:O70)/AD70</f>
        <v>0</v>
      </c>
      <c r="AG70" s="37"/>
    </row>
    <row r="71" spans="2:33" x14ac:dyDescent="0.25">
      <c r="B71" s="2">
        <v>66</v>
      </c>
      <c r="C71" s="2" t="s">
        <v>24</v>
      </c>
      <c r="D71" s="2" t="s">
        <v>129</v>
      </c>
      <c r="E71" s="2" t="s">
        <v>90</v>
      </c>
      <c r="F71" s="13">
        <v>0.875</v>
      </c>
      <c r="G71" s="2">
        <v>4.4999999999999998E-2</v>
      </c>
      <c r="H71" s="3"/>
      <c r="I71" s="3"/>
      <c r="J71" s="2">
        <v>0</v>
      </c>
      <c r="K71" s="2"/>
      <c r="L71" s="2">
        <v>0</v>
      </c>
      <c r="M71" s="2"/>
      <c r="N71" s="2"/>
      <c r="O71" s="2"/>
      <c r="P71" s="8">
        <f t="shared" si="7"/>
        <v>0</v>
      </c>
      <c r="Q71" s="2"/>
      <c r="R71" s="2"/>
      <c r="S71" s="18"/>
      <c r="T71" s="2"/>
      <c r="U71" s="18"/>
      <c r="V71" s="18"/>
      <c r="W71" s="18"/>
      <c r="X71" s="18"/>
      <c r="Y71" s="18"/>
      <c r="Z71" s="18"/>
      <c r="AA71" s="2"/>
      <c r="AB71" s="7">
        <f t="shared" si="8"/>
        <v>0</v>
      </c>
      <c r="AC71" s="8" t="s">
        <v>151</v>
      </c>
      <c r="AD71" s="8">
        <v>500</v>
      </c>
      <c r="AE71" s="8" t="s">
        <v>152</v>
      </c>
      <c r="AF71" s="8">
        <f>+SUM(J71:O71)/AD71</f>
        <v>0</v>
      </c>
      <c r="AG71" s="37"/>
    </row>
    <row r="72" spans="2:33" x14ac:dyDescent="0.25">
      <c r="B72" s="2">
        <v>67</v>
      </c>
      <c r="C72" s="2" t="s">
        <v>24</v>
      </c>
      <c r="D72" s="2" t="s">
        <v>129</v>
      </c>
      <c r="E72" s="2" t="s">
        <v>91</v>
      </c>
      <c r="F72" s="13">
        <v>0.875</v>
      </c>
      <c r="G72" s="2">
        <v>4.4999999999999998E-2</v>
      </c>
      <c r="H72" s="3"/>
      <c r="I72" s="3"/>
      <c r="J72" s="2">
        <v>0</v>
      </c>
      <c r="K72" s="2"/>
      <c r="L72" s="2">
        <v>0</v>
      </c>
      <c r="M72" s="2"/>
      <c r="N72" s="2"/>
      <c r="O72" s="2"/>
      <c r="P72" s="8">
        <f t="shared" si="7"/>
        <v>0</v>
      </c>
      <c r="Q72" s="2"/>
      <c r="R72" s="2"/>
      <c r="S72" s="18"/>
      <c r="T72" s="2"/>
      <c r="U72" s="18"/>
      <c r="V72" s="18"/>
      <c r="W72" s="18"/>
      <c r="X72" s="18"/>
      <c r="Y72" s="18"/>
      <c r="Z72" s="18"/>
      <c r="AA72" s="2"/>
      <c r="AB72" s="7">
        <f t="shared" si="8"/>
        <v>0</v>
      </c>
      <c r="AC72" s="8" t="s">
        <v>151</v>
      </c>
      <c r="AD72" s="8">
        <v>200</v>
      </c>
      <c r="AE72" s="8" t="s">
        <v>152</v>
      </c>
      <c r="AF72" s="8">
        <f>+SUM(J72:O72)/AD72</f>
        <v>0</v>
      </c>
      <c r="AG72" s="37"/>
    </row>
    <row r="73" spans="2:33" x14ac:dyDescent="0.25">
      <c r="B73" s="2">
        <v>68</v>
      </c>
      <c r="C73" s="2" t="s">
        <v>24</v>
      </c>
      <c r="D73" s="2" t="s">
        <v>129</v>
      </c>
      <c r="E73" s="2" t="s">
        <v>92</v>
      </c>
      <c r="F73" s="13">
        <v>0.875</v>
      </c>
      <c r="G73" s="2">
        <v>4.4999999999999998E-2</v>
      </c>
      <c r="H73" s="3"/>
      <c r="I73" s="3"/>
      <c r="J73" s="2">
        <v>0</v>
      </c>
      <c r="K73" s="2"/>
      <c r="L73" s="2">
        <v>0</v>
      </c>
      <c r="M73" s="2"/>
      <c r="N73" s="2"/>
      <c r="O73" s="2"/>
      <c r="P73" s="8">
        <f t="shared" si="7"/>
        <v>0</v>
      </c>
      <c r="Q73" s="2"/>
      <c r="R73" s="2"/>
      <c r="S73" s="18"/>
      <c r="T73" s="2"/>
      <c r="U73" s="18"/>
      <c r="V73" s="18"/>
      <c r="W73" s="18"/>
      <c r="X73" s="18"/>
      <c r="Y73" s="18"/>
      <c r="Z73" s="18"/>
      <c r="AA73" s="2"/>
      <c r="AB73" s="7">
        <f t="shared" si="8"/>
        <v>0</v>
      </c>
      <c r="AC73" s="8">
        <v>0</v>
      </c>
      <c r="AD73" s="8">
        <v>0</v>
      </c>
      <c r="AE73" s="8" t="s">
        <v>152</v>
      </c>
      <c r="AF73" s="8">
        <v>0</v>
      </c>
      <c r="AG73" s="37"/>
    </row>
    <row r="74" spans="2:33" x14ac:dyDescent="0.25">
      <c r="B74" s="2">
        <v>69</v>
      </c>
      <c r="C74" s="2" t="s">
        <v>24</v>
      </c>
      <c r="D74" s="2" t="s">
        <v>129</v>
      </c>
      <c r="E74" s="2" t="s">
        <v>93</v>
      </c>
      <c r="F74" s="13">
        <v>0.875</v>
      </c>
      <c r="G74" s="2">
        <v>4.4999999999999998E-2</v>
      </c>
      <c r="H74" s="3"/>
      <c r="I74" s="3"/>
      <c r="J74" s="2">
        <v>0</v>
      </c>
      <c r="K74" s="2"/>
      <c r="L74" s="2">
        <v>0</v>
      </c>
      <c r="M74" s="2"/>
      <c r="N74" s="2"/>
      <c r="O74" s="2"/>
      <c r="P74" s="8">
        <f t="shared" si="7"/>
        <v>0</v>
      </c>
      <c r="Q74" s="2"/>
      <c r="R74" s="2"/>
      <c r="S74" s="18"/>
      <c r="T74" s="2"/>
      <c r="U74" s="18"/>
      <c r="V74" s="18"/>
      <c r="W74" s="18"/>
      <c r="X74" s="18"/>
      <c r="Y74" s="18"/>
      <c r="Z74" s="18"/>
      <c r="AA74" s="2"/>
      <c r="AB74" s="7">
        <f t="shared" si="8"/>
        <v>0</v>
      </c>
      <c r="AC74" s="8">
        <v>0</v>
      </c>
      <c r="AD74" s="8">
        <v>0</v>
      </c>
      <c r="AE74" s="8" t="s">
        <v>152</v>
      </c>
      <c r="AF74" s="8">
        <v>0</v>
      </c>
      <c r="AG74" s="37"/>
    </row>
    <row r="75" spans="2:33" x14ac:dyDescent="0.25">
      <c r="B75" s="2">
        <v>70</v>
      </c>
      <c r="C75" s="2" t="s">
        <v>24</v>
      </c>
      <c r="D75" s="2" t="s">
        <v>129</v>
      </c>
      <c r="E75" s="2" t="s">
        <v>94</v>
      </c>
      <c r="F75" s="13">
        <v>0.875</v>
      </c>
      <c r="G75" s="2">
        <v>4.4999999999999998E-2</v>
      </c>
      <c r="H75" s="3"/>
      <c r="I75" s="3"/>
      <c r="J75" s="2">
        <v>0</v>
      </c>
      <c r="K75" s="2"/>
      <c r="L75" s="2">
        <v>0</v>
      </c>
      <c r="M75" s="2"/>
      <c r="N75" s="2"/>
      <c r="O75" s="2"/>
      <c r="P75" s="8">
        <f t="shared" si="7"/>
        <v>0</v>
      </c>
      <c r="Q75" s="2"/>
      <c r="R75" s="2"/>
      <c r="S75" s="18"/>
      <c r="T75" s="2"/>
      <c r="U75" s="18"/>
      <c r="V75" s="18"/>
      <c r="W75" s="18"/>
      <c r="X75" s="18"/>
      <c r="Y75" s="18"/>
      <c r="Z75" s="18"/>
      <c r="AA75" s="2"/>
      <c r="AB75" s="7">
        <f t="shared" si="8"/>
        <v>0</v>
      </c>
      <c r="AC75" s="8">
        <v>0</v>
      </c>
      <c r="AD75" s="8">
        <v>0</v>
      </c>
      <c r="AE75" s="8" t="s">
        <v>152</v>
      </c>
      <c r="AF75" s="8">
        <v>0</v>
      </c>
      <c r="AG75" s="37"/>
    </row>
    <row r="76" spans="2:33" x14ac:dyDescent="0.25">
      <c r="B76" s="2">
        <v>71</v>
      </c>
      <c r="C76" s="2" t="s">
        <v>24</v>
      </c>
      <c r="D76" s="2" t="s">
        <v>129</v>
      </c>
      <c r="E76" s="2" t="s">
        <v>95</v>
      </c>
      <c r="F76" s="13">
        <v>0.875</v>
      </c>
      <c r="G76" s="2">
        <v>4.4999999999999998E-2</v>
      </c>
      <c r="H76" s="3"/>
      <c r="I76" s="3"/>
      <c r="J76" s="2">
        <v>0</v>
      </c>
      <c r="K76" s="2"/>
      <c r="L76" s="2">
        <v>0</v>
      </c>
      <c r="M76" s="2"/>
      <c r="N76" s="2"/>
      <c r="O76" s="2"/>
      <c r="P76" s="8">
        <f t="shared" si="7"/>
        <v>0</v>
      </c>
      <c r="Q76" s="2"/>
      <c r="R76" s="2"/>
      <c r="S76" s="18"/>
      <c r="T76" s="2"/>
      <c r="U76" s="18"/>
      <c r="V76" s="18"/>
      <c r="W76" s="18"/>
      <c r="X76" s="18"/>
      <c r="Y76" s="18"/>
      <c r="Z76" s="18"/>
      <c r="AA76" s="2"/>
      <c r="AB76" s="7">
        <f t="shared" si="8"/>
        <v>0</v>
      </c>
      <c r="AC76" s="8">
        <v>0</v>
      </c>
      <c r="AD76" s="8">
        <v>0</v>
      </c>
      <c r="AE76" s="8" t="s">
        <v>152</v>
      </c>
      <c r="AF76" s="8">
        <v>0</v>
      </c>
      <c r="AG76" s="37"/>
    </row>
    <row r="77" spans="2:33" x14ac:dyDescent="0.25">
      <c r="B77" s="2">
        <v>72</v>
      </c>
      <c r="C77" s="2" t="s">
        <v>24</v>
      </c>
      <c r="D77" s="2" t="s">
        <v>129</v>
      </c>
      <c r="E77" s="2" t="s">
        <v>96</v>
      </c>
      <c r="F77" s="13">
        <v>0.875</v>
      </c>
      <c r="G77" s="2">
        <v>4.4999999999999998E-2</v>
      </c>
      <c r="H77" s="3"/>
      <c r="I77" s="3"/>
      <c r="J77" s="2">
        <v>0</v>
      </c>
      <c r="K77" s="2"/>
      <c r="L77" s="2">
        <v>0</v>
      </c>
      <c r="M77" s="2"/>
      <c r="N77" s="2"/>
      <c r="O77" s="2"/>
      <c r="P77" s="8">
        <f t="shared" si="7"/>
        <v>0</v>
      </c>
      <c r="Q77" s="2"/>
      <c r="R77" s="2"/>
      <c r="S77" s="18"/>
      <c r="T77" s="2"/>
      <c r="U77" s="18"/>
      <c r="V77" s="18"/>
      <c r="W77" s="18"/>
      <c r="X77" s="18"/>
      <c r="Y77" s="18"/>
      <c r="Z77" s="18"/>
      <c r="AA77" s="2"/>
      <c r="AB77" s="7">
        <f t="shared" si="8"/>
        <v>0</v>
      </c>
      <c r="AC77" s="8">
        <v>0</v>
      </c>
      <c r="AD77" s="8">
        <v>0</v>
      </c>
      <c r="AE77" s="8" t="s">
        <v>152</v>
      </c>
      <c r="AF77" s="8">
        <v>0</v>
      </c>
      <c r="AG77" s="37"/>
    </row>
    <row r="78" spans="2:33" x14ac:dyDescent="0.25">
      <c r="B78" s="2">
        <v>73</v>
      </c>
      <c r="C78" s="2" t="s">
        <v>24</v>
      </c>
      <c r="D78" s="2" t="s">
        <v>129</v>
      </c>
      <c r="E78" s="2" t="s">
        <v>97</v>
      </c>
      <c r="F78" s="13">
        <v>0.875</v>
      </c>
      <c r="G78" s="2">
        <v>4.4999999999999998E-2</v>
      </c>
      <c r="H78" s="3"/>
      <c r="I78" s="3"/>
      <c r="J78" s="2">
        <v>0</v>
      </c>
      <c r="K78" s="2"/>
      <c r="L78" s="2">
        <v>0</v>
      </c>
      <c r="M78" s="2"/>
      <c r="N78" s="2"/>
      <c r="O78" s="2"/>
      <c r="P78" s="8">
        <f t="shared" si="7"/>
        <v>0</v>
      </c>
      <c r="Q78" s="2"/>
      <c r="R78" s="2"/>
      <c r="S78" s="18"/>
      <c r="T78" s="2"/>
      <c r="U78" s="18"/>
      <c r="V78" s="18"/>
      <c r="W78" s="18"/>
      <c r="X78" s="18"/>
      <c r="Y78" s="18"/>
      <c r="Z78" s="18"/>
      <c r="AA78" s="2"/>
      <c r="AB78" s="7">
        <f t="shared" si="8"/>
        <v>0</v>
      </c>
      <c r="AC78" s="8">
        <v>0</v>
      </c>
      <c r="AD78" s="8">
        <v>0</v>
      </c>
      <c r="AE78" s="8" t="s">
        <v>152</v>
      </c>
      <c r="AF78" s="8">
        <v>0</v>
      </c>
      <c r="AG78" s="37"/>
    </row>
    <row r="79" spans="2:33" x14ac:dyDescent="0.25">
      <c r="B79" s="2">
        <v>74</v>
      </c>
      <c r="C79" s="2" t="s">
        <v>24</v>
      </c>
      <c r="D79" s="2" t="s">
        <v>129</v>
      </c>
      <c r="E79" s="2" t="s">
        <v>98</v>
      </c>
      <c r="F79" s="13">
        <v>0.875</v>
      </c>
      <c r="G79" s="2">
        <v>4.4999999999999998E-2</v>
      </c>
      <c r="H79" s="3"/>
      <c r="I79" s="3"/>
      <c r="J79" s="2">
        <v>0</v>
      </c>
      <c r="K79" s="2"/>
      <c r="L79" s="2">
        <v>0</v>
      </c>
      <c r="M79" s="2"/>
      <c r="N79" s="2"/>
      <c r="O79" s="2"/>
      <c r="P79" s="8">
        <f t="shared" si="7"/>
        <v>0</v>
      </c>
      <c r="Q79" s="2"/>
      <c r="R79" s="2"/>
      <c r="S79" s="18"/>
      <c r="T79" s="2"/>
      <c r="U79" s="18"/>
      <c r="V79" s="18"/>
      <c r="W79" s="18"/>
      <c r="X79" s="18"/>
      <c r="Y79" s="18"/>
      <c r="Z79" s="18"/>
      <c r="AA79" s="2"/>
      <c r="AB79" s="7">
        <f t="shared" si="8"/>
        <v>0</v>
      </c>
      <c r="AC79" s="8">
        <v>0</v>
      </c>
      <c r="AD79" s="8">
        <v>0</v>
      </c>
      <c r="AE79" s="8" t="s">
        <v>152</v>
      </c>
      <c r="AF79" s="8">
        <v>0</v>
      </c>
      <c r="AG79" s="37"/>
    </row>
    <row r="80" spans="2:33" x14ac:dyDescent="0.25">
      <c r="B80" s="2">
        <v>75</v>
      </c>
      <c r="C80" s="2" t="s">
        <v>24</v>
      </c>
      <c r="D80" s="2" t="s">
        <v>129</v>
      </c>
      <c r="E80" s="2" t="s">
        <v>99</v>
      </c>
      <c r="F80" s="13">
        <v>0.875</v>
      </c>
      <c r="G80" s="2">
        <v>4.4999999999999998E-2</v>
      </c>
      <c r="H80" s="3"/>
      <c r="I80" s="3"/>
      <c r="J80" s="2">
        <v>0</v>
      </c>
      <c r="K80" s="2"/>
      <c r="L80" s="2">
        <v>0</v>
      </c>
      <c r="M80" s="2"/>
      <c r="N80" s="2"/>
      <c r="O80" s="2"/>
      <c r="P80" s="8">
        <f t="shared" si="7"/>
        <v>0</v>
      </c>
      <c r="Q80" s="2"/>
      <c r="R80" s="2"/>
      <c r="S80" s="18"/>
      <c r="T80" s="2"/>
      <c r="U80" s="18"/>
      <c r="V80" s="18"/>
      <c r="W80" s="18"/>
      <c r="X80" s="18"/>
      <c r="Y80" s="18"/>
      <c r="Z80" s="18"/>
      <c r="AA80" s="2"/>
      <c r="AB80" s="7">
        <f t="shared" si="8"/>
        <v>0</v>
      </c>
      <c r="AC80" s="8">
        <v>0</v>
      </c>
      <c r="AD80" s="8">
        <v>0</v>
      </c>
      <c r="AE80" s="8" t="s">
        <v>152</v>
      </c>
      <c r="AF80" s="8">
        <v>0</v>
      </c>
      <c r="AG80" s="37"/>
    </row>
    <row r="81" spans="2:33" x14ac:dyDescent="0.25">
      <c r="B81" s="2">
        <v>76</v>
      </c>
      <c r="C81" s="2" t="s">
        <v>24</v>
      </c>
      <c r="D81" s="2" t="s">
        <v>129</v>
      </c>
      <c r="E81" s="2" t="s">
        <v>100</v>
      </c>
      <c r="F81" s="13">
        <v>0.875</v>
      </c>
      <c r="G81" s="2">
        <v>4.4999999999999998E-2</v>
      </c>
      <c r="H81" s="3"/>
      <c r="I81" s="3"/>
      <c r="J81" s="2">
        <v>0</v>
      </c>
      <c r="K81" s="2"/>
      <c r="L81" s="2">
        <v>0</v>
      </c>
      <c r="M81" s="2"/>
      <c r="N81" s="2"/>
      <c r="O81" s="2"/>
      <c r="P81" s="8">
        <f t="shared" si="7"/>
        <v>0</v>
      </c>
      <c r="Q81" s="2"/>
      <c r="R81" s="2"/>
      <c r="S81" s="18"/>
      <c r="T81" s="2"/>
      <c r="U81" s="18"/>
      <c r="V81" s="18"/>
      <c r="W81" s="18"/>
      <c r="X81" s="18"/>
      <c r="Y81" s="18"/>
      <c r="Z81" s="18"/>
      <c r="AA81" s="2"/>
      <c r="AB81" s="7">
        <f t="shared" si="8"/>
        <v>0</v>
      </c>
      <c r="AC81" s="8">
        <v>0</v>
      </c>
      <c r="AD81" s="8">
        <v>0</v>
      </c>
      <c r="AE81" s="8" t="s">
        <v>152</v>
      </c>
      <c r="AF81" s="8">
        <v>0</v>
      </c>
      <c r="AG81" s="37"/>
    </row>
    <row r="82" spans="2:33" x14ac:dyDescent="0.25">
      <c r="B82" s="2">
        <v>77</v>
      </c>
      <c r="C82" s="2" t="s">
        <v>24</v>
      </c>
      <c r="D82" s="2" t="s">
        <v>129</v>
      </c>
      <c r="E82" s="2" t="s">
        <v>101</v>
      </c>
      <c r="F82" s="13">
        <v>0.875</v>
      </c>
      <c r="G82" s="2">
        <v>4.4999999999999998E-2</v>
      </c>
      <c r="H82" s="3"/>
      <c r="I82" s="3"/>
      <c r="J82" s="2">
        <v>0</v>
      </c>
      <c r="K82" s="2"/>
      <c r="L82" s="2">
        <v>0</v>
      </c>
      <c r="M82" s="2"/>
      <c r="N82" s="2"/>
      <c r="O82" s="2"/>
      <c r="P82" s="8">
        <f t="shared" si="7"/>
        <v>0</v>
      </c>
      <c r="Q82" s="2"/>
      <c r="R82" s="2"/>
      <c r="S82" s="18"/>
      <c r="T82" s="2"/>
      <c r="U82" s="18"/>
      <c r="V82" s="18"/>
      <c r="W82" s="18"/>
      <c r="X82" s="18"/>
      <c r="Y82" s="18"/>
      <c r="Z82" s="18"/>
      <c r="AA82" s="2"/>
      <c r="AB82" s="7">
        <f t="shared" si="8"/>
        <v>0</v>
      </c>
      <c r="AC82" s="8">
        <v>0</v>
      </c>
      <c r="AD82" s="8">
        <v>0</v>
      </c>
      <c r="AE82" s="8" t="s">
        <v>152</v>
      </c>
      <c r="AF82" s="8">
        <v>0</v>
      </c>
      <c r="AG82" s="37"/>
    </row>
    <row r="83" spans="2:33" x14ac:dyDescent="0.25">
      <c r="B83" s="2">
        <v>78</v>
      </c>
      <c r="C83" s="2" t="s">
        <v>24</v>
      </c>
      <c r="D83" s="2" t="s">
        <v>129</v>
      </c>
      <c r="E83" s="2" t="s">
        <v>102</v>
      </c>
      <c r="F83" s="13">
        <v>0.875</v>
      </c>
      <c r="G83" s="2">
        <v>4.4999999999999998E-2</v>
      </c>
      <c r="H83" s="3"/>
      <c r="I83" s="3"/>
      <c r="J83" s="2">
        <v>0</v>
      </c>
      <c r="K83" s="2"/>
      <c r="L83" s="2">
        <v>0</v>
      </c>
      <c r="M83" s="2"/>
      <c r="N83" s="2"/>
      <c r="O83" s="2"/>
      <c r="P83" s="8">
        <f t="shared" si="7"/>
        <v>0</v>
      </c>
      <c r="Q83" s="2"/>
      <c r="R83" s="2"/>
      <c r="S83" s="18"/>
      <c r="T83" s="2"/>
      <c r="U83" s="18"/>
      <c r="V83" s="18"/>
      <c r="W83" s="18"/>
      <c r="X83" s="18"/>
      <c r="Y83" s="18"/>
      <c r="Z83" s="18"/>
      <c r="AA83" s="2"/>
      <c r="AB83" s="7">
        <f t="shared" si="8"/>
        <v>0</v>
      </c>
      <c r="AC83" s="8">
        <v>0</v>
      </c>
      <c r="AD83" s="8">
        <v>0</v>
      </c>
      <c r="AE83" s="8" t="s">
        <v>152</v>
      </c>
      <c r="AF83" s="8">
        <v>0</v>
      </c>
      <c r="AG83" s="37"/>
    </row>
    <row r="84" spans="2:33" x14ac:dyDescent="0.25">
      <c r="B84" s="2">
        <v>79</v>
      </c>
      <c r="C84" s="2" t="s">
        <v>128</v>
      </c>
      <c r="D84" s="2" t="s">
        <v>129</v>
      </c>
      <c r="E84" s="2" t="s">
        <v>103</v>
      </c>
      <c r="F84" s="13">
        <v>0.25</v>
      </c>
      <c r="G84" s="2"/>
      <c r="H84" s="3"/>
      <c r="I84" s="3"/>
      <c r="J84" s="2">
        <v>200</v>
      </c>
      <c r="K84" s="2"/>
      <c r="L84" s="2">
        <v>0</v>
      </c>
      <c r="M84" s="2"/>
      <c r="N84" s="2"/>
      <c r="O84" s="2"/>
      <c r="P84" s="8">
        <f t="shared" si="7"/>
        <v>-2416</v>
      </c>
      <c r="Q84" s="2"/>
      <c r="R84" s="2"/>
      <c r="S84" s="18"/>
      <c r="T84" s="2"/>
      <c r="U84" s="18"/>
      <c r="V84" s="18"/>
      <c r="W84" s="18">
        <v>616</v>
      </c>
      <c r="X84" s="18"/>
      <c r="Y84" s="18">
        <v>1000</v>
      </c>
      <c r="Z84" s="18">
        <v>1000</v>
      </c>
      <c r="AA84" s="2"/>
      <c r="AB84" s="7">
        <f t="shared" si="8"/>
        <v>0</v>
      </c>
      <c r="AC84" s="8" t="s">
        <v>146</v>
      </c>
      <c r="AD84" s="8">
        <v>200</v>
      </c>
      <c r="AE84" s="8" t="s">
        <v>153</v>
      </c>
      <c r="AF84" s="8">
        <f>+SUM(J84:O84)/AD84</f>
        <v>1</v>
      </c>
      <c r="AG84" s="37"/>
    </row>
    <row r="85" spans="2:33" x14ac:dyDescent="0.25">
      <c r="B85" s="2">
        <v>80</v>
      </c>
      <c r="C85" s="2" t="s">
        <v>128</v>
      </c>
      <c r="D85" s="2" t="s">
        <v>129</v>
      </c>
      <c r="E85" s="2" t="s">
        <v>104</v>
      </c>
      <c r="F85" s="13">
        <v>0.25</v>
      </c>
      <c r="G85" s="2"/>
      <c r="H85" s="3"/>
      <c r="I85" s="3"/>
      <c r="J85" s="2">
        <v>0</v>
      </c>
      <c r="K85" s="2"/>
      <c r="L85" s="2">
        <v>0</v>
      </c>
      <c r="M85" s="2"/>
      <c r="N85" s="2"/>
      <c r="O85" s="2"/>
      <c r="P85" s="8">
        <f t="shared" si="7"/>
        <v>-1710</v>
      </c>
      <c r="Q85" s="2"/>
      <c r="R85" s="2"/>
      <c r="S85" s="18"/>
      <c r="T85" s="2"/>
      <c r="U85" s="18">
        <v>1299</v>
      </c>
      <c r="V85" s="18"/>
      <c r="W85" s="18">
        <v>411</v>
      </c>
      <c r="X85" s="18"/>
      <c r="Y85" s="18"/>
      <c r="Z85" s="18"/>
      <c r="AA85" s="2"/>
      <c r="AB85" s="7">
        <f t="shared" si="8"/>
        <v>0</v>
      </c>
      <c r="AC85" s="8" t="s">
        <v>146</v>
      </c>
      <c r="AD85" s="8">
        <v>200</v>
      </c>
      <c r="AE85" s="8" t="s">
        <v>153</v>
      </c>
      <c r="AF85" s="8">
        <f>+SUM(J85:O85)/AD85</f>
        <v>0</v>
      </c>
      <c r="AG85" s="37"/>
    </row>
    <row r="86" spans="2:33" x14ac:dyDescent="0.25">
      <c r="B86" s="2">
        <v>81</v>
      </c>
      <c r="C86" s="2" t="s">
        <v>128</v>
      </c>
      <c r="D86" s="2" t="s">
        <v>129</v>
      </c>
      <c r="E86" s="2" t="s">
        <v>105</v>
      </c>
      <c r="F86" s="13">
        <v>0.25</v>
      </c>
      <c r="G86" s="2"/>
      <c r="H86" s="3"/>
      <c r="I86" s="3"/>
      <c r="J86" s="2">
        <v>200</v>
      </c>
      <c r="K86" s="2"/>
      <c r="L86" s="2">
        <v>0</v>
      </c>
      <c r="M86" s="2"/>
      <c r="N86" s="2"/>
      <c r="O86" s="2"/>
      <c r="P86" s="8">
        <f t="shared" si="7"/>
        <v>-193</v>
      </c>
      <c r="Q86" s="2"/>
      <c r="R86" s="2"/>
      <c r="S86" s="18"/>
      <c r="T86" s="2"/>
      <c r="U86" s="18"/>
      <c r="V86" s="18"/>
      <c r="W86" s="18">
        <v>393</v>
      </c>
      <c r="X86" s="18"/>
      <c r="Y86" s="18"/>
      <c r="Z86" s="18"/>
      <c r="AA86" s="2"/>
      <c r="AB86" s="7">
        <f t="shared" si="8"/>
        <v>0</v>
      </c>
      <c r="AC86" s="8" t="s">
        <v>146</v>
      </c>
      <c r="AD86" s="8">
        <v>200</v>
      </c>
      <c r="AE86" s="8" t="s">
        <v>153</v>
      </c>
      <c r="AF86" s="8">
        <f>+SUM(J86:O86)/AD86</f>
        <v>1</v>
      </c>
      <c r="AG86" s="37"/>
    </row>
    <row r="87" spans="2:33" x14ac:dyDescent="0.25">
      <c r="B87" s="2">
        <v>82</v>
      </c>
      <c r="C87" s="2" t="s">
        <v>128</v>
      </c>
      <c r="D87" s="2" t="s">
        <v>129</v>
      </c>
      <c r="E87" s="2" t="s">
        <v>106</v>
      </c>
      <c r="F87" s="13">
        <v>0.375</v>
      </c>
      <c r="G87" s="2"/>
      <c r="H87" s="3"/>
      <c r="I87" s="3"/>
      <c r="J87" s="2">
        <v>0</v>
      </c>
      <c r="K87" s="2"/>
      <c r="L87" s="2">
        <v>0</v>
      </c>
      <c r="M87" s="2"/>
      <c r="N87" s="2"/>
      <c r="O87" s="2"/>
      <c r="P87" s="8">
        <f t="shared" si="7"/>
        <v>0</v>
      </c>
      <c r="Q87" s="2"/>
      <c r="R87" s="2"/>
      <c r="S87" s="18"/>
      <c r="T87" s="2"/>
      <c r="U87" s="18"/>
      <c r="V87" s="18"/>
      <c r="W87" s="18"/>
      <c r="X87" s="18"/>
      <c r="Y87" s="18"/>
      <c r="Z87" s="18"/>
      <c r="AA87" s="2"/>
      <c r="AB87" s="7">
        <f t="shared" si="8"/>
        <v>0</v>
      </c>
      <c r="AC87" s="8">
        <v>0</v>
      </c>
      <c r="AD87" s="8">
        <v>0</v>
      </c>
      <c r="AE87" s="8" t="s">
        <v>153</v>
      </c>
      <c r="AF87" s="8">
        <v>0</v>
      </c>
      <c r="AG87" s="37"/>
    </row>
    <row r="88" spans="2:33" x14ac:dyDescent="0.25">
      <c r="B88" s="2">
        <v>83</v>
      </c>
      <c r="C88" s="2" t="s">
        <v>128</v>
      </c>
      <c r="D88" s="2" t="s">
        <v>129</v>
      </c>
      <c r="E88" s="2" t="s">
        <v>107</v>
      </c>
      <c r="F88" s="13">
        <v>0.375</v>
      </c>
      <c r="G88" s="2"/>
      <c r="H88" s="3"/>
      <c r="I88" s="3"/>
      <c r="J88" s="2">
        <v>0</v>
      </c>
      <c r="K88" s="2"/>
      <c r="L88" s="2">
        <v>0</v>
      </c>
      <c r="M88" s="2"/>
      <c r="N88" s="2"/>
      <c r="O88" s="2"/>
      <c r="P88" s="8">
        <f t="shared" si="7"/>
        <v>0</v>
      </c>
      <c r="Q88" s="2"/>
      <c r="R88" s="2"/>
      <c r="S88" s="18"/>
      <c r="T88" s="2"/>
      <c r="U88" s="18"/>
      <c r="V88" s="18"/>
      <c r="W88" s="18"/>
      <c r="X88" s="18"/>
      <c r="Y88" s="18"/>
      <c r="Z88" s="18"/>
      <c r="AA88" s="2"/>
      <c r="AB88" s="7">
        <f t="shared" si="8"/>
        <v>0</v>
      </c>
      <c r="AC88" s="8">
        <v>0</v>
      </c>
      <c r="AD88" s="8">
        <v>0</v>
      </c>
      <c r="AE88" s="8" t="s">
        <v>153</v>
      </c>
      <c r="AF88" s="8">
        <v>0</v>
      </c>
      <c r="AG88" s="37"/>
    </row>
    <row r="89" spans="2:33" x14ac:dyDescent="0.25">
      <c r="B89" s="2">
        <v>84</v>
      </c>
      <c r="C89" s="2" t="s">
        <v>128</v>
      </c>
      <c r="D89" s="2" t="s">
        <v>129</v>
      </c>
      <c r="E89" s="2" t="s">
        <v>108</v>
      </c>
      <c r="F89" s="13">
        <v>0.375</v>
      </c>
      <c r="G89" s="2"/>
      <c r="H89" s="3"/>
      <c r="I89" s="3"/>
      <c r="J89" s="2">
        <v>0</v>
      </c>
      <c r="K89" s="2"/>
      <c r="L89" s="2">
        <v>0</v>
      </c>
      <c r="M89" s="2"/>
      <c r="N89" s="2"/>
      <c r="O89" s="2"/>
      <c r="P89" s="8">
        <f t="shared" si="7"/>
        <v>0</v>
      </c>
      <c r="Q89" s="2"/>
      <c r="R89" s="2"/>
      <c r="S89" s="18"/>
      <c r="T89" s="2"/>
      <c r="U89" s="18"/>
      <c r="V89" s="18"/>
      <c r="W89" s="18"/>
      <c r="X89" s="18"/>
      <c r="Y89" s="18"/>
      <c r="Z89" s="18"/>
      <c r="AA89" s="2"/>
      <c r="AB89" s="7">
        <f t="shared" si="8"/>
        <v>0</v>
      </c>
      <c r="AC89" s="8">
        <v>0</v>
      </c>
      <c r="AD89" s="8">
        <v>0</v>
      </c>
      <c r="AE89" s="8" t="s">
        <v>153</v>
      </c>
      <c r="AF89" s="8">
        <v>0</v>
      </c>
      <c r="AG89" s="37"/>
    </row>
    <row r="90" spans="2:33" x14ac:dyDescent="0.25">
      <c r="B90" s="2">
        <v>85</v>
      </c>
      <c r="C90" s="2" t="s">
        <v>128</v>
      </c>
      <c r="D90" s="2" t="s">
        <v>129</v>
      </c>
      <c r="E90" s="2" t="s">
        <v>109</v>
      </c>
      <c r="F90" s="13">
        <v>0.375</v>
      </c>
      <c r="G90" s="2"/>
      <c r="H90" s="3"/>
      <c r="I90" s="3"/>
      <c r="J90" s="2">
        <v>0</v>
      </c>
      <c r="K90" s="2"/>
      <c r="L90" s="2">
        <v>0</v>
      </c>
      <c r="M90" s="2"/>
      <c r="N90" s="2"/>
      <c r="O90" s="2"/>
      <c r="P90" s="8">
        <f t="shared" si="7"/>
        <v>0</v>
      </c>
      <c r="Q90" s="2"/>
      <c r="R90" s="2"/>
      <c r="S90" s="18"/>
      <c r="T90" s="2"/>
      <c r="U90" s="18"/>
      <c r="V90" s="18"/>
      <c r="W90" s="18"/>
      <c r="X90" s="18"/>
      <c r="Y90" s="18"/>
      <c r="Z90" s="18"/>
      <c r="AA90" s="2"/>
      <c r="AB90" s="7">
        <f t="shared" si="8"/>
        <v>0</v>
      </c>
      <c r="AC90" s="8">
        <v>0</v>
      </c>
      <c r="AD90" s="8">
        <v>0</v>
      </c>
      <c r="AE90" s="8" t="s">
        <v>153</v>
      </c>
      <c r="AF90" s="8">
        <v>0</v>
      </c>
      <c r="AG90" s="37"/>
    </row>
    <row r="91" spans="2:33" x14ac:dyDescent="0.25">
      <c r="B91" s="2">
        <v>86</v>
      </c>
      <c r="C91" s="2" t="s">
        <v>128</v>
      </c>
      <c r="D91" s="2" t="s">
        <v>129</v>
      </c>
      <c r="E91" s="2" t="s">
        <v>110</v>
      </c>
      <c r="F91" s="13">
        <v>0.5</v>
      </c>
      <c r="G91" s="2"/>
      <c r="H91" s="3"/>
      <c r="I91" s="3"/>
      <c r="J91" s="2">
        <v>0</v>
      </c>
      <c r="K91" s="2"/>
      <c r="L91" s="2">
        <v>0</v>
      </c>
      <c r="M91" s="2"/>
      <c r="N91" s="2"/>
      <c r="O91" s="2"/>
      <c r="P91" s="8">
        <f t="shared" si="7"/>
        <v>-2469</v>
      </c>
      <c r="Q91" s="2">
        <v>1300</v>
      </c>
      <c r="R91" s="2"/>
      <c r="S91" s="18"/>
      <c r="T91" s="2"/>
      <c r="U91" s="18"/>
      <c r="V91" s="18"/>
      <c r="W91" s="18"/>
      <c r="X91" s="18"/>
      <c r="Y91" s="18"/>
      <c r="Z91" s="18">
        <v>1169</v>
      </c>
      <c r="AA91" s="2"/>
      <c r="AB91" s="7">
        <f t="shared" si="8"/>
        <v>0</v>
      </c>
      <c r="AC91" s="8" t="s">
        <v>147</v>
      </c>
      <c r="AD91" s="8">
        <v>100</v>
      </c>
      <c r="AE91" s="8" t="s">
        <v>153</v>
      </c>
      <c r="AF91" s="8">
        <f t="shared" ref="AF91:AF122" si="9">+SUM(J91:O91)/AD91</f>
        <v>0</v>
      </c>
      <c r="AG91" s="37"/>
    </row>
    <row r="92" spans="2:33" x14ac:dyDescent="0.25">
      <c r="B92" s="2">
        <v>87</v>
      </c>
      <c r="C92" s="2" t="s">
        <v>128</v>
      </c>
      <c r="D92" s="2" t="s">
        <v>129</v>
      </c>
      <c r="E92" s="2" t="s">
        <v>111</v>
      </c>
      <c r="F92" s="13">
        <v>0.5</v>
      </c>
      <c r="G92" s="2"/>
      <c r="H92" s="3"/>
      <c r="I92" s="3"/>
      <c r="J92" s="2">
        <v>0</v>
      </c>
      <c r="K92" s="2"/>
      <c r="L92" s="2">
        <v>0</v>
      </c>
      <c r="M92" s="2"/>
      <c r="N92" s="2"/>
      <c r="O92" s="2"/>
      <c r="P92" s="8">
        <f t="shared" si="7"/>
        <v>0</v>
      </c>
      <c r="Q92" s="2"/>
      <c r="R92" s="2"/>
      <c r="S92" s="18"/>
      <c r="T92" s="2"/>
      <c r="U92" s="18"/>
      <c r="V92" s="18"/>
      <c r="W92" s="18"/>
      <c r="X92" s="18"/>
      <c r="Y92" s="18"/>
      <c r="Z92" s="18"/>
      <c r="AA92" s="2"/>
      <c r="AB92" s="7">
        <f t="shared" si="8"/>
        <v>0</v>
      </c>
      <c r="AC92" s="8" t="s">
        <v>147</v>
      </c>
      <c r="AD92" s="8">
        <v>200</v>
      </c>
      <c r="AE92" s="8" t="s">
        <v>153</v>
      </c>
      <c r="AF92" s="8">
        <f t="shared" si="9"/>
        <v>0</v>
      </c>
      <c r="AG92" s="37"/>
    </row>
    <row r="93" spans="2:33" x14ac:dyDescent="0.25">
      <c r="B93" s="2">
        <v>88</v>
      </c>
      <c r="C93" s="2" t="s">
        <v>128</v>
      </c>
      <c r="D93" s="2" t="s">
        <v>129</v>
      </c>
      <c r="E93" s="40" t="s">
        <v>112</v>
      </c>
      <c r="F93" s="13">
        <v>0.5</v>
      </c>
      <c r="G93" s="2"/>
      <c r="H93" s="3"/>
      <c r="I93" s="3"/>
      <c r="J93" s="2">
        <v>2100</v>
      </c>
      <c r="K93" s="2"/>
      <c r="L93" s="2">
        <v>0</v>
      </c>
      <c r="M93" s="2"/>
      <c r="N93" s="2"/>
      <c r="O93" s="2"/>
      <c r="P93" s="8">
        <f t="shared" si="7"/>
        <v>100</v>
      </c>
      <c r="Q93" s="2"/>
      <c r="R93" s="2"/>
      <c r="S93" s="18">
        <v>1400</v>
      </c>
      <c r="T93" s="2"/>
      <c r="U93" s="18">
        <v>600</v>
      </c>
      <c r="V93" s="18"/>
      <c r="W93" s="18"/>
      <c r="X93" s="18"/>
      <c r="Y93" s="18"/>
      <c r="Z93" s="18"/>
      <c r="AA93" s="2"/>
      <c r="AB93" s="7">
        <f t="shared" si="8"/>
        <v>0</v>
      </c>
      <c r="AC93" s="8" t="s">
        <v>147</v>
      </c>
      <c r="AD93" s="8">
        <v>200</v>
      </c>
      <c r="AE93" s="8" t="s">
        <v>153</v>
      </c>
      <c r="AF93" s="8">
        <f t="shared" si="9"/>
        <v>10.5</v>
      </c>
      <c r="AG93" s="37"/>
    </row>
    <row r="94" spans="2:33" x14ac:dyDescent="0.25">
      <c r="B94" s="2">
        <v>89</v>
      </c>
      <c r="C94" s="2" t="s">
        <v>128</v>
      </c>
      <c r="D94" s="2" t="s">
        <v>129</v>
      </c>
      <c r="E94" s="40" t="s">
        <v>113</v>
      </c>
      <c r="F94" s="13">
        <v>0.5</v>
      </c>
      <c r="G94" s="2"/>
      <c r="H94" s="3"/>
      <c r="I94" s="3"/>
      <c r="J94" s="2">
        <v>1366</v>
      </c>
      <c r="K94" s="2"/>
      <c r="L94" s="2">
        <v>0</v>
      </c>
      <c r="M94" s="2"/>
      <c r="N94" s="2"/>
      <c r="O94" s="2"/>
      <c r="P94" s="8">
        <f t="shared" si="7"/>
        <v>166</v>
      </c>
      <c r="Q94" s="2"/>
      <c r="R94" s="2"/>
      <c r="S94" s="18"/>
      <c r="T94" s="2"/>
      <c r="U94" s="18">
        <v>1000</v>
      </c>
      <c r="V94" s="18"/>
      <c r="W94" s="18"/>
      <c r="X94" s="18"/>
      <c r="Y94" s="18"/>
      <c r="Z94" s="18">
        <v>200</v>
      </c>
      <c r="AA94" s="2"/>
      <c r="AB94" s="7">
        <f t="shared" si="8"/>
        <v>0</v>
      </c>
      <c r="AC94" s="8" t="s">
        <v>147</v>
      </c>
      <c r="AD94" s="8">
        <v>200</v>
      </c>
      <c r="AE94" s="8" t="s">
        <v>153</v>
      </c>
      <c r="AF94" s="8">
        <f t="shared" si="9"/>
        <v>6.83</v>
      </c>
      <c r="AG94" s="37"/>
    </row>
    <row r="95" spans="2:33" x14ac:dyDescent="0.25">
      <c r="B95" s="2">
        <v>90</v>
      </c>
      <c r="C95" s="2" t="s">
        <v>128</v>
      </c>
      <c r="D95" s="2" t="s">
        <v>129</v>
      </c>
      <c r="E95" s="2" t="s">
        <v>114</v>
      </c>
      <c r="F95" s="13">
        <v>0.5</v>
      </c>
      <c r="G95" s="2"/>
      <c r="H95" s="3"/>
      <c r="I95" s="3"/>
      <c r="J95" s="2">
        <v>750</v>
      </c>
      <c r="K95" s="2"/>
      <c r="L95" s="2">
        <v>0</v>
      </c>
      <c r="M95" s="2"/>
      <c r="N95" s="2"/>
      <c r="O95" s="2"/>
      <c r="P95" s="8">
        <f t="shared" si="7"/>
        <v>-131</v>
      </c>
      <c r="Q95" s="2"/>
      <c r="R95" s="2"/>
      <c r="S95" s="18"/>
      <c r="T95" s="2"/>
      <c r="U95" s="18"/>
      <c r="V95" s="18"/>
      <c r="W95" s="18"/>
      <c r="X95" s="18"/>
      <c r="Y95" s="18">
        <v>750</v>
      </c>
      <c r="Z95" s="18">
        <v>131</v>
      </c>
      <c r="AA95" s="2"/>
      <c r="AB95" s="7">
        <f t="shared" si="8"/>
        <v>0</v>
      </c>
      <c r="AC95" s="8" t="s">
        <v>147</v>
      </c>
      <c r="AD95" s="8">
        <v>200</v>
      </c>
      <c r="AE95" s="8" t="s">
        <v>153</v>
      </c>
      <c r="AF95" s="8">
        <f t="shared" si="9"/>
        <v>3.75</v>
      </c>
      <c r="AG95" s="37"/>
    </row>
    <row r="96" spans="2:33" x14ac:dyDescent="0.25">
      <c r="B96" s="2">
        <v>91</v>
      </c>
      <c r="C96" s="2" t="s">
        <v>128</v>
      </c>
      <c r="D96" s="2" t="s">
        <v>129</v>
      </c>
      <c r="E96" s="40" t="s">
        <v>115</v>
      </c>
      <c r="F96" s="13">
        <v>0.5</v>
      </c>
      <c r="G96" s="2"/>
      <c r="H96" s="3"/>
      <c r="I96" s="3"/>
      <c r="J96" s="2">
        <v>200</v>
      </c>
      <c r="K96" s="2">
        <v>200</v>
      </c>
      <c r="L96" s="2">
        <v>0</v>
      </c>
      <c r="M96" s="2"/>
      <c r="N96" s="2"/>
      <c r="O96" s="2"/>
      <c r="P96" s="8">
        <f t="shared" si="7"/>
        <v>52</v>
      </c>
      <c r="Q96" s="2"/>
      <c r="R96" s="2"/>
      <c r="S96" s="18"/>
      <c r="T96" s="2"/>
      <c r="U96" s="18"/>
      <c r="V96" s="18"/>
      <c r="W96" s="18"/>
      <c r="X96" s="18">
        <v>348</v>
      </c>
      <c r="Y96" s="18"/>
      <c r="Z96" s="18"/>
      <c r="AA96" s="2"/>
      <c r="AB96" s="7">
        <f t="shared" si="8"/>
        <v>0</v>
      </c>
      <c r="AC96" s="8" t="s">
        <v>147</v>
      </c>
      <c r="AD96" s="8">
        <v>200</v>
      </c>
      <c r="AE96" s="8" t="s">
        <v>153</v>
      </c>
      <c r="AF96" s="8">
        <f t="shared" si="9"/>
        <v>2</v>
      </c>
      <c r="AG96" s="37"/>
    </row>
    <row r="97" spans="2:33" x14ac:dyDescent="0.25">
      <c r="B97" s="2">
        <v>92</v>
      </c>
      <c r="C97" s="2" t="s">
        <v>128</v>
      </c>
      <c r="D97" s="2" t="s">
        <v>129</v>
      </c>
      <c r="E97" s="40" t="s">
        <v>116</v>
      </c>
      <c r="F97" s="13">
        <v>0.5</v>
      </c>
      <c r="G97" s="2"/>
      <c r="H97" s="3"/>
      <c r="I97" s="3"/>
      <c r="J97" s="2">
        <v>1500</v>
      </c>
      <c r="K97" s="2">
        <v>900</v>
      </c>
      <c r="L97" s="2">
        <v>0</v>
      </c>
      <c r="M97" s="2"/>
      <c r="N97" s="2"/>
      <c r="O97" s="2"/>
      <c r="P97" s="8">
        <f t="shared" si="7"/>
        <v>101</v>
      </c>
      <c r="Q97" s="2"/>
      <c r="R97" s="2"/>
      <c r="S97" s="18"/>
      <c r="T97" s="2"/>
      <c r="U97" s="18">
        <v>322</v>
      </c>
      <c r="V97" s="18">
        <v>600</v>
      </c>
      <c r="W97" s="35">
        <v>700</v>
      </c>
      <c r="X97" s="18">
        <v>677</v>
      </c>
      <c r="Y97" s="18"/>
      <c r="Z97" s="18"/>
      <c r="AA97" s="2"/>
      <c r="AB97" s="7">
        <f t="shared" si="8"/>
        <v>0</v>
      </c>
      <c r="AC97" s="8" t="s">
        <v>147</v>
      </c>
      <c r="AD97" s="8">
        <v>200</v>
      </c>
      <c r="AE97" s="8" t="s">
        <v>153</v>
      </c>
      <c r="AF97" s="8">
        <f t="shared" si="9"/>
        <v>12</v>
      </c>
      <c r="AG97" s="37"/>
    </row>
    <row r="98" spans="2:33" x14ac:dyDescent="0.25">
      <c r="B98" s="2">
        <v>93</v>
      </c>
      <c r="C98" s="2" t="s">
        <v>128</v>
      </c>
      <c r="D98" s="2" t="s">
        <v>129</v>
      </c>
      <c r="E98" s="2" t="s">
        <v>117</v>
      </c>
      <c r="F98" s="13">
        <v>0.625</v>
      </c>
      <c r="G98" s="2"/>
      <c r="H98" s="3"/>
      <c r="I98" s="3"/>
      <c r="J98" s="2">
        <v>0</v>
      </c>
      <c r="K98" s="2"/>
      <c r="L98" s="2">
        <v>0</v>
      </c>
      <c r="M98" s="2"/>
      <c r="N98" s="2"/>
      <c r="O98" s="2"/>
      <c r="P98" s="8">
        <f t="shared" si="7"/>
        <v>0</v>
      </c>
      <c r="Q98" s="2"/>
      <c r="R98" s="2"/>
      <c r="S98" s="18"/>
      <c r="T98" s="2"/>
      <c r="U98" s="18"/>
      <c r="V98" s="18"/>
      <c r="W98" s="18"/>
      <c r="X98" s="18"/>
      <c r="Y98" s="18"/>
      <c r="Z98" s="18"/>
      <c r="AA98" s="2"/>
      <c r="AB98" s="7">
        <f t="shared" si="8"/>
        <v>0</v>
      </c>
      <c r="AC98" s="8" t="s">
        <v>147</v>
      </c>
      <c r="AD98" s="8">
        <v>150</v>
      </c>
      <c r="AE98" s="8" t="s">
        <v>153</v>
      </c>
      <c r="AF98" s="8">
        <f t="shared" si="9"/>
        <v>0</v>
      </c>
    </row>
    <row r="99" spans="2:33" x14ac:dyDescent="0.25">
      <c r="B99" s="2">
        <v>94</v>
      </c>
      <c r="C99" s="2" t="s">
        <v>128</v>
      </c>
      <c r="D99" s="2" t="s">
        <v>129</v>
      </c>
      <c r="E99" s="2" t="s">
        <v>118</v>
      </c>
      <c r="F99" s="13">
        <v>0.625</v>
      </c>
      <c r="G99" s="2"/>
      <c r="H99" s="3"/>
      <c r="I99" s="3"/>
      <c r="J99" s="2">
        <v>0</v>
      </c>
      <c r="K99" s="2"/>
      <c r="L99" s="2">
        <v>0</v>
      </c>
      <c r="M99" s="2"/>
      <c r="N99" s="2"/>
      <c r="O99" s="2"/>
      <c r="P99" s="8">
        <f t="shared" si="7"/>
        <v>-1167</v>
      </c>
      <c r="Q99" s="2"/>
      <c r="R99" s="2"/>
      <c r="S99" s="18"/>
      <c r="T99" s="18"/>
      <c r="U99" s="18"/>
      <c r="V99" s="18"/>
      <c r="W99" s="35">
        <v>1167</v>
      </c>
      <c r="X99" s="18"/>
      <c r="Y99" s="18"/>
      <c r="Z99" s="18"/>
      <c r="AA99" s="2"/>
      <c r="AB99" s="7">
        <f t="shared" si="8"/>
        <v>0</v>
      </c>
      <c r="AC99" s="8" t="s">
        <v>147</v>
      </c>
      <c r="AD99" s="8">
        <v>150</v>
      </c>
      <c r="AE99" s="8" t="s">
        <v>153</v>
      </c>
      <c r="AF99" s="8">
        <f t="shared" si="9"/>
        <v>0</v>
      </c>
    </row>
    <row r="100" spans="2:33" x14ac:dyDescent="0.25">
      <c r="B100" s="2">
        <v>95</v>
      </c>
      <c r="C100" s="2" t="s">
        <v>128</v>
      </c>
      <c r="D100" s="2" t="s">
        <v>129</v>
      </c>
      <c r="E100" s="2" t="s">
        <v>119</v>
      </c>
      <c r="F100" s="13">
        <v>0.625</v>
      </c>
      <c r="G100" s="2"/>
      <c r="H100" s="3"/>
      <c r="I100" s="3"/>
      <c r="J100" s="2">
        <v>699</v>
      </c>
      <c r="K100" s="2"/>
      <c r="L100" s="2">
        <v>0</v>
      </c>
      <c r="M100" s="2"/>
      <c r="N100" s="2"/>
      <c r="O100" s="2"/>
      <c r="P100" s="8">
        <f t="shared" si="7"/>
        <v>-101</v>
      </c>
      <c r="Q100" s="2"/>
      <c r="R100" s="2"/>
      <c r="S100" s="18"/>
      <c r="T100" s="18"/>
      <c r="U100" s="18">
        <v>800</v>
      </c>
      <c r="V100" s="18"/>
      <c r="W100" s="18"/>
      <c r="X100" s="18"/>
      <c r="Y100" s="18"/>
      <c r="Z100" s="18"/>
      <c r="AA100" s="2"/>
      <c r="AB100" s="7">
        <f t="shared" si="8"/>
        <v>0</v>
      </c>
      <c r="AC100" s="8" t="s">
        <v>147</v>
      </c>
      <c r="AD100" s="8">
        <v>150</v>
      </c>
      <c r="AE100" s="8" t="s">
        <v>153</v>
      </c>
      <c r="AF100" s="8">
        <f t="shared" si="9"/>
        <v>4.66</v>
      </c>
    </row>
    <row r="101" spans="2:33" x14ac:dyDescent="0.25">
      <c r="B101" s="2">
        <v>96</v>
      </c>
      <c r="C101" s="2" t="s">
        <v>128</v>
      </c>
      <c r="D101" s="2" t="s">
        <v>129</v>
      </c>
      <c r="E101" s="2" t="s">
        <v>120</v>
      </c>
      <c r="F101" s="13">
        <v>0.625</v>
      </c>
      <c r="G101" s="2"/>
      <c r="H101" s="3"/>
      <c r="I101" s="3"/>
      <c r="J101" s="2">
        <v>0</v>
      </c>
      <c r="K101" s="2"/>
      <c r="L101" s="2">
        <v>0</v>
      </c>
      <c r="M101" s="2"/>
      <c r="N101" s="2"/>
      <c r="O101" s="2"/>
      <c r="P101" s="8">
        <f t="shared" si="7"/>
        <v>-1770</v>
      </c>
      <c r="Q101" s="2"/>
      <c r="R101" s="2"/>
      <c r="S101" s="18"/>
      <c r="T101" s="18"/>
      <c r="U101" s="18">
        <v>1050</v>
      </c>
      <c r="V101" s="18"/>
      <c r="W101" s="18">
        <v>720</v>
      </c>
      <c r="X101" s="18"/>
      <c r="Y101" s="18"/>
      <c r="Z101" s="18"/>
      <c r="AA101" s="2"/>
      <c r="AB101" s="7">
        <f t="shared" si="8"/>
        <v>0</v>
      </c>
      <c r="AC101" s="8" t="s">
        <v>147</v>
      </c>
      <c r="AD101" s="8">
        <v>150</v>
      </c>
      <c r="AE101" s="8" t="s">
        <v>153</v>
      </c>
      <c r="AF101" s="8">
        <f t="shared" si="9"/>
        <v>0</v>
      </c>
    </row>
    <row r="102" spans="2:33" x14ac:dyDescent="0.25">
      <c r="B102" s="2">
        <v>97</v>
      </c>
      <c r="C102" s="2" t="s">
        <v>128</v>
      </c>
      <c r="D102" s="2" t="s">
        <v>129</v>
      </c>
      <c r="E102" s="2" t="s">
        <v>121</v>
      </c>
      <c r="F102" s="13">
        <v>0.75</v>
      </c>
      <c r="G102" s="2"/>
      <c r="H102" s="3"/>
      <c r="I102" s="3"/>
      <c r="J102" s="2">
        <v>0</v>
      </c>
      <c r="K102" s="2"/>
      <c r="L102" s="2">
        <v>0</v>
      </c>
      <c r="M102" s="2"/>
      <c r="N102" s="2"/>
      <c r="O102" s="2"/>
      <c r="P102" s="8">
        <f t="shared" ref="P102:P133" si="10">+J102+K102+L102+M102+N102+O102-SUM(Q102:AA102)</f>
        <v>0</v>
      </c>
      <c r="Q102" s="2"/>
      <c r="R102" s="2"/>
      <c r="S102" s="18"/>
      <c r="T102" s="18"/>
      <c r="U102" s="18"/>
      <c r="V102" s="18"/>
      <c r="W102" s="18"/>
      <c r="X102" s="18"/>
      <c r="Y102" s="18"/>
      <c r="Z102" s="18"/>
      <c r="AA102" s="2"/>
      <c r="AB102" s="7">
        <f t="shared" ref="AB102:AB133" si="11">+H102*SUM(J102:O102)</f>
        <v>0</v>
      </c>
      <c r="AC102" s="8" t="s">
        <v>147</v>
      </c>
      <c r="AD102" s="8">
        <v>80</v>
      </c>
      <c r="AE102" s="8" t="s">
        <v>153</v>
      </c>
      <c r="AF102" s="8">
        <f t="shared" si="9"/>
        <v>0</v>
      </c>
    </row>
    <row r="103" spans="2:33" x14ac:dyDescent="0.25">
      <c r="B103" s="2">
        <v>98</v>
      </c>
      <c r="C103" s="2" t="s">
        <v>128</v>
      </c>
      <c r="D103" s="2" t="s">
        <v>129</v>
      </c>
      <c r="E103" s="40" t="s">
        <v>122</v>
      </c>
      <c r="F103" s="13">
        <v>0.75</v>
      </c>
      <c r="G103" s="2"/>
      <c r="H103" s="3"/>
      <c r="I103" s="3"/>
      <c r="J103" s="2">
        <v>200</v>
      </c>
      <c r="K103" s="2"/>
      <c r="L103" s="2">
        <v>0</v>
      </c>
      <c r="M103" s="2"/>
      <c r="N103" s="2"/>
      <c r="O103" s="2"/>
      <c r="P103" s="8">
        <f t="shared" si="10"/>
        <v>200</v>
      </c>
      <c r="Q103" s="2"/>
      <c r="R103" s="2"/>
      <c r="S103" s="18"/>
      <c r="T103" s="18"/>
      <c r="U103" s="18"/>
      <c r="V103" s="18"/>
      <c r="W103" s="18"/>
      <c r="X103" s="18"/>
      <c r="Y103" s="18"/>
      <c r="Z103" s="18"/>
      <c r="AA103" s="2"/>
      <c r="AB103" s="7">
        <f t="shared" si="11"/>
        <v>0</v>
      </c>
      <c r="AC103" s="8" t="s">
        <v>147</v>
      </c>
      <c r="AD103" s="8">
        <v>80</v>
      </c>
      <c r="AE103" s="8" t="s">
        <v>153</v>
      </c>
      <c r="AF103" s="8">
        <f t="shared" si="9"/>
        <v>2.5</v>
      </c>
    </row>
    <row r="104" spans="2:33" x14ac:dyDescent="0.25">
      <c r="B104" s="2">
        <v>99</v>
      </c>
      <c r="C104" s="2" t="s">
        <v>128</v>
      </c>
      <c r="D104" s="2" t="s">
        <v>129</v>
      </c>
      <c r="E104" s="35" t="s">
        <v>123</v>
      </c>
      <c r="F104" s="13">
        <v>0.75</v>
      </c>
      <c r="G104" s="2"/>
      <c r="H104" s="3"/>
      <c r="I104" s="3"/>
      <c r="J104" s="2">
        <v>80</v>
      </c>
      <c r="K104" s="2"/>
      <c r="L104" s="2">
        <v>0</v>
      </c>
      <c r="M104" s="2"/>
      <c r="N104" s="2"/>
      <c r="O104" s="2"/>
      <c r="P104" s="8">
        <f t="shared" si="10"/>
        <v>0</v>
      </c>
      <c r="Q104" s="2"/>
      <c r="R104" s="2"/>
      <c r="S104" s="18"/>
      <c r="T104" s="18"/>
      <c r="U104" s="18"/>
      <c r="V104" s="18">
        <v>80</v>
      </c>
      <c r="W104" s="18"/>
      <c r="X104" s="18"/>
      <c r="Y104" s="18"/>
      <c r="Z104" s="18"/>
      <c r="AA104" s="2"/>
      <c r="AB104" s="7">
        <f t="shared" si="11"/>
        <v>0</v>
      </c>
      <c r="AC104" s="8" t="s">
        <v>147</v>
      </c>
      <c r="AD104" s="8">
        <v>80</v>
      </c>
      <c r="AE104" s="8" t="s">
        <v>153</v>
      </c>
      <c r="AF104" s="8">
        <f t="shared" si="9"/>
        <v>1</v>
      </c>
    </row>
    <row r="105" spans="2:33" x14ac:dyDescent="0.25">
      <c r="B105" s="2">
        <v>100</v>
      </c>
      <c r="C105" s="2" t="s">
        <v>128</v>
      </c>
      <c r="D105" s="2" t="s">
        <v>129</v>
      </c>
      <c r="E105" s="40" t="s">
        <v>124</v>
      </c>
      <c r="F105" s="13">
        <v>0.75</v>
      </c>
      <c r="G105" s="2"/>
      <c r="H105" s="3"/>
      <c r="I105" s="3"/>
      <c r="J105" s="2">
        <v>270</v>
      </c>
      <c r="K105" s="2"/>
      <c r="L105" s="2">
        <v>0</v>
      </c>
      <c r="M105" s="2"/>
      <c r="N105" s="2"/>
      <c r="O105" s="2"/>
      <c r="P105" s="8">
        <f t="shared" si="10"/>
        <v>116</v>
      </c>
      <c r="Q105" s="2"/>
      <c r="R105" s="2"/>
      <c r="S105" s="18"/>
      <c r="T105" s="18"/>
      <c r="U105" s="18"/>
      <c r="V105" s="18">
        <v>154</v>
      </c>
      <c r="W105" s="18"/>
      <c r="X105" s="18"/>
      <c r="Y105" s="18"/>
      <c r="Z105" s="18"/>
      <c r="AA105" s="2"/>
      <c r="AB105" s="7">
        <f t="shared" si="11"/>
        <v>0</v>
      </c>
      <c r="AC105" s="8" t="s">
        <v>147</v>
      </c>
      <c r="AD105" s="8">
        <v>80</v>
      </c>
      <c r="AE105" s="8" t="s">
        <v>153</v>
      </c>
      <c r="AF105" s="8">
        <f t="shared" si="9"/>
        <v>3.375</v>
      </c>
    </row>
    <row r="106" spans="2:33" x14ac:dyDescent="0.25">
      <c r="B106" s="2">
        <v>101</v>
      </c>
      <c r="C106" s="2" t="s">
        <v>128</v>
      </c>
      <c r="D106" s="2" t="s">
        <v>129</v>
      </c>
      <c r="E106" s="2" t="s">
        <v>125</v>
      </c>
      <c r="F106" s="13">
        <v>0.875</v>
      </c>
      <c r="G106" s="2"/>
      <c r="H106" s="3"/>
      <c r="I106" s="3"/>
      <c r="J106" s="2">
        <v>160</v>
      </c>
      <c r="K106" s="2"/>
      <c r="L106" s="2">
        <v>0</v>
      </c>
      <c r="M106" s="2"/>
      <c r="N106" s="2"/>
      <c r="O106" s="2"/>
      <c r="P106" s="8">
        <f t="shared" si="10"/>
        <v>-10</v>
      </c>
      <c r="Q106" s="2"/>
      <c r="R106" s="2"/>
      <c r="S106" s="18"/>
      <c r="T106" s="18"/>
      <c r="U106" s="18"/>
      <c r="V106" s="18"/>
      <c r="W106" s="18"/>
      <c r="X106" s="18">
        <v>170</v>
      </c>
      <c r="Y106" s="18"/>
      <c r="Z106" s="18"/>
      <c r="AA106" s="2"/>
      <c r="AB106" s="7">
        <f t="shared" si="11"/>
        <v>0</v>
      </c>
      <c r="AC106" s="8" t="s">
        <v>147</v>
      </c>
      <c r="AD106" s="8">
        <v>50</v>
      </c>
      <c r="AE106" s="8" t="s">
        <v>153</v>
      </c>
      <c r="AF106" s="8">
        <f t="shared" si="9"/>
        <v>3.2</v>
      </c>
    </row>
    <row r="107" spans="2:33" x14ac:dyDescent="0.25">
      <c r="B107" s="2">
        <v>102</v>
      </c>
      <c r="C107" s="2" t="s">
        <v>128</v>
      </c>
      <c r="D107" s="2" t="s">
        <v>129</v>
      </c>
      <c r="E107" s="40" t="s">
        <v>126</v>
      </c>
      <c r="F107" s="13">
        <v>0.875</v>
      </c>
      <c r="G107" s="2"/>
      <c r="H107" s="3"/>
      <c r="I107" s="3"/>
      <c r="J107" s="2">
        <v>700</v>
      </c>
      <c r="K107" s="2"/>
      <c r="L107" s="2">
        <v>0</v>
      </c>
      <c r="M107" s="2"/>
      <c r="N107" s="2"/>
      <c r="O107" s="2"/>
      <c r="P107" s="8">
        <f t="shared" si="10"/>
        <v>700</v>
      </c>
      <c r="Q107" s="2"/>
      <c r="R107" s="2"/>
      <c r="S107" s="18"/>
      <c r="T107" s="18"/>
      <c r="U107" s="18"/>
      <c r="V107" s="18"/>
      <c r="W107" s="18"/>
      <c r="X107" s="18"/>
      <c r="Y107" s="18"/>
      <c r="Z107" s="18"/>
      <c r="AA107" s="2"/>
      <c r="AB107" s="7">
        <f t="shared" si="11"/>
        <v>0</v>
      </c>
      <c r="AC107" s="8" t="s">
        <v>155</v>
      </c>
      <c r="AD107" s="8">
        <v>50</v>
      </c>
      <c r="AE107" s="8" t="s">
        <v>153</v>
      </c>
      <c r="AF107" s="8">
        <f t="shared" si="9"/>
        <v>14</v>
      </c>
    </row>
    <row r="108" spans="2:33" x14ac:dyDescent="0.25">
      <c r="B108" s="2">
        <v>103</v>
      </c>
      <c r="C108" s="2" t="s">
        <v>128</v>
      </c>
      <c r="D108" s="2" t="s">
        <v>129</v>
      </c>
      <c r="E108" s="40" t="s">
        <v>127</v>
      </c>
      <c r="F108" s="13">
        <v>0.875</v>
      </c>
      <c r="G108" s="2"/>
      <c r="H108" s="3"/>
      <c r="I108" s="3"/>
      <c r="J108" s="2">
        <v>1250</v>
      </c>
      <c r="K108" s="2"/>
      <c r="L108" s="2">
        <v>0</v>
      </c>
      <c r="M108" s="2"/>
      <c r="N108" s="2"/>
      <c r="O108" s="2"/>
      <c r="P108" s="8">
        <f t="shared" si="10"/>
        <v>514</v>
      </c>
      <c r="Q108" s="2"/>
      <c r="R108" s="2"/>
      <c r="S108" s="18"/>
      <c r="T108" s="18"/>
      <c r="U108" s="18"/>
      <c r="V108" s="18"/>
      <c r="W108" s="18"/>
      <c r="X108" s="18"/>
      <c r="Y108" s="18">
        <v>600</v>
      </c>
      <c r="Z108" s="18">
        <v>136</v>
      </c>
      <c r="AA108" s="2"/>
      <c r="AB108" s="7">
        <f t="shared" si="11"/>
        <v>0</v>
      </c>
      <c r="AC108" s="8" t="s">
        <v>155</v>
      </c>
      <c r="AD108" s="8">
        <v>50</v>
      </c>
      <c r="AE108" s="8" t="s">
        <v>153</v>
      </c>
      <c r="AF108" s="8">
        <f t="shared" si="9"/>
        <v>25</v>
      </c>
    </row>
    <row r="109" spans="2:33" x14ac:dyDescent="0.25">
      <c r="B109" s="2">
        <v>104</v>
      </c>
      <c r="C109" s="2" t="s">
        <v>130</v>
      </c>
      <c r="D109" s="2" t="s">
        <v>0</v>
      </c>
      <c r="E109" s="40" t="s">
        <v>131</v>
      </c>
      <c r="F109" s="13">
        <v>0.375</v>
      </c>
      <c r="G109" s="2"/>
      <c r="H109" s="3"/>
      <c r="I109" s="3"/>
      <c r="J109" s="2">
        <v>225</v>
      </c>
      <c r="K109" s="2"/>
      <c r="L109" s="2">
        <v>0</v>
      </c>
      <c r="M109" s="2"/>
      <c r="N109" s="2"/>
      <c r="O109" s="2"/>
      <c r="P109" s="8">
        <f t="shared" si="10"/>
        <v>45</v>
      </c>
      <c r="Q109" s="2"/>
      <c r="R109" s="2"/>
      <c r="S109" s="18"/>
      <c r="T109" s="18"/>
      <c r="U109" s="18"/>
      <c r="V109" s="18"/>
      <c r="W109" s="18"/>
      <c r="X109" s="18"/>
      <c r="Y109" s="18">
        <v>180</v>
      </c>
      <c r="Z109" s="18"/>
      <c r="AA109" s="2"/>
      <c r="AB109" s="7">
        <f t="shared" si="11"/>
        <v>0</v>
      </c>
      <c r="AC109" s="8" t="s">
        <v>148</v>
      </c>
      <c r="AD109" s="8">
        <v>250</v>
      </c>
      <c r="AE109" s="8" t="s">
        <v>154</v>
      </c>
      <c r="AF109" s="8">
        <f t="shared" si="9"/>
        <v>0.9</v>
      </c>
    </row>
    <row r="110" spans="2:33" x14ac:dyDescent="0.25">
      <c r="B110" s="2">
        <v>105</v>
      </c>
      <c r="C110" s="2" t="s">
        <v>130</v>
      </c>
      <c r="D110" s="2" t="s">
        <v>0</v>
      </c>
      <c r="E110" s="2" t="s">
        <v>132</v>
      </c>
      <c r="F110" s="13">
        <v>0.375</v>
      </c>
      <c r="G110" s="2"/>
      <c r="H110" s="3"/>
      <c r="I110" s="3"/>
      <c r="J110" s="2">
        <v>0</v>
      </c>
      <c r="K110" s="2"/>
      <c r="L110" s="2">
        <v>0</v>
      </c>
      <c r="M110" s="2"/>
      <c r="N110" s="2"/>
      <c r="O110" s="2"/>
      <c r="P110" s="8">
        <f t="shared" si="10"/>
        <v>-4580</v>
      </c>
      <c r="Q110" s="2"/>
      <c r="R110" s="2"/>
      <c r="S110" s="18"/>
      <c r="T110" s="18"/>
      <c r="U110" s="18"/>
      <c r="V110" s="18"/>
      <c r="W110" s="18"/>
      <c r="X110" s="18"/>
      <c r="Y110" s="18">
        <v>2340</v>
      </c>
      <c r="Z110" s="18">
        <v>2240</v>
      </c>
      <c r="AA110" s="2"/>
      <c r="AB110" s="7">
        <f t="shared" si="11"/>
        <v>0</v>
      </c>
      <c r="AC110" s="8" t="s">
        <v>148</v>
      </c>
      <c r="AD110" s="8">
        <v>250</v>
      </c>
      <c r="AE110" s="8" t="s">
        <v>154</v>
      </c>
      <c r="AF110" s="8">
        <f t="shared" si="9"/>
        <v>0</v>
      </c>
    </row>
    <row r="111" spans="2:33" x14ac:dyDescent="0.25">
      <c r="B111" s="2">
        <v>106</v>
      </c>
      <c r="C111" s="2" t="s">
        <v>130</v>
      </c>
      <c r="D111" s="2" t="s">
        <v>0</v>
      </c>
      <c r="E111" s="2" t="s">
        <v>133</v>
      </c>
      <c r="F111" s="13">
        <v>0.375</v>
      </c>
      <c r="G111" s="2"/>
      <c r="H111" s="3"/>
      <c r="I111" s="3"/>
      <c r="J111" s="2">
        <v>0</v>
      </c>
      <c r="K111" s="2"/>
      <c r="L111" s="2">
        <v>0</v>
      </c>
      <c r="M111" s="2"/>
      <c r="N111" s="2"/>
      <c r="O111" s="2"/>
      <c r="P111" s="8">
        <f t="shared" si="10"/>
        <v>0</v>
      </c>
      <c r="Q111" s="2"/>
      <c r="R111" s="2"/>
      <c r="S111" s="18"/>
      <c r="T111" s="18"/>
      <c r="U111" s="18"/>
      <c r="V111" s="18"/>
      <c r="W111" s="18"/>
      <c r="X111" s="18"/>
      <c r="Y111" s="18"/>
      <c r="Z111" s="18"/>
      <c r="AA111" s="2"/>
      <c r="AB111" s="7">
        <f t="shared" si="11"/>
        <v>0</v>
      </c>
      <c r="AC111" s="8" t="s">
        <v>148</v>
      </c>
      <c r="AD111" s="8">
        <v>250</v>
      </c>
      <c r="AE111" s="8" t="s">
        <v>154</v>
      </c>
      <c r="AF111" s="8">
        <f t="shared" si="9"/>
        <v>0</v>
      </c>
    </row>
    <row r="112" spans="2:33" x14ac:dyDescent="0.25">
      <c r="B112" s="2">
        <v>107</v>
      </c>
      <c r="C112" s="2" t="s">
        <v>130</v>
      </c>
      <c r="D112" s="2" t="s">
        <v>0</v>
      </c>
      <c r="E112" s="35" t="s">
        <v>134</v>
      </c>
      <c r="F112" s="13">
        <v>0.75</v>
      </c>
      <c r="G112" s="2"/>
      <c r="H112" s="3"/>
      <c r="I112" s="3"/>
      <c r="J112" s="2">
        <v>1200</v>
      </c>
      <c r="K112" s="2"/>
      <c r="L112" s="2">
        <v>0</v>
      </c>
      <c r="M112" s="2"/>
      <c r="N112" s="2"/>
      <c r="O112" s="2"/>
      <c r="P112" s="8">
        <f t="shared" si="10"/>
        <v>-450</v>
      </c>
      <c r="Q112" s="2"/>
      <c r="R112" s="2"/>
      <c r="S112" s="18">
        <v>1100</v>
      </c>
      <c r="T112" s="18"/>
      <c r="U112" s="18"/>
      <c r="V112" s="18"/>
      <c r="W112" s="18"/>
      <c r="X112" s="18">
        <v>550</v>
      </c>
      <c r="Y112" s="18"/>
      <c r="Z112" s="18"/>
      <c r="AA112" s="2"/>
      <c r="AB112" s="7">
        <f t="shared" si="11"/>
        <v>0</v>
      </c>
      <c r="AC112" s="8" t="s">
        <v>150</v>
      </c>
      <c r="AD112" s="8">
        <v>200</v>
      </c>
      <c r="AE112" s="8" t="s">
        <v>154</v>
      </c>
      <c r="AF112" s="8">
        <f t="shared" si="9"/>
        <v>6</v>
      </c>
    </row>
    <row r="113" spans="2:32" x14ac:dyDescent="0.25">
      <c r="B113" s="2">
        <v>108</v>
      </c>
      <c r="C113" s="2" t="s">
        <v>130</v>
      </c>
      <c r="D113" s="2" t="s">
        <v>0</v>
      </c>
      <c r="E113" s="40" t="s">
        <v>135</v>
      </c>
      <c r="F113" s="13">
        <v>0.75</v>
      </c>
      <c r="G113" s="2"/>
      <c r="H113" s="3"/>
      <c r="I113" s="3"/>
      <c r="J113" s="2">
        <v>1900</v>
      </c>
      <c r="K113" s="2"/>
      <c r="L113" s="2">
        <v>0</v>
      </c>
      <c r="M113" s="2"/>
      <c r="N113" s="2"/>
      <c r="O113" s="2"/>
      <c r="P113" s="8">
        <f t="shared" si="10"/>
        <v>751</v>
      </c>
      <c r="Q113" s="2">
        <v>468</v>
      </c>
      <c r="R113" s="2">
        <v>619</v>
      </c>
      <c r="S113" s="18"/>
      <c r="T113" s="18"/>
      <c r="U113" s="18"/>
      <c r="V113" s="18"/>
      <c r="W113" s="18"/>
      <c r="X113" s="18">
        <v>62</v>
      </c>
      <c r="Y113" s="18"/>
      <c r="Z113" s="18"/>
      <c r="AA113" s="2"/>
      <c r="AB113" s="7">
        <f t="shared" si="11"/>
        <v>0</v>
      </c>
      <c r="AC113" s="8" t="s">
        <v>150</v>
      </c>
      <c r="AD113" s="8">
        <v>200</v>
      </c>
      <c r="AE113" s="8" t="s">
        <v>154</v>
      </c>
      <c r="AF113" s="8">
        <f t="shared" si="9"/>
        <v>9.5</v>
      </c>
    </row>
    <row r="114" spans="2:32" x14ac:dyDescent="0.25">
      <c r="B114" s="2">
        <v>109</v>
      </c>
      <c r="C114" s="2" t="s">
        <v>130</v>
      </c>
      <c r="D114" s="2" t="s">
        <v>0</v>
      </c>
      <c r="E114" s="40" t="s">
        <v>136</v>
      </c>
      <c r="F114" s="13">
        <v>0.75</v>
      </c>
      <c r="G114" s="2"/>
      <c r="H114" s="3"/>
      <c r="I114" s="3"/>
      <c r="J114" s="2">
        <v>10</v>
      </c>
      <c r="K114" s="2"/>
      <c r="L114" s="2">
        <v>0</v>
      </c>
      <c r="M114" s="2"/>
      <c r="N114" s="2"/>
      <c r="O114" s="2"/>
      <c r="P114" s="8">
        <f t="shared" si="10"/>
        <v>10</v>
      </c>
      <c r="Q114" s="2"/>
      <c r="R114" s="2"/>
      <c r="S114" s="18"/>
      <c r="T114" s="18"/>
      <c r="U114" s="18"/>
      <c r="V114" s="18"/>
      <c r="W114" s="18"/>
      <c r="X114" s="18"/>
      <c r="Y114" s="18"/>
      <c r="Z114" s="18"/>
      <c r="AA114" s="2"/>
      <c r="AB114" s="7">
        <f t="shared" si="11"/>
        <v>0</v>
      </c>
      <c r="AC114" s="8" t="s">
        <v>150</v>
      </c>
      <c r="AD114" s="8">
        <v>200</v>
      </c>
      <c r="AE114" s="8" t="s">
        <v>154</v>
      </c>
      <c r="AF114" s="8">
        <f t="shared" si="9"/>
        <v>0.05</v>
      </c>
    </row>
    <row r="115" spans="2:32" x14ac:dyDescent="0.25">
      <c r="B115" s="2">
        <v>110</v>
      </c>
      <c r="C115" s="2" t="s">
        <v>130</v>
      </c>
      <c r="D115" s="2" t="s">
        <v>0</v>
      </c>
      <c r="E115" s="2" t="s">
        <v>137</v>
      </c>
      <c r="F115" s="13">
        <v>0.75</v>
      </c>
      <c r="G115" s="2"/>
      <c r="H115" s="3"/>
      <c r="I115" s="3"/>
      <c r="J115" s="2">
        <v>388</v>
      </c>
      <c r="K115" s="2"/>
      <c r="L115" s="2">
        <v>0</v>
      </c>
      <c r="M115" s="2"/>
      <c r="N115" s="2"/>
      <c r="O115" s="2"/>
      <c r="P115" s="8">
        <f t="shared" si="10"/>
        <v>-692</v>
      </c>
      <c r="Q115" s="2"/>
      <c r="R115" s="2">
        <v>792</v>
      </c>
      <c r="S115" s="18"/>
      <c r="T115" s="18"/>
      <c r="U115" s="18"/>
      <c r="V115" s="18">
        <v>288</v>
      </c>
      <c r="W115" s="18"/>
      <c r="X115" s="18"/>
      <c r="Y115" s="18"/>
      <c r="Z115" s="18"/>
      <c r="AA115" s="2"/>
      <c r="AB115" s="7">
        <f t="shared" si="11"/>
        <v>0</v>
      </c>
      <c r="AC115" s="8" t="s">
        <v>150</v>
      </c>
      <c r="AD115" s="8">
        <v>200</v>
      </c>
      <c r="AE115" s="8" t="s">
        <v>154</v>
      </c>
      <c r="AF115" s="8">
        <f t="shared" si="9"/>
        <v>1.94</v>
      </c>
    </row>
    <row r="116" spans="2:32" x14ac:dyDescent="0.25">
      <c r="B116" s="2">
        <v>111</v>
      </c>
      <c r="C116" s="2" t="s">
        <v>130</v>
      </c>
      <c r="D116" s="2" t="s">
        <v>0</v>
      </c>
      <c r="E116" s="40" t="s">
        <v>138</v>
      </c>
      <c r="F116" s="13">
        <v>0.75</v>
      </c>
      <c r="G116" s="2"/>
      <c r="H116" s="3"/>
      <c r="I116" s="3"/>
      <c r="J116" s="2">
        <v>63</v>
      </c>
      <c r="K116" s="2"/>
      <c r="L116" s="2">
        <v>0</v>
      </c>
      <c r="M116" s="2"/>
      <c r="N116" s="2"/>
      <c r="O116" s="2"/>
      <c r="P116" s="8">
        <f t="shared" si="10"/>
        <v>63</v>
      </c>
      <c r="Q116" s="2"/>
      <c r="R116" s="2"/>
      <c r="S116" s="18"/>
      <c r="T116" s="18"/>
      <c r="U116" s="18"/>
      <c r="V116" s="18"/>
      <c r="W116" s="18"/>
      <c r="X116" s="18"/>
      <c r="Y116" s="18"/>
      <c r="Z116" s="18"/>
      <c r="AA116" s="2"/>
      <c r="AB116" s="7">
        <f t="shared" si="11"/>
        <v>0</v>
      </c>
      <c r="AC116" s="8" t="s">
        <v>150</v>
      </c>
      <c r="AD116" s="8">
        <v>200</v>
      </c>
      <c r="AE116" s="8" t="s">
        <v>154</v>
      </c>
      <c r="AF116" s="8">
        <f t="shared" si="9"/>
        <v>0.315</v>
      </c>
    </row>
    <row r="117" spans="2:32" x14ac:dyDescent="0.25">
      <c r="B117" s="2">
        <v>112</v>
      </c>
      <c r="C117" s="2" t="s">
        <v>130</v>
      </c>
      <c r="D117" s="2" t="s">
        <v>0</v>
      </c>
      <c r="E117" s="40" t="s">
        <v>139</v>
      </c>
      <c r="F117" s="13">
        <v>0.75</v>
      </c>
      <c r="G117" s="2"/>
      <c r="H117" s="3"/>
      <c r="I117" s="3"/>
      <c r="J117" s="2">
        <v>7</v>
      </c>
      <c r="K117" s="2"/>
      <c r="L117" s="2">
        <v>0</v>
      </c>
      <c r="M117" s="2"/>
      <c r="N117" s="2"/>
      <c r="O117" s="2"/>
      <c r="P117" s="8">
        <f t="shared" si="10"/>
        <v>7</v>
      </c>
      <c r="Q117" s="2"/>
      <c r="R117" s="2"/>
      <c r="S117" s="18"/>
      <c r="T117" s="18"/>
      <c r="U117" s="18"/>
      <c r="V117" s="18"/>
      <c r="W117" s="18"/>
      <c r="X117" s="18"/>
      <c r="Y117" s="18"/>
      <c r="Z117" s="18"/>
      <c r="AA117" s="2"/>
      <c r="AB117" s="7">
        <f t="shared" si="11"/>
        <v>0</v>
      </c>
      <c r="AC117" s="8" t="s">
        <v>150</v>
      </c>
      <c r="AD117" s="8">
        <v>200</v>
      </c>
      <c r="AE117" s="8" t="s">
        <v>154</v>
      </c>
      <c r="AF117" s="8">
        <f t="shared" si="9"/>
        <v>3.5000000000000003E-2</v>
      </c>
    </row>
    <row r="118" spans="2:32" x14ac:dyDescent="0.25">
      <c r="B118" s="2">
        <v>113</v>
      </c>
      <c r="C118" s="2" t="s">
        <v>130</v>
      </c>
      <c r="D118" s="2" t="s">
        <v>0</v>
      </c>
      <c r="E118" s="40" t="s">
        <v>140</v>
      </c>
      <c r="F118" s="13">
        <v>0.75</v>
      </c>
      <c r="G118" s="2"/>
      <c r="H118" s="3"/>
      <c r="I118" s="3"/>
      <c r="J118" s="2">
        <v>172</v>
      </c>
      <c r="K118" s="2"/>
      <c r="L118" s="2">
        <v>0</v>
      </c>
      <c r="M118" s="2"/>
      <c r="N118" s="2"/>
      <c r="O118" s="2"/>
      <c r="P118" s="8">
        <f t="shared" si="10"/>
        <v>172</v>
      </c>
      <c r="Q118" s="2"/>
      <c r="R118" s="2"/>
      <c r="S118" s="18"/>
      <c r="T118" s="18"/>
      <c r="U118" s="18"/>
      <c r="V118" s="18"/>
      <c r="W118" s="18"/>
      <c r="X118" s="18"/>
      <c r="Y118" s="18"/>
      <c r="Z118" s="18"/>
      <c r="AA118" s="2"/>
      <c r="AB118" s="7">
        <f t="shared" si="11"/>
        <v>0</v>
      </c>
      <c r="AC118" s="8" t="s">
        <v>150</v>
      </c>
      <c r="AD118" s="8">
        <v>200</v>
      </c>
      <c r="AE118" s="8" t="s">
        <v>154</v>
      </c>
      <c r="AF118" s="8">
        <f t="shared" si="9"/>
        <v>0.86</v>
      </c>
    </row>
    <row r="119" spans="2:32" x14ac:dyDescent="0.25">
      <c r="B119" s="2">
        <v>114</v>
      </c>
      <c r="C119" s="2" t="s">
        <v>130</v>
      </c>
      <c r="D119" s="2" t="s">
        <v>0</v>
      </c>
      <c r="E119" s="40" t="s">
        <v>141</v>
      </c>
      <c r="F119" s="13">
        <v>0.875</v>
      </c>
      <c r="G119" s="2"/>
      <c r="H119" s="3"/>
      <c r="I119" s="3"/>
      <c r="J119" s="2">
        <v>529</v>
      </c>
      <c r="K119" s="2"/>
      <c r="L119" s="2">
        <v>0</v>
      </c>
      <c r="M119" s="2"/>
      <c r="N119" s="2"/>
      <c r="O119" s="2"/>
      <c r="P119" s="8">
        <f t="shared" si="10"/>
        <v>21</v>
      </c>
      <c r="Q119" s="2"/>
      <c r="R119" s="2">
        <v>480</v>
      </c>
      <c r="S119" s="18"/>
      <c r="T119" s="18"/>
      <c r="U119" s="18"/>
      <c r="V119" s="18"/>
      <c r="W119" s="18">
        <v>28</v>
      </c>
      <c r="X119" s="18"/>
      <c r="Y119" s="18"/>
      <c r="Z119" s="18"/>
      <c r="AA119" s="2"/>
      <c r="AB119" s="7">
        <f t="shared" si="11"/>
        <v>0</v>
      </c>
      <c r="AC119" s="8" t="s">
        <v>150</v>
      </c>
      <c r="AD119" s="8">
        <v>200</v>
      </c>
      <c r="AE119" s="8" t="s">
        <v>154</v>
      </c>
      <c r="AF119" s="8">
        <f t="shared" si="9"/>
        <v>2.645</v>
      </c>
    </row>
    <row r="120" spans="2:32" x14ac:dyDescent="0.25">
      <c r="B120" s="2">
        <v>115</v>
      </c>
      <c r="C120" s="2" t="s">
        <v>130</v>
      </c>
      <c r="D120" s="2" t="s">
        <v>0</v>
      </c>
      <c r="E120" s="2" t="s">
        <v>142</v>
      </c>
      <c r="F120" s="13">
        <v>0.875</v>
      </c>
      <c r="G120" s="2"/>
      <c r="H120" s="3"/>
      <c r="I120" s="3"/>
      <c r="J120" s="2">
        <v>389</v>
      </c>
      <c r="K120" s="2"/>
      <c r="L120" s="2">
        <v>0</v>
      </c>
      <c r="M120" s="2"/>
      <c r="N120" s="2"/>
      <c r="O120" s="2"/>
      <c r="P120" s="8">
        <f t="shared" si="10"/>
        <v>0</v>
      </c>
      <c r="Q120" s="2">
        <v>208</v>
      </c>
      <c r="R120" s="2"/>
      <c r="S120" s="18">
        <v>104</v>
      </c>
      <c r="T120" s="18"/>
      <c r="U120" s="18"/>
      <c r="V120" s="18"/>
      <c r="W120" s="18">
        <v>77</v>
      </c>
      <c r="X120" s="18"/>
      <c r="Y120" s="18"/>
      <c r="Z120" s="18"/>
      <c r="AA120" s="2"/>
      <c r="AB120" s="7">
        <f t="shared" si="11"/>
        <v>0</v>
      </c>
      <c r="AC120" s="8" t="s">
        <v>150</v>
      </c>
      <c r="AD120" s="8">
        <v>200</v>
      </c>
      <c r="AE120" s="8" t="s">
        <v>154</v>
      </c>
      <c r="AF120" s="8">
        <f t="shared" si="9"/>
        <v>1.9450000000000001</v>
      </c>
    </row>
    <row r="121" spans="2:32" x14ac:dyDescent="0.25">
      <c r="B121" s="2">
        <v>116</v>
      </c>
      <c r="C121" s="2" t="s">
        <v>130</v>
      </c>
      <c r="D121" s="2" t="s">
        <v>0</v>
      </c>
      <c r="E121" s="2" t="s">
        <v>143</v>
      </c>
      <c r="F121" s="13">
        <v>0.875</v>
      </c>
      <c r="G121" s="2"/>
      <c r="H121" s="3"/>
      <c r="I121" s="3"/>
      <c r="J121" s="2">
        <v>0</v>
      </c>
      <c r="K121" s="2"/>
      <c r="L121" s="2">
        <v>0</v>
      </c>
      <c r="M121" s="2"/>
      <c r="N121" s="2"/>
      <c r="O121" s="2"/>
      <c r="P121" s="8">
        <f t="shared" si="10"/>
        <v>0</v>
      </c>
      <c r="Q121" s="2"/>
      <c r="R121" s="2"/>
      <c r="S121" s="18"/>
      <c r="T121" s="18"/>
      <c r="U121" s="18"/>
      <c r="V121" s="18"/>
      <c r="W121" s="18"/>
      <c r="X121" s="18"/>
      <c r="Y121" s="18"/>
      <c r="Z121" s="18"/>
      <c r="AA121" s="2"/>
      <c r="AB121" s="7">
        <f t="shared" si="11"/>
        <v>0</v>
      </c>
      <c r="AC121" s="8" t="s">
        <v>150</v>
      </c>
      <c r="AD121" s="8">
        <v>200</v>
      </c>
      <c r="AE121" s="8" t="s">
        <v>154</v>
      </c>
      <c r="AF121" s="8">
        <f t="shared" si="9"/>
        <v>0</v>
      </c>
    </row>
    <row r="122" spans="2:32" x14ac:dyDescent="0.25">
      <c r="B122" s="2">
        <v>117</v>
      </c>
      <c r="C122" s="2" t="s">
        <v>130</v>
      </c>
      <c r="D122" s="2" t="s">
        <v>0</v>
      </c>
      <c r="E122" s="2" t="s">
        <v>144</v>
      </c>
      <c r="F122" s="13">
        <v>0.875</v>
      </c>
      <c r="G122" s="2"/>
      <c r="H122" s="3"/>
      <c r="I122" s="3"/>
      <c r="J122" s="2">
        <v>0</v>
      </c>
      <c r="K122" s="2"/>
      <c r="L122" s="2">
        <v>0</v>
      </c>
      <c r="M122" s="2"/>
      <c r="N122" s="2"/>
      <c r="O122" s="2"/>
      <c r="P122" s="8">
        <f t="shared" si="10"/>
        <v>0</v>
      </c>
      <c r="Q122" s="2"/>
      <c r="R122" s="2"/>
      <c r="S122" s="18"/>
      <c r="T122" s="18"/>
      <c r="U122" s="18"/>
      <c r="V122" s="18"/>
      <c r="W122" s="18"/>
      <c r="X122" s="18"/>
      <c r="Y122" s="18"/>
      <c r="Z122" s="18"/>
      <c r="AA122" s="2"/>
      <c r="AB122" s="7">
        <f t="shared" si="11"/>
        <v>0</v>
      </c>
      <c r="AC122" s="8" t="s">
        <v>150</v>
      </c>
      <c r="AD122" s="8">
        <v>200</v>
      </c>
      <c r="AE122" s="8" t="s">
        <v>154</v>
      </c>
      <c r="AF122" s="8">
        <f t="shared" si="9"/>
        <v>0</v>
      </c>
    </row>
    <row r="123" spans="2:32" x14ac:dyDescent="0.25">
      <c r="B123" s="2">
        <v>118</v>
      </c>
      <c r="C123" s="2" t="s">
        <v>188</v>
      </c>
      <c r="D123" s="2" t="s">
        <v>129</v>
      </c>
      <c r="E123" s="2" t="s">
        <v>160</v>
      </c>
      <c r="F123" s="13">
        <v>0.3125</v>
      </c>
      <c r="G123" s="2"/>
      <c r="H123" s="3"/>
      <c r="I123" s="3">
        <v>0.2</v>
      </c>
      <c r="J123" s="2">
        <v>0</v>
      </c>
      <c r="K123" s="2"/>
      <c r="L123" s="2">
        <v>0</v>
      </c>
      <c r="M123" s="2"/>
      <c r="N123" s="2"/>
      <c r="O123" s="2"/>
      <c r="P123" s="8">
        <f t="shared" si="10"/>
        <v>0</v>
      </c>
      <c r="Q123" s="2"/>
      <c r="R123" s="2"/>
      <c r="S123" s="18"/>
      <c r="T123" s="2"/>
      <c r="U123" s="18"/>
      <c r="V123" s="18"/>
      <c r="W123" s="18"/>
      <c r="X123" s="18"/>
      <c r="Y123" s="18"/>
      <c r="Z123" s="18"/>
      <c r="AA123" s="2"/>
      <c r="AB123" s="7">
        <f t="shared" si="11"/>
        <v>0</v>
      </c>
      <c r="AC123" s="8" t="s">
        <v>148</v>
      </c>
      <c r="AD123" s="12">
        <v>500</v>
      </c>
      <c r="AE123" s="8" t="s">
        <v>189</v>
      </c>
      <c r="AF123" s="8">
        <f t="shared" ref="AF123:AF149" si="12">+SUM(J123:O123)/AD123</f>
        <v>0</v>
      </c>
    </row>
    <row r="124" spans="2:32" x14ac:dyDescent="0.25">
      <c r="B124" s="2">
        <v>119</v>
      </c>
      <c r="C124" s="2" t="s">
        <v>188</v>
      </c>
      <c r="D124" s="2" t="s">
        <v>129</v>
      </c>
      <c r="E124" s="40" t="s">
        <v>161</v>
      </c>
      <c r="F124" s="13">
        <v>0.3125</v>
      </c>
      <c r="G124" s="2"/>
      <c r="H124" s="3"/>
      <c r="I124" s="3">
        <v>0.2</v>
      </c>
      <c r="J124" s="2">
        <v>0</v>
      </c>
      <c r="K124" s="2"/>
      <c r="L124" s="2">
        <v>1800</v>
      </c>
      <c r="M124" s="2"/>
      <c r="N124" s="2"/>
      <c r="O124" s="2"/>
      <c r="P124" s="8">
        <f t="shared" si="10"/>
        <v>644</v>
      </c>
      <c r="Q124" s="2"/>
      <c r="R124" s="2"/>
      <c r="S124" s="18"/>
      <c r="T124" s="2"/>
      <c r="U124" s="18"/>
      <c r="V124" s="18"/>
      <c r="W124" s="18"/>
      <c r="X124" s="18"/>
      <c r="Y124" s="18">
        <v>1156</v>
      </c>
      <c r="Z124" s="18"/>
      <c r="AA124" s="2"/>
      <c r="AB124" s="7">
        <f t="shared" si="11"/>
        <v>0</v>
      </c>
      <c r="AC124" s="8" t="s">
        <v>148</v>
      </c>
      <c r="AD124" s="12">
        <v>500</v>
      </c>
      <c r="AE124" s="8" t="s">
        <v>189</v>
      </c>
      <c r="AF124" s="8">
        <f t="shared" si="12"/>
        <v>3.6</v>
      </c>
    </row>
    <row r="125" spans="2:32" x14ac:dyDescent="0.25">
      <c r="B125" s="2">
        <v>120</v>
      </c>
      <c r="C125" s="2" t="s">
        <v>188</v>
      </c>
      <c r="D125" s="2" t="s">
        <v>129</v>
      </c>
      <c r="E125" s="2" t="s">
        <v>162</v>
      </c>
      <c r="F125" s="13">
        <v>0.3125</v>
      </c>
      <c r="G125" s="2"/>
      <c r="H125" s="3"/>
      <c r="I125" s="3">
        <v>0.2</v>
      </c>
      <c r="J125" s="2">
        <v>0</v>
      </c>
      <c r="K125" s="2"/>
      <c r="L125" s="2">
        <v>0</v>
      </c>
      <c r="M125" s="2"/>
      <c r="N125" s="2"/>
      <c r="O125" s="2"/>
      <c r="P125" s="8">
        <f t="shared" si="10"/>
        <v>0</v>
      </c>
      <c r="Q125" s="2"/>
      <c r="R125" s="2"/>
      <c r="S125" s="18"/>
      <c r="T125" s="2"/>
      <c r="U125" s="18"/>
      <c r="V125" s="18"/>
      <c r="W125" s="18"/>
      <c r="X125" s="18"/>
      <c r="Y125" s="18"/>
      <c r="Z125" s="18"/>
      <c r="AA125" s="2"/>
      <c r="AB125" s="7">
        <f t="shared" si="11"/>
        <v>0</v>
      </c>
      <c r="AC125" s="8" t="s">
        <v>148</v>
      </c>
      <c r="AD125" s="12">
        <v>500</v>
      </c>
      <c r="AE125" s="8" t="s">
        <v>189</v>
      </c>
      <c r="AF125" s="8">
        <f t="shared" si="12"/>
        <v>0</v>
      </c>
    </row>
    <row r="126" spans="2:32" x14ac:dyDescent="0.25">
      <c r="B126" s="2">
        <v>121</v>
      </c>
      <c r="C126" s="2" t="s">
        <v>188</v>
      </c>
      <c r="D126" s="2" t="s">
        <v>129</v>
      </c>
      <c r="E126" s="40" t="s">
        <v>163</v>
      </c>
      <c r="F126" s="13">
        <v>0.3125</v>
      </c>
      <c r="G126" s="2"/>
      <c r="H126" s="3"/>
      <c r="I126" s="3">
        <v>0.2</v>
      </c>
      <c r="J126" s="2">
        <v>0</v>
      </c>
      <c r="K126" s="2"/>
      <c r="L126" s="2">
        <v>2800</v>
      </c>
      <c r="M126" s="2"/>
      <c r="N126" s="2"/>
      <c r="O126" s="2"/>
      <c r="P126" s="8">
        <f t="shared" si="10"/>
        <v>1991</v>
      </c>
      <c r="Q126" s="2"/>
      <c r="R126" s="2"/>
      <c r="S126" s="18"/>
      <c r="T126" s="2"/>
      <c r="U126" s="18"/>
      <c r="V126" s="18"/>
      <c r="W126" s="18"/>
      <c r="X126" s="18"/>
      <c r="Y126" s="18">
        <v>809</v>
      </c>
      <c r="Z126" s="18"/>
      <c r="AA126" s="2"/>
      <c r="AB126" s="7">
        <f t="shared" si="11"/>
        <v>0</v>
      </c>
      <c r="AC126" s="8" t="s">
        <v>148</v>
      </c>
      <c r="AD126" s="12">
        <v>500</v>
      </c>
      <c r="AE126" s="8" t="s">
        <v>189</v>
      </c>
      <c r="AF126" s="8">
        <f t="shared" si="12"/>
        <v>5.6</v>
      </c>
    </row>
    <row r="127" spans="2:32" x14ac:dyDescent="0.25">
      <c r="B127" s="2">
        <v>122</v>
      </c>
      <c r="C127" s="2" t="s">
        <v>188</v>
      </c>
      <c r="D127" s="2" t="s">
        <v>129</v>
      </c>
      <c r="E127" s="2" t="s">
        <v>164</v>
      </c>
      <c r="F127" s="13">
        <v>0.3125</v>
      </c>
      <c r="G127" s="2"/>
      <c r="H127" s="3"/>
      <c r="I127" s="3">
        <v>0.2</v>
      </c>
      <c r="J127" s="2">
        <v>0</v>
      </c>
      <c r="K127" s="2"/>
      <c r="L127" s="2">
        <v>0</v>
      </c>
      <c r="M127" s="2"/>
      <c r="N127" s="2"/>
      <c r="O127" s="2"/>
      <c r="P127" s="8">
        <f t="shared" si="10"/>
        <v>0</v>
      </c>
      <c r="Q127" s="2"/>
      <c r="R127" s="2"/>
      <c r="S127" s="18"/>
      <c r="T127" s="2"/>
      <c r="U127" s="18"/>
      <c r="V127" s="18"/>
      <c r="W127" s="18"/>
      <c r="X127" s="18"/>
      <c r="Y127" s="18"/>
      <c r="Z127" s="18"/>
      <c r="AA127" s="2"/>
      <c r="AB127" s="7">
        <f t="shared" si="11"/>
        <v>0</v>
      </c>
      <c r="AC127" s="8" t="s">
        <v>148</v>
      </c>
      <c r="AD127" s="12">
        <v>500</v>
      </c>
      <c r="AE127" s="8" t="s">
        <v>189</v>
      </c>
      <c r="AF127" s="8">
        <f t="shared" si="12"/>
        <v>0</v>
      </c>
    </row>
    <row r="128" spans="2:32" x14ac:dyDescent="0.25">
      <c r="B128" s="2">
        <v>123</v>
      </c>
      <c r="C128" s="2" t="s">
        <v>188</v>
      </c>
      <c r="D128" s="2" t="s">
        <v>129</v>
      </c>
      <c r="E128" s="40" t="s">
        <v>165</v>
      </c>
      <c r="F128" s="13">
        <v>0.3125</v>
      </c>
      <c r="G128" s="2"/>
      <c r="H128" s="3"/>
      <c r="I128" s="3">
        <v>0.2</v>
      </c>
      <c r="J128" s="2">
        <v>0</v>
      </c>
      <c r="K128" s="2"/>
      <c r="L128" s="2">
        <v>700</v>
      </c>
      <c r="M128" s="2"/>
      <c r="N128" s="2"/>
      <c r="O128" s="2"/>
      <c r="P128" s="8">
        <f t="shared" si="10"/>
        <v>700</v>
      </c>
      <c r="Q128" s="2"/>
      <c r="R128" s="2"/>
      <c r="S128" s="18"/>
      <c r="T128" s="2"/>
      <c r="U128" s="18"/>
      <c r="V128" s="18"/>
      <c r="W128" s="18"/>
      <c r="X128" s="18"/>
      <c r="Y128" s="18"/>
      <c r="Z128" s="18"/>
      <c r="AA128" s="2"/>
      <c r="AB128" s="7">
        <f t="shared" si="11"/>
        <v>0</v>
      </c>
      <c r="AC128" s="8" t="s">
        <v>148</v>
      </c>
      <c r="AD128" s="12">
        <v>500</v>
      </c>
      <c r="AE128" s="8" t="s">
        <v>189</v>
      </c>
      <c r="AF128" s="8">
        <f t="shared" si="12"/>
        <v>1.4</v>
      </c>
    </row>
    <row r="129" spans="2:32" x14ac:dyDescent="0.25">
      <c r="B129" s="2">
        <v>124</v>
      </c>
      <c r="C129" s="2" t="s">
        <v>188</v>
      </c>
      <c r="D129" s="2" t="s">
        <v>129</v>
      </c>
      <c r="E129" s="2" t="s">
        <v>166</v>
      </c>
      <c r="F129" s="13">
        <v>0.3125</v>
      </c>
      <c r="G129" s="2"/>
      <c r="H129" s="3"/>
      <c r="I129" s="3">
        <v>0.16</v>
      </c>
      <c r="J129" s="2">
        <v>0</v>
      </c>
      <c r="K129" s="2"/>
      <c r="L129" s="2">
        <v>0</v>
      </c>
      <c r="M129" s="2"/>
      <c r="N129" s="2"/>
      <c r="O129" s="2"/>
      <c r="P129" s="8">
        <f t="shared" si="10"/>
        <v>0</v>
      </c>
      <c r="Q129" s="2"/>
      <c r="R129" s="2"/>
      <c r="S129" s="18"/>
      <c r="T129" s="2"/>
      <c r="U129" s="18"/>
      <c r="V129" s="18"/>
      <c r="W129" s="18"/>
      <c r="X129" s="18"/>
      <c r="Y129" s="18"/>
      <c r="Z129" s="18"/>
      <c r="AA129" s="2"/>
      <c r="AB129" s="7">
        <f t="shared" si="11"/>
        <v>0</v>
      </c>
      <c r="AC129" s="8" t="s">
        <v>148</v>
      </c>
      <c r="AD129" s="12">
        <v>500</v>
      </c>
      <c r="AE129" s="8" t="s">
        <v>189</v>
      </c>
      <c r="AF129" s="8">
        <f t="shared" si="12"/>
        <v>0</v>
      </c>
    </row>
    <row r="130" spans="2:32" x14ac:dyDescent="0.25">
      <c r="B130" s="2">
        <v>125</v>
      </c>
      <c r="C130" s="2" t="s">
        <v>188</v>
      </c>
      <c r="D130" s="2" t="s">
        <v>129</v>
      </c>
      <c r="E130" s="2" t="s">
        <v>167</v>
      </c>
      <c r="F130" s="13">
        <v>0.3125</v>
      </c>
      <c r="G130" s="2"/>
      <c r="H130" s="3"/>
      <c r="I130" s="3">
        <v>0.16</v>
      </c>
      <c r="J130" s="2">
        <v>0</v>
      </c>
      <c r="K130" s="2"/>
      <c r="L130" s="2">
        <v>0</v>
      </c>
      <c r="M130" s="2"/>
      <c r="N130" s="2"/>
      <c r="O130" s="2"/>
      <c r="P130" s="8">
        <f t="shared" si="10"/>
        <v>0</v>
      </c>
      <c r="Q130" s="2"/>
      <c r="R130" s="2"/>
      <c r="S130" s="18"/>
      <c r="T130" s="2"/>
      <c r="U130" s="18"/>
      <c r="V130" s="18"/>
      <c r="W130" s="18"/>
      <c r="X130" s="18"/>
      <c r="Y130" s="18"/>
      <c r="Z130" s="18"/>
      <c r="AA130" s="2"/>
      <c r="AB130" s="7">
        <f t="shared" si="11"/>
        <v>0</v>
      </c>
      <c r="AC130" s="8" t="s">
        <v>148</v>
      </c>
      <c r="AD130" s="12">
        <v>500</v>
      </c>
      <c r="AE130" s="8" t="s">
        <v>189</v>
      </c>
      <c r="AF130" s="8">
        <f t="shared" si="12"/>
        <v>0</v>
      </c>
    </row>
    <row r="131" spans="2:32" x14ac:dyDescent="0.25">
      <c r="B131" s="2">
        <v>126</v>
      </c>
      <c r="C131" s="2" t="s">
        <v>188</v>
      </c>
      <c r="D131" s="2" t="s">
        <v>129</v>
      </c>
      <c r="E131" s="2" t="s">
        <v>168</v>
      </c>
      <c r="F131" s="13">
        <v>0.3125</v>
      </c>
      <c r="G131" s="2"/>
      <c r="H131" s="3"/>
      <c r="I131" s="3">
        <v>0.21</v>
      </c>
      <c r="J131" s="2">
        <v>0</v>
      </c>
      <c r="K131" s="2"/>
      <c r="L131" s="2">
        <v>0</v>
      </c>
      <c r="M131" s="2"/>
      <c r="N131" s="2"/>
      <c r="O131" s="2"/>
      <c r="P131" s="8">
        <f t="shared" si="10"/>
        <v>0</v>
      </c>
      <c r="Q131" s="2"/>
      <c r="R131" s="2"/>
      <c r="S131" s="18"/>
      <c r="T131" s="2"/>
      <c r="U131" s="18"/>
      <c r="V131" s="18"/>
      <c r="W131" s="18"/>
      <c r="X131" s="18"/>
      <c r="Y131" s="18"/>
      <c r="Z131" s="18"/>
      <c r="AA131" s="2"/>
      <c r="AB131" s="7">
        <f t="shared" si="11"/>
        <v>0</v>
      </c>
      <c r="AC131" s="8" t="s">
        <v>148</v>
      </c>
      <c r="AD131" s="12">
        <v>500</v>
      </c>
      <c r="AE131" s="8" t="s">
        <v>189</v>
      </c>
      <c r="AF131" s="8">
        <f t="shared" si="12"/>
        <v>0</v>
      </c>
    </row>
    <row r="132" spans="2:32" x14ac:dyDescent="0.25">
      <c r="B132" s="2">
        <v>127</v>
      </c>
      <c r="C132" s="2" t="s">
        <v>188</v>
      </c>
      <c r="D132" s="2" t="s">
        <v>129</v>
      </c>
      <c r="E132" s="2" t="s">
        <v>169</v>
      </c>
      <c r="F132" s="13">
        <v>0.3125</v>
      </c>
      <c r="G132" s="2"/>
      <c r="H132" s="3"/>
      <c r="I132" s="3">
        <v>0.21</v>
      </c>
      <c r="J132" s="2">
        <v>0</v>
      </c>
      <c r="K132" s="2"/>
      <c r="L132" s="2">
        <v>0</v>
      </c>
      <c r="M132" s="2"/>
      <c r="N132" s="2"/>
      <c r="O132" s="2"/>
      <c r="P132" s="8">
        <f t="shared" si="10"/>
        <v>0</v>
      </c>
      <c r="Q132" s="2"/>
      <c r="R132" s="2"/>
      <c r="S132" s="18"/>
      <c r="T132" s="2"/>
      <c r="U132" s="18"/>
      <c r="V132" s="18"/>
      <c r="W132" s="18"/>
      <c r="X132" s="18"/>
      <c r="Y132" s="18"/>
      <c r="Z132" s="18"/>
      <c r="AA132" s="2"/>
      <c r="AB132" s="7">
        <f t="shared" si="11"/>
        <v>0</v>
      </c>
      <c r="AC132" s="8" t="s">
        <v>148</v>
      </c>
      <c r="AD132" s="12">
        <v>500</v>
      </c>
      <c r="AE132" s="8" t="s">
        <v>189</v>
      </c>
      <c r="AF132" s="8">
        <f t="shared" si="12"/>
        <v>0</v>
      </c>
    </row>
    <row r="133" spans="2:32" x14ac:dyDescent="0.25">
      <c r="B133" s="2">
        <v>128</v>
      </c>
      <c r="C133" s="2" t="s">
        <v>188</v>
      </c>
      <c r="D133" s="2" t="s">
        <v>129</v>
      </c>
      <c r="E133" s="2" t="s">
        <v>170</v>
      </c>
      <c r="F133" s="13">
        <v>0.3125</v>
      </c>
      <c r="G133" s="2"/>
      <c r="H133" s="3"/>
      <c r="I133" s="3">
        <v>0.25</v>
      </c>
      <c r="J133" s="2">
        <v>0</v>
      </c>
      <c r="K133" s="2"/>
      <c r="L133" s="2">
        <v>0</v>
      </c>
      <c r="M133" s="2"/>
      <c r="N133" s="2"/>
      <c r="O133" s="2"/>
      <c r="P133" s="8">
        <f t="shared" si="10"/>
        <v>0</v>
      </c>
      <c r="Q133" s="2"/>
      <c r="R133" s="2"/>
      <c r="S133" s="18"/>
      <c r="T133" s="2"/>
      <c r="U133" s="18"/>
      <c r="V133" s="18"/>
      <c r="W133" s="18"/>
      <c r="X133" s="18"/>
      <c r="Y133" s="18"/>
      <c r="Z133" s="18"/>
      <c r="AA133" s="2"/>
      <c r="AB133" s="7">
        <f t="shared" si="11"/>
        <v>0</v>
      </c>
      <c r="AC133" s="8" t="s">
        <v>148</v>
      </c>
      <c r="AD133" s="12">
        <v>500</v>
      </c>
      <c r="AE133" s="8" t="s">
        <v>189</v>
      </c>
      <c r="AF133" s="8">
        <f t="shared" si="12"/>
        <v>0</v>
      </c>
    </row>
    <row r="134" spans="2:32" x14ac:dyDescent="0.25">
      <c r="B134" s="2">
        <v>129</v>
      </c>
      <c r="C134" s="2" t="s">
        <v>188</v>
      </c>
      <c r="D134" s="2" t="s">
        <v>129</v>
      </c>
      <c r="E134" s="2" t="s">
        <v>171</v>
      </c>
      <c r="F134" s="13">
        <v>0.3125</v>
      </c>
      <c r="G134" s="2"/>
      <c r="H134" s="3"/>
      <c r="I134" s="3">
        <v>0.25</v>
      </c>
      <c r="J134" s="2">
        <v>0</v>
      </c>
      <c r="K134" s="2"/>
      <c r="L134" s="2">
        <v>0</v>
      </c>
      <c r="M134" s="2"/>
      <c r="N134" s="2"/>
      <c r="O134" s="2"/>
      <c r="P134" s="8">
        <f t="shared" ref="P134:P149" si="13">+J134+K134+L134+M134+N134+O134-SUM(Q134:AA134)</f>
        <v>0</v>
      </c>
      <c r="Q134" s="2"/>
      <c r="R134" s="2"/>
      <c r="S134" s="18"/>
      <c r="T134" s="2"/>
      <c r="U134" s="18"/>
      <c r="V134" s="18"/>
      <c r="W134" s="18"/>
      <c r="X134" s="18"/>
      <c r="Y134" s="18"/>
      <c r="Z134" s="18"/>
      <c r="AA134" s="2"/>
      <c r="AB134" s="7">
        <f t="shared" ref="AB134:AB149" si="14">+H134*SUM(J134:O134)</f>
        <v>0</v>
      </c>
      <c r="AC134" s="8" t="s">
        <v>148</v>
      </c>
      <c r="AD134" s="12">
        <v>500</v>
      </c>
      <c r="AE134" s="8" t="s">
        <v>189</v>
      </c>
      <c r="AF134" s="8">
        <f t="shared" si="12"/>
        <v>0</v>
      </c>
    </row>
    <row r="135" spans="2:32" x14ac:dyDescent="0.25">
      <c r="B135" s="2">
        <v>130</v>
      </c>
      <c r="C135" s="2" t="s">
        <v>188</v>
      </c>
      <c r="D135" s="2" t="s">
        <v>129</v>
      </c>
      <c r="E135" s="2" t="s">
        <v>172</v>
      </c>
      <c r="F135" s="13">
        <v>0.3125</v>
      </c>
      <c r="G135" s="2"/>
      <c r="H135" s="3"/>
      <c r="I135" s="3">
        <v>0.21</v>
      </c>
      <c r="J135" s="2">
        <v>0</v>
      </c>
      <c r="K135" s="2"/>
      <c r="L135" s="2">
        <v>0</v>
      </c>
      <c r="M135" s="2"/>
      <c r="N135" s="2"/>
      <c r="O135" s="2"/>
      <c r="P135" s="8">
        <f t="shared" si="13"/>
        <v>0</v>
      </c>
      <c r="Q135" s="2"/>
      <c r="R135" s="2"/>
      <c r="S135" s="18"/>
      <c r="T135" s="2"/>
      <c r="U135" s="18"/>
      <c r="V135" s="18"/>
      <c r="W135" s="18"/>
      <c r="X135" s="18"/>
      <c r="Y135" s="18"/>
      <c r="Z135" s="18"/>
      <c r="AA135" s="2"/>
      <c r="AB135" s="7">
        <f t="shared" si="14"/>
        <v>0</v>
      </c>
      <c r="AC135" s="8" t="s">
        <v>148</v>
      </c>
      <c r="AD135" s="12">
        <v>500</v>
      </c>
      <c r="AE135" s="8" t="s">
        <v>189</v>
      </c>
      <c r="AF135" s="8">
        <f t="shared" si="12"/>
        <v>0</v>
      </c>
    </row>
    <row r="136" spans="2:32" x14ac:dyDescent="0.25">
      <c r="B136" s="2">
        <v>131</v>
      </c>
      <c r="C136" s="2" t="s">
        <v>188</v>
      </c>
      <c r="D136" s="2" t="s">
        <v>129</v>
      </c>
      <c r="E136" s="2" t="s">
        <v>173</v>
      </c>
      <c r="F136" s="13">
        <v>0.3125</v>
      </c>
      <c r="G136" s="2"/>
      <c r="H136" s="3"/>
      <c r="I136" s="3">
        <v>0.21</v>
      </c>
      <c r="J136" s="2">
        <v>0</v>
      </c>
      <c r="K136" s="2"/>
      <c r="L136" s="2">
        <v>0</v>
      </c>
      <c r="M136" s="2"/>
      <c r="N136" s="2"/>
      <c r="O136" s="2"/>
      <c r="P136" s="8">
        <f t="shared" si="13"/>
        <v>0</v>
      </c>
      <c r="Q136" s="2"/>
      <c r="R136" s="2"/>
      <c r="S136" s="18"/>
      <c r="T136" s="2"/>
      <c r="U136" s="18"/>
      <c r="V136" s="18"/>
      <c r="W136" s="18"/>
      <c r="X136" s="18"/>
      <c r="Y136" s="18"/>
      <c r="Z136" s="18"/>
      <c r="AA136" s="2"/>
      <c r="AB136" s="7">
        <f t="shared" si="14"/>
        <v>0</v>
      </c>
      <c r="AC136" s="8" t="s">
        <v>148</v>
      </c>
      <c r="AD136" s="12">
        <v>500</v>
      </c>
      <c r="AE136" s="8" t="s">
        <v>189</v>
      </c>
      <c r="AF136" s="8">
        <f t="shared" si="12"/>
        <v>0</v>
      </c>
    </row>
    <row r="137" spans="2:32" x14ac:dyDescent="0.25">
      <c r="B137" s="2">
        <v>132</v>
      </c>
      <c r="C137" s="2" t="s">
        <v>188</v>
      </c>
      <c r="D137" s="2" t="s">
        <v>129</v>
      </c>
      <c r="E137" s="2" t="s">
        <v>174</v>
      </c>
      <c r="F137" s="13">
        <v>0.3125</v>
      </c>
      <c r="G137" s="2"/>
      <c r="H137" s="3"/>
      <c r="I137" s="3">
        <v>0.21</v>
      </c>
      <c r="J137" s="2">
        <v>0</v>
      </c>
      <c r="K137" s="2"/>
      <c r="L137" s="2">
        <v>80</v>
      </c>
      <c r="M137" s="2"/>
      <c r="N137" s="2"/>
      <c r="O137" s="2"/>
      <c r="P137" s="8">
        <f t="shared" si="13"/>
        <v>-108</v>
      </c>
      <c r="Q137" s="2"/>
      <c r="R137" s="2"/>
      <c r="S137" s="18"/>
      <c r="T137" s="2"/>
      <c r="U137" s="18"/>
      <c r="V137" s="18"/>
      <c r="W137" s="18"/>
      <c r="X137" s="18"/>
      <c r="Y137" s="18">
        <v>188</v>
      </c>
      <c r="Z137" s="18"/>
      <c r="AA137" s="2"/>
      <c r="AB137" s="7">
        <f t="shared" si="14"/>
        <v>0</v>
      </c>
      <c r="AC137" s="8" t="s">
        <v>148</v>
      </c>
      <c r="AD137" s="12">
        <v>500</v>
      </c>
      <c r="AE137" s="8" t="s">
        <v>189</v>
      </c>
      <c r="AF137" s="8">
        <f t="shared" si="12"/>
        <v>0.16</v>
      </c>
    </row>
    <row r="138" spans="2:32" x14ac:dyDescent="0.25">
      <c r="B138" s="2">
        <v>133</v>
      </c>
      <c r="C138" s="2" t="s">
        <v>188</v>
      </c>
      <c r="D138" s="2" t="s">
        <v>129</v>
      </c>
      <c r="E138" s="2" t="s">
        <v>175</v>
      </c>
      <c r="F138" s="13">
        <v>0.3125</v>
      </c>
      <c r="G138" s="2"/>
      <c r="H138" s="3"/>
      <c r="I138" s="3">
        <v>0.21</v>
      </c>
      <c r="J138" s="2">
        <v>0</v>
      </c>
      <c r="K138" s="2"/>
      <c r="L138" s="2">
        <v>0</v>
      </c>
      <c r="M138" s="2"/>
      <c r="N138" s="2"/>
      <c r="O138" s="2"/>
      <c r="P138" s="8">
        <f t="shared" si="13"/>
        <v>0</v>
      </c>
      <c r="Q138" s="2"/>
      <c r="R138" s="2"/>
      <c r="S138" s="18"/>
      <c r="T138" s="2"/>
      <c r="U138" s="18"/>
      <c r="V138" s="18"/>
      <c r="W138" s="18"/>
      <c r="X138" s="18"/>
      <c r="Y138" s="18"/>
      <c r="Z138" s="18"/>
      <c r="AA138" s="2"/>
      <c r="AB138" s="7">
        <f t="shared" si="14"/>
        <v>0</v>
      </c>
      <c r="AC138" s="8" t="s">
        <v>148</v>
      </c>
      <c r="AD138" s="12">
        <v>500</v>
      </c>
      <c r="AE138" s="8" t="s">
        <v>189</v>
      </c>
      <c r="AF138" s="8">
        <f t="shared" si="12"/>
        <v>0</v>
      </c>
    </row>
    <row r="139" spans="2:32" x14ac:dyDescent="0.25">
      <c r="B139" s="2">
        <v>134</v>
      </c>
      <c r="C139" s="2" t="s">
        <v>188</v>
      </c>
      <c r="D139" s="2" t="s">
        <v>129</v>
      </c>
      <c r="E139" s="2" t="s">
        <v>176</v>
      </c>
      <c r="F139" s="13">
        <v>0.3125</v>
      </c>
      <c r="G139" s="2"/>
      <c r="H139" s="3"/>
      <c r="I139" s="3">
        <v>0.16</v>
      </c>
      <c r="J139" s="2">
        <v>0</v>
      </c>
      <c r="K139" s="2"/>
      <c r="L139" s="2">
        <v>336</v>
      </c>
      <c r="M139" s="2"/>
      <c r="N139" s="2"/>
      <c r="O139" s="2"/>
      <c r="P139" s="8">
        <f t="shared" si="13"/>
        <v>-348</v>
      </c>
      <c r="Q139" s="2"/>
      <c r="R139" s="2"/>
      <c r="S139" s="18"/>
      <c r="T139" s="2"/>
      <c r="U139" s="18"/>
      <c r="V139" s="18"/>
      <c r="W139" s="18"/>
      <c r="X139" s="18"/>
      <c r="Y139" s="18">
        <v>684</v>
      </c>
      <c r="Z139" s="18"/>
      <c r="AA139" s="2"/>
      <c r="AB139" s="7">
        <f t="shared" si="14"/>
        <v>0</v>
      </c>
      <c r="AC139" s="8" t="s">
        <v>148</v>
      </c>
      <c r="AD139" s="12">
        <v>500</v>
      </c>
      <c r="AE139" s="8" t="s">
        <v>189</v>
      </c>
      <c r="AF139" s="8">
        <f t="shared" si="12"/>
        <v>0.67200000000000004</v>
      </c>
    </row>
    <row r="140" spans="2:32" x14ac:dyDescent="0.25">
      <c r="B140" s="2">
        <v>135</v>
      </c>
      <c r="C140" s="2" t="s">
        <v>188</v>
      </c>
      <c r="D140" s="2" t="s">
        <v>129</v>
      </c>
      <c r="E140" s="2" t="s">
        <v>177</v>
      </c>
      <c r="F140" s="13">
        <v>0.3125</v>
      </c>
      <c r="G140" s="2"/>
      <c r="H140" s="3"/>
      <c r="I140" s="3">
        <v>0.16</v>
      </c>
      <c r="J140" s="2">
        <v>0</v>
      </c>
      <c r="K140" s="2"/>
      <c r="L140" s="2">
        <v>140</v>
      </c>
      <c r="M140" s="2"/>
      <c r="N140" s="2"/>
      <c r="O140" s="2"/>
      <c r="P140" s="8">
        <f t="shared" si="13"/>
        <v>-154</v>
      </c>
      <c r="Q140" s="2"/>
      <c r="R140" s="2"/>
      <c r="S140" s="18"/>
      <c r="T140" s="2"/>
      <c r="U140" s="18"/>
      <c r="V140" s="18"/>
      <c r="W140" s="18"/>
      <c r="X140" s="18"/>
      <c r="Y140" s="18">
        <v>294</v>
      </c>
      <c r="Z140" s="18"/>
      <c r="AA140" s="2"/>
      <c r="AB140" s="7">
        <f t="shared" si="14"/>
        <v>0</v>
      </c>
      <c r="AC140" s="8" t="s">
        <v>148</v>
      </c>
      <c r="AD140" s="12">
        <v>500</v>
      </c>
      <c r="AE140" s="8" t="s">
        <v>189</v>
      </c>
      <c r="AF140" s="8">
        <f t="shared" si="12"/>
        <v>0.28000000000000003</v>
      </c>
    </row>
    <row r="141" spans="2:32" x14ac:dyDescent="0.25">
      <c r="B141" s="2">
        <v>136</v>
      </c>
      <c r="C141" s="2" t="s">
        <v>188</v>
      </c>
      <c r="D141" s="2" t="s">
        <v>129</v>
      </c>
      <c r="E141" s="2" t="s">
        <v>178</v>
      </c>
      <c r="F141" s="13">
        <v>0.3125</v>
      </c>
      <c r="G141" s="2"/>
      <c r="H141" s="3"/>
      <c r="I141" s="3">
        <v>0.21</v>
      </c>
      <c r="J141" s="2">
        <v>0</v>
      </c>
      <c r="K141" s="2"/>
      <c r="L141" s="2">
        <v>0</v>
      </c>
      <c r="M141" s="2"/>
      <c r="N141" s="2"/>
      <c r="O141" s="2"/>
      <c r="P141" s="8">
        <f t="shared" si="13"/>
        <v>0</v>
      </c>
      <c r="Q141" s="2"/>
      <c r="R141" s="2"/>
      <c r="S141" s="18"/>
      <c r="T141" s="2"/>
      <c r="U141" s="18"/>
      <c r="V141" s="18"/>
      <c r="W141" s="18"/>
      <c r="X141" s="18"/>
      <c r="Y141" s="18"/>
      <c r="Z141" s="18"/>
      <c r="AA141" s="2"/>
      <c r="AB141" s="7">
        <f t="shared" si="14"/>
        <v>0</v>
      </c>
      <c r="AC141" s="8" t="s">
        <v>148</v>
      </c>
      <c r="AD141" s="12">
        <v>500</v>
      </c>
      <c r="AE141" s="8" t="s">
        <v>189</v>
      </c>
      <c r="AF141" s="8">
        <f t="shared" si="12"/>
        <v>0</v>
      </c>
    </row>
    <row r="142" spans="2:32" x14ac:dyDescent="0.25">
      <c r="B142" s="2">
        <v>137</v>
      </c>
      <c r="C142" s="2" t="s">
        <v>188</v>
      </c>
      <c r="D142" s="2" t="s">
        <v>129</v>
      </c>
      <c r="E142" s="2" t="s">
        <v>179</v>
      </c>
      <c r="F142" s="13">
        <v>0.3125</v>
      </c>
      <c r="G142" s="2"/>
      <c r="H142" s="3"/>
      <c r="I142" s="3">
        <v>0.16</v>
      </c>
      <c r="J142" s="2">
        <v>0</v>
      </c>
      <c r="K142" s="2"/>
      <c r="L142" s="2">
        <v>0</v>
      </c>
      <c r="M142" s="2"/>
      <c r="N142" s="2"/>
      <c r="O142" s="2"/>
      <c r="P142" s="8">
        <f t="shared" si="13"/>
        <v>0</v>
      </c>
      <c r="Q142" s="2"/>
      <c r="R142" s="2"/>
      <c r="S142" s="18"/>
      <c r="T142" s="2"/>
      <c r="U142" s="18"/>
      <c r="V142" s="18"/>
      <c r="W142" s="18"/>
      <c r="X142" s="18"/>
      <c r="Y142" s="18"/>
      <c r="Z142" s="18"/>
      <c r="AA142" s="2"/>
      <c r="AB142" s="7">
        <f t="shared" si="14"/>
        <v>0</v>
      </c>
      <c r="AC142" s="8" t="s">
        <v>148</v>
      </c>
      <c r="AD142" s="12">
        <v>500</v>
      </c>
      <c r="AE142" s="8" t="s">
        <v>189</v>
      </c>
      <c r="AF142" s="8">
        <f t="shared" si="12"/>
        <v>0</v>
      </c>
    </row>
    <row r="143" spans="2:32" x14ac:dyDescent="0.25">
      <c r="B143" s="2">
        <v>138</v>
      </c>
      <c r="C143" s="2" t="s">
        <v>188</v>
      </c>
      <c r="D143" s="2" t="s">
        <v>129</v>
      </c>
      <c r="E143" s="2" t="s">
        <v>180</v>
      </c>
      <c r="F143" s="13">
        <v>0.3125</v>
      </c>
      <c r="G143" s="2"/>
      <c r="H143" s="3"/>
      <c r="I143" s="3">
        <v>0.16</v>
      </c>
      <c r="J143" s="2">
        <v>0</v>
      </c>
      <c r="K143" s="2"/>
      <c r="L143" s="2">
        <v>0</v>
      </c>
      <c r="M143" s="2"/>
      <c r="N143" s="2"/>
      <c r="O143" s="2"/>
      <c r="P143" s="8">
        <f t="shared" si="13"/>
        <v>0</v>
      </c>
      <c r="Q143" s="2"/>
      <c r="R143" s="2"/>
      <c r="S143" s="18"/>
      <c r="T143" s="2"/>
      <c r="U143" s="18"/>
      <c r="V143" s="18"/>
      <c r="W143" s="18"/>
      <c r="X143" s="18"/>
      <c r="Y143" s="18"/>
      <c r="Z143" s="18"/>
      <c r="AA143" s="2"/>
      <c r="AB143" s="7">
        <f t="shared" si="14"/>
        <v>0</v>
      </c>
      <c r="AC143" s="8" t="s">
        <v>148</v>
      </c>
      <c r="AD143" s="12">
        <v>500</v>
      </c>
      <c r="AE143" s="8" t="s">
        <v>189</v>
      </c>
      <c r="AF143" s="8">
        <f t="shared" si="12"/>
        <v>0</v>
      </c>
    </row>
    <row r="144" spans="2:32" x14ac:dyDescent="0.25">
      <c r="B144" s="2">
        <v>139</v>
      </c>
      <c r="C144" s="2" t="s">
        <v>188</v>
      </c>
      <c r="D144" s="2" t="s">
        <v>129</v>
      </c>
      <c r="E144" s="2" t="s">
        <v>181</v>
      </c>
      <c r="F144" s="13">
        <v>0.3125</v>
      </c>
      <c r="G144" s="2"/>
      <c r="H144" s="3"/>
      <c r="I144" s="3">
        <v>0.21</v>
      </c>
      <c r="J144" s="2">
        <v>0</v>
      </c>
      <c r="K144" s="2"/>
      <c r="L144" s="2">
        <v>0</v>
      </c>
      <c r="M144" s="2"/>
      <c r="N144" s="2"/>
      <c r="O144" s="2"/>
      <c r="P144" s="8">
        <f t="shared" si="13"/>
        <v>0</v>
      </c>
      <c r="Q144" s="2"/>
      <c r="R144" s="2"/>
      <c r="S144" s="18"/>
      <c r="T144" s="2"/>
      <c r="U144" s="18"/>
      <c r="V144" s="18"/>
      <c r="W144" s="18"/>
      <c r="X144" s="18"/>
      <c r="Y144" s="18"/>
      <c r="Z144" s="18"/>
      <c r="AA144" s="2"/>
      <c r="AB144" s="7">
        <f t="shared" si="14"/>
        <v>0</v>
      </c>
      <c r="AC144" s="8" t="s">
        <v>148</v>
      </c>
      <c r="AD144" s="12">
        <v>500</v>
      </c>
      <c r="AE144" s="8" t="s">
        <v>189</v>
      </c>
      <c r="AF144" s="8">
        <f t="shared" si="12"/>
        <v>0</v>
      </c>
    </row>
    <row r="145" spans="1:35" x14ac:dyDescent="0.25">
      <c r="B145" s="2">
        <v>140</v>
      </c>
      <c r="C145" s="2" t="s">
        <v>188</v>
      </c>
      <c r="D145" s="2" t="s">
        <v>129</v>
      </c>
      <c r="E145" s="2" t="s">
        <v>182</v>
      </c>
      <c r="F145" s="13">
        <v>0.3125</v>
      </c>
      <c r="G145" s="2"/>
      <c r="H145" s="3"/>
      <c r="I145" s="3">
        <v>0.21</v>
      </c>
      <c r="J145" s="2">
        <v>0</v>
      </c>
      <c r="K145" s="2"/>
      <c r="L145" s="2">
        <v>0</v>
      </c>
      <c r="M145" s="2"/>
      <c r="N145" s="2"/>
      <c r="O145" s="2"/>
      <c r="P145" s="8">
        <f t="shared" si="13"/>
        <v>0</v>
      </c>
      <c r="Q145" s="2"/>
      <c r="R145" s="2"/>
      <c r="S145" s="18"/>
      <c r="T145" s="2"/>
      <c r="U145" s="18"/>
      <c r="V145" s="18"/>
      <c r="W145" s="18"/>
      <c r="X145" s="18"/>
      <c r="Y145" s="18"/>
      <c r="Z145" s="18"/>
      <c r="AA145" s="2"/>
      <c r="AB145" s="7">
        <f t="shared" si="14"/>
        <v>0</v>
      </c>
      <c r="AC145" s="8" t="s">
        <v>148</v>
      </c>
      <c r="AD145" s="12">
        <v>500</v>
      </c>
      <c r="AE145" s="8" t="s">
        <v>189</v>
      </c>
      <c r="AF145" s="8">
        <f t="shared" si="12"/>
        <v>0</v>
      </c>
    </row>
    <row r="146" spans="1:35" x14ac:dyDescent="0.25">
      <c r="B146" s="2">
        <v>141</v>
      </c>
      <c r="C146" s="2" t="s">
        <v>188</v>
      </c>
      <c r="D146" s="2" t="s">
        <v>129</v>
      </c>
      <c r="E146" s="2" t="s">
        <v>183</v>
      </c>
      <c r="F146" s="13">
        <v>0.3125</v>
      </c>
      <c r="G146" s="2"/>
      <c r="H146" s="3"/>
      <c r="I146" s="3">
        <v>0.21</v>
      </c>
      <c r="J146" s="2">
        <v>0</v>
      </c>
      <c r="K146" s="2"/>
      <c r="L146" s="2">
        <v>0</v>
      </c>
      <c r="M146" s="2"/>
      <c r="N146" s="2"/>
      <c r="O146" s="2"/>
      <c r="P146" s="8">
        <f t="shared" si="13"/>
        <v>0</v>
      </c>
      <c r="Q146" s="2"/>
      <c r="R146" s="2"/>
      <c r="S146" s="18"/>
      <c r="T146" s="2"/>
      <c r="U146" s="18"/>
      <c r="V146" s="18"/>
      <c r="W146" s="18"/>
      <c r="X146" s="18"/>
      <c r="Y146" s="18"/>
      <c r="Z146" s="18"/>
      <c r="AA146" s="2"/>
      <c r="AB146" s="7">
        <f t="shared" si="14"/>
        <v>0</v>
      </c>
      <c r="AC146" s="8" t="s">
        <v>148</v>
      </c>
      <c r="AD146" s="12">
        <v>500</v>
      </c>
      <c r="AE146" s="8" t="s">
        <v>189</v>
      </c>
      <c r="AF146" s="8">
        <f t="shared" si="12"/>
        <v>0</v>
      </c>
    </row>
    <row r="147" spans="1:35" x14ac:dyDescent="0.25">
      <c r="B147" s="2">
        <v>142</v>
      </c>
      <c r="C147" s="2" t="s">
        <v>188</v>
      </c>
      <c r="D147" s="2" t="s">
        <v>129</v>
      </c>
      <c r="E147" s="2" t="s">
        <v>184</v>
      </c>
      <c r="F147" s="13">
        <v>0.3125</v>
      </c>
      <c r="G147" s="2"/>
      <c r="H147" s="3"/>
      <c r="I147" s="3">
        <v>0.21</v>
      </c>
      <c r="J147" s="2">
        <v>0</v>
      </c>
      <c r="K147" s="2"/>
      <c r="L147" s="2">
        <v>0</v>
      </c>
      <c r="M147" s="2"/>
      <c r="N147" s="2"/>
      <c r="O147" s="2"/>
      <c r="P147" s="8">
        <f t="shared" si="13"/>
        <v>0</v>
      </c>
      <c r="Q147" s="2"/>
      <c r="R147" s="2"/>
      <c r="S147" s="18"/>
      <c r="T147" s="2"/>
      <c r="U147" s="18"/>
      <c r="V147" s="18"/>
      <c r="W147" s="18"/>
      <c r="X147" s="18"/>
      <c r="Y147" s="18"/>
      <c r="Z147" s="18"/>
      <c r="AA147" s="2"/>
      <c r="AB147" s="7">
        <f t="shared" si="14"/>
        <v>0</v>
      </c>
      <c r="AC147" s="8" t="s">
        <v>148</v>
      </c>
      <c r="AD147" s="12">
        <v>500</v>
      </c>
      <c r="AE147" s="8" t="s">
        <v>189</v>
      </c>
      <c r="AF147" s="8">
        <f t="shared" si="12"/>
        <v>0</v>
      </c>
    </row>
    <row r="148" spans="1:35" x14ac:dyDescent="0.25">
      <c r="B148" s="2">
        <v>143</v>
      </c>
      <c r="C148" s="2" t="s">
        <v>188</v>
      </c>
      <c r="D148" s="2" t="s">
        <v>129</v>
      </c>
      <c r="E148" s="2" t="s">
        <v>185</v>
      </c>
      <c r="F148" s="13">
        <v>0.3125</v>
      </c>
      <c r="G148" s="2"/>
      <c r="H148" s="3"/>
      <c r="I148" s="3">
        <v>0.19</v>
      </c>
      <c r="J148" s="2">
        <v>0</v>
      </c>
      <c r="K148" s="2"/>
      <c r="L148" s="2">
        <v>0</v>
      </c>
      <c r="M148" s="2"/>
      <c r="N148" s="2"/>
      <c r="O148" s="2"/>
      <c r="P148" s="8">
        <f t="shared" si="13"/>
        <v>0</v>
      </c>
      <c r="Q148" s="2"/>
      <c r="R148" s="2"/>
      <c r="S148" s="18"/>
      <c r="T148" s="2"/>
      <c r="U148" s="18"/>
      <c r="V148" s="18"/>
      <c r="W148" s="18"/>
      <c r="X148" s="18"/>
      <c r="Y148" s="18"/>
      <c r="Z148" s="18"/>
      <c r="AA148" s="2"/>
      <c r="AB148" s="7">
        <f t="shared" si="14"/>
        <v>0</v>
      </c>
      <c r="AC148" s="8" t="s">
        <v>148</v>
      </c>
      <c r="AD148" s="12">
        <v>500</v>
      </c>
      <c r="AE148" s="8" t="s">
        <v>189</v>
      </c>
      <c r="AF148" s="8">
        <f t="shared" si="12"/>
        <v>0</v>
      </c>
    </row>
    <row r="149" spans="1:35" x14ac:dyDescent="0.25">
      <c r="B149" s="2">
        <v>144</v>
      </c>
      <c r="C149" s="2" t="s">
        <v>188</v>
      </c>
      <c r="D149" s="2" t="s">
        <v>129</v>
      </c>
      <c r="E149" s="2" t="s">
        <v>186</v>
      </c>
      <c r="F149" s="13">
        <v>0.3125</v>
      </c>
      <c r="G149" s="2"/>
      <c r="H149" s="3"/>
      <c r="I149" s="3">
        <v>0.19</v>
      </c>
      <c r="J149" s="2">
        <v>0</v>
      </c>
      <c r="K149" s="2"/>
      <c r="L149" s="2">
        <v>0</v>
      </c>
      <c r="M149" s="2"/>
      <c r="N149" s="2"/>
      <c r="O149" s="2"/>
      <c r="P149" s="8">
        <f t="shared" si="13"/>
        <v>0</v>
      </c>
      <c r="Q149" s="2"/>
      <c r="R149" s="2"/>
      <c r="S149" s="18"/>
      <c r="T149" s="2"/>
      <c r="U149" s="18"/>
      <c r="V149" s="18"/>
      <c r="W149" s="18"/>
      <c r="X149" s="18"/>
      <c r="Y149" s="18"/>
      <c r="Z149" s="18"/>
      <c r="AA149" s="2"/>
      <c r="AB149" s="7">
        <f t="shared" si="14"/>
        <v>0</v>
      </c>
      <c r="AC149" s="8" t="s">
        <v>148</v>
      </c>
      <c r="AD149" s="12">
        <v>500</v>
      </c>
      <c r="AE149" s="8" t="s">
        <v>189</v>
      </c>
      <c r="AF149" s="8">
        <f t="shared" si="12"/>
        <v>0</v>
      </c>
    </row>
    <row r="150" spans="1:35" x14ac:dyDescent="0.25">
      <c r="H150" s="1"/>
      <c r="I150" s="4" t="s">
        <v>19</v>
      </c>
      <c r="J150" s="9">
        <f t="shared" ref="J150:AB150" si="15">SUM(J6:J122)</f>
        <v>16257</v>
      </c>
      <c r="K150" s="9">
        <f>SUM(K6:K122)</f>
        <v>1200</v>
      </c>
      <c r="L150" s="9">
        <f>SUM(L6:L149)</f>
        <v>5856</v>
      </c>
      <c r="M150" s="9">
        <f t="shared" si="15"/>
        <v>0</v>
      </c>
      <c r="N150" s="9">
        <f t="shared" si="15"/>
        <v>0</v>
      </c>
      <c r="O150" s="9">
        <f t="shared" si="15"/>
        <v>0</v>
      </c>
      <c r="P150" s="11">
        <f>SUM(P6:P149)</f>
        <v>-9553</v>
      </c>
      <c r="Q150" s="9">
        <f t="shared" si="15"/>
        <v>2376</v>
      </c>
      <c r="R150" s="9">
        <f t="shared" si="15"/>
        <v>2141</v>
      </c>
      <c r="S150" s="19">
        <f t="shared" si="15"/>
        <v>2604</v>
      </c>
      <c r="T150" s="9">
        <f t="shared" si="15"/>
        <v>0</v>
      </c>
      <c r="U150" s="19">
        <f t="shared" si="15"/>
        <v>5071</v>
      </c>
      <c r="V150" s="19">
        <f t="shared" si="15"/>
        <v>1122</v>
      </c>
      <c r="W150" s="19">
        <f t="shared" si="15"/>
        <v>4868</v>
      </c>
      <c r="X150" s="19">
        <f t="shared" si="15"/>
        <v>1807</v>
      </c>
      <c r="Y150" s="19">
        <f>SUM(Y6:Y122)</f>
        <v>4870</v>
      </c>
      <c r="Z150" s="19">
        <f t="shared" si="15"/>
        <v>4876</v>
      </c>
      <c r="AA150" s="9">
        <f t="shared" si="15"/>
        <v>0</v>
      </c>
      <c r="AB150" s="9">
        <f t="shared" si="15"/>
        <v>0</v>
      </c>
      <c r="AF150" s="12">
        <f>SUM(AF6:AF122)</f>
        <v>124.77066666666666</v>
      </c>
    </row>
    <row r="151" spans="1:35" x14ac:dyDescent="0.25">
      <c r="H151" s="1"/>
      <c r="I151" s="4" t="s">
        <v>21</v>
      </c>
      <c r="J151" s="99">
        <f>+J150+K150+L150+M150+N150+O150</f>
        <v>23313</v>
      </c>
      <c r="K151" s="99"/>
      <c r="L151" s="99"/>
      <c r="M151" s="99"/>
      <c r="N151" s="99"/>
      <c r="O151" s="99"/>
      <c r="P151" s="1"/>
      <c r="Q151" s="123">
        <f>+Q150+R150</f>
        <v>4517</v>
      </c>
      <c r="R151" s="124"/>
      <c r="S151" s="123">
        <f>+S150+T150</f>
        <v>2604</v>
      </c>
      <c r="T151" s="124"/>
      <c r="U151" s="123">
        <f>+U150+V150</f>
        <v>6193</v>
      </c>
      <c r="V151" s="124"/>
      <c r="W151" s="123">
        <f t="shared" ref="W151" si="16">+W150+X150</f>
        <v>6675</v>
      </c>
      <c r="X151" s="124"/>
      <c r="Y151" s="123">
        <f t="shared" ref="Y151" si="17">+Y150+Z150</f>
        <v>9746</v>
      </c>
      <c r="Z151" s="124"/>
      <c r="AA151" s="10">
        <f>+AA150</f>
        <v>0</v>
      </c>
      <c r="AI151" s="1"/>
    </row>
    <row r="152" spans="1:35" x14ac:dyDescent="0.25">
      <c r="H152" s="1"/>
      <c r="I152" s="1"/>
      <c r="J152" s="33">
        <v>16257</v>
      </c>
      <c r="K152" s="33">
        <f t="shared" ref="K152:O152" si="18">+K150</f>
        <v>1200</v>
      </c>
      <c r="L152" s="33">
        <f t="shared" si="18"/>
        <v>5856</v>
      </c>
      <c r="M152" s="33">
        <f t="shared" si="18"/>
        <v>0</v>
      </c>
      <c r="N152" s="33">
        <f t="shared" si="18"/>
        <v>0</v>
      </c>
      <c r="O152" s="33">
        <f t="shared" si="18"/>
        <v>0</v>
      </c>
    </row>
    <row r="153" spans="1:35" s="46" customFormat="1" x14ac:dyDescent="0.25">
      <c r="A153" s="16"/>
      <c r="B153" s="16"/>
      <c r="C153" s="16"/>
      <c r="D153" s="16"/>
      <c r="E153" s="16"/>
      <c r="F153" s="16"/>
      <c r="G153" s="47"/>
      <c r="H153" s="1"/>
      <c r="I153" s="1"/>
      <c r="J153" s="127"/>
      <c r="K153" s="127"/>
      <c r="L153" s="127"/>
      <c r="M153" s="1"/>
      <c r="N153" s="1"/>
      <c r="O153" s="1"/>
      <c r="Z153" s="47"/>
    </row>
    <row r="154" spans="1:35" s="47" customFormat="1" x14ac:dyDescent="0.25">
      <c r="A154" s="16"/>
      <c r="B154" s="16"/>
      <c r="C154" s="16"/>
      <c r="D154" s="2" t="s">
        <v>217</v>
      </c>
      <c r="E154" s="2" t="s">
        <v>218</v>
      </c>
      <c r="F154" s="2" t="s">
        <v>219</v>
      </c>
      <c r="H154" s="1"/>
      <c r="I154" s="1"/>
      <c r="J154" s="127"/>
      <c r="K154" s="127"/>
      <c r="L154" s="127"/>
      <c r="M154" s="1"/>
      <c r="N154" s="1"/>
      <c r="O154" s="1"/>
      <c r="Q154" s="18" t="s">
        <v>15</v>
      </c>
      <c r="R154" s="18" t="s">
        <v>16</v>
      </c>
      <c r="S154" s="18" t="s">
        <v>15</v>
      </c>
      <c r="T154" s="18" t="s">
        <v>16</v>
      </c>
      <c r="U154" s="18" t="s">
        <v>15</v>
      </c>
      <c r="V154" s="18" t="s">
        <v>16</v>
      </c>
      <c r="W154" s="18" t="s">
        <v>15</v>
      </c>
      <c r="X154" s="18" t="s">
        <v>16</v>
      </c>
      <c r="Y154" s="18" t="s">
        <v>15</v>
      </c>
      <c r="Z154" s="18" t="s">
        <v>16</v>
      </c>
      <c r="AA154" s="18"/>
    </row>
    <row r="155" spans="1:35" s="47" customFormat="1" x14ac:dyDescent="0.25">
      <c r="A155" s="16"/>
      <c r="B155" s="16"/>
      <c r="C155" s="31" t="s">
        <v>212</v>
      </c>
      <c r="D155" s="36">
        <f>J150+L150+K150</f>
        <v>23313</v>
      </c>
      <c r="E155" s="2">
        <f>+D155/5</f>
        <v>4662.6000000000004</v>
      </c>
      <c r="F155" s="2">
        <f>+E155/2</f>
        <v>2331.3000000000002</v>
      </c>
      <c r="H155" s="1"/>
      <c r="I155" s="1"/>
      <c r="M155" s="1"/>
      <c r="N155" s="1"/>
      <c r="O155" s="1"/>
      <c r="Q155" s="49">
        <f>Q150/F155</f>
        <v>1.0191738514991635</v>
      </c>
      <c r="R155" s="49">
        <f>R150/F155</f>
        <v>0.91837172393085398</v>
      </c>
      <c r="S155" s="49">
        <f>S150/F155</f>
        <v>1.1169733625016085</v>
      </c>
      <c r="T155" s="49">
        <f>T150/F155</f>
        <v>0</v>
      </c>
      <c r="U155" s="49">
        <f>U150/F155</f>
        <v>2.175181229357011</v>
      </c>
      <c r="V155" s="49">
        <f>V150/F155</f>
        <v>0.48127654098571609</v>
      </c>
      <c r="W155" s="49">
        <f>W150/F155</f>
        <v>2.0881053489469394</v>
      </c>
      <c r="X155" s="49">
        <f>X150/F155</f>
        <v>0.77510401921674599</v>
      </c>
      <c r="Y155" s="49">
        <f>Y150/F155</f>
        <v>2.0889632393943294</v>
      </c>
      <c r="Z155" s="49">
        <f>Z150/F155</f>
        <v>2.0915369107364987</v>
      </c>
      <c r="AA155" s="48"/>
    </row>
    <row r="156" spans="1:35" s="47" customFormat="1" x14ac:dyDescent="0.25">
      <c r="A156" s="16"/>
      <c r="B156" s="16"/>
      <c r="C156" s="31" t="s">
        <v>213</v>
      </c>
      <c r="D156" s="36">
        <v>7502</v>
      </c>
      <c r="E156" s="2">
        <f>+D156/5</f>
        <v>1500.4</v>
      </c>
      <c r="F156" s="2">
        <f>+E156/2</f>
        <v>750.2</v>
      </c>
      <c r="H156" s="1"/>
      <c r="I156" s="1"/>
      <c r="M156" s="1"/>
      <c r="N156" s="1"/>
      <c r="O156" s="1"/>
    </row>
    <row r="157" spans="1:35" s="47" customFormat="1" x14ac:dyDescent="0.25">
      <c r="A157" s="16"/>
      <c r="B157" s="16"/>
      <c r="C157" s="31" t="s">
        <v>214</v>
      </c>
      <c r="D157" s="52">
        <f>+D155-D156</f>
        <v>15811</v>
      </c>
      <c r="E157" s="2"/>
      <c r="F157" s="2"/>
      <c r="H157" s="1"/>
      <c r="I157" s="1"/>
      <c r="M157" s="1"/>
      <c r="N157" s="1"/>
      <c r="O157" s="1"/>
    </row>
    <row r="158" spans="1:35" s="47" customFormat="1" x14ac:dyDescent="0.25">
      <c r="A158" s="16"/>
      <c r="B158" s="16"/>
      <c r="C158" s="31" t="s">
        <v>220</v>
      </c>
      <c r="D158" s="32">
        <f>+D157/D155</f>
        <v>0.67820529318406042</v>
      </c>
      <c r="E158" s="2"/>
      <c r="F158" s="2"/>
      <c r="H158" s="1"/>
      <c r="I158" s="1"/>
      <c r="M158" s="1"/>
      <c r="N158" s="1"/>
      <c r="O158" s="1"/>
    </row>
    <row r="159" spans="1:35" s="47" customFormat="1" x14ac:dyDescent="0.25">
      <c r="A159" s="16"/>
      <c r="B159" s="16"/>
      <c r="C159" s="31" t="s">
        <v>221</v>
      </c>
      <c r="D159" s="32">
        <f>+D156/D155</f>
        <v>0.32179470681593958</v>
      </c>
      <c r="E159" s="2"/>
      <c r="F159" s="2"/>
      <c r="H159" s="1"/>
      <c r="I159" s="1"/>
      <c r="M159" s="1"/>
      <c r="N159" s="1"/>
      <c r="O159" s="1"/>
    </row>
    <row r="162" spans="2:10" x14ac:dyDescent="0.25">
      <c r="B162" s="129" t="s">
        <v>227</v>
      </c>
      <c r="C162" s="42">
        <v>46230</v>
      </c>
      <c r="D162" s="42">
        <v>46231</v>
      </c>
      <c r="E162" s="42">
        <v>46232</v>
      </c>
      <c r="F162" s="42">
        <v>46233</v>
      </c>
      <c r="G162" s="43">
        <v>46234</v>
      </c>
      <c r="H162" s="38">
        <v>46235</v>
      </c>
      <c r="I162" s="38">
        <v>46236</v>
      </c>
      <c r="J162" s="38"/>
    </row>
    <row r="163" spans="2:10" x14ac:dyDescent="0.25">
      <c r="B163" s="129"/>
      <c r="C163" s="44" t="s">
        <v>222</v>
      </c>
      <c r="D163" s="44" t="s">
        <v>223</v>
      </c>
      <c r="E163" s="44" t="s">
        <v>224</v>
      </c>
      <c r="F163" s="44" t="s">
        <v>225</v>
      </c>
      <c r="G163" s="44" t="s">
        <v>226</v>
      </c>
    </row>
    <row r="164" spans="2:10" x14ac:dyDescent="0.25">
      <c r="B164" s="40" t="s">
        <v>220</v>
      </c>
      <c r="C164" s="39">
        <v>0.12</v>
      </c>
      <c r="D164" s="39">
        <v>0.23</v>
      </c>
      <c r="E164" s="39">
        <v>0.38</v>
      </c>
      <c r="F164" s="45">
        <v>0.49</v>
      </c>
      <c r="G164" s="45">
        <v>0.68</v>
      </c>
    </row>
    <row r="165" spans="2:10" x14ac:dyDescent="0.25">
      <c r="B165" s="41" t="s">
        <v>221</v>
      </c>
      <c r="C165" s="39">
        <v>0.88</v>
      </c>
      <c r="D165" s="39">
        <v>0.77</v>
      </c>
      <c r="E165" s="39">
        <v>0.62</v>
      </c>
      <c r="F165" s="45">
        <v>0.51</v>
      </c>
      <c r="G165" s="45">
        <v>0.32</v>
      </c>
    </row>
  </sheetData>
  <autoFilter ref="C5:AF151" xr:uid="{00000000-0009-0000-0000-000005000000}"/>
  <mergeCells count="17">
    <mergeCell ref="U151:V151"/>
    <mergeCell ref="J153:L154"/>
    <mergeCell ref="W151:X151"/>
    <mergeCell ref="AG1:AG12"/>
    <mergeCell ref="B162:B163"/>
    <mergeCell ref="Y151:Z151"/>
    <mergeCell ref="W4:X4"/>
    <mergeCell ref="Y4:Z4"/>
    <mergeCell ref="D2:E2"/>
    <mergeCell ref="C3:C4"/>
    <mergeCell ref="K4:O4"/>
    <mergeCell ref="Q4:R4"/>
    <mergeCell ref="S4:T4"/>
    <mergeCell ref="U4:V4"/>
    <mergeCell ref="J151:O151"/>
    <mergeCell ref="Q151:R151"/>
    <mergeCell ref="S151:T151"/>
  </mergeCells>
  <phoneticPr fontId="4" type="noConversion"/>
  <conditionalFormatting sqref="Q155:Z155">
    <cfRule type="cellIs" dxfId="26" priority="1" operator="between">
      <formula>1</formula>
      <formula>5</formula>
    </cfRule>
    <cfRule type="cellIs" dxfId="25" priority="2" operator="between">
      <formula>0.85</formula>
      <formula>0.99</formula>
    </cfRule>
    <cfRule type="cellIs" dxfId="24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00B050"/>
    <pageSetUpPr fitToPage="1"/>
  </sheetPr>
  <dimension ref="B2:AJ165"/>
  <sheetViews>
    <sheetView topLeftCell="A127" zoomScale="85" zoomScaleNormal="85" zoomScaleSheetLayoutView="85" workbookViewId="0">
      <pane xSplit="16" topLeftCell="Q1" activePane="topRight" state="frozen"/>
      <selection activeCell="J1" sqref="J1:N1048576"/>
      <selection pane="topRight" activeCell="E110" sqref="E110"/>
    </sheetView>
  </sheetViews>
  <sheetFormatPr baseColWidth="10" defaultColWidth="8.7109375" defaultRowHeight="15" x14ac:dyDescent="0.25"/>
  <cols>
    <col min="1" max="2" width="8.7109375" style="1"/>
    <col min="3" max="3" width="21.140625" style="1" bestFit="1" customWidth="1"/>
    <col min="4" max="4" width="14.42578125" style="1" customWidth="1"/>
    <col min="5" max="5" width="17.140625" style="1" customWidth="1"/>
    <col min="6" max="6" width="14.5703125" style="1" customWidth="1"/>
    <col min="7" max="7" width="8.7109375" style="1" customWidth="1"/>
    <col min="8" max="8" width="10.5703125" style="1" hidden="1" customWidth="1"/>
    <col min="9" max="9" width="15.42578125" style="1" hidden="1" customWidth="1"/>
    <col min="10" max="10" width="11.7109375" style="1" bestFit="1" customWidth="1"/>
    <col min="11" max="11" width="10.140625" style="1" hidden="1" customWidth="1"/>
    <col min="12" max="13" width="9.5703125" style="1" hidden="1" customWidth="1"/>
    <col min="14" max="14" width="9.7109375" style="16" bestFit="1" customWidth="1"/>
    <col min="15" max="15" width="10.42578125" style="1" bestFit="1" customWidth="1"/>
    <col min="16" max="16" width="10.140625" style="1" customWidth="1"/>
    <col min="17" max="18" width="9.140625" style="16" customWidth="1"/>
    <col min="19" max="26" width="8.7109375" style="16" customWidth="1"/>
    <col min="27" max="27" width="8.7109375" style="1" customWidth="1"/>
    <col min="28" max="28" width="8.7109375" style="1"/>
    <col min="29" max="29" width="14.42578125" style="1" bestFit="1" customWidth="1"/>
    <col min="30" max="30" width="13" style="1" customWidth="1"/>
    <col min="31" max="31" width="11.5703125" style="1" bestFit="1" customWidth="1"/>
    <col min="32" max="32" width="12.140625" style="1" bestFit="1" customWidth="1"/>
    <col min="33" max="33" width="8.7109375" style="1"/>
    <col min="34" max="34" width="14.42578125" style="1" bestFit="1" customWidth="1"/>
    <col min="35" max="35" width="18.42578125" style="1" bestFit="1" customWidth="1"/>
    <col min="36" max="16384" width="8.7109375" style="1"/>
  </cols>
  <sheetData>
    <row r="2" spans="2:36" x14ac:dyDescent="0.25">
      <c r="C2" s="4" t="s">
        <v>17</v>
      </c>
      <c r="D2" s="92" t="s">
        <v>18</v>
      </c>
      <c r="E2" s="92"/>
    </row>
    <row r="3" spans="2:36" x14ac:dyDescent="0.25">
      <c r="C3" s="93">
        <f ca="1">TODAY()</f>
        <v>46308</v>
      </c>
      <c r="D3" s="4" t="s">
        <v>15</v>
      </c>
      <c r="E3" s="2" t="s">
        <v>209</v>
      </c>
      <c r="J3" s="4" t="s">
        <v>4</v>
      </c>
    </row>
    <row r="4" spans="2:36" x14ac:dyDescent="0.25">
      <c r="C4" s="93"/>
      <c r="D4" s="4" t="s">
        <v>16</v>
      </c>
      <c r="E4" s="2"/>
      <c r="J4" s="4" t="s">
        <v>5</v>
      </c>
      <c r="K4" s="98" t="s">
        <v>211</v>
      </c>
      <c r="L4" s="98"/>
      <c r="M4" s="98"/>
      <c r="N4" s="98"/>
      <c r="O4" s="132"/>
      <c r="Q4" s="122">
        <v>46237</v>
      </c>
      <c r="R4" s="122"/>
      <c r="S4" s="122">
        <v>46238</v>
      </c>
      <c r="T4" s="122"/>
      <c r="U4" s="122">
        <v>46239</v>
      </c>
      <c r="V4" s="122"/>
      <c r="W4" s="125">
        <v>46240</v>
      </c>
      <c r="X4" s="125"/>
      <c r="Y4" s="122">
        <v>46241</v>
      </c>
      <c r="Z4" s="122"/>
      <c r="AA4" s="6" t="s">
        <v>10</v>
      </c>
    </row>
    <row r="5" spans="2:36" x14ac:dyDescent="0.25">
      <c r="C5" s="4" t="s">
        <v>0</v>
      </c>
      <c r="D5" s="4" t="s">
        <v>6</v>
      </c>
      <c r="E5" s="4" t="s">
        <v>7</v>
      </c>
      <c r="F5" s="4" t="s">
        <v>1</v>
      </c>
      <c r="G5" s="4" t="s">
        <v>2</v>
      </c>
      <c r="H5" s="4" t="s">
        <v>3</v>
      </c>
      <c r="I5" s="4" t="s">
        <v>187</v>
      </c>
      <c r="J5" s="5">
        <v>32</v>
      </c>
      <c r="K5" s="4" t="s">
        <v>10</v>
      </c>
      <c r="L5" s="4" t="s">
        <v>9</v>
      </c>
      <c r="M5" s="4" t="s">
        <v>11</v>
      </c>
      <c r="N5" s="17" t="s">
        <v>228</v>
      </c>
      <c r="O5" s="4" t="s">
        <v>227</v>
      </c>
      <c r="P5" s="4" t="s">
        <v>14</v>
      </c>
      <c r="Q5" s="17" t="s">
        <v>15</v>
      </c>
      <c r="R5" s="17" t="s">
        <v>16</v>
      </c>
      <c r="S5" s="17" t="s">
        <v>15</v>
      </c>
      <c r="T5" s="17" t="s">
        <v>16</v>
      </c>
      <c r="U5" s="17" t="s">
        <v>15</v>
      </c>
      <c r="V5" s="17" t="s">
        <v>16</v>
      </c>
      <c r="W5" s="17" t="s">
        <v>15</v>
      </c>
      <c r="X5" s="17" t="s">
        <v>16</v>
      </c>
      <c r="Y5" s="17" t="s">
        <v>15</v>
      </c>
      <c r="Z5" s="17" t="s">
        <v>16</v>
      </c>
      <c r="AA5" s="4" t="s">
        <v>20</v>
      </c>
      <c r="AB5" s="4" t="s">
        <v>8</v>
      </c>
      <c r="AC5" s="4" t="s">
        <v>22</v>
      </c>
      <c r="AD5" s="4" t="s">
        <v>145</v>
      </c>
      <c r="AE5" s="4" t="s">
        <v>23</v>
      </c>
      <c r="AF5" s="4" t="s">
        <v>156</v>
      </c>
      <c r="AG5"/>
      <c r="AH5" t="s">
        <v>157</v>
      </c>
      <c r="AI5" t="s">
        <v>159</v>
      </c>
      <c r="AJ5"/>
    </row>
    <row r="6" spans="2:36" x14ac:dyDescent="0.25">
      <c r="B6" s="18">
        <v>1</v>
      </c>
      <c r="C6" s="53" t="s">
        <v>24</v>
      </c>
      <c r="D6" s="53" t="s">
        <v>129</v>
      </c>
      <c r="E6" s="53" t="s">
        <v>25</v>
      </c>
      <c r="F6" s="54">
        <v>0.25</v>
      </c>
      <c r="G6" s="53">
        <v>2.8000000000000001E-2</v>
      </c>
      <c r="H6" s="55"/>
      <c r="I6" s="55"/>
      <c r="J6" s="53"/>
      <c r="K6" s="53"/>
      <c r="L6" s="53"/>
      <c r="M6" s="53"/>
      <c r="N6" s="53"/>
      <c r="O6" s="53"/>
      <c r="P6" s="8">
        <f t="shared" ref="P6:P37" si="0">+J6+K6+L6+M6+N6+O6-SUM(Q6:AA6)</f>
        <v>-3362</v>
      </c>
      <c r="Q6" s="57"/>
      <c r="R6" s="57"/>
      <c r="S6" s="57"/>
      <c r="T6" s="57"/>
      <c r="U6" s="57"/>
      <c r="V6" s="57"/>
      <c r="W6" s="61">
        <v>3362</v>
      </c>
      <c r="X6" s="57"/>
      <c r="Y6" s="57"/>
      <c r="Z6" s="57"/>
      <c r="AA6" s="2"/>
      <c r="AB6" s="7">
        <f t="shared" ref="AB6:AB37" si="1">+H6*SUM(J6:O6)</f>
        <v>0</v>
      </c>
      <c r="AC6" s="8" t="s">
        <v>146</v>
      </c>
      <c r="AD6" s="8">
        <v>150</v>
      </c>
      <c r="AE6" s="8" t="s">
        <v>152</v>
      </c>
      <c r="AF6" s="8">
        <f t="shared" ref="AF6:AF21" si="2">+SUM(J6:O6)/AD6</f>
        <v>0</v>
      </c>
      <c r="AG6"/>
      <c r="AH6" s="15">
        <v>0</v>
      </c>
      <c r="AI6">
        <v>0</v>
      </c>
      <c r="AJ6"/>
    </row>
    <row r="7" spans="2:36" x14ac:dyDescent="0.25">
      <c r="B7" s="18">
        <v>2</v>
      </c>
      <c r="C7" s="53" t="s">
        <v>24</v>
      </c>
      <c r="D7" s="53" t="s">
        <v>129</v>
      </c>
      <c r="E7" s="53" t="s">
        <v>26</v>
      </c>
      <c r="F7" s="54">
        <v>0.25</v>
      </c>
      <c r="G7" s="53">
        <v>2.8000000000000001E-2</v>
      </c>
      <c r="H7" s="55"/>
      <c r="I7" s="55"/>
      <c r="J7" s="53"/>
      <c r="K7" s="53"/>
      <c r="L7" s="53"/>
      <c r="M7" s="53"/>
      <c r="N7" s="53"/>
      <c r="O7" s="53"/>
      <c r="P7" s="8">
        <f t="shared" si="0"/>
        <v>-2265</v>
      </c>
      <c r="Q7" s="57"/>
      <c r="R7" s="57"/>
      <c r="S7" s="57"/>
      <c r="T7" s="57"/>
      <c r="U7" s="57"/>
      <c r="V7" s="57"/>
      <c r="W7" s="61">
        <v>1990</v>
      </c>
      <c r="X7" s="57"/>
      <c r="Y7" s="57"/>
      <c r="Z7" s="61">
        <v>275</v>
      </c>
      <c r="AA7" s="2"/>
      <c r="AB7" s="7">
        <f t="shared" si="1"/>
        <v>0</v>
      </c>
      <c r="AC7" s="8" t="s">
        <v>146</v>
      </c>
      <c r="AD7" s="8">
        <v>200</v>
      </c>
      <c r="AE7" s="8" t="s">
        <v>152</v>
      </c>
      <c r="AF7" s="8">
        <f t="shared" si="2"/>
        <v>0</v>
      </c>
      <c r="AG7"/>
      <c r="AH7" s="15" t="s">
        <v>146</v>
      </c>
      <c r="AI7">
        <v>52</v>
      </c>
      <c r="AJ7"/>
    </row>
    <row r="8" spans="2:36" x14ac:dyDescent="0.25">
      <c r="B8" s="18">
        <v>3</v>
      </c>
      <c r="C8" s="53" t="s">
        <v>24</v>
      </c>
      <c r="D8" s="53" t="s">
        <v>129</v>
      </c>
      <c r="E8" s="53" t="s">
        <v>27</v>
      </c>
      <c r="F8" s="54">
        <v>0.25</v>
      </c>
      <c r="G8" s="53">
        <v>2.8000000000000001E-2</v>
      </c>
      <c r="H8" s="55"/>
      <c r="I8" s="55"/>
      <c r="J8" s="53"/>
      <c r="K8" s="53"/>
      <c r="L8" s="53"/>
      <c r="M8" s="53"/>
      <c r="N8" s="53"/>
      <c r="O8" s="53"/>
      <c r="P8" s="8">
        <f t="shared" si="0"/>
        <v>-2250</v>
      </c>
      <c r="Q8" s="57"/>
      <c r="R8" s="57"/>
      <c r="S8" s="57"/>
      <c r="T8" s="57"/>
      <c r="U8" s="57"/>
      <c r="V8" s="57"/>
      <c r="W8" s="57"/>
      <c r="X8" s="57"/>
      <c r="Y8" s="61">
        <v>2250</v>
      </c>
      <c r="Z8" s="57"/>
      <c r="AA8" s="2"/>
      <c r="AB8" s="7">
        <f t="shared" si="1"/>
        <v>0</v>
      </c>
      <c r="AC8" s="8" t="s">
        <v>146</v>
      </c>
      <c r="AD8" s="8">
        <v>200</v>
      </c>
      <c r="AE8" s="8" t="s">
        <v>152</v>
      </c>
      <c r="AF8" s="8">
        <f t="shared" si="2"/>
        <v>0</v>
      </c>
      <c r="AG8"/>
      <c r="AH8" s="15" t="s">
        <v>155</v>
      </c>
      <c r="AI8">
        <v>0</v>
      </c>
      <c r="AJ8"/>
    </row>
    <row r="9" spans="2:36" x14ac:dyDescent="0.25">
      <c r="B9" s="18">
        <v>4</v>
      </c>
      <c r="C9" s="53" t="s">
        <v>24</v>
      </c>
      <c r="D9" s="53" t="s">
        <v>129</v>
      </c>
      <c r="E9" s="53" t="s">
        <v>28</v>
      </c>
      <c r="F9" s="54">
        <v>0.375</v>
      </c>
      <c r="G9" s="53">
        <v>2.8000000000000001E-2</v>
      </c>
      <c r="H9" s="55"/>
      <c r="I9" s="55"/>
      <c r="J9" s="53"/>
      <c r="K9" s="53"/>
      <c r="L9" s="53"/>
      <c r="M9" s="53"/>
      <c r="N9" s="53"/>
      <c r="O9" s="53"/>
      <c r="P9" s="8">
        <f t="shared" si="0"/>
        <v>-1308</v>
      </c>
      <c r="Q9" s="57"/>
      <c r="R9" s="57"/>
      <c r="S9" s="57"/>
      <c r="T9" s="57"/>
      <c r="U9" s="57"/>
      <c r="V9" s="57"/>
      <c r="W9" s="57"/>
      <c r="X9" s="57"/>
      <c r="Y9" s="61">
        <v>900</v>
      </c>
      <c r="Z9" s="61">
        <v>408</v>
      </c>
      <c r="AA9" s="2"/>
      <c r="AB9" s="7">
        <f t="shared" si="1"/>
        <v>0</v>
      </c>
      <c r="AC9" s="8" t="s">
        <v>146</v>
      </c>
      <c r="AD9" s="8">
        <v>100</v>
      </c>
      <c r="AE9" s="8" t="s">
        <v>152</v>
      </c>
      <c r="AF9" s="8">
        <f t="shared" si="2"/>
        <v>0</v>
      </c>
      <c r="AG9"/>
      <c r="AH9" s="15" t="s">
        <v>147</v>
      </c>
      <c r="AI9">
        <v>116</v>
      </c>
      <c r="AJ9"/>
    </row>
    <row r="10" spans="2:36" x14ac:dyDescent="0.25">
      <c r="B10" s="18">
        <v>5</v>
      </c>
      <c r="C10" s="53" t="s">
        <v>24</v>
      </c>
      <c r="D10" s="53" t="s">
        <v>129</v>
      </c>
      <c r="E10" s="53" t="s">
        <v>29</v>
      </c>
      <c r="F10" s="54">
        <v>0.375</v>
      </c>
      <c r="G10" s="53">
        <v>2.8000000000000001E-2</v>
      </c>
      <c r="H10" s="55"/>
      <c r="I10" s="55"/>
      <c r="J10" s="53"/>
      <c r="K10" s="53"/>
      <c r="L10" s="53"/>
      <c r="M10" s="53"/>
      <c r="N10" s="53"/>
      <c r="O10" s="53"/>
      <c r="P10" s="8">
        <f t="shared" si="0"/>
        <v>-1930</v>
      </c>
      <c r="Q10" s="57"/>
      <c r="R10" s="57"/>
      <c r="S10" s="57"/>
      <c r="T10" s="57"/>
      <c r="U10" s="57"/>
      <c r="V10" s="57"/>
      <c r="W10" s="57"/>
      <c r="X10" s="61">
        <v>1669</v>
      </c>
      <c r="Y10" s="61">
        <v>261</v>
      </c>
      <c r="Z10" s="57"/>
      <c r="AA10" s="2"/>
      <c r="AB10" s="7">
        <f t="shared" si="1"/>
        <v>0</v>
      </c>
      <c r="AC10" s="8" t="s">
        <v>146</v>
      </c>
      <c r="AD10" s="8">
        <v>150</v>
      </c>
      <c r="AE10" s="8" t="s">
        <v>152</v>
      </c>
      <c r="AF10" s="8">
        <f t="shared" si="2"/>
        <v>0</v>
      </c>
      <c r="AG10"/>
      <c r="AH10" s="15" t="s">
        <v>150</v>
      </c>
      <c r="AI10">
        <v>2</v>
      </c>
      <c r="AJ10"/>
    </row>
    <row r="11" spans="2:36" x14ac:dyDescent="0.25">
      <c r="B11" s="18">
        <v>6</v>
      </c>
      <c r="C11" s="53" t="s">
        <v>24</v>
      </c>
      <c r="D11" s="53" t="s">
        <v>129</v>
      </c>
      <c r="E11" s="53" t="s">
        <v>30</v>
      </c>
      <c r="F11" s="54">
        <v>0.375</v>
      </c>
      <c r="G11" s="53">
        <v>2.8000000000000001E-2</v>
      </c>
      <c r="H11" s="55"/>
      <c r="I11" s="55"/>
      <c r="J11" s="53"/>
      <c r="K11" s="53"/>
      <c r="L11" s="53"/>
      <c r="M11" s="53"/>
      <c r="N11" s="53"/>
      <c r="O11" s="53"/>
      <c r="P11" s="8">
        <f t="shared" si="0"/>
        <v>-1497</v>
      </c>
      <c r="Q11" s="57"/>
      <c r="R11" s="57"/>
      <c r="S11" s="57"/>
      <c r="T11" s="57"/>
      <c r="U11" s="57"/>
      <c r="V11" s="57"/>
      <c r="W11" s="61">
        <v>750</v>
      </c>
      <c r="X11" s="61">
        <v>747</v>
      </c>
      <c r="Y11" s="57"/>
      <c r="Z11" s="57"/>
      <c r="AA11" s="2"/>
      <c r="AB11" s="7">
        <f t="shared" si="1"/>
        <v>0</v>
      </c>
      <c r="AC11" s="8" t="s">
        <v>146</v>
      </c>
      <c r="AD11" s="8">
        <v>150</v>
      </c>
      <c r="AE11" s="8" t="s">
        <v>152</v>
      </c>
      <c r="AF11" s="8">
        <f t="shared" si="2"/>
        <v>0</v>
      </c>
      <c r="AG11"/>
      <c r="AH11" s="15" t="s">
        <v>149</v>
      </c>
      <c r="AI11">
        <v>10</v>
      </c>
      <c r="AJ11"/>
    </row>
    <row r="12" spans="2:36" x14ac:dyDescent="0.25">
      <c r="B12" s="18">
        <v>7</v>
      </c>
      <c r="C12" s="53" t="s">
        <v>24</v>
      </c>
      <c r="D12" s="53" t="s">
        <v>129</v>
      </c>
      <c r="E12" s="53" t="s">
        <v>31</v>
      </c>
      <c r="F12" s="54">
        <v>0.375</v>
      </c>
      <c r="G12" s="53">
        <v>2.8000000000000001E-2</v>
      </c>
      <c r="H12" s="55"/>
      <c r="I12" s="55"/>
      <c r="J12" s="53"/>
      <c r="K12" s="53"/>
      <c r="L12" s="53"/>
      <c r="M12" s="53"/>
      <c r="N12" s="53"/>
      <c r="O12" s="53"/>
      <c r="P12" s="8">
        <f t="shared" si="0"/>
        <v>-900</v>
      </c>
      <c r="Q12" s="57"/>
      <c r="R12" s="57"/>
      <c r="S12" s="57"/>
      <c r="T12" s="57"/>
      <c r="U12" s="57"/>
      <c r="V12" s="57"/>
      <c r="W12" s="57"/>
      <c r="X12" s="61">
        <v>900</v>
      </c>
      <c r="Y12" s="57"/>
      <c r="Z12" s="57"/>
      <c r="AA12" s="2"/>
      <c r="AB12" s="7">
        <f t="shared" si="1"/>
        <v>0</v>
      </c>
      <c r="AC12" s="8" t="s">
        <v>146</v>
      </c>
      <c r="AD12" s="8">
        <v>50</v>
      </c>
      <c r="AE12" s="8" t="s">
        <v>152</v>
      </c>
      <c r="AF12" s="8">
        <f t="shared" si="2"/>
        <v>0</v>
      </c>
      <c r="AG12"/>
      <c r="AH12" s="15" t="s">
        <v>158</v>
      </c>
      <c r="AI12">
        <v>180</v>
      </c>
      <c r="AJ12"/>
    </row>
    <row r="13" spans="2:36" x14ac:dyDescent="0.25">
      <c r="B13" s="18">
        <v>8</v>
      </c>
      <c r="C13" s="53" t="s">
        <v>24</v>
      </c>
      <c r="D13" s="53" t="s">
        <v>129</v>
      </c>
      <c r="E13" s="53" t="s">
        <v>32</v>
      </c>
      <c r="F13" s="54">
        <v>0.375</v>
      </c>
      <c r="G13" s="53">
        <v>2.8000000000000001E-2</v>
      </c>
      <c r="H13" s="55"/>
      <c r="I13" s="55"/>
      <c r="J13" s="53"/>
      <c r="K13" s="53"/>
      <c r="L13" s="53"/>
      <c r="M13" s="53"/>
      <c r="N13" s="53"/>
      <c r="O13" s="53"/>
      <c r="P13" s="8">
        <f t="shared" si="0"/>
        <v>-800</v>
      </c>
      <c r="Q13" s="57"/>
      <c r="R13" s="57"/>
      <c r="S13" s="57"/>
      <c r="T13" s="57"/>
      <c r="U13" s="57"/>
      <c r="V13" s="57"/>
      <c r="W13" s="57"/>
      <c r="X13" s="57"/>
      <c r="Y13" s="61">
        <v>800</v>
      </c>
      <c r="Z13" s="57"/>
      <c r="AA13" s="2"/>
      <c r="AB13" s="7">
        <f t="shared" si="1"/>
        <v>0</v>
      </c>
      <c r="AC13" s="8" t="s">
        <v>146</v>
      </c>
      <c r="AD13" s="8">
        <v>100</v>
      </c>
      <c r="AE13" s="8" t="s">
        <v>152</v>
      </c>
      <c r="AF13" s="8">
        <f t="shared" si="2"/>
        <v>0</v>
      </c>
      <c r="AG13"/>
      <c r="AH13"/>
      <c r="AI13"/>
      <c r="AJ13"/>
    </row>
    <row r="14" spans="2:36" x14ac:dyDescent="0.25">
      <c r="B14" s="18">
        <v>9</v>
      </c>
      <c r="C14" s="53" t="s">
        <v>24</v>
      </c>
      <c r="D14" s="53" t="s">
        <v>129</v>
      </c>
      <c r="E14" s="53" t="s">
        <v>33</v>
      </c>
      <c r="F14" s="54">
        <v>0.375</v>
      </c>
      <c r="G14" s="53">
        <v>2.8000000000000001E-2</v>
      </c>
      <c r="H14" s="55"/>
      <c r="I14" s="55"/>
      <c r="J14" s="53"/>
      <c r="K14" s="53"/>
      <c r="L14" s="53"/>
      <c r="M14" s="53"/>
      <c r="N14" s="53"/>
      <c r="O14" s="53"/>
      <c r="P14" s="8">
        <f t="shared" si="0"/>
        <v>-100</v>
      </c>
      <c r="Q14" s="57"/>
      <c r="R14" s="57"/>
      <c r="S14" s="57"/>
      <c r="T14" s="57"/>
      <c r="U14" s="57"/>
      <c r="V14" s="57"/>
      <c r="W14" s="57"/>
      <c r="X14" s="61">
        <v>100</v>
      </c>
      <c r="Y14" s="57"/>
      <c r="Z14" s="57"/>
      <c r="AA14" s="2"/>
      <c r="AB14" s="7">
        <f t="shared" si="1"/>
        <v>0</v>
      </c>
      <c r="AC14" s="8" t="s">
        <v>146</v>
      </c>
      <c r="AD14" s="8">
        <v>50</v>
      </c>
      <c r="AE14" s="8" t="s">
        <v>152</v>
      </c>
      <c r="AF14" s="8">
        <f t="shared" si="2"/>
        <v>0</v>
      </c>
      <c r="AG14"/>
      <c r="AH14"/>
      <c r="AI14"/>
      <c r="AJ14"/>
    </row>
    <row r="15" spans="2:36" x14ac:dyDescent="0.25">
      <c r="B15" s="18">
        <v>10</v>
      </c>
      <c r="C15" s="53" t="s">
        <v>24</v>
      </c>
      <c r="D15" s="53" t="s">
        <v>129</v>
      </c>
      <c r="E15" s="53" t="s">
        <v>34</v>
      </c>
      <c r="F15" s="54">
        <v>0.375</v>
      </c>
      <c r="G15" s="53">
        <v>2.8000000000000001E-2</v>
      </c>
      <c r="H15" s="55"/>
      <c r="I15" s="55"/>
      <c r="J15" s="53"/>
      <c r="K15" s="53"/>
      <c r="L15" s="53"/>
      <c r="M15" s="53"/>
      <c r="N15" s="53"/>
      <c r="O15" s="53"/>
      <c r="P15" s="8">
        <f t="shared" si="0"/>
        <v>0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2"/>
      <c r="AB15" s="7">
        <f t="shared" si="1"/>
        <v>0</v>
      </c>
      <c r="AC15" s="8" t="s">
        <v>147</v>
      </c>
      <c r="AD15" s="8">
        <v>60</v>
      </c>
      <c r="AE15" s="8" t="s">
        <v>152</v>
      </c>
      <c r="AF15" s="8">
        <f t="shared" si="2"/>
        <v>0</v>
      </c>
      <c r="AG15"/>
      <c r="AH15"/>
      <c r="AI15"/>
      <c r="AJ15"/>
    </row>
    <row r="16" spans="2:36" x14ac:dyDescent="0.25">
      <c r="B16" s="18">
        <v>11</v>
      </c>
      <c r="C16" s="53" t="s">
        <v>24</v>
      </c>
      <c r="D16" s="53" t="s">
        <v>129</v>
      </c>
      <c r="E16" s="53" t="s">
        <v>35</v>
      </c>
      <c r="F16" s="54">
        <v>0.5</v>
      </c>
      <c r="G16" s="53">
        <v>2.8000000000000001E-2</v>
      </c>
      <c r="H16" s="55"/>
      <c r="I16" s="55"/>
      <c r="J16" s="53"/>
      <c r="K16" s="53"/>
      <c r="L16" s="53"/>
      <c r="M16" s="53"/>
      <c r="N16" s="53"/>
      <c r="O16" s="53"/>
      <c r="P16" s="8">
        <f t="shared" si="0"/>
        <v>-3542</v>
      </c>
      <c r="Q16" s="57"/>
      <c r="R16" s="57"/>
      <c r="S16" s="57"/>
      <c r="T16" s="57"/>
      <c r="U16" s="57"/>
      <c r="V16" s="61">
        <v>600</v>
      </c>
      <c r="W16" s="61">
        <v>928</v>
      </c>
      <c r="X16" s="61">
        <v>1322</v>
      </c>
      <c r="Y16" s="61">
        <v>692</v>
      </c>
      <c r="Z16" s="57"/>
      <c r="AA16" s="2"/>
      <c r="AB16" s="7">
        <f t="shared" si="1"/>
        <v>0</v>
      </c>
      <c r="AC16" s="8" t="s">
        <v>148</v>
      </c>
      <c r="AD16" s="8">
        <v>100</v>
      </c>
      <c r="AE16" s="8" t="s">
        <v>152</v>
      </c>
      <c r="AF16" s="8">
        <f t="shared" si="2"/>
        <v>0</v>
      </c>
      <c r="AG16"/>
      <c r="AH16"/>
      <c r="AI16"/>
      <c r="AJ16"/>
    </row>
    <row r="17" spans="2:36" s="16" customFormat="1" x14ac:dyDescent="0.25">
      <c r="B17" s="18">
        <v>12</v>
      </c>
      <c r="C17" s="57" t="s">
        <v>24</v>
      </c>
      <c r="D17" s="57" t="s">
        <v>129</v>
      </c>
      <c r="E17" s="57" t="s">
        <v>36</v>
      </c>
      <c r="F17" s="58">
        <v>0.5</v>
      </c>
      <c r="G17" s="57">
        <v>2.8000000000000001E-2</v>
      </c>
      <c r="H17" s="59"/>
      <c r="I17" s="59"/>
      <c r="J17" s="57"/>
      <c r="K17" s="57"/>
      <c r="L17" s="57"/>
      <c r="M17" s="57"/>
      <c r="N17" s="57"/>
      <c r="O17" s="57"/>
      <c r="P17" s="18">
        <f t="shared" si="0"/>
        <v>0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18"/>
      <c r="AB17" s="56">
        <f t="shared" si="1"/>
        <v>0</v>
      </c>
      <c r="AC17" s="18" t="s">
        <v>149</v>
      </c>
      <c r="AD17" s="18">
        <v>100</v>
      </c>
      <c r="AE17" s="18" t="s">
        <v>152</v>
      </c>
      <c r="AF17" s="18">
        <f t="shared" si="2"/>
        <v>0</v>
      </c>
      <c r="AG17" s="37"/>
      <c r="AH17" s="37"/>
      <c r="AI17" s="37"/>
      <c r="AJ17" s="37"/>
    </row>
    <row r="18" spans="2:36" x14ac:dyDescent="0.25">
      <c r="B18" s="18">
        <v>13</v>
      </c>
      <c r="C18" s="53" t="s">
        <v>24</v>
      </c>
      <c r="D18" s="53" t="s">
        <v>129</v>
      </c>
      <c r="E18" s="53" t="s">
        <v>37</v>
      </c>
      <c r="F18" s="54">
        <v>0.5</v>
      </c>
      <c r="G18" s="53">
        <v>2.8000000000000001E-2</v>
      </c>
      <c r="H18" s="55"/>
      <c r="I18" s="55"/>
      <c r="J18" s="53"/>
      <c r="K18" s="53"/>
      <c r="L18" s="53"/>
      <c r="M18" s="53"/>
      <c r="N18" s="53"/>
      <c r="O18" s="53"/>
      <c r="P18" s="8">
        <f t="shared" si="0"/>
        <v>-1103</v>
      </c>
      <c r="Q18" s="57"/>
      <c r="R18" s="57"/>
      <c r="S18" s="57"/>
      <c r="T18" s="57"/>
      <c r="U18" s="57"/>
      <c r="V18" s="57"/>
      <c r="W18" s="57"/>
      <c r="X18" s="57"/>
      <c r="Y18" s="61">
        <v>695</v>
      </c>
      <c r="Z18" s="61">
        <v>408</v>
      </c>
      <c r="AA18" s="2"/>
      <c r="AB18" s="7">
        <f t="shared" si="1"/>
        <v>0</v>
      </c>
      <c r="AC18" s="8" t="s">
        <v>149</v>
      </c>
      <c r="AD18" s="8">
        <v>100</v>
      </c>
      <c r="AE18" s="8" t="s">
        <v>152</v>
      </c>
      <c r="AF18" s="8">
        <f t="shared" si="2"/>
        <v>0</v>
      </c>
      <c r="AG18"/>
      <c r="AH18"/>
      <c r="AI18"/>
      <c r="AJ18"/>
    </row>
    <row r="19" spans="2:36" x14ac:dyDescent="0.25">
      <c r="B19" s="18">
        <v>14</v>
      </c>
      <c r="C19" s="53" t="s">
        <v>24</v>
      </c>
      <c r="D19" s="53" t="s">
        <v>129</v>
      </c>
      <c r="E19" s="53" t="s">
        <v>38</v>
      </c>
      <c r="F19" s="54">
        <v>0.5</v>
      </c>
      <c r="G19" s="53">
        <v>2.8000000000000001E-2</v>
      </c>
      <c r="H19" s="55"/>
      <c r="I19" s="55"/>
      <c r="J19" s="53"/>
      <c r="K19" s="53"/>
      <c r="L19" s="53"/>
      <c r="M19" s="53"/>
      <c r="N19" s="53"/>
      <c r="O19" s="53"/>
      <c r="P19" s="8">
        <f t="shared" si="0"/>
        <v>0</v>
      </c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2"/>
      <c r="AB19" s="7">
        <f t="shared" si="1"/>
        <v>0</v>
      </c>
      <c r="AC19" s="8" t="s">
        <v>149</v>
      </c>
      <c r="AD19" s="8">
        <v>100</v>
      </c>
      <c r="AE19" s="8" t="s">
        <v>152</v>
      </c>
      <c r="AF19" s="8">
        <f t="shared" si="2"/>
        <v>0</v>
      </c>
      <c r="AG19"/>
      <c r="AH19"/>
      <c r="AI19"/>
      <c r="AJ19"/>
    </row>
    <row r="20" spans="2:36" x14ac:dyDescent="0.25">
      <c r="B20" s="18">
        <v>15</v>
      </c>
      <c r="C20" s="53" t="s">
        <v>24</v>
      </c>
      <c r="D20" s="53" t="s">
        <v>129</v>
      </c>
      <c r="E20" s="53" t="s">
        <v>39</v>
      </c>
      <c r="F20" s="54">
        <v>0.5</v>
      </c>
      <c r="G20" s="53">
        <v>2.8000000000000001E-2</v>
      </c>
      <c r="H20" s="55"/>
      <c r="I20" s="55"/>
      <c r="J20" s="53"/>
      <c r="K20" s="53"/>
      <c r="L20" s="53"/>
      <c r="M20" s="53"/>
      <c r="N20" s="53"/>
      <c r="O20" s="53"/>
      <c r="P20" s="8">
        <f t="shared" si="0"/>
        <v>0</v>
      </c>
      <c r="Q20" s="57"/>
      <c r="R20" s="57"/>
      <c r="S20" s="57"/>
      <c r="T20" s="57"/>
      <c r="U20" s="57"/>
      <c r="V20" s="57"/>
      <c r="W20" s="57"/>
      <c r="X20" s="60"/>
      <c r="Y20" s="60"/>
      <c r="Z20" s="57"/>
      <c r="AA20" s="2"/>
      <c r="AB20" s="7">
        <f t="shared" si="1"/>
        <v>0</v>
      </c>
      <c r="AC20" s="8" t="s">
        <v>149</v>
      </c>
      <c r="AD20" s="8">
        <v>80</v>
      </c>
      <c r="AE20" s="8" t="s">
        <v>152</v>
      </c>
      <c r="AF20" s="8">
        <f t="shared" si="2"/>
        <v>0</v>
      </c>
      <c r="AG20"/>
      <c r="AH20"/>
      <c r="AI20"/>
      <c r="AJ20"/>
    </row>
    <row r="21" spans="2:36" x14ac:dyDescent="0.25">
      <c r="B21" s="18">
        <v>16</v>
      </c>
      <c r="C21" s="53" t="s">
        <v>24</v>
      </c>
      <c r="D21" s="53" t="s">
        <v>129</v>
      </c>
      <c r="E21" s="53" t="s">
        <v>40</v>
      </c>
      <c r="F21" s="54">
        <v>0.5</v>
      </c>
      <c r="G21" s="53">
        <v>2.8000000000000001E-2</v>
      </c>
      <c r="H21" s="55"/>
      <c r="I21" s="55"/>
      <c r="J21" s="53"/>
      <c r="K21" s="53"/>
      <c r="L21" s="53"/>
      <c r="M21" s="53"/>
      <c r="N21" s="53"/>
      <c r="O21" s="53"/>
      <c r="P21" s="8">
        <f t="shared" si="0"/>
        <v>0</v>
      </c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2"/>
      <c r="AB21" s="7">
        <f t="shared" si="1"/>
        <v>0</v>
      </c>
      <c r="AC21" s="8" t="s">
        <v>149</v>
      </c>
      <c r="AD21" s="8">
        <v>100</v>
      </c>
      <c r="AE21" s="8" t="s">
        <v>152</v>
      </c>
      <c r="AF21" s="8">
        <f t="shared" si="2"/>
        <v>0</v>
      </c>
      <c r="AG21"/>
      <c r="AH21"/>
      <c r="AI21"/>
      <c r="AJ21"/>
    </row>
    <row r="22" spans="2:36" x14ac:dyDescent="0.25">
      <c r="B22" s="18">
        <v>17</v>
      </c>
      <c r="C22" s="53" t="s">
        <v>24</v>
      </c>
      <c r="D22" s="53" t="s">
        <v>129</v>
      </c>
      <c r="E22" s="53" t="s">
        <v>41</v>
      </c>
      <c r="F22" s="54">
        <v>0.5</v>
      </c>
      <c r="G22" s="53">
        <v>2.8000000000000001E-2</v>
      </c>
      <c r="H22" s="55"/>
      <c r="I22" s="55"/>
      <c r="J22" s="53"/>
      <c r="K22" s="53"/>
      <c r="L22" s="53"/>
      <c r="M22" s="53"/>
      <c r="N22" s="53"/>
      <c r="O22" s="53"/>
      <c r="P22" s="8">
        <f t="shared" si="0"/>
        <v>0</v>
      </c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2"/>
      <c r="AB22" s="7">
        <f t="shared" si="1"/>
        <v>0</v>
      </c>
      <c r="AC22" s="8">
        <v>0</v>
      </c>
      <c r="AD22" s="8">
        <v>0</v>
      </c>
      <c r="AE22" s="8" t="s">
        <v>152</v>
      </c>
      <c r="AF22" s="8">
        <v>0</v>
      </c>
      <c r="AG22"/>
      <c r="AH22"/>
      <c r="AI22"/>
      <c r="AJ22"/>
    </row>
    <row r="23" spans="2:36" x14ac:dyDescent="0.25">
      <c r="B23" s="18">
        <v>18</v>
      </c>
      <c r="C23" s="53" t="s">
        <v>24</v>
      </c>
      <c r="D23" s="53" t="s">
        <v>129</v>
      </c>
      <c r="E23" s="53" t="s">
        <v>42</v>
      </c>
      <c r="F23" s="54">
        <v>0.5</v>
      </c>
      <c r="G23" s="53">
        <v>2.8000000000000001E-2</v>
      </c>
      <c r="H23" s="55"/>
      <c r="I23" s="55"/>
      <c r="J23" s="53"/>
      <c r="K23" s="53"/>
      <c r="L23" s="53"/>
      <c r="M23" s="53"/>
      <c r="N23" s="53"/>
      <c r="O23" s="53"/>
      <c r="P23" s="8">
        <f t="shared" si="0"/>
        <v>0</v>
      </c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2"/>
      <c r="AB23" s="7">
        <f t="shared" si="1"/>
        <v>0</v>
      </c>
      <c r="AC23" s="8">
        <v>0</v>
      </c>
      <c r="AD23" s="8">
        <v>0</v>
      </c>
      <c r="AE23" s="8" t="s">
        <v>152</v>
      </c>
      <c r="AF23" s="8">
        <v>0</v>
      </c>
      <c r="AG23"/>
    </row>
    <row r="24" spans="2:36" x14ac:dyDescent="0.25">
      <c r="B24" s="18">
        <v>19</v>
      </c>
      <c r="C24" s="53" t="s">
        <v>24</v>
      </c>
      <c r="D24" s="53" t="s">
        <v>129</v>
      </c>
      <c r="E24" s="53" t="s">
        <v>43</v>
      </c>
      <c r="F24" s="54">
        <v>0.5</v>
      </c>
      <c r="G24" s="53">
        <v>2.8000000000000001E-2</v>
      </c>
      <c r="H24" s="55"/>
      <c r="I24" s="55"/>
      <c r="J24" s="53"/>
      <c r="K24" s="53"/>
      <c r="L24" s="53"/>
      <c r="M24" s="53"/>
      <c r="N24" s="53"/>
      <c r="O24" s="53"/>
      <c r="P24" s="8">
        <f t="shared" si="0"/>
        <v>0</v>
      </c>
      <c r="Q24" s="57"/>
      <c r="R24" s="57"/>
      <c r="S24" s="57"/>
      <c r="T24" s="57"/>
      <c r="U24" s="57"/>
      <c r="V24" s="57"/>
      <c r="W24" s="60"/>
      <c r="X24" s="57"/>
      <c r="Y24" s="57"/>
      <c r="Z24" s="57"/>
      <c r="AA24" s="2"/>
      <c r="AB24" s="7">
        <f t="shared" si="1"/>
        <v>0</v>
      </c>
      <c r="AC24" s="8">
        <v>0</v>
      </c>
      <c r="AD24" s="8">
        <v>0</v>
      </c>
      <c r="AE24" s="8" t="s">
        <v>152</v>
      </c>
      <c r="AF24" s="8">
        <v>0</v>
      </c>
      <c r="AG24"/>
    </row>
    <row r="25" spans="2:36" x14ac:dyDescent="0.25">
      <c r="B25" s="18">
        <v>20</v>
      </c>
      <c r="C25" s="53" t="s">
        <v>24</v>
      </c>
      <c r="D25" s="53" t="s">
        <v>129</v>
      </c>
      <c r="E25" s="53" t="s">
        <v>44</v>
      </c>
      <c r="F25" s="54">
        <v>0.5</v>
      </c>
      <c r="G25" s="53">
        <v>2.8000000000000001E-2</v>
      </c>
      <c r="H25" s="55"/>
      <c r="I25" s="55"/>
      <c r="J25" s="53"/>
      <c r="K25" s="53"/>
      <c r="L25" s="53"/>
      <c r="M25" s="53"/>
      <c r="N25" s="53"/>
      <c r="O25" s="53"/>
      <c r="P25" s="8">
        <f t="shared" si="0"/>
        <v>0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2"/>
      <c r="AB25" s="7">
        <f t="shared" si="1"/>
        <v>0</v>
      </c>
      <c r="AC25" s="8">
        <v>0</v>
      </c>
      <c r="AD25" s="8">
        <v>0</v>
      </c>
      <c r="AE25" s="8" t="s">
        <v>152</v>
      </c>
      <c r="AF25" s="8">
        <v>0</v>
      </c>
      <c r="AG25"/>
    </row>
    <row r="26" spans="2:36" x14ac:dyDescent="0.25">
      <c r="B26" s="18">
        <v>21</v>
      </c>
      <c r="C26" s="53" t="s">
        <v>24</v>
      </c>
      <c r="D26" s="53" t="s">
        <v>129</v>
      </c>
      <c r="E26" s="53" t="s">
        <v>45</v>
      </c>
      <c r="F26" s="54">
        <v>0.5</v>
      </c>
      <c r="G26" s="53">
        <v>2.8000000000000001E-2</v>
      </c>
      <c r="H26" s="55"/>
      <c r="I26" s="55"/>
      <c r="J26" s="53"/>
      <c r="K26" s="53"/>
      <c r="L26" s="53"/>
      <c r="M26" s="53"/>
      <c r="N26" s="53"/>
      <c r="O26" s="53"/>
      <c r="P26" s="8">
        <f t="shared" si="0"/>
        <v>0</v>
      </c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2"/>
      <c r="AB26" s="7">
        <f t="shared" si="1"/>
        <v>0</v>
      </c>
      <c r="AC26" s="8">
        <v>0</v>
      </c>
      <c r="AD26" s="8">
        <v>0</v>
      </c>
      <c r="AE26" s="8" t="s">
        <v>152</v>
      </c>
      <c r="AF26" s="8">
        <v>0</v>
      </c>
      <c r="AG26"/>
    </row>
    <row r="27" spans="2:36" x14ac:dyDescent="0.25">
      <c r="B27" s="18">
        <v>22</v>
      </c>
      <c r="C27" s="53" t="s">
        <v>24</v>
      </c>
      <c r="D27" s="53" t="s">
        <v>129</v>
      </c>
      <c r="E27" s="53" t="s">
        <v>46</v>
      </c>
      <c r="F27" s="54">
        <v>0.5</v>
      </c>
      <c r="G27" s="53">
        <v>2.8000000000000001E-2</v>
      </c>
      <c r="H27" s="55"/>
      <c r="I27" s="55"/>
      <c r="J27" s="53"/>
      <c r="K27" s="53"/>
      <c r="L27" s="53"/>
      <c r="M27" s="53"/>
      <c r="N27" s="53"/>
      <c r="O27" s="53"/>
      <c r="P27" s="8">
        <f t="shared" si="0"/>
        <v>0</v>
      </c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2"/>
      <c r="AB27" s="7">
        <f t="shared" si="1"/>
        <v>0</v>
      </c>
      <c r="AC27" s="8">
        <v>0</v>
      </c>
      <c r="AD27" s="8">
        <v>0</v>
      </c>
      <c r="AE27" s="8" t="s">
        <v>152</v>
      </c>
      <c r="AF27" s="8">
        <v>0</v>
      </c>
      <c r="AG27"/>
    </row>
    <row r="28" spans="2:36" x14ac:dyDescent="0.25">
      <c r="B28" s="18">
        <v>23</v>
      </c>
      <c r="C28" s="53" t="s">
        <v>24</v>
      </c>
      <c r="D28" s="53" t="s">
        <v>129</v>
      </c>
      <c r="E28" s="53" t="s">
        <v>47</v>
      </c>
      <c r="F28" s="54">
        <v>0.5</v>
      </c>
      <c r="G28" s="53">
        <v>2.8000000000000001E-2</v>
      </c>
      <c r="H28" s="55"/>
      <c r="I28" s="55"/>
      <c r="J28" s="53"/>
      <c r="K28" s="53"/>
      <c r="L28" s="53"/>
      <c r="M28" s="53"/>
      <c r="N28" s="53"/>
      <c r="O28" s="53"/>
      <c r="P28" s="8">
        <f t="shared" si="0"/>
        <v>0</v>
      </c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2"/>
      <c r="AB28" s="7">
        <f t="shared" si="1"/>
        <v>0</v>
      </c>
      <c r="AC28" s="8">
        <v>0</v>
      </c>
      <c r="AD28" s="8">
        <v>0</v>
      </c>
      <c r="AE28" s="8" t="s">
        <v>152</v>
      </c>
      <c r="AF28" s="8">
        <v>0</v>
      </c>
      <c r="AG28"/>
    </row>
    <row r="29" spans="2:36" x14ac:dyDescent="0.25">
      <c r="B29" s="18">
        <v>24</v>
      </c>
      <c r="C29" s="53" t="s">
        <v>24</v>
      </c>
      <c r="D29" s="53" t="s">
        <v>129</v>
      </c>
      <c r="E29" s="53" t="s">
        <v>48</v>
      </c>
      <c r="F29" s="54">
        <v>0.5</v>
      </c>
      <c r="G29" s="53">
        <v>2.8000000000000001E-2</v>
      </c>
      <c r="H29" s="55"/>
      <c r="I29" s="55"/>
      <c r="J29" s="53"/>
      <c r="K29" s="53"/>
      <c r="L29" s="53"/>
      <c r="M29" s="53"/>
      <c r="N29" s="53"/>
      <c r="O29" s="53"/>
      <c r="P29" s="8">
        <f t="shared" si="0"/>
        <v>0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2"/>
      <c r="AB29" s="7">
        <f t="shared" si="1"/>
        <v>0</v>
      </c>
      <c r="AC29" s="8">
        <v>0</v>
      </c>
      <c r="AD29" s="8">
        <v>0</v>
      </c>
      <c r="AE29" s="8" t="s">
        <v>152</v>
      </c>
      <c r="AF29" s="8">
        <v>0</v>
      </c>
      <c r="AG29"/>
    </row>
    <row r="30" spans="2:36" x14ac:dyDescent="0.25">
      <c r="B30" s="18">
        <v>25</v>
      </c>
      <c r="C30" s="53" t="s">
        <v>24</v>
      </c>
      <c r="D30" s="53" t="s">
        <v>129</v>
      </c>
      <c r="E30" s="53" t="s">
        <v>49</v>
      </c>
      <c r="F30" s="54">
        <v>0.5</v>
      </c>
      <c r="G30" s="53">
        <v>2.8000000000000001E-2</v>
      </c>
      <c r="H30" s="55"/>
      <c r="I30" s="55"/>
      <c r="J30" s="53"/>
      <c r="K30" s="53"/>
      <c r="L30" s="53"/>
      <c r="M30" s="53"/>
      <c r="N30" s="53"/>
      <c r="O30" s="53"/>
      <c r="P30" s="8">
        <f t="shared" si="0"/>
        <v>0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2"/>
      <c r="AB30" s="7">
        <f t="shared" si="1"/>
        <v>0</v>
      </c>
      <c r="AC30" s="8">
        <v>0</v>
      </c>
      <c r="AD30" s="8">
        <v>0</v>
      </c>
      <c r="AE30" s="8" t="s">
        <v>152</v>
      </c>
      <c r="AF30" s="8">
        <v>0</v>
      </c>
      <c r="AG30"/>
    </row>
    <row r="31" spans="2:36" x14ac:dyDescent="0.25">
      <c r="B31" s="18">
        <v>26</v>
      </c>
      <c r="C31" s="53" t="s">
        <v>24</v>
      </c>
      <c r="D31" s="53" t="s">
        <v>129</v>
      </c>
      <c r="E31" s="53" t="s">
        <v>50</v>
      </c>
      <c r="F31" s="54">
        <v>0.5</v>
      </c>
      <c r="G31" s="53">
        <v>2.8000000000000001E-2</v>
      </c>
      <c r="H31" s="55"/>
      <c r="I31" s="55"/>
      <c r="J31" s="53"/>
      <c r="K31" s="53"/>
      <c r="L31" s="53"/>
      <c r="M31" s="53"/>
      <c r="N31" s="53"/>
      <c r="O31" s="53"/>
      <c r="P31" s="8">
        <f t="shared" si="0"/>
        <v>0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2"/>
      <c r="AB31" s="7">
        <f t="shared" si="1"/>
        <v>0</v>
      </c>
      <c r="AC31" s="8">
        <v>0</v>
      </c>
      <c r="AD31" s="8">
        <v>0</v>
      </c>
      <c r="AE31" s="8" t="s">
        <v>152</v>
      </c>
      <c r="AF31" s="8">
        <v>0</v>
      </c>
      <c r="AG31"/>
    </row>
    <row r="32" spans="2:36" x14ac:dyDescent="0.25">
      <c r="B32" s="18">
        <v>27</v>
      </c>
      <c r="C32" s="53" t="s">
        <v>24</v>
      </c>
      <c r="D32" s="53" t="s">
        <v>129</v>
      </c>
      <c r="E32" s="53" t="s">
        <v>51</v>
      </c>
      <c r="F32" s="54">
        <v>0.5</v>
      </c>
      <c r="G32" s="53">
        <v>2.8000000000000001E-2</v>
      </c>
      <c r="H32" s="55"/>
      <c r="I32" s="55"/>
      <c r="J32" s="53"/>
      <c r="K32" s="53"/>
      <c r="L32" s="53"/>
      <c r="M32" s="53"/>
      <c r="N32" s="53"/>
      <c r="O32" s="53"/>
      <c r="P32" s="8">
        <f t="shared" si="0"/>
        <v>0</v>
      </c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2"/>
      <c r="AB32" s="7">
        <f t="shared" si="1"/>
        <v>0</v>
      </c>
      <c r="AC32" s="8">
        <v>0</v>
      </c>
      <c r="AD32" s="8">
        <v>0</v>
      </c>
      <c r="AE32" s="8" t="s">
        <v>152</v>
      </c>
      <c r="AF32" s="8">
        <v>0</v>
      </c>
      <c r="AG32"/>
    </row>
    <row r="33" spans="2:33" x14ac:dyDescent="0.25">
      <c r="B33" s="18">
        <v>28</v>
      </c>
      <c r="C33" s="53" t="s">
        <v>24</v>
      </c>
      <c r="D33" s="53" t="s">
        <v>129</v>
      </c>
      <c r="E33" s="53" t="s">
        <v>52</v>
      </c>
      <c r="F33" s="54">
        <v>0.5</v>
      </c>
      <c r="G33" s="53">
        <v>2.8000000000000001E-2</v>
      </c>
      <c r="H33" s="55"/>
      <c r="I33" s="55"/>
      <c r="J33" s="53"/>
      <c r="K33" s="53"/>
      <c r="L33" s="53"/>
      <c r="M33" s="53"/>
      <c r="N33" s="53"/>
      <c r="O33" s="53"/>
      <c r="P33" s="8">
        <f t="shared" si="0"/>
        <v>0</v>
      </c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2"/>
      <c r="AB33" s="7">
        <f t="shared" si="1"/>
        <v>0</v>
      </c>
      <c r="AC33" s="8">
        <v>0</v>
      </c>
      <c r="AD33" s="8">
        <v>0</v>
      </c>
      <c r="AE33" s="8" t="s">
        <v>152</v>
      </c>
      <c r="AF33" s="8">
        <v>0</v>
      </c>
      <c r="AG33"/>
    </row>
    <row r="34" spans="2:33" x14ac:dyDescent="0.25">
      <c r="B34" s="18">
        <v>29</v>
      </c>
      <c r="C34" s="53" t="s">
        <v>24</v>
      </c>
      <c r="D34" s="53" t="s">
        <v>129</v>
      </c>
      <c r="E34" s="53" t="s">
        <v>53</v>
      </c>
      <c r="F34" s="54">
        <v>0.5</v>
      </c>
      <c r="G34" s="53">
        <v>2.8000000000000001E-2</v>
      </c>
      <c r="H34" s="55"/>
      <c r="I34" s="55"/>
      <c r="J34" s="53"/>
      <c r="K34" s="53"/>
      <c r="L34" s="53"/>
      <c r="M34" s="53"/>
      <c r="N34" s="53"/>
      <c r="O34" s="53"/>
      <c r="P34" s="8">
        <f t="shared" si="0"/>
        <v>0</v>
      </c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2"/>
      <c r="AB34" s="7">
        <f t="shared" si="1"/>
        <v>0</v>
      </c>
      <c r="AC34" s="8">
        <v>0</v>
      </c>
      <c r="AD34" s="8">
        <v>0</v>
      </c>
      <c r="AE34" s="8" t="s">
        <v>152</v>
      </c>
      <c r="AF34" s="8">
        <v>0</v>
      </c>
      <c r="AG34"/>
    </row>
    <row r="35" spans="2:33" x14ac:dyDescent="0.25">
      <c r="B35" s="18">
        <v>30</v>
      </c>
      <c r="C35" s="53" t="s">
        <v>24</v>
      </c>
      <c r="D35" s="53" t="s">
        <v>129</v>
      </c>
      <c r="E35" s="53" t="s">
        <v>54</v>
      </c>
      <c r="F35" s="54">
        <v>0.5</v>
      </c>
      <c r="G35" s="53">
        <v>2.8000000000000001E-2</v>
      </c>
      <c r="H35" s="55"/>
      <c r="I35" s="55"/>
      <c r="J35" s="53"/>
      <c r="K35" s="53"/>
      <c r="L35" s="53"/>
      <c r="M35" s="53"/>
      <c r="N35" s="53"/>
      <c r="O35" s="53"/>
      <c r="P35" s="8">
        <f t="shared" si="0"/>
        <v>0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2"/>
      <c r="AB35" s="7">
        <f t="shared" si="1"/>
        <v>0</v>
      </c>
      <c r="AC35" s="8">
        <v>0</v>
      </c>
      <c r="AD35" s="8">
        <v>0</v>
      </c>
      <c r="AE35" s="8" t="s">
        <v>152</v>
      </c>
      <c r="AF35" s="8">
        <v>0</v>
      </c>
      <c r="AG35"/>
    </row>
    <row r="36" spans="2:33" x14ac:dyDescent="0.25">
      <c r="B36" s="18">
        <v>31</v>
      </c>
      <c r="C36" s="53" t="s">
        <v>24</v>
      </c>
      <c r="D36" s="53" t="s">
        <v>129</v>
      </c>
      <c r="E36" s="53" t="s">
        <v>55</v>
      </c>
      <c r="F36" s="54">
        <v>0.625</v>
      </c>
      <c r="G36" s="53">
        <v>3.5000000000000003E-2</v>
      </c>
      <c r="H36" s="55"/>
      <c r="I36" s="55"/>
      <c r="J36" s="53"/>
      <c r="K36" s="53"/>
      <c r="L36" s="53"/>
      <c r="M36" s="53"/>
      <c r="N36" s="53"/>
      <c r="O36" s="53"/>
      <c r="P36" s="8">
        <f t="shared" si="0"/>
        <v>0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2"/>
      <c r="AB36" s="7">
        <f t="shared" si="1"/>
        <v>0</v>
      </c>
      <c r="AC36" s="8" t="s">
        <v>149</v>
      </c>
      <c r="AD36" s="8">
        <v>200</v>
      </c>
      <c r="AE36" s="8" t="s">
        <v>152</v>
      </c>
      <c r="AF36" s="8">
        <f t="shared" ref="AF36:AF45" si="3">+SUM(J36:O36)/AD36</f>
        <v>0</v>
      </c>
      <c r="AG36"/>
    </row>
    <row r="37" spans="2:33" x14ac:dyDescent="0.25">
      <c r="B37" s="18">
        <v>32</v>
      </c>
      <c r="C37" s="53" t="s">
        <v>24</v>
      </c>
      <c r="D37" s="53" t="s">
        <v>129</v>
      </c>
      <c r="E37" s="53" t="s">
        <v>56</v>
      </c>
      <c r="F37" s="54">
        <v>0.625</v>
      </c>
      <c r="G37" s="53">
        <v>3.5000000000000003E-2</v>
      </c>
      <c r="H37" s="55"/>
      <c r="I37" s="55"/>
      <c r="J37" s="53"/>
      <c r="K37" s="53"/>
      <c r="L37" s="53"/>
      <c r="M37" s="53"/>
      <c r="N37" s="53"/>
      <c r="O37" s="53"/>
      <c r="P37" s="8">
        <f t="shared" si="0"/>
        <v>-660</v>
      </c>
      <c r="Q37" s="57"/>
      <c r="R37" s="57"/>
      <c r="S37" s="57"/>
      <c r="T37" s="57"/>
      <c r="U37" s="57"/>
      <c r="V37" s="57"/>
      <c r="W37" s="61">
        <v>60</v>
      </c>
      <c r="X37" s="61">
        <v>600</v>
      </c>
      <c r="Y37" s="57"/>
      <c r="Z37" s="57"/>
      <c r="AA37" s="2"/>
      <c r="AB37" s="7">
        <f t="shared" si="1"/>
        <v>0</v>
      </c>
      <c r="AC37" s="8" t="s">
        <v>149</v>
      </c>
      <c r="AD37" s="8">
        <v>100</v>
      </c>
      <c r="AE37" s="8" t="s">
        <v>152</v>
      </c>
      <c r="AF37" s="8">
        <f t="shared" si="3"/>
        <v>0</v>
      </c>
      <c r="AG37"/>
    </row>
    <row r="38" spans="2:33" x14ac:dyDescent="0.25">
      <c r="B38" s="18">
        <v>33</v>
      </c>
      <c r="C38" s="53" t="s">
        <v>24</v>
      </c>
      <c r="D38" s="53" t="s">
        <v>129</v>
      </c>
      <c r="E38" s="53" t="s">
        <v>57</v>
      </c>
      <c r="F38" s="54">
        <v>0.625</v>
      </c>
      <c r="G38" s="53">
        <v>3.5000000000000003E-2</v>
      </c>
      <c r="H38" s="55"/>
      <c r="I38" s="55"/>
      <c r="J38" s="53"/>
      <c r="K38" s="53"/>
      <c r="L38" s="53"/>
      <c r="M38" s="53"/>
      <c r="N38" s="53"/>
      <c r="O38" s="53"/>
      <c r="P38" s="8">
        <f t="shared" ref="P38:P69" si="4">+J38+K38+L38+M38+N38+O38-SUM(Q38:AA38)</f>
        <v>0</v>
      </c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2"/>
      <c r="AB38" s="7">
        <f t="shared" ref="AB38:AB69" si="5">+H38*SUM(J38:O38)</f>
        <v>0</v>
      </c>
      <c r="AC38" s="8" t="s">
        <v>149</v>
      </c>
      <c r="AD38" s="8">
        <v>100</v>
      </c>
      <c r="AE38" s="8" t="s">
        <v>152</v>
      </c>
      <c r="AF38" s="8">
        <f t="shared" si="3"/>
        <v>0</v>
      </c>
      <c r="AG38"/>
    </row>
    <row r="39" spans="2:33" x14ac:dyDescent="0.25">
      <c r="B39" s="18">
        <v>34</v>
      </c>
      <c r="C39" s="53" t="s">
        <v>24</v>
      </c>
      <c r="D39" s="53" t="s">
        <v>129</v>
      </c>
      <c r="E39" s="53" t="s">
        <v>58</v>
      </c>
      <c r="F39" s="54">
        <v>0.75</v>
      </c>
      <c r="G39" s="53">
        <v>3.5000000000000003E-2</v>
      </c>
      <c r="H39" s="55"/>
      <c r="I39" s="55"/>
      <c r="J39" s="53"/>
      <c r="K39" s="53"/>
      <c r="L39" s="53"/>
      <c r="M39" s="53"/>
      <c r="N39" s="53"/>
      <c r="O39" s="53"/>
      <c r="P39" s="8">
        <f t="shared" si="4"/>
        <v>0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2"/>
      <c r="AB39" s="7">
        <f t="shared" si="5"/>
        <v>0</v>
      </c>
      <c r="AC39" s="8" t="s">
        <v>150</v>
      </c>
      <c r="AD39" s="8">
        <v>2000</v>
      </c>
      <c r="AE39" s="8" t="s">
        <v>152</v>
      </c>
      <c r="AF39" s="8">
        <f t="shared" si="3"/>
        <v>0</v>
      </c>
      <c r="AG39"/>
    </row>
    <row r="40" spans="2:33" x14ac:dyDescent="0.25">
      <c r="B40" s="18">
        <v>35</v>
      </c>
      <c r="C40" s="53" t="s">
        <v>24</v>
      </c>
      <c r="D40" s="53" t="s">
        <v>129</v>
      </c>
      <c r="E40" s="53" t="s">
        <v>59</v>
      </c>
      <c r="F40" s="54">
        <v>0.75</v>
      </c>
      <c r="G40" s="53">
        <v>3.5000000000000003E-2</v>
      </c>
      <c r="H40" s="55"/>
      <c r="I40" s="55"/>
      <c r="J40" s="53"/>
      <c r="K40" s="53"/>
      <c r="L40" s="53"/>
      <c r="M40" s="53"/>
      <c r="N40" s="53"/>
      <c r="O40" s="53"/>
      <c r="P40" s="8">
        <f t="shared" si="4"/>
        <v>0</v>
      </c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2"/>
      <c r="AB40" s="7">
        <f t="shared" si="5"/>
        <v>0</v>
      </c>
      <c r="AC40" s="8" t="s">
        <v>150</v>
      </c>
      <c r="AD40" s="8">
        <v>500</v>
      </c>
      <c r="AE40" s="8" t="s">
        <v>152</v>
      </c>
      <c r="AF40" s="8">
        <f t="shared" si="3"/>
        <v>0</v>
      </c>
      <c r="AG40"/>
    </row>
    <row r="41" spans="2:33" x14ac:dyDescent="0.25">
      <c r="B41" s="18">
        <v>36</v>
      </c>
      <c r="C41" s="53" t="s">
        <v>24</v>
      </c>
      <c r="D41" s="53" t="s">
        <v>129</v>
      </c>
      <c r="E41" s="53" t="s">
        <v>60</v>
      </c>
      <c r="F41" s="54">
        <v>0.75</v>
      </c>
      <c r="G41" s="53">
        <v>3.5000000000000003E-2</v>
      </c>
      <c r="H41" s="55"/>
      <c r="I41" s="55"/>
      <c r="J41" s="53"/>
      <c r="K41" s="53"/>
      <c r="L41" s="53"/>
      <c r="M41" s="53"/>
      <c r="N41" s="53"/>
      <c r="O41" s="53"/>
      <c r="P41" s="8">
        <f t="shared" si="4"/>
        <v>0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2"/>
      <c r="AB41" s="7">
        <f t="shared" si="5"/>
        <v>0</v>
      </c>
      <c r="AC41" s="8" t="s">
        <v>150</v>
      </c>
      <c r="AD41" s="8">
        <v>250</v>
      </c>
      <c r="AE41" s="8" t="s">
        <v>152</v>
      </c>
      <c r="AF41" s="8">
        <f t="shared" si="3"/>
        <v>0</v>
      </c>
      <c r="AG41"/>
    </row>
    <row r="42" spans="2:33" x14ac:dyDescent="0.25">
      <c r="B42" s="18">
        <v>37</v>
      </c>
      <c r="C42" s="53" t="s">
        <v>24</v>
      </c>
      <c r="D42" s="53" t="s">
        <v>129</v>
      </c>
      <c r="E42" s="53" t="s">
        <v>61</v>
      </c>
      <c r="F42" s="54">
        <v>0.75</v>
      </c>
      <c r="G42" s="53">
        <v>3.5000000000000003E-2</v>
      </c>
      <c r="H42" s="55"/>
      <c r="I42" s="55"/>
      <c r="J42" s="53"/>
      <c r="K42" s="53"/>
      <c r="L42" s="53"/>
      <c r="M42" s="53"/>
      <c r="N42" s="53"/>
      <c r="O42" s="53"/>
      <c r="P42" s="8">
        <f t="shared" si="4"/>
        <v>0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2"/>
      <c r="AB42" s="7">
        <f t="shared" si="5"/>
        <v>0</v>
      </c>
      <c r="AC42" s="8" t="s">
        <v>150</v>
      </c>
      <c r="AD42" s="8">
        <v>300</v>
      </c>
      <c r="AE42" s="8" t="s">
        <v>152</v>
      </c>
      <c r="AF42" s="8">
        <f t="shared" si="3"/>
        <v>0</v>
      </c>
      <c r="AG42"/>
    </row>
    <row r="43" spans="2:33" x14ac:dyDescent="0.25">
      <c r="B43" s="18">
        <v>38</v>
      </c>
      <c r="C43" s="53" t="s">
        <v>24</v>
      </c>
      <c r="D43" s="53" t="s">
        <v>129</v>
      </c>
      <c r="E43" s="53" t="s">
        <v>62</v>
      </c>
      <c r="F43" s="54">
        <v>0.75</v>
      </c>
      <c r="G43" s="53">
        <v>3.5000000000000003E-2</v>
      </c>
      <c r="H43" s="55"/>
      <c r="I43" s="55"/>
      <c r="J43" s="53"/>
      <c r="K43" s="53"/>
      <c r="L43" s="53"/>
      <c r="M43" s="53"/>
      <c r="N43" s="53"/>
      <c r="O43" s="53"/>
      <c r="P43" s="8">
        <f t="shared" si="4"/>
        <v>0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2"/>
      <c r="AB43" s="7">
        <f t="shared" si="5"/>
        <v>0</v>
      </c>
      <c r="AC43" s="8" t="s">
        <v>150</v>
      </c>
      <c r="AD43" s="8">
        <v>300</v>
      </c>
      <c r="AE43" s="8" t="s">
        <v>152</v>
      </c>
      <c r="AF43" s="8">
        <f t="shared" si="3"/>
        <v>0</v>
      </c>
      <c r="AG43"/>
    </row>
    <row r="44" spans="2:33" x14ac:dyDescent="0.25">
      <c r="B44" s="18">
        <v>39</v>
      </c>
      <c r="C44" s="53" t="s">
        <v>24</v>
      </c>
      <c r="D44" s="53" t="s">
        <v>129</v>
      </c>
      <c r="E44" s="53" t="s">
        <v>63</v>
      </c>
      <c r="F44" s="54">
        <v>0.75</v>
      </c>
      <c r="G44" s="53">
        <v>3.5000000000000003E-2</v>
      </c>
      <c r="H44" s="55"/>
      <c r="I44" s="55"/>
      <c r="J44" s="53"/>
      <c r="K44" s="53"/>
      <c r="L44" s="53"/>
      <c r="M44" s="53"/>
      <c r="N44" s="53"/>
      <c r="O44" s="53"/>
      <c r="P44" s="8">
        <f t="shared" si="4"/>
        <v>0</v>
      </c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2"/>
      <c r="AB44" s="7">
        <f t="shared" si="5"/>
        <v>0</v>
      </c>
      <c r="AC44" s="8" t="s">
        <v>150</v>
      </c>
      <c r="AD44" s="8">
        <v>2000</v>
      </c>
      <c r="AE44" s="8" t="s">
        <v>152</v>
      </c>
      <c r="AF44" s="8">
        <f t="shared" si="3"/>
        <v>0</v>
      </c>
      <c r="AG44"/>
    </row>
    <row r="45" spans="2:33" x14ac:dyDescent="0.25">
      <c r="B45" s="18">
        <v>40</v>
      </c>
      <c r="C45" s="53" t="s">
        <v>24</v>
      </c>
      <c r="D45" s="53" t="s">
        <v>129</v>
      </c>
      <c r="E45" s="53" t="s">
        <v>64</v>
      </c>
      <c r="F45" s="54">
        <v>0.75</v>
      </c>
      <c r="G45" s="53">
        <v>3.5000000000000003E-2</v>
      </c>
      <c r="H45" s="55"/>
      <c r="I45" s="55"/>
      <c r="J45" s="53"/>
      <c r="K45" s="53"/>
      <c r="L45" s="53"/>
      <c r="M45" s="53"/>
      <c r="N45" s="53"/>
      <c r="O45" s="53"/>
      <c r="P45" s="8">
        <f t="shared" si="4"/>
        <v>0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2"/>
      <c r="AB45" s="7">
        <f t="shared" si="5"/>
        <v>0</v>
      </c>
      <c r="AC45" s="8" t="s">
        <v>150</v>
      </c>
      <c r="AD45" s="8">
        <v>1000</v>
      </c>
      <c r="AE45" s="8" t="s">
        <v>152</v>
      </c>
      <c r="AF45" s="8">
        <f t="shared" si="3"/>
        <v>0</v>
      </c>
      <c r="AG45"/>
    </row>
    <row r="46" spans="2:33" x14ac:dyDescent="0.25">
      <c r="B46" s="18">
        <v>41</v>
      </c>
      <c r="C46" s="53" t="s">
        <v>24</v>
      </c>
      <c r="D46" s="53" t="s">
        <v>129</v>
      </c>
      <c r="E46" s="53" t="s">
        <v>65</v>
      </c>
      <c r="F46" s="54">
        <v>0.75</v>
      </c>
      <c r="G46" s="53">
        <v>3.5000000000000003E-2</v>
      </c>
      <c r="H46" s="55"/>
      <c r="I46" s="55"/>
      <c r="J46" s="53"/>
      <c r="K46" s="53"/>
      <c r="L46" s="53"/>
      <c r="M46" s="53"/>
      <c r="N46" s="53"/>
      <c r="O46" s="53"/>
      <c r="P46" s="8">
        <f t="shared" si="4"/>
        <v>0</v>
      </c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2"/>
      <c r="AB46" s="7">
        <f t="shared" si="5"/>
        <v>0</v>
      </c>
      <c r="AC46" s="8">
        <v>0</v>
      </c>
      <c r="AD46" s="8">
        <v>0</v>
      </c>
      <c r="AE46" s="8" t="s">
        <v>152</v>
      </c>
      <c r="AF46" s="8">
        <v>0</v>
      </c>
      <c r="AG46"/>
    </row>
    <row r="47" spans="2:33" x14ac:dyDescent="0.25">
      <c r="B47" s="18">
        <v>42</v>
      </c>
      <c r="C47" s="53" t="s">
        <v>24</v>
      </c>
      <c r="D47" s="53" t="s">
        <v>129</v>
      </c>
      <c r="E47" s="53" t="s">
        <v>66</v>
      </c>
      <c r="F47" s="54">
        <v>0.75</v>
      </c>
      <c r="G47" s="53">
        <v>3.5000000000000003E-2</v>
      </c>
      <c r="H47" s="55"/>
      <c r="I47" s="55"/>
      <c r="J47" s="53"/>
      <c r="K47" s="53"/>
      <c r="L47" s="53"/>
      <c r="M47" s="53"/>
      <c r="N47" s="53"/>
      <c r="O47" s="53"/>
      <c r="P47" s="8">
        <f t="shared" si="4"/>
        <v>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2"/>
      <c r="AB47" s="7">
        <f t="shared" si="5"/>
        <v>0</v>
      </c>
      <c r="AC47" s="8">
        <v>0</v>
      </c>
      <c r="AD47" s="8">
        <v>0</v>
      </c>
      <c r="AE47" s="8" t="s">
        <v>152</v>
      </c>
      <c r="AF47" s="8">
        <v>0</v>
      </c>
      <c r="AG47"/>
    </row>
    <row r="48" spans="2:33" x14ac:dyDescent="0.25">
      <c r="B48" s="18">
        <v>43</v>
      </c>
      <c r="C48" s="53" t="s">
        <v>24</v>
      </c>
      <c r="D48" s="53" t="s">
        <v>129</v>
      </c>
      <c r="E48" s="53" t="s">
        <v>67</v>
      </c>
      <c r="F48" s="54">
        <v>0.75</v>
      </c>
      <c r="G48" s="53">
        <v>3.5000000000000003E-2</v>
      </c>
      <c r="H48" s="55"/>
      <c r="I48" s="55"/>
      <c r="J48" s="53"/>
      <c r="K48" s="53"/>
      <c r="L48" s="53"/>
      <c r="M48" s="53"/>
      <c r="N48" s="53"/>
      <c r="O48" s="53"/>
      <c r="P48" s="8">
        <f t="shared" si="4"/>
        <v>0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2"/>
      <c r="AB48" s="7">
        <f t="shared" si="5"/>
        <v>0</v>
      </c>
      <c r="AC48" s="8">
        <v>0</v>
      </c>
      <c r="AD48" s="8">
        <v>0</v>
      </c>
      <c r="AE48" s="8" t="s">
        <v>152</v>
      </c>
      <c r="AF48" s="8">
        <v>0</v>
      </c>
      <c r="AG48"/>
    </row>
    <row r="49" spans="2:33" x14ac:dyDescent="0.25">
      <c r="B49" s="18">
        <v>44</v>
      </c>
      <c r="C49" s="53" t="s">
        <v>24</v>
      </c>
      <c r="D49" s="53" t="s">
        <v>129</v>
      </c>
      <c r="E49" s="53" t="s">
        <v>68</v>
      </c>
      <c r="F49" s="54">
        <v>0.75</v>
      </c>
      <c r="G49" s="53">
        <v>3.5000000000000003E-2</v>
      </c>
      <c r="H49" s="55"/>
      <c r="I49" s="55"/>
      <c r="J49" s="53"/>
      <c r="K49" s="53"/>
      <c r="L49" s="53"/>
      <c r="M49" s="53"/>
      <c r="N49" s="53"/>
      <c r="O49" s="53"/>
      <c r="P49" s="8">
        <f t="shared" si="4"/>
        <v>0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2"/>
      <c r="AB49" s="7">
        <f t="shared" si="5"/>
        <v>0</v>
      </c>
      <c r="AC49" s="8">
        <v>0</v>
      </c>
      <c r="AD49" s="8">
        <v>0</v>
      </c>
      <c r="AE49" s="8" t="s">
        <v>152</v>
      </c>
      <c r="AF49" s="8">
        <v>0</v>
      </c>
      <c r="AG49"/>
    </row>
    <row r="50" spans="2:33" x14ac:dyDescent="0.25">
      <c r="B50" s="18">
        <v>45</v>
      </c>
      <c r="C50" s="53" t="s">
        <v>24</v>
      </c>
      <c r="D50" s="53" t="s">
        <v>129</v>
      </c>
      <c r="E50" s="53" t="s">
        <v>69</v>
      </c>
      <c r="F50" s="54">
        <v>0.75</v>
      </c>
      <c r="G50" s="53">
        <v>3.5000000000000003E-2</v>
      </c>
      <c r="H50" s="55"/>
      <c r="I50" s="55"/>
      <c r="J50" s="53"/>
      <c r="K50" s="53"/>
      <c r="L50" s="53"/>
      <c r="M50" s="53"/>
      <c r="N50" s="53"/>
      <c r="O50" s="53"/>
      <c r="P50" s="8">
        <f t="shared" si="4"/>
        <v>0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2"/>
      <c r="AB50" s="7">
        <f t="shared" si="5"/>
        <v>0</v>
      </c>
      <c r="AC50" s="8">
        <v>0</v>
      </c>
      <c r="AD50" s="8">
        <v>0</v>
      </c>
      <c r="AE50" s="8" t="s">
        <v>152</v>
      </c>
      <c r="AF50" s="8">
        <v>0</v>
      </c>
      <c r="AG50"/>
    </row>
    <row r="51" spans="2:33" x14ac:dyDescent="0.25">
      <c r="B51" s="18">
        <v>46</v>
      </c>
      <c r="C51" s="53" t="s">
        <v>24</v>
      </c>
      <c r="D51" s="53" t="s">
        <v>129</v>
      </c>
      <c r="E51" s="53" t="s">
        <v>70</v>
      </c>
      <c r="F51" s="54">
        <v>0.75</v>
      </c>
      <c r="G51" s="53">
        <v>3.5000000000000003E-2</v>
      </c>
      <c r="H51" s="55"/>
      <c r="I51" s="55"/>
      <c r="J51" s="53"/>
      <c r="K51" s="53"/>
      <c r="L51" s="53"/>
      <c r="M51" s="53"/>
      <c r="N51" s="53"/>
      <c r="O51" s="53"/>
      <c r="P51" s="8">
        <f t="shared" si="4"/>
        <v>0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2"/>
      <c r="AB51" s="7">
        <f t="shared" si="5"/>
        <v>0</v>
      </c>
      <c r="AC51" s="8">
        <v>0</v>
      </c>
      <c r="AD51" s="8">
        <v>0</v>
      </c>
      <c r="AE51" s="8" t="s">
        <v>152</v>
      </c>
      <c r="AF51" s="8">
        <v>0</v>
      </c>
      <c r="AG51"/>
    </row>
    <row r="52" spans="2:33" x14ac:dyDescent="0.25">
      <c r="B52" s="18">
        <v>47</v>
      </c>
      <c r="C52" s="53" t="s">
        <v>24</v>
      </c>
      <c r="D52" s="53" t="s">
        <v>129</v>
      </c>
      <c r="E52" s="53" t="s">
        <v>71</v>
      </c>
      <c r="F52" s="54">
        <v>0.75</v>
      </c>
      <c r="G52" s="53">
        <v>3.5000000000000003E-2</v>
      </c>
      <c r="H52" s="55"/>
      <c r="I52" s="55"/>
      <c r="J52" s="53"/>
      <c r="K52" s="53"/>
      <c r="L52" s="53"/>
      <c r="M52" s="53"/>
      <c r="N52" s="53"/>
      <c r="O52" s="53"/>
      <c r="P52" s="8">
        <f t="shared" si="4"/>
        <v>0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2"/>
      <c r="AB52" s="7">
        <f t="shared" si="5"/>
        <v>0</v>
      </c>
      <c r="AC52" s="8">
        <v>0</v>
      </c>
      <c r="AD52" s="8">
        <v>0</v>
      </c>
      <c r="AE52" s="8" t="s">
        <v>152</v>
      </c>
      <c r="AF52" s="8">
        <v>0</v>
      </c>
      <c r="AG52"/>
    </row>
    <row r="53" spans="2:33" x14ac:dyDescent="0.25">
      <c r="B53" s="18">
        <v>48</v>
      </c>
      <c r="C53" s="53" t="s">
        <v>24</v>
      </c>
      <c r="D53" s="53" t="s">
        <v>129</v>
      </c>
      <c r="E53" s="53" t="s">
        <v>72</v>
      </c>
      <c r="F53" s="54">
        <v>0.75</v>
      </c>
      <c r="G53" s="53">
        <v>3.5000000000000003E-2</v>
      </c>
      <c r="H53" s="55"/>
      <c r="I53" s="55"/>
      <c r="J53" s="53"/>
      <c r="K53" s="53"/>
      <c r="L53" s="53"/>
      <c r="M53" s="53"/>
      <c r="N53" s="53"/>
      <c r="O53" s="53"/>
      <c r="P53" s="8">
        <f t="shared" si="4"/>
        <v>0</v>
      </c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2"/>
      <c r="AB53" s="7">
        <f t="shared" si="5"/>
        <v>0</v>
      </c>
      <c r="AC53" s="8">
        <v>0</v>
      </c>
      <c r="AD53" s="8">
        <v>0</v>
      </c>
      <c r="AE53" s="8" t="s">
        <v>152</v>
      </c>
      <c r="AF53" s="8">
        <v>0</v>
      </c>
      <c r="AG53"/>
    </row>
    <row r="54" spans="2:33" x14ac:dyDescent="0.25">
      <c r="B54" s="18">
        <v>49</v>
      </c>
      <c r="C54" s="53" t="s">
        <v>24</v>
      </c>
      <c r="D54" s="53" t="s">
        <v>129</v>
      </c>
      <c r="E54" s="53" t="s">
        <v>73</v>
      </c>
      <c r="F54" s="54">
        <v>0.75</v>
      </c>
      <c r="G54" s="53">
        <v>3.5000000000000003E-2</v>
      </c>
      <c r="H54" s="55"/>
      <c r="I54" s="55"/>
      <c r="J54" s="53"/>
      <c r="K54" s="53"/>
      <c r="L54" s="53"/>
      <c r="M54" s="53"/>
      <c r="N54" s="53"/>
      <c r="O54" s="53"/>
      <c r="P54" s="8">
        <f t="shared" si="4"/>
        <v>0</v>
      </c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2"/>
      <c r="AB54" s="7">
        <f t="shared" si="5"/>
        <v>0</v>
      </c>
      <c r="AC54" s="8">
        <v>0</v>
      </c>
      <c r="AD54" s="8">
        <v>0</v>
      </c>
      <c r="AE54" s="8" t="s">
        <v>152</v>
      </c>
      <c r="AF54" s="8">
        <v>0</v>
      </c>
      <c r="AG54"/>
    </row>
    <row r="55" spans="2:33" x14ac:dyDescent="0.25">
      <c r="B55" s="18">
        <v>50</v>
      </c>
      <c r="C55" s="53" t="s">
        <v>24</v>
      </c>
      <c r="D55" s="53" t="s">
        <v>129</v>
      </c>
      <c r="E55" s="53" t="s">
        <v>74</v>
      </c>
      <c r="F55" s="54">
        <v>0.75</v>
      </c>
      <c r="G55" s="53">
        <v>3.5000000000000003E-2</v>
      </c>
      <c r="H55" s="55"/>
      <c r="I55" s="55"/>
      <c r="J55" s="53"/>
      <c r="K55" s="53"/>
      <c r="L55" s="53"/>
      <c r="M55" s="53"/>
      <c r="N55" s="53"/>
      <c r="O55" s="53"/>
      <c r="P55" s="8">
        <f t="shared" si="4"/>
        <v>0</v>
      </c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2"/>
      <c r="AB55" s="7">
        <f t="shared" si="5"/>
        <v>0</v>
      </c>
      <c r="AC55" s="8">
        <v>0</v>
      </c>
      <c r="AD55" s="8">
        <v>0</v>
      </c>
      <c r="AE55" s="8" t="s">
        <v>152</v>
      </c>
      <c r="AF55" s="8">
        <v>0</v>
      </c>
      <c r="AG55"/>
    </row>
    <row r="56" spans="2:33" x14ac:dyDescent="0.25">
      <c r="B56" s="18">
        <v>51</v>
      </c>
      <c r="C56" s="53" t="s">
        <v>24</v>
      </c>
      <c r="D56" s="53" t="s">
        <v>129</v>
      </c>
      <c r="E56" s="53" t="s">
        <v>75</v>
      </c>
      <c r="F56" s="54">
        <v>0.75</v>
      </c>
      <c r="G56" s="53">
        <v>3.5000000000000003E-2</v>
      </c>
      <c r="H56" s="55"/>
      <c r="I56" s="55"/>
      <c r="J56" s="53"/>
      <c r="K56" s="53"/>
      <c r="L56" s="53"/>
      <c r="M56" s="53"/>
      <c r="N56" s="53"/>
      <c r="O56" s="53"/>
      <c r="P56" s="8">
        <f t="shared" si="4"/>
        <v>0</v>
      </c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2"/>
      <c r="AB56" s="7">
        <f t="shared" si="5"/>
        <v>0</v>
      </c>
      <c r="AC56" s="8">
        <v>0</v>
      </c>
      <c r="AD56" s="8">
        <v>0</v>
      </c>
      <c r="AE56" s="8" t="s">
        <v>152</v>
      </c>
      <c r="AF56" s="8">
        <v>0</v>
      </c>
      <c r="AG56"/>
    </row>
    <row r="57" spans="2:33" x14ac:dyDescent="0.25">
      <c r="B57" s="18">
        <v>52</v>
      </c>
      <c r="C57" s="53" t="s">
        <v>24</v>
      </c>
      <c r="D57" s="53" t="s">
        <v>129</v>
      </c>
      <c r="E57" s="53" t="s">
        <v>76</v>
      </c>
      <c r="F57" s="54">
        <v>0.875</v>
      </c>
      <c r="G57" s="53">
        <v>4.4999999999999998E-2</v>
      </c>
      <c r="H57" s="55"/>
      <c r="I57" s="55"/>
      <c r="J57" s="53"/>
      <c r="K57" s="53"/>
      <c r="L57" s="53"/>
      <c r="M57" s="53"/>
      <c r="N57" s="53"/>
      <c r="O57" s="53"/>
      <c r="P57" s="8">
        <f t="shared" si="4"/>
        <v>0</v>
      </c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2"/>
      <c r="AB57" s="7">
        <f t="shared" si="5"/>
        <v>0</v>
      </c>
      <c r="AC57" s="8" t="s">
        <v>150</v>
      </c>
      <c r="AD57" s="8">
        <v>1000</v>
      </c>
      <c r="AE57" s="8" t="s">
        <v>152</v>
      </c>
      <c r="AF57" s="8">
        <f t="shared" ref="AF57:AF63" si="6">+SUM(J57:O57)/AD57</f>
        <v>0</v>
      </c>
      <c r="AG57"/>
    </row>
    <row r="58" spans="2:33" x14ac:dyDescent="0.25">
      <c r="B58" s="18">
        <v>53</v>
      </c>
      <c r="C58" s="53" t="s">
        <v>24</v>
      </c>
      <c r="D58" s="53" t="s">
        <v>129</v>
      </c>
      <c r="E58" s="53" t="s">
        <v>77</v>
      </c>
      <c r="F58" s="54">
        <v>0.875</v>
      </c>
      <c r="G58" s="53">
        <v>4.4999999999999998E-2</v>
      </c>
      <c r="H58" s="55"/>
      <c r="I58" s="55"/>
      <c r="J58" s="53"/>
      <c r="K58" s="53"/>
      <c r="L58" s="53"/>
      <c r="M58" s="53"/>
      <c r="N58" s="53"/>
      <c r="O58" s="53"/>
      <c r="P58" s="8">
        <f t="shared" si="4"/>
        <v>0</v>
      </c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2"/>
      <c r="AB58" s="7">
        <f t="shared" si="5"/>
        <v>0</v>
      </c>
      <c r="AC58" s="8" t="s">
        <v>151</v>
      </c>
      <c r="AD58" s="8">
        <v>200</v>
      </c>
      <c r="AE58" s="8" t="s">
        <v>152</v>
      </c>
      <c r="AF58" s="8">
        <f t="shared" si="6"/>
        <v>0</v>
      </c>
      <c r="AG58"/>
    </row>
    <row r="59" spans="2:33" x14ac:dyDescent="0.25">
      <c r="B59" s="18">
        <v>54</v>
      </c>
      <c r="C59" s="53" t="s">
        <v>24</v>
      </c>
      <c r="D59" s="53" t="s">
        <v>129</v>
      </c>
      <c r="E59" s="53" t="s">
        <v>78</v>
      </c>
      <c r="F59" s="54">
        <v>0.875</v>
      </c>
      <c r="G59" s="53">
        <v>4.4999999999999998E-2</v>
      </c>
      <c r="H59" s="55"/>
      <c r="I59" s="55"/>
      <c r="J59" s="53"/>
      <c r="K59" s="53"/>
      <c r="L59" s="53"/>
      <c r="M59" s="53"/>
      <c r="N59" s="53"/>
      <c r="O59" s="53"/>
      <c r="P59" s="8">
        <f t="shared" si="4"/>
        <v>0</v>
      </c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2"/>
      <c r="AB59" s="7">
        <f t="shared" si="5"/>
        <v>0</v>
      </c>
      <c r="AC59" s="8" t="s">
        <v>150</v>
      </c>
      <c r="AD59" s="8">
        <v>1000</v>
      </c>
      <c r="AE59" s="8" t="s">
        <v>152</v>
      </c>
      <c r="AF59" s="8">
        <f t="shared" si="6"/>
        <v>0</v>
      </c>
      <c r="AG59"/>
    </row>
    <row r="60" spans="2:33" x14ac:dyDescent="0.25">
      <c r="B60" s="18">
        <v>55</v>
      </c>
      <c r="C60" s="53" t="s">
        <v>24</v>
      </c>
      <c r="D60" s="53" t="s">
        <v>129</v>
      </c>
      <c r="E60" s="53" t="s">
        <v>79</v>
      </c>
      <c r="F60" s="54">
        <v>0.875</v>
      </c>
      <c r="G60" s="53">
        <v>4.4999999999999998E-2</v>
      </c>
      <c r="H60" s="55"/>
      <c r="I60" s="55"/>
      <c r="J60" s="53"/>
      <c r="K60" s="53"/>
      <c r="L60" s="53"/>
      <c r="M60" s="53"/>
      <c r="N60" s="53"/>
      <c r="O60" s="53"/>
      <c r="P60" s="8">
        <f t="shared" si="4"/>
        <v>0</v>
      </c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2"/>
      <c r="AB60" s="7">
        <f t="shared" si="5"/>
        <v>0</v>
      </c>
      <c r="AC60" s="8" t="s">
        <v>151</v>
      </c>
      <c r="AD60" s="8">
        <v>500</v>
      </c>
      <c r="AE60" s="8" t="s">
        <v>152</v>
      </c>
      <c r="AF60" s="8">
        <f t="shared" si="6"/>
        <v>0</v>
      </c>
      <c r="AG60"/>
    </row>
    <row r="61" spans="2:33" x14ac:dyDescent="0.25">
      <c r="B61" s="18">
        <v>56</v>
      </c>
      <c r="C61" s="53" t="s">
        <v>24</v>
      </c>
      <c r="D61" s="53" t="s">
        <v>129</v>
      </c>
      <c r="E61" s="53" t="s">
        <v>80</v>
      </c>
      <c r="F61" s="54">
        <v>0.875</v>
      </c>
      <c r="G61" s="53">
        <v>4.4999999999999998E-2</v>
      </c>
      <c r="H61" s="55"/>
      <c r="I61" s="55"/>
      <c r="J61" s="53"/>
      <c r="K61" s="53"/>
      <c r="L61" s="53"/>
      <c r="M61" s="53"/>
      <c r="N61" s="53"/>
      <c r="O61" s="53"/>
      <c r="P61" s="8">
        <f t="shared" si="4"/>
        <v>0</v>
      </c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2"/>
      <c r="AB61" s="7">
        <f t="shared" si="5"/>
        <v>0</v>
      </c>
      <c r="AC61" s="8" t="s">
        <v>150</v>
      </c>
      <c r="AD61" s="8">
        <v>1000</v>
      </c>
      <c r="AE61" s="8" t="s">
        <v>152</v>
      </c>
      <c r="AF61" s="8">
        <f t="shared" si="6"/>
        <v>0</v>
      </c>
      <c r="AG61"/>
    </row>
    <row r="62" spans="2:33" x14ac:dyDescent="0.25">
      <c r="B62" s="18">
        <v>57</v>
      </c>
      <c r="C62" s="53" t="s">
        <v>24</v>
      </c>
      <c r="D62" s="53" t="s">
        <v>129</v>
      </c>
      <c r="E62" s="53" t="s">
        <v>81</v>
      </c>
      <c r="F62" s="54">
        <v>0.875</v>
      </c>
      <c r="G62" s="53">
        <v>4.4999999999999998E-2</v>
      </c>
      <c r="H62" s="55"/>
      <c r="I62" s="55"/>
      <c r="J62" s="53"/>
      <c r="K62" s="53"/>
      <c r="L62" s="53"/>
      <c r="M62" s="53"/>
      <c r="N62" s="53"/>
      <c r="O62" s="53"/>
      <c r="P62" s="8">
        <f t="shared" si="4"/>
        <v>0</v>
      </c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2"/>
      <c r="AB62" s="7">
        <f t="shared" si="5"/>
        <v>0</v>
      </c>
      <c r="AC62" s="8" t="s">
        <v>151</v>
      </c>
      <c r="AD62" s="8">
        <v>200</v>
      </c>
      <c r="AE62" s="8" t="s">
        <v>152</v>
      </c>
      <c r="AF62" s="8">
        <f t="shared" si="6"/>
        <v>0</v>
      </c>
      <c r="AG62"/>
    </row>
    <row r="63" spans="2:33" x14ac:dyDescent="0.25">
      <c r="B63" s="18">
        <v>58</v>
      </c>
      <c r="C63" s="53" t="s">
        <v>24</v>
      </c>
      <c r="D63" s="53" t="s">
        <v>129</v>
      </c>
      <c r="E63" s="53" t="s">
        <v>82</v>
      </c>
      <c r="F63" s="54">
        <v>0.875</v>
      </c>
      <c r="G63" s="53">
        <v>4.4999999999999998E-2</v>
      </c>
      <c r="H63" s="55"/>
      <c r="I63" s="55"/>
      <c r="J63" s="53"/>
      <c r="K63" s="53"/>
      <c r="L63" s="53"/>
      <c r="M63" s="53"/>
      <c r="N63" s="53"/>
      <c r="O63" s="53"/>
      <c r="P63" s="8">
        <f t="shared" si="4"/>
        <v>0</v>
      </c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2"/>
      <c r="AB63" s="7">
        <f t="shared" si="5"/>
        <v>0</v>
      </c>
      <c r="AC63" s="8" t="s">
        <v>151</v>
      </c>
      <c r="AD63" s="8">
        <v>500</v>
      </c>
      <c r="AE63" s="8" t="s">
        <v>152</v>
      </c>
      <c r="AF63" s="8">
        <f t="shared" si="6"/>
        <v>0</v>
      </c>
      <c r="AG63"/>
    </row>
    <row r="64" spans="2:33" x14ac:dyDescent="0.25">
      <c r="B64" s="18">
        <v>59</v>
      </c>
      <c r="C64" s="53" t="s">
        <v>24</v>
      </c>
      <c r="D64" s="53" t="s">
        <v>129</v>
      </c>
      <c r="E64" s="53" t="s">
        <v>83</v>
      </c>
      <c r="F64" s="54">
        <v>0.875</v>
      </c>
      <c r="G64" s="53">
        <v>4.4999999999999998E-2</v>
      </c>
      <c r="H64" s="55"/>
      <c r="I64" s="55"/>
      <c r="J64" s="53"/>
      <c r="K64" s="53"/>
      <c r="L64" s="53"/>
      <c r="M64" s="53"/>
      <c r="N64" s="53"/>
      <c r="O64" s="53"/>
      <c r="P64" s="8">
        <f t="shared" si="4"/>
        <v>0</v>
      </c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2"/>
      <c r="AB64" s="7">
        <f t="shared" si="5"/>
        <v>0</v>
      </c>
      <c r="AC64" s="8">
        <v>0</v>
      </c>
      <c r="AD64" s="8">
        <v>0</v>
      </c>
      <c r="AE64" s="8" t="s">
        <v>152</v>
      </c>
      <c r="AF64" s="8">
        <v>0</v>
      </c>
      <c r="AG64"/>
    </row>
    <row r="65" spans="2:33" x14ac:dyDescent="0.25">
      <c r="B65" s="18">
        <v>60</v>
      </c>
      <c r="C65" s="53" t="s">
        <v>24</v>
      </c>
      <c r="D65" s="53" t="s">
        <v>129</v>
      </c>
      <c r="E65" s="53" t="s">
        <v>84</v>
      </c>
      <c r="F65" s="54">
        <v>0.875</v>
      </c>
      <c r="G65" s="53">
        <v>4.4999999999999998E-2</v>
      </c>
      <c r="H65" s="55"/>
      <c r="I65" s="55"/>
      <c r="J65" s="53"/>
      <c r="K65" s="53"/>
      <c r="L65" s="53"/>
      <c r="M65" s="53"/>
      <c r="N65" s="53"/>
      <c r="O65" s="53"/>
      <c r="P65" s="8">
        <f t="shared" si="4"/>
        <v>0</v>
      </c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2"/>
      <c r="AB65" s="7">
        <f t="shared" si="5"/>
        <v>0</v>
      </c>
      <c r="AC65" s="8">
        <v>0</v>
      </c>
      <c r="AD65" s="8">
        <v>0</v>
      </c>
      <c r="AE65" s="8" t="s">
        <v>152</v>
      </c>
      <c r="AF65" s="8">
        <v>0</v>
      </c>
      <c r="AG65"/>
    </row>
    <row r="66" spans="2:33" x14ac:dyDescent="0.25">
      <c r="B66" s="18">
        <v>61</v>
      </c>
      <c r="C66" s="53" t="s">
        <v>24</v>
      </c>
      <c r="D66" s="53" t="s">
        <v>129</v>
      </c>
      <c r="E66" s="53" t="s">
        <v>85</v>
      </c>
      <c r="F66" s="54">
        <v>0.875</v>
      </c>
      <c r="G66" s="53">
        <v>4.4999999999999998E-2</v>
      </c>
      <c r="H66" s="55"/>
      <c r="I66" s="55"/>
      <c r="J66" s="53"/>
      <c r="K66" s="53"/>
      <c r="L66" s="53"/>
      <c r="M66" s="53"/>
      <c r="N66" s="53"/>
      <c r="O66" s="53"/>
      <c r="P66" s="8">
        <f t="shared" si="4"/>
        <v>0</v>
      </c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2"/>
      <c r="AB66" s="7">
        <f t="shared" si="5"/>
        <v>0</v>
      </c>
      <c r="AC66" s="8">
        <v>0</v>
      </c>
      <c r="AD66" s="8">
        <v>0</v>
      </c>
      <c r="AE66" s="8" t="s">
        <v>152</v>
      </c>
      <c r="AF66" s="8">
        <v>0</v>
      </c>
      <c r="AG66"/>
    </row>
    <row r="67" spans="2:33" x14ac:dyDescent="0.25">
      <c r="B67" s="18">
        <v>62</v>
      </c>
      <c r="C67" s="53" t="s">
        <v>24</v>
      </c>
      <c r="D67" s="53" t="s">
        <v>129</v>
      </c>
      <c r="E67" s="53" t="s">
        <v>86</v>
      </c>
      <c r="F67" s="54">
        <v>0.875</v>
      </c>
      <c r="G67" s="53">
        <v>4.4999999999999998E-2</v>
      </c>
      <c r="H67" s="55"/>
      <c r="I67" s="55"/>
      <c r="J67" s="53"/>
      <c r="K67" s="53"/>
      <c r="L67" s="53"/>
      <c r="M67" s="53"/>
      <c r="N67" s="53"/>
      <c r="O67" s="53"/>
      <c r="P67" s="8">
        <f t="shared" si="4"/>
        <v>0</v>
      </c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2"/>
      <c r="AB67" s="7">
        <f t="shared" si="5"/>
        <v>0</v>
      </c>
      <c r="AC67" s="8" t="s">
        <v>151</v>
      </c>
      <c r="AD67" s="8">
        <v>200</v>
      </c>
      <c r="AE67" s="8" t="s">
        <v>152</v>
      </c>
      <c r="AF67" s="8">
        <f>+SUM(J67:O67)/AD67</f>
        <v>0</v>
      </c>
      <c r="AG67"/>
    </row>
    <row r="68" spans="2:33" x14ac:dyDescent="0.25">
      <c r="B68" s="18">
        <v>63</v>
      </c>
      <c r="C68" s="53" t="s">
        <v>24</v>
      </c>
      <c r="D68" s="53" t="s">
        <v>129</v>
      </c>
      <c r="E68" s="53" t="s">
        <v>87</v>
      </c>
      <c r="F68" s="54">
        <v>0.875</v>
      </c>
      <c r="G68" s="53">
        <v>4.4999999999999998E-2</v>
      </c>
      <c r="H68" s="55"/>
      <c r="I68" s="55"/>
      <c r="J68" s="53"/>
      <c r="K68" s="53"/>
      <c r="L68" s="53"/>
      <c r="M68" s="53"/>
      <c r="N68" s="53"/>
      <c r="O68" s="53"/>
      <c r="P68" s="8">
        <f t="shared" si="4"/>
        <v>0</v>
      </c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2"/>
      <c r="AB68" s="7">
        <f t="shared" si="5"/>
        <v>0</v>
      </c>
      <c r="AC68" s="8">
        <v>0</v>
      </c>
      <c r="AD68" s="8">
        <v>0</v>
      </c>
      <c r="AE68" s="8" t="s">
        <v>152</v>
      </c>
      <c r="AF68" s="8">
        <v>0</v>
      </c>
      <c r="AG68"/>
    </row>
    <row r="69" spans="2:33" x14ac:dyDescent="0.25">
      <c r="B69" s="18">
        <v>64</v>
      </c>
      <c r="C69" s="53" t="s">
        <v>24</v>
      </c>
      <c r="D69" s="53" t="s">
        <v>129</v>
      </c>
      <c r="E69" s="53" t="s">
        <v>88</v>
      </c>
      <c r="F69" s="54">
        <v>0.875</v>
      </c>
      <c r="G69" s="53">
        <v>4.4999999999999998E-2</v>
      </c>
      <c r="H69" s="55"/>
      <c r="I69" s="55"/>
      <c r="J69" s="53"/>
      <c r="K69" s="53"/>
      <c r="L69" s="53"/>
      <c r="M69" s="53"/>
      <c r="N69" s="53"/>
      <c r="O69" s="53"/>
      <c r="P69" s="8">
        <f t="shared" si="4"/>
        <v>0</v>
      </c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2"/>
      <c r="AB69" s="7">
        <f t="shared" si="5"/>
        <v>0</v>
      </c>
      <c r="AC69" s="8">
        <v>0</v>
      </c>
      <c r="AD69" s="8">
        <v>0</v>
      </c>
      <c r="AE69" s="8" t="s">
        <v>152</v>
      </c>
      <c r="AF69" s="8">
        <v>0</v>
      </c>
      <c r="AG69"/>
    </row>
    <row r="70" spans="2:33" x14ac:dyDescent="0.25">
      <c r="B70" s="18">
        <v>65</v>
      </c>
      <c r="C70" s="53" t="s">
        <v>24</v>
      </c>
      <c r="D70" s="53" t="s">
        <v>129</v>
      </c>
      <c r="E70" s="53" t="s">
        <v>89</v>
      </c>
      <c r="F70" s="54">
        <v>0.875</v>
      </c>
      <c r="G70" s="53">
        <v>4.4999999999999998E-2</v>
      </c>
      <c r="H70" s="55"/>
      <c r="I70" s="55"/>
      <c r="J70" s="53"/>
      <c r="K70" s="53"/>
      <c r="L70" s="53"/>
      <c r="M70" s="53"/>
      <c r="N70" s="53"/>
      <c r="O70" s="53"/>
      <c r="P70" s="8">
        <f t="shared" ref="P70:P102" si="7">+J70+K70+L70+M70+N70+O70-SUM(Q70:AA70)</f>
        <v>0</v>
      </c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2"/>
      <c r="AB70" s="7">
        <f t="shared" ref="AB70:AB101" si="8">+H70*SUM(J70:O70)</f>
        <v>0</v>
      </c>
      <c r="AC70" s="8" t="s">
        <v>151</v>
      </c>
      <c r="AD70" s="8">
        <v>200</v>
      </c>
      <c r="AE70" s="8" t="s">
        <v>152</v>
      </c>
      <c r="AF70" s="8">
        <f>+SUM(J70:O70)/AD70</f>
        <v>0</v>
      </c>
      <c r="AG70"/>
    </row>
    <row r="71" spans="2:33" x14ac:dyDescent="0.25">
      <c r="B71" s="18">
        <v>66</v>
      </c>
      <c r="C71" s="53" t="s">
        <v>24</v>
      </c>
      <c r="D71" s="53" t="s">
        <v>129</v>
      </c>
      <c r="E71" s="53" t="s">
        <v>90</v>
      </c>
      <c r="F71" s="54">
        <v>0.875</v>
      </c>
      <c r="G71" s="53">
        <v>4.4999999999999998E-2</v>
      </c>
      <c r="H71" s="55"/>
      <c r="I71" s="55"/>
      <c r="J71" s="53"/>
      <c r="K71" s="53"/>
      <c r="L71" s="53"/>
      <c r="M71" s="53"/>
      <c r="N71" s="53"/>
      <c r="O71" s="53"/>
      <c r="P71" s="8">
        <f t="shared" si="7"/>
        <v>0</v>
      </c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2"/>
      <c r="AB71" s="7">
        <f t="shared" si="8"/>
        <v>0</v>
      </c>
      <c r="AC71" s="8" t="s">
        <v>151</v>
      </c>
      <c r="AD71" s="8">
        <v>500</v>
      </c>
      <c r="AE71" s="8" t="s">
        <v>152</v>
      </c>
      <c r="AF71" s="8">
        <f>+SUM(J71:O71)/AD71</f>
        <v>0</v>
      </c>
      <c r="AG71"/>
    </row>
    <row r="72" spans="2:33" x14ac:dyDescent="0.25">
      <c r="B72" s="18">
        <v>67</v>
      </c>
      <c r="C72" s="53" t="s">
        <v>24</v>
      </c>
      <c r="D72" s="53" t="s">
        <v>129</v>
      </c>
      <c r="E72" s="53" t="s">
        <v>91</v>
      </c>
      <c r="F72" s="54">
        <v>0.875</v>
      </c>
      <c r="G72" s="53">
        <v>4.4999999999999998E-2</v>
      </c>
      <c r="H72" s="55"/>
      <c r="I72" s="55"/>
      <c r="J72" s="53"/>
      <c r="K72" s="53"/>
      <c r="L72" s="53"/>
      <c r="M72" s="53"/>
      <c r="N72" s="53"/>
      <c r="O72" s="53"/>
      <c r="P72" s="8">
        <f t="shared" si="7"/>
        <v>0</v>
      </c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2"/>
      <c r="AB72" s="7">
        <f t="shared" si="8"/>
        <v>0</v>
      </c>
      <c r="AC72" s="8" t="s">
        <v>151</v>
      </c>
      <c r="AD72" s="8">
        <v>200</v>
      </c>
      <c r="AE72" s="8" t="s">
        <v>152</v>
      </c>
      <c r="AF72" s="8">
        <f>+SUM(J72:O72)/AD72</f>
        <v>0</v>
      </c>
      <c r="AG72"/>
    </row>
    <row r="73" spans="2:33" x14ac:dyDescent="0.25">
      <c r="B73" s="18">
        <v>68</v>
      </c>
      <c r="C73" s="53" t="s">
        <v>24</v>
      </c>
      <c r="D73" s="53" t="s">
        <v>129</v>
      </c>
      <c r="E73" s="53" t="s">
        <v>92</v>
      </c>
      <c r="F73" s="54">
        <v>0.875</v>
      </c>
      <c r="G73" s="53">
        <v>4.4999999999999998E-2</v>
      </c>
      <c r="H73" s="55"/>
      <c r="I73" s="55"/>
      <c r="J73" s="53"/>
      <c r="K73" s="53"/>
      <c r="L73" s="53"/>
      <c r="M73" s="53"/>
      <c r="N73" s="53"/>
      <c r="O73" s="53"/>
      <c r="P73" s="8">
        <f t="shared" si="7"/>
        <v>0</v>
      </c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2"/>
      <c r="AB73" s="7">
        <f t="shared" si="8"/>
        <v>0</v>
      </c>
      <c r="AC73" s="8">
        <v>0</v>
      </c>
      <c r="AD73" s="8">
        <v>0</v>
      </c>
      <c r="AE73" s="8" t="s">
        <v>152</v>
      </c>
      <c r="AF73" s="8">
        <v>0</v>
      </c>
      <c r="AG73"/>
    </row>
    <row r="74" spans="2:33" x14ac:dyDescent="0.25">
      <c r="B74" s="18">
        <v>69</v>
      </c>
      <c r="C74" s="53" t="s">
        <v>24</v>
      </c>
      <c r="D74" s="53" t="s">
        <v>129</v>
      </c>
      <c r="E74" s="53" t="s">
        <v>93</v>
      </c>
      <c r="F74" s="54">
        <v>0.875</v>
      </c>
      <c r="G74" s="53">
        <v>4.4999999999999998E-2</v>
      </c>
      <c r="H74" s="55"/>
      <c r="I74" s="55"/>
      <c r="J74" s="53"/>
      <c r="K74" s="53"/>
      <c r="L74" s="53"/>
      <c r="M74" s="53"/>
      <c r="N74" s="53"/>
      <c r="O74" s="53"/>
      <c r="P74" s="8">
        <f t="shared" si="7"/>
        <v>0</v>
      </c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2"/>
      <c r="AB74" s="7">
        <f t="shared" si="8"/>
        <v>0</v>
      </c>
      <c r="AC74" s="8">
        <v>0</v>
      </c>
      <c r="AD74" s="8">
        <v>0</v>
      </c>
      <c r="AE74" s="8" t="s">
        <v>152</v>
      </c>
      <c r="AF74" s="8">
        <v>0</v>
      </c>
      <c r="AG74"/>
    </row>
    <row r="75" spans="2:33" x14ac:dyDescent="0.25">
      <c r="B75" s="18">
        <v>70</v>
      </c>
      <c r="C75" s="53" t="s">
        <v>24</v>
      </c>
      <c r="D75" s="53" t="s">
        <v>129</v>
      </c>
      <c r="E75" s="53" t="s">
        <v>94</v>
      </c>
      <c r="F75" s="54">
        <v>0.875</v>
      </c>
      <c r="G75" s="53">
        <v>4.4999999999999998E-2</v>
      </c>
      <c r="H75" s="55"/>
      <c r="I75" s="55"/>
      <c r="J75" s="53"/>
      <c r="K75" s="53"/>
      <c r="L75" s="53"/>
      <c r="M75" s="53"/>
      <c r="N75" s="53"/>
      <c r="O75" s="53"/>
      <c r="P75" s="8">
        <f t="shared" si="7"/>
        <v>0</v>
      </c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2"/>
      <c r="AB75" s="7">
        <f t="shared" si="8"/>
        <v>0</v>
      </c>
      <c r="AC75" s="8">
        <v>0</v>
      </c>
      <c r="AD75" s="8">
        <v>0</v>
      </c>
      <c r="AE75" s="8" t="s">
        <v>152</v>
      </c>
      <c r="AF75" s="8">
        <v>0</v>
      </c>
      <c r="AG75"/>
    </row>
    <row r="76" spans="2:33" x14ac:dyDescent="0.25">
      <c r="B76" s="18">
        <v>71</v>
      </c>
      <c r="C76" s="53" t="s">
        <v>24</v>
      </c>
      <c r="D76" s="53" t="s">
        <v>129</v>
      </c>
      <c r="E76" s="53" t="s">
        <v>95</v>
      </c>
      <c r="F76" s="54">
        <v>0.875</v>
      </c>
      <c r="G76" s="53">
        <v>4.4999999999999998E-2</v>
      </c>
      <c r="H76" s="55"/>
      <c r="I76" s="55"/>
      <c r="J76" s="53"/>
      <c r="K76" s="53"/>
      <c r="L76" s="53"/>
      <c r="M76" s="53"/>
      <c r="N76" s="53"/>
      <c r="O76" s="53"/>
      <c r="P76" s="8">
        <f t="shared" si="7"/>
        <v>0</v>
      </c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2"/>
      <c r="AB76" s="7">
        <f t="shared" si="8"/>
        <v>0</v>
      </c>
      <c r="AC76" s="8">
        <v>0</v>
      </c>
      <c r="AD76" s="8">
        <v>0</v>
      </c>
      <c r="AE76" s="8" t="s">
        <v>152</v>
      </c>
      <c r="AF76" s="8">
        <v>0</v>
      </c>
      <c r="AG76"/>
    </row>
    <row r="77" spans="2:33" x14ac:dyDescent="0.25">
      <c r="B77" s="18">
        <v>72</v>
      </c>
      <c r="C77" s="53" t="s">
        <v>24</v>
      </c>
      <c r="D77" s="53" t="s">
        <v>129</v>
      </c>
      <c r="E77" s="53" t="s">
        <v>96</v>
      </c>
      <c r="F77" s="54">
        <v>0.875</v>
      </c>
      <c r="G77" s="53">
        <v>4.4999999999999998E-2</v>
      </c>
      <c r="H77" s="55"/>
      <c r="I77" s="55"/>
      <c r="J77" s="53"/>
      <c r="K77" s="53"/>
      <c r="L77" s="53"/>
      <c r="M77" s="53"/>
      <c r="N77" s="53"/>
      <c r="O77" s="53"/>
      <c r="P77" s="8">
        <f t="shared" si="7"/>
        <v>0</v>
      </c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2"/>
      <c r="AB77" s="7">
        <f t="shared" si="8"/>
        <v>0</v>
      </c>
      <c r="AC77" s="8">
        <v>0</v>
      </c>
      <c r="AD77" s="8">
        <v>0</v>
      </c>
      <c r="AE77" s="8" t="s">
        <v>152</v>
      </c>
      <c r="AF77" s="8">
        <v>0</v>
      </c>
      <c r="AG77"/>
    </row>
    <row r="78" spans="2:33" x14ac:dyDescent="0.25">
      <c r="B78" s="18">
        <v>73</v>
      </c>
      <c r="C78" s="53" t="s">
        <v>24</v>
      </c>
      <c r="D78" s="53" t="s">
        <v>129</v>
      </c>
      <c r="E78" s="53" t="s">
        <v>97</v>
      </c>
      <c r="F78" s="54">
        <v>0.875</v>
      </c>
      <c r="G78" s="53">
        <v>4.4999999999999998E-2</v>
      </c>
      <c r="H78" s="55"/>
      <c r="I78" s="55"/>
      <c r="J78" s="53"/>
      <c r="K78" s="53"/>
      <c r="L78" s="53"/>
      <c r="M78" s="53"/>
      <c r="N78" s="53"/>
      <c r="O78" s="53"/>
      <c r="P78" s="8">
        <f t="shared" si="7"/>
        <v>0</v>
      </c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2"/>
      <c r="AB78" s="7">
        <f t="shared" si="8"/>
        <v>0</v>
      </c>
      <c r="AC78" s="8">
        <v>0</v>
      </c>
      <c r="AD78" s="8">
        <v>0</v>
      </c>
      <c r="AE78" s="8" t="s">
        <v>152</v>
      </c>
      <c r="AF78" s="8">
        <v>0</v>
      </c>
      <c r="AG78"/>
    </row>
    <row r="79" spans="2:33" x14ac:dyDescent="0.25">
      <c r="B79" s="18">
        <v>74</v>
      </c>
      <c r="C79" s="53" t="s">
        <v>24</v>
      </c>
      <c r="D79" s="53" t="s">
        <v>129</v>
      </c>
      <c r="E79" s="53" t="s">
        <v>98</v>
      </c>
      <c r="F79" s="54">
        <v>0.875</v>
      </c>
      <c r="G79" s="53">
        <v>4.4999999999999998E-2</v>
      </c>
      <c r="H79" s="55"/>
      <c r="I79" s="55"/>
      <c r="J79" s="53"/>
      <c r="K79" s="53"/>
      <c r="L79" s="53"/>
      <c r="M79" s="53"/>
      <c r="N79" s="53"/>
      <c r="O79" s="53"/>
      <c r="P79" s="8">
        <f t="shared" si="7"/>
        <v>0</v>
      </c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2"/>
      <c r="AB79" s="7">
        <f t="shared" si="8"/>
        <v>0</v>
      </c>
      <c r="AC79" s="8">
        <v>0</v>
      </c>
      <c r="AD79" s="8">
        <v>0</v>
      </c>
      <c r="AE79" s="8" t="s">
        <v>152</v>
      </c>
      <c r="AF79" s="8">
        <v>0</v>
      </c>
      <c r="AG79"/>
    </row>
    <row r="80" spans="2:33" x14ac:dyDescent="0.25">
      <c r="B80" s="18">
        <v>75</v>
      </c>
      <c r="C80" s="53" t="s">
        <v>24</v>
      </c>
      <c r="D80" s="53" t="s">
        <v>129</v>
      </c>
      <c r="E80" s="53" t="s">
        <v>99</v>
      </c>
      <c r="F80" s="54">
        <v>0.875</v>
      </c>
      <c r="G80" s="53">
        <v>4.4999999999999998E-2</v>
      </c>
      <c r="H80" s="55"/>
      <c r="I80" s="55"/>
      <c r="J80" s="53"/>
      <c r="K80" s="53"/>
      <c r="L80" s="53"/>
      <c r="M80" s="53"/>
      <c r="N80" s="53"/>
      <c r="O80" s="53"/>
      <c r="P80" s="8">
        <f t="shared" si="7"/>
        <v>0</v>
      </c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2"/>
      <c r="AB80" s="7">
        <f t="shared" si="8"/>
        <v>0</v>
      </c>
      <c r="AC80" s="8">
        <v>0</v>
      </c>
      <c r="AD80" s="8">
        <v>0</v>
      </c>
      <c r="AE80" s="8" t="s">
        <v>152</v>
      </c>
      <c r="AF80" s="8">
        <v>0</v>
      </c>
      <c r="AG80"/>
    </row>
    <row r="81" spans="2:33" x14ac:dyDescent="0.25">
      <c r="B81" s="18">
        <v>76</v>
      </c>
      <c r="C81" s="53" t="s">
        <v>24</v>
      </c>
      <c r="D81" s="53" t="s">
        <v>129</v>
      </c>
      <c r="E81" s="53" t="s">
        <v>100</v>
      </c>
      <c r="F81" s="54">
        <v>0.875</v>
      </c>
      <c r="G81" s="53">
        <v>4.4999999999999998E-2</v>
      </c>
      <c r="H81" s="55"/>
      <c r="I81" s="55"/>
      <c r="J81" s="53"/>
      <c r="K81" s="53"/>
      <c r="L81" s="53"/>
      <c r="M81" s="53"/>
      <c r="N81" s="53"/>
      <c r="O81" s="53"/>
      <c r="P81" s="8">
        <f t="shared" si="7"/>
        <v>0</v>
      </c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2"/>
      <c r="AB81" s="7">
        <f t="shared" si="8"/>
        <v>0</v>
      </c>
      <c r="AC81" s="8">
        <v>0</v>
      </c>
      <c r="AD81" s="8">
        <v>0</v>
      </c>
      <c r="AE81" s="8" t="s">
        <v>152</v>
      </c>
      <c r="AF81" s="8">
        <v>0</v>
      </c>
      <c r="AG81"/>
    </row>
    <row r="82" spans="2:33" x14ac:dyDescent="0.25">
      <c r="B82" s="18">
        <v>77</v>
      </c>
      <c r="C82" s="53" t="s">
        <v>24</v>
      </c>
      <c r="D82" s="53" t="s">
        <v>129</v>
      </c>
      <c r="E82" s="53" t="s">
        <v>101</v>
      </c>
      <c r="F82" s="54">
        <v>0.875</v>
      </c>
      <c r="G82" s="53">
        <v>4.4999999999999998E-2</v>
      </c>
      <c r="H82" s="55"/>
      <c r="I82" s="55"/>
      <c r="J82" s="53"/>
      <c r="K82" s="53"/>
      <c r="L82" s="53"/>
      <c r="M82" s="53"/>
      <c r="N82" s="53"/>
      <c r="O82" s="53"/>
      <c r="P82" s="8">
        <f t="shared" si="7"/>
        <v>0</v>
      </c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2"/>
      <c r="AB82" s="7">
        <f t="shared" si="8"/>
        <v>0</v>
      </c>
      <c r="AC82" s="8">
        <v>0</v>
      </c>
      <c r="AD82" s="8">
        <v>0</v>
      </c>
      <c r="AE82" s="8" t="s">
        <v>152</v>
      </c>
      <c r="AF82" s="8">
        <v>0</v>
      </c>
      <c r="AG82"/>
    </row>
    <row r="83" spans="2:33" x14ac:dyDescent="0.25">
      <c r="B83" s="18">
        <v>78</v>
      </c>
      <c r="C83" s="53" t="s">
        <v>24</v>
      </c>
      <c r="D83" s="53" t="s">
        <v>129</v>
      </c>
      <c r="E83" s="53" t="s">
        <v>102</v>
      </c>
      <c r="F83" s="54">
        <v>0.875</v>
      </c>
      <c r="G83" s="53">
        <v>4.4999999999999998E-2</v>
      </c>
      <c r="H83" s="55"/>
      <c r="I83" s="55"/>
      <c r="J83" s="53">
        <v>0</v>
      </c>
      <c r="K83" s="53"/>
      <c r="L83" s="53"/>
      <c r="M83" s="53"/>
      <c r="N83" s="53"/>
      <c r="O83" s="53"/>
      <c r="P83" s="8">
        <f t="shared" si="7"/>
        <v>0</v>
      </c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2"/>
      <c r="AB83" s="7">
        <f t="shared" si="8"/>
        <v>0</v>
      </c>
      <c r="AC83" s="8">
        <v>0</v>
      </c>
      <c r="AD83" s="8">
        <v>0</v>
      </c>
      <c r="AE83" s="8" t="s">
        <v>152</v>
      </c>
      <c r="AF83" s="8">
        <v>0</v>
      </c>
      <c r="AG83"/>
    </row>
    <row r="84" spans="2:33" x14ac:dyDescent="0.25">
      <c r="B84" s="2">
        <v>79</v>
      </c>
      <c r="C84" s="2" t="s">
        <v>128</v>
      </c>
      <c r="D84" s="2" t="s">
        <v>129</v>
      </c>
      <c r="E84" s="2" t="s">
        <v>103</v>
      </c>
      <c r="F84" s="13">
        <v>0.25</v>
      </c>
      <c r="G84" s="2"/>
      <c r="H84" s="3"/>
      <c r="I84" s="3"/>
      <c r="J84" s="2">
        <v>0</v>
      </c>
      <c r="K84" s="2"/>
      <c r="L84" s="2"/>
      <c r="M84" s="2"/>
      <c r="N84" s="18"/>
      <c r="O84" s="2"/>
      <c r="P84" s="8">
        <f t="shared" si="7"/>
        <v>0</v>
      </c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2"/>
      <c r="AB84" s="7">
        <f t="shared" si="8"/>
        <v>0</v>
      </c>
      <c r="AC84" s="8" t="s">
        <v>146</v>
      </c>
      <c r="AD84" s="8">
        <v>200</v>
      </c>
      <c r="AE84" s="8" t="s">
        <v>153</v>
      </c>
      <c r="AF84" s="8">
        <f>+SUM(J84:O84)/AD84</f>
        <v>0</v>
      </c>
      <c r="AG84"/>
    </row>
    <row r="85" spans="2:33" x14ac:dyDescent="0.25">
      <c r="B85" s="2">
        <v>80</v>
      </c>
      <c r="C85" s="2" t="s">
        <v>128</v>
      </c>
      <c r="D85" s="2" t="s">
        <v>129</v>
      </c>
      <c r="E85" s="35" t="s">
        <v>104</v>
      </c>
      <c r="F85" s="51">
        <v>0.25</v>
      </c>
      <c r="G85" s="35"/>
      <c r="H85" s="3"/>
      <c r="I85" s="3"/>
      <c r="J85" s="35">
        <v>400</v>
      </c>
      <c r="K85" s="2"/>
      <c r="L85" s="2"/>
      <c r="M85" s="2"/>
      <c r="N85" s="35"/>
      <c r="O85" s="35"/>
      <c r="P85" s="8">
        <f t="shared" si="7"/>
        <v>-1310</v>
      </c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2">
        <v>1710</v>
      </c>
      <c r="AB85" s="7">
        <f t="shared" si="8"/>
        <v>0</v>
      </c>
      <c r="AC85" s="8" t="s">
        <v>146</v>
      </c>
      <c r="AD85" s="8">
        <v>200</v>
      </c>
      <c r="AE85" s="8" t="s">
        <v>153</v>
      </c>
      <c r="AF85" s="8">
        <f>+SUM(J85:O85)/AD85</f>
        <v>2</v>
      </c>
      <c r="AG85"/>
    </row>
    <row r="86" spans="2:33" x14ac:dyDescent="0.25">
      <c r="B86" s="2">
        <v>81</v>
      </c>
      <c r="C86" s="2" t="s">
        <v>128</v>
      </c>
      <c r="D86" s="2" t="s">
        <v>129</v>
      </c>
      <c r="E86" s="2" t="s">
        <v>105</v>
      </c>
      <c r="F86" s="13">
        <v>0.25</v>
      </c>
      <c r="G86" s="2"/>
      <c r="H86" s="3"/>
      <c r="I86" s="3"/>
      <c r="J86" s="2">
        <v>0</v>
      </c>
      <c r="K86" s="2"/>
      <c r="L86" s="2"/>
      <c r="M86" s="2"/>
      <c r="N86" s="18"/>
      <c r="O86" s="2"/>
      <c r="P86" s="8">
        <f t="shared" si="7"/>
        <v>0</v>
      </c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2"/>
      <c r="AB86" s="7">
        <f t="shared" si="8"/>
        <v>0</v>
      </c>
      <c r="AC86" s="8" t="s">
        <v>146</v>
      </c>
      <c r="AD86" s="8">
        <v>200</v>
      </c>
      <c r="AE86" s="8" t="s">
        <v>153</v>
      </c>
      <c r="AF86" s="8">
        <f>+SUM(J86:O86)/AD86</f>
        <v>0</v>
      </c>
      <c r="AG86"/>
    </row>
    <row r="87" spans="2:33" x14ac:dyDescent="0.25">
      <c r="B87" s="2">
        <v>82</v>
      </c>
      <c r="C87" s="2" t="s">
        <v>128</v>
      </c>
      <c r="D87" s="2" t="s">
        <v>129</v>
      </c>
      <c r="E87" s="2" t="s">
        <v>106</v>
      </c>
      <c r="F87" s="13">
        <v>0.375</v>
      </c>
      <c r="G87" s="2"/>
      <c r="H87" s="3"/>
      <c r="I87" s="3"/>
      <c r="J87" s="2">
        <v>0</v>
      </c>
      <c r="K87" s="2"/>
      <c r="L87" s="2"/>
      <c r="M87" s="2"/>
      <c r="N87" s="18"/>
      <c r="O87" s="2"/>
      <c r="P87" s="8">
        <f t="shared" si="7"/>
        <v>0</v>
      </c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2"/>
      <c r="AB87" s="7">
        <f t="shared" si="8"/>
        <v>0</v>
      </c>
      <c r="AC87" s="8">
        <v>0</v>
      </c>
      <c r="AD87" s="8">
        <v>0</v>
      </c>
      <c r="AE87" s="8" t="s">
        <v>153</v>
      </c>
      <c r="AF87" s="8">
        <v>0</v>
      </c>
      <c r="AG87"/>
    </row>
    <row r="88" spans="2:33" x14ac:dyDescent="0.25">
      <c r="B88" s="2">
        <v>83</v>
      </c>
      <c r="C88" s="2" t="s">
        <v>128</v>
      </c>
      <c r="D88" s="2" t="s">
        <v>129</v>
      </c>
      <c r="E88" s="2" t="s">
        <v>107</v>
      </c>
      <c r="F88" s="13">
        <v>0.375</v>
      </c>
      <c r="G88" s="2"/>
      <c r="H88" s="3"/>
      <c r="I88" s="3"/>
      <c r="J88" s="2">
        <v>0</v>
      </c>
      <c r="K88" s="2"/>
      <c r="L88" s="2"/>
      <c r="M88" s="2"/>
      <c r="N88" s="18"/>
      <c r="O88" s="2"/>
      <c r="P88" s="8">
        <f t="shared" si="7"/>
        <v>0</v>
      </c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2"/>
      <c r="AB88" s="7">
        <f t="shared" si="8"/>
        <v>0</v>
      </c>
      <c r="AC88" s="8">
        <v>0</v>
      </c>
      <c r="AD88" s="8">
        <v>0</v>
      </c>
      <c r="AE88" s="8" t="s">
        <v>153</v>
      </c>
      <c r="AF88" s="8">
        <v>0</v>
      </c>
      <c r="AG88"/>
    </row>
    <row r="89" spans="2:33" x14ac:dyDescent="0.25">
      <c r="B89" s="2">
        <v>84</v>
      </c>
      <c r="C89" s="2" t="s">
        <v>128</v>
      </c>
      <c r="D89" s="2" t="s">
        <v>129</v>
      </c>
      <c r="E89" s="2" t="s">
        <v>108</v>
      </c>
      <c r="F89" s="13">
        <v>0.375</v>
      </c>
      <c r="G89" s="2"/>
      <c r="H89" s="3"/>
      <c r="I89" s="3"/>
      <c r="J89" s="2">
        <v>0</v>
      </c>
      <c r="K89" s="2"/>
      <c r="L89" s="2"/>
      <c r="M89" s="2"/>
      <c r="N89" s="18"/>
      <c r="O89" s="2"/>
      <c r="P89" s="8">
        <f t="shared" si="7"/>
        <v>0</v>
      </c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2"/>
      <c r="AB89" s="7">
        <f t="shared" si="8"/>
        <v>0</v>
      </c>
      <c r="AC89" s="8">
        <v>0</v>
      </c>
      <c r="AD89" s="8">
        <v>0</v>
      </c>
      <c r="AE89" s="8" t="s">
        <v>153</v>
      </c>
      <c r="AF89" s="8">
        <v>0</v>
      </c>
      <c r="AG89"/>
    </row>
    <row r="90" spans="2:33" x14ac:dyDescent="0.25">
      <c r="B90" s="2">
        <v>85</v>
      </c>
      <c r="C90" s="2" t="s">
        <v>128</v>
      </c>
      <c r="D90" s="2" t="s">
        <v>129</v>
      </c>
      <c r="E90" s="2" t="s">
        <v>109</v>
      </c>
      <c r="F90" s="13">
        <v>0.375</v>
      </c>
      <c r="G90" s="2"/>
      <c r="H90" s="3"/>
      <c r="I90" s="3"/>
      <c r="J90" s="2">
        <v>0</v>
      </c>
      <c r="K90" s="2"/>
      <c r="L90" s="2"/>
      <c r="M90" s="2"/>
      <c r="N90" s="18"/>
      <c r="O90" s="2"/>
      <c r="P90" s="8">
        <f t="shared" si="7"/>
        <v>0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2"/>
      <c r="AB90" s="7">
        <f t="shared" si="8"/>
        <v>0</v>
      </c>
      <c r="AC90" s="8">
        <v>0</v>
      </c>
      <c r="AD90" s="8">
        <v>0</v>
      </c>
      <c r="AE90" s="8" t="s">
        <v>153</v>
      </c>
      <c r="AF90" s="8">
        <v>0</v>
      </c>
      <c r="AG90"/>
    </row>
    <row r="91" spans="2:33" x14ac:dyDescent="0.25">
      <c r="B91" s="2">
        <v>86</v>
      </c>
      <c r="C91" s="2" t="s">
        <v>128</v>
      </c>
      <c r="D91" s="2" t="s">
        <v>129</v>
      </c>
      <c r="E91" s="2" t="s">
        <v>110</v>
      </c>
      <c r="F91" s="13">
        <v>0.5</v>
      </c>
      <c r="G91" s="2"/>
      <c r="H91" s="3"/>
      <c r="I91" s="3"/>
      <c r="J91" s="2">
        <v>0</v>
      </c>
      <c r="K91" s="2"/>
      <c r="L91" s="2"/>
      <c r="M91" s="2"/>
      <c r="N91" s="18"/>
      <c r="O91" s="2"/>
      <c r="P91" s="8">
        <f t="shared" si="7"/>
        <v>-65</v>
      </c>
      <c r="Q91" s="18"/>
      <c r="R91" s="18"/>
      <c r="S91" s="18"/>
      <c r="T91" s="18"/>
      <c r="U91" s="18"/>
      <c r="V91" s="18"/>
      <c r="W91" s="18"/>
      <c r="X91" s="18"/>
      <c r="Y91" s="18"/>
      <c r="Z91" s="18">
        <v>65</v>
      </c>
      <c r="AA91" s="2"/>
      <c r="AB91" s="7">
        <f t="shared" si="8"/>
        <v>0</v>
      </c>
      <c r="AC91" s="8" t="s">
        <v>147</v>
      </c>
      <c r="AD91" s="8">
        <v>100</v>
      </c>
      <c r="AE91" s="8" t="s">
        <v>153</v>
      </c>
      <c r="AF91" s="8">
        <f t="shared" ref="AF91:AF122" si="9">+SUM(J91:O91)/AD91</f>
        <v>0</v>
      </c>
      <c r="AG91"/>
    </row>
    <row r="92" spans="2:33" x14ac:dyDescent="0.25">
      <c r="B92" s="2">
        <v>87</v>
      </c>
      <c r="C92" s="2" t="s">
        <v>128</v>
      </c>
      <c r="D92" s="2" t="s">
        <v>129</v>
      </c>
      <c r="E92" s="2" t="s">
        <v>111</v>
      </c>
      <c r="F92" s="13">
        <v>0.5</v>
      </c>
      <c r="G92" s="2"/>
      <c r="H92" s="3"/>
      <c r="I92" s="3"/>
      <c r="J92" s="2">
        <v>0</v>
      </c>
      <c r="K92" s="2"/>
      <c r="L92" s="2"/>
      <c r="M92" s="2"/>
      <c r="N92" s="18"/>
      <c r="O92" s="2"/>
      <c r="P92" s="8">
        <f t="shared" si="7"/>
        <v>0</v>
      </c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2"/>
      <c r="AB92" s="7">
        <f t="shared" si="8"/>
        <v>0</v>
      </c>
      <c r="AC92" s="8" t="s">
        <v>147</v>
      </c>
      <c r="AD92" s="8">
        <v>200</v>
      </c>
      <c r="AE92" s="8" t="s">
        <v>153</v>
      </c>
      <c r="AF92" s="8">
        <f t="shared" si="9"/>
        <v>0</v>
      </c>
      <c r="AG92"/>
    </row>
    <row r="93" spans="2:33" x14ac:dyDescent="0.25">
      <c r="B93" s="2">
        <v>88</v>
      </c>
      <c r="C93" s="2" t="s">
        <v>128</v>
      </c>
      <c r="D93" s="2" t="s">
        <v>129</v>
      </c>
      <c r="E93" s="2" t="s">
        <v>112</v>
      </c>
      <c r="F93" s="13">
        <v>0.5</v>
      </c>
      <c r="G93" s="2"/>
      <c r="H93" s="3"/>
      <c r="I93" s="3"/>
      <c r="J93" s="2">
        <v>1600</v>
      </c>
      <c r="K93" s="2"/>
      <c r="L93" s="2"/>
      <c r="M93" s="2"/>
      <c r="N93" s="18"/>
      <c r="O93" s="2">
        <v>100</v>
      </c>
      <c r="P93" s="8">
        <f t="shared" si="7"/>
        <v>126</v>
      </c>
      <c r="Q93" s="18"/>
      <c r="R93" s="18">
        <v>1574</v>
      </c>
      <c r="S93" s="18"/>
      <c r="T93" s="18"/>
      <c r="U93" s="18"/>
      <c r="V93" s="18"/>
      <c r="W93" s="18"/>
      <c r="X93" s="18"/>
      <c r="Y93" s="18"/>
      <c r="Z93" s="18"/>
      <c r="AA93" s="2"/>
      <c r="AB93" s="7">
        <f t="shared" si="8"/>
        <v>0</v>
      </c>
      <c r="AC93" s="8" t="s">
        <v>147</v>
      </c>
      <c r="AD93" s="8">
        <v>200</v>
      </c>
      <c r="AE93" s="8" t="s">
        <v>153</v>
      </c>
      <c r="AF93" s="8">
        <f t="shared" si="9"/>
        <v>8.5</v>
      </c>
      <c r="AG93"/>
    </row>
    <row r="94" spans="2:33" x14ac:dyDescent="0.25">
      <c r="B94" s="2">
        <v>89</v>
      </c>
      <c r="C94" s="2" t="s">
        <v>128</v>
      </c>
      <c r="D94" s="2" t="s">
        <v>129</v>
      </c>
      <c r="E94" s="2" t="s">
        <v>113</v>
      </c>
      <c r="F94" s="13">
        <v>0.5</v>
      </c>
      <c r="G94" s="2"/>
      <c r="H94" s="3"/>
      <c r="I94" s="3"/>
      <c r="J94" s="2">
        <v>1000</v>
      </c>
      <c r="K94" s="2"/>
      <c r="L94" s="2"/>
      <c r="M94" s="2"/>
      <c r="N94" s="18"/>
      <c r="O94" s="2">
        <v>166</v>
      </c>
      <c r="P94" s="8">
        <f t="shared" si="7"/>
        <v>221</v>
      </c>
      <c r="Q94" s="18"/>
      <c r="R94" s="18"/>
      <c r="S94" s="18"/>
      <c r="T94" s="18">
        <v>945</v>
      </c>
      <c r="U94" s="18"/>
      <c r="V94" s="18"/>
      <c r="W94" s="18"/>
      <c r="X94" s="18"/>
      <c r="Y94" s="18"/>
      <c r="Z94" s="18"/>
      <c r="AA94" s="2"/>
      <c r="AB94" s="7">
        <f t="shared" si="8"/>
        <v>0</v>
      </c>
      <c r="AC94" s="8" t="s">
        <v>147</v>
      </c>
      <c r="AD94" s="8">
        <v>200</v>
      </c>
      <c r="AE94" s="8" t="s">
        <v>153</v>
      </c>
      <c r="AF94" s="8">
        <f t="shared" si="9"/>
        <v>5.83</v>
      </c>
      <c r="AG94"/>
    </row>
    <row r="95" spans="2:33" x14ac:dyDescent="0.25">
      <c r="B95" s="2">
        <v>90</v>
      </c>
      <c r="C95" s="2" t="s">
        <v>128</v>
      </c>
      <c r="D95" s="2" t="s">
        <v>129</v>
      </c>
      <c r="E95" s="35" t="s">
        <v>114</v>
      </c>
      <c r="F95" s="51">
        <v>0.5</v>
      </c>
      <c r="G95" s="35"/>
      <c r="H95" s="3"/>
      <c r="I95" s="3"/>
      <c r="J95" s="35">
        <v>200</v>
      </c>
      <c r="K95" s="2"/>
      <c r="L95" s="2"/>
      <c r="M95" s="2"/>
      <c r="N95" s="35"/>
      <c r="O95" s="35"/>
      <c r="P95" s="8">
        <f t="shared" si="7"/>
        <v>-131</v>
      </c>
      <c r="Q95" s="18"/>
      <c r="R95" s="18"/>
      <c r="S95" s="18"/>
      <c r="T95" s="18">
        <v>200</v>
      </c>
      <c r="U95" s="18"/>
      <c r="V95" s="18"/>
      <c r="W95" s="18"/>
      <c r="X95" s="18"/>
      <c r="Y95" s="18"/>
      <c r="Z95" s="18"/>
      <c r="AA95" s="2">
        <v>131</v>
      </c>
      <c r="AB95" s="7">
        <f t="shared" si="8"/>
        <v>0</v>
      </c>
      <c r="AC95" s="8" t="s">
        <v>147</v>
      </c>
      <c r="AD95" s="8">
        <v>200</v>
      </c>
      <c r="AE95" s="8" t="s">
        <v>153</v>
      </c>
      <c r="AF95" s="8">
        <f t="shared" si="9"/>
        <v>1</v>
      </c>
      <c r="AG95"/>
    </row>
    <row r="96" spans="2:33" x14ac:dyDescent="0.25">
      <c r="B96" s="2">
        <v>91</v>
      </c>
      <c r="C96" s="2" t="s">
        <v>128</v>
      </c>
      <c r="D96" s="2" t="s">
        <v>129</v>
      </c>
      <c r="E96" s="2" t="s">
        <v>115</v>
      </c>
      <c r="F96" s="13">
        <v>0.5</v>
      </c>
      <c r="G96" s="2"/>
      <c r="H96" s="3"/>
      <c r="I96" s="3"/>
      <c r="J96" s="2">
        <v>200</v>
      </c>
      <c r="K96" s="2"/>
      <c r="L96" s="2"/>
      <c r="M96" s="2"/>
      <c r="N96" s="18"/>
      <c r="O96" s="2">
        <v>52</v>
      </c>
      <c r="P96" s="8">
        <f t="shared" si="7"/>
        <v>52</v>
      </c>
      <c r="Q96" s="18"/>
      <c r="R96" s="18"/>
      <c r="S96" s="18"/>
      <c r="T96" s="18"/>
      <c r="U96" s="18"/>
      <c r="V96" s="18">
        <v>200</v>
      </c>
      <c r="W96" s="18"/>
      <c r="X96" s="18"/>
      <c r="Y96" s="18"/>
      <c r="Z96" s="18"/>
      <c r="AA96" s="2"/>
      <c r="AB96" s="7">
        <f t="shared" si="8"/>
        <v>0</v>
      </c>
      <c r="AC96" s="8" t="s">
        <v>147</v>
      </c>
      <c r="AD96" s="8">
        <v>200</v>
      </c>
      <c r="AE96" s="8" t="s">
        <v>153</v>
      </c>
      <c r="AF96" s="8">
        <f t="shared" si="9"/>
        <v>1.26</v>
      </c>
      <c r="AG96"/>
    </row>
    <row r="97" spans="2:33" x14ac:dyDescent="0.25">
      <c r="B97" s="2">
        <v>92</v>
      </c>
      <c r="C97" s="2" t="s">
        <v>128</v>
      </c>
      <c r="D97" s="2" t="s">
        <v>129</v>
      </c>
      <c r="E97" s="18" t="s">
        <v>116</v>
      </c>
      <c r="F97" s="13">
        <v>0.5</v>
      </c>
      <c r="G97" s="2"/>
      <c r="H97" s="3"/>
      <c r="I97" s="3"/>
      <c r="J97" s="2">
        <v>800</v>
      </c>
      <c r="K97" s="2"/>
      <c r="L97" s="2"/>
      <c r="M97" s="2"/>
      <c r="N97" s="18"/>
      <c r="O97" s="2">
        <v>101</v>
      </c>
      <c r="P97" s="8">
        <f t="shared" si="7"/>
        <v>101</v>
      </c>
      <c r="Q97" s="18"/>
      <c r="R97" s="18"/>
      <c r="S97" s="18"/>
      <c r="T97" s="62">
        <v>800</v>
      </c>
      <c r="U97" s="18"/>
      <c r="V97" s="18"/>
      <c r="W97" s="18"/>
      <c r="X97" s="18"/>
      <c r="Y97" s="18"/>
      <c r="Z97" s="18"/>
      <c r="AA97" s="2"/>
      <c r="AB97" s="7">
        <f t="shared" si="8"/>
        <v>0</v>
      </c>
      <c r="AC97" s="8" t="s">
        <v>147</v>
      </c>
      <c r="AD97" s="8">
        <v>200</v>
      </c>
      <c r="AE97" s="8" t="s">
        <v>153</v>
      </c>
      <c r="AF97" s="8">
        <f t="shared" si="9"/>
        <v>4.5049999999999999</v>
      </c>
      <c r="AG97"/>
    </row>
    <row r="98" spans="2:33" x14ac:dyDescent="0.25">
      <c r="B98" s="2">
        <v>93</v>
      </c>
      <c r="C98" s="2" t="s">
        <v>128</v>
      </c>
      <c r="D98" s="2" t="s">
        <v>129</v>
      </c>
      <c r="E98" s="2" t="s">
        <v>117</v>
      </c>
      <c r="F98" s="13">
        <v>0.625</v>
      </c>
      <c r="G98" s="2"/>
      <c r="H98" s="3"/>
      <c r="I98" s="3"/>
      <c r="J98" s="2">
        <v>0</v>
      </c>
      <c r="K98" s="2"/>
      <c r="L98" s="2"/>
      <c r="M98" s="2"/>
      <c r="N98" s="18"/>
      <c r="O98" s="2"/>
      <c r="P98" s="8">
        <f t="shared" si="7"/>
        <v>0</v>
      </c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2"/>
      <c r="AB98" s="7">
        <f t="shared" si="8"/>
        <v>0</v>
      </c>
      <c r="AC98" s="8" t="s">
        <v>147</v>
      </c>
      <c r="AD98" s="8">
        <v>150</v>
      </c>
      <c r="AE98" s="8" t="s">
        <v>153</v>
      </c>
      <c r="AF98" s="8">
        <f t="shared" si="9"/>
        <v>0</v>
      </c>
    </row>
    <row r="99" spans="2:33" x14ac:dyDescent="0.25">
      <c r="B99" s="2">
        <v>94</v>
      </c>
      <c r="C99" s="2" t="s">
        <v>128</v>
      </c>
      <c r="D99" s="2" t="s">
        <v>129</v>
      </c>
      <c r="E99" s="2" t="s">
        <v>118</v>
      </c>
      <c r="F99" s="13">
        <v>0.625</v>
      </c>
      <c r="G99" s="2"/>
      <c r="H99" s="3"/>
      <c r="I99" s="3"/>
      <c r="J99" s="2">
        <v>0</v>
      </c>
      <c r="K99" s="2"/>
      <c r="L99" s="2"/>
      <c r="M99" s="2"/>
      <c r="N99" s="18"/>
      <c r="O99" s="2"/>
      <c r="P99" s="8">
        <f t="shared" si="7"/>
        <v>0</v>
      </c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2"/>
      <c r="AB99" s="7">
        <f t="shared" si="8"/>
        <v>0</v>
      </c>
      <c r="AC99" s="8" t="s">
        <v>147</v>
      </c>
      <c r="AD99" s="8">
        <v>150</v>
      </c>
      <c r="AE99" s="8" t="s">
        <v>153</v>
      </c>
      <c r="AF99" s="8">
        <f t="shared" si="9"/>
        <v>0</v>
      </c>
    </row>
    <row r="100" spans="2:33" x14ac:dyDescent="0.25">
      <c r="B100" s="2">
        <v>95</v>
      </c>
      <c r="C100" s="2" t="s">
        <v>128</v>
      </c>
      <c r="D100" s="2" t="s">
        <v>129</v>
      </c>
      <c r="E100" s="35" t="s">
        <v>119</v>
      </c>
      <c r="F100" s="51">
        <v>0.625</v>
      </c>
      <c r="G100" s="35"/>
      <c r="H100" s="3"/>
      <c r="I100" s="3"/>
      <c r="J100" s="35">
        <v>0</v>
      </c>
      <c r="K100" s="2"/>
      <c r="L100" s="2"/>
      <c r="M100" s="2"/>
      <c r="N100" s="35"/>
      <c r="O100" s="35"/>
      <c r="P100" s="8">
        <f t="shared" si="7"/>
        <v>-317</v>
      </c>
      <c r="Q100" s="18"/>
      <c r="R100" s="18"/>
      <c r="S100" s="18"/>
      <c r="T100" s="18"/>
      <c r="U100" s="18"/>
      <c r="V100" s="18"/>
      <c r="W100" s="18"/>
      <c r="X100" s="18"/>
      <c r="Y100" s="18">
        <v>317</v>
      </c>
      <c r="Z100" s="18"/>
      <c r="AA100" s="2"/>
      <c r="AB100" s="7">
        <f t="shared" si="8"/>
        <v>0</v>
      </c>
      <c r="AC100" s="8" t="s">
        <v>147</v>
      </c>
      <c r="AD100" s="8">
        <v>150</v>
      </c>
      <c r="AE100" s="8" t="s">
        <v>153</v>
      </c>
      <c r="AF100" s="8">
        <f t="shared" si="9"/>
        <v>0</v>
      </c>
    </row>
    <row r="101" spans="2:33" x14ac:dyDescent="0.25">
      <c r="B101" s="2">
        <v>96</v>
      </c>
      <c r="C101" s="2" t="s">
        <v>128</v>
      </c>
      <c r="D101" s="2" t="s">
        <v>129</v>
      </c>
      <c r="E101" s="35" t="s">
        <v>120</v>
      </c>
      <c r="F101" s="51">
        <v>0.625</v>
      </c>
      <c r="G101" s="35"/>
      <c r="H101" s="3"/>
      <c r="I101" s="3"/>
      <c r="J101" s="35">
        <v>750</v>
      </c>
      <c r="K101" s="2"/>
      <c r="L101" s="2"/>
      <c r="M101" s="2"/>
      <c r="N101" s="35"/>
      <c r="O101" s="35"/>
      <c r="P101" s="8">
        <f t="shared" si="7"/>
        <v>-1020</v>
      </c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2">
        <v>1770</v>
      </c>
      <c r="AB101" s="7">
        <f t="shared" si="8"/>
        <v>0</v>
      </c>
      <c r="AC101" s="8" t="s">
        <v>147</v>
      </c>
      <c r="AD101" s="8">
        <v>150</v>
      </c>
      <c r="AE101" s="8" t="s">
        <v>153</v>
      </c>
      <c r="AF101" s="8">
        <f t="shared" si="9"/>
        <v>5</v>
      </c>
    </row>
    <row r="102" spans="2:33" x14ac:dyDescent="0.25">
      <c r="B102" s="2">
        <v>97</v>
      </c>
      <c r="C102" s="2" t="s">
        <v>128</v>
      </c>
      <c r="D102" s="2" t="s">
        <v>129</v>
      </c>
      <c r="E102" s="2" t="s">
        <v>121</v>
      </c>
      <c r="F102" s="13">
        <v>0.75</v>
      </c>
      <c r="G102" s="2"/>
      <c r="H102" s="3"/>
      <c r="I102" s="3"/>
      <c r="J102" s="2">
        <v>0</v>
      </c>
      <c r="K102" s="2"/>
      <c r="L102" s="2"/>
      <c r="M102" s="2"/>
      <c r="N102" s="18">
        <v>880</v>
      </c>
      <c r="O102" s="2"/>
      <c r="P102" s="8">
        <f t="shared" si="7"/>
        <v>880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2"/>
      <c r="AB102" s="7">
        <f t="shared" ref="AB102:AB133" si="10">+H102*SUM(J102:O102)</f>
        <v>0</v>
      </c>
      <c r="AC102" s="8" t="s">
        <v>147</v>
      </c>
      <c r="AD102" s="8">
        <v>80</v>
      </c>
      <c r="AE102" s="8" t="s">
        <v>153</v>
      </c>
      <c r="AF102" s="8">
        <f t="shared" si="9"/>
        <v>11</v>
      </c>
    </row>
    <row r="103" spans="2:33" x14ac:dyDescent="0.25">
      <c r="B103" s="2">
        <v>98</v>
      </c>
      <c r="C103" s="2" t="s">
        <v>128</v>
      </c>
      <c r="D103" s="2" t="s">
        <v>129</v>
      </c>
      <c r="E103" s="2" t="s">
        <v>122</v>
      </c>
      <c r="F103" s="13">
        <v>0.75</v>
      </c>
      <c r="G103" s="2"/>
      <c r="H103" s="3"/>
      <c r="I103" s="3"/>
      <c r="J103" s="2">
        <v>0</v>
      </c>
      <c r="K103" s="2"/>
      <c r="L103" s="2"/>
      <c r="M103" s="2"/>
      <c r="N103" s="18"/>
      <c r="O103" s="2">
        <v>200</v>
      </c>
      <c r="P103" s="8">
        <f t="shared" ref="P103:P133" si="11">+J103+K103+L103+M103+N103+O103-SUM(Q103:AA103)</f>
        <v>200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2"/>
      <c r="AB103" s="7">
        <f t="shared" si="10"/>
        <v>0</v>
      </c>
      <c r="AC103" s="8" t="s">
        <v>147</v>
      </c>
      <c r="AD103" s="8">
        <v>80</v>
      </c>
      <c r="AE103" s="8" t="s">
        <v>153</v>
      </c>
      <c r="AF103" s="8">
        <f t="shared" si="9"/>
        <v>2.5</v>
      </c>
    </row>
    <row r="104" spans="2:33" x14ac:dyDescent="0.25">
      <c r="B104" s="2">
        <v>99</v>
      </c>
      <c r="C104" s="2" t="s">
        <v>128</v>
      </c>
      <c r="D104" s="2" t="s">
        <v>129</v>
      </c>
      <c r="E104" s="2" t="s">
        <v>123</v>
      </c>
      <c r="F104" s="13">
        <v>0.75</v>
      </c>
      <c r="G104" s="2"/>
      <c r="H104" s="3"/>
      <c r="I104" s="3"/>
      <c r="J104" s="2">
        <v>0</v>
      </c>
      <c r="K104" s="2"/>
      <c r="L104" s="2"/>
      <c r="M104" s="2"/>
      <c r="N104" s="18"/>
      <c r="O104" s="2"/>
      <c r="P104" s="8">
        <f t="shared" si="11"/>
        <v>0</v>
      </c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2"/>
      <c r="AB104" s="7">
        <f t="shared" si="10"/>
        <v>0</v>
      </c>
      <c r="AC104" s="8" t="s">
        <v>147</v>
      </c>
      <c r="AD104" s="8">
        <v>80</v>
      </c>
      <c r="AE104" s="8" t="s">
        <v>153</v>
      </c>
      <c r="AF104" s="8">
        <f t="shared" si="9"/>
        <v>0</v>
      </c>
    </row>
    <row r="105" spans="2:33" x14ac:dyDescent="0.25">
      <c r="B105" s="2">
        <v>100</v>
      </c>
      <c r="C105" s="2" t="s">
        <v>128</v>
      </c>
      <c r="D105" s="2" t="s">
        <v>129</v>
      </c>
      <c r="E105" s="2" t="s">
        <v>124</v>
      </c>
      <c r="F105" s="13">
        <v>0.75</v>
      </c>
      <c r="G105" s="2"/>
      <c r="H105" s="3"/>
      <c r="I105" s="3"/>
      <c r="J105" s="2">
        <v>0</v>
      </c>
      <c r="K105" s="2"/>
      <c r="L105" s="2"/>
      <c r="M105" s="2"/>
      <c r="N105" s="18"/>
      <c r="O105" s="2">
        <v>116</v>
      </c>
      <c r="P105" s="8">
        <f t="shared" si="11"/>
        <v>116</v>
      </c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2"/>
      <c r="AB105" s="7">
        <f t="shared" si="10"/>
        <v>0</v>
      </c>
      <c r="AC105" s="8" t="s">
        <v>147</v>
      </c>
      <c r="AD105" s="8">
        <v>80</v>
      </c>
      <c r="AE105" s="8" t="s">
        <v>153</v>
      </c>
      <c r="AF105" s="8">
        <f t="shared" si="9"/>
        <v>1.45</v>
      </c>
    </row>
    <row r="106" spans="2:33" x14ac:dyDescent="0.25">
      <c r="B106" s="2">
        <v>101</v>
      </c>
      <c r="C106" s="2" t="s">
        <v>128</v>
      </c>
      <c r="D106" s="2" t="s">
        <v>129</v>
      </c>
      <c r="E106" s="2" t="s">
        <v>125</v>
      </c>
      <c r="F106" s="13">
        <v>0.875</v>
      </c>
      <c r="G106" s="2"/>
      <c r="H106" s="3"/>
      <c r="I106" s="3"/>
      <c r="J106" s="2">
        <v>200</v>
      </c>
      <c r="K106" s="2"/>
      <c r="L106" s="2"/>
      <c r="M106" s="2"/>
      <c r="N106" s="18"/>
      <c r="O106" s="2"/>
      <c r="P106" s="8">
        <f t="shared" si="11"/>
        <v>-21</v>
      </c>
      <c r="Q106" s="18"/>
      <c r="R106" s="18"/>
      <c r="S106" s="18"/>
      <c r="T106" s="18"/>
      <c r="U106" s="18"/>
      <c r="V106" s="18"/>
      <c r="W106" s="18"/>
      <c r="X106" s="18"/>
      <c r="Y106" s="18"/>
      <c r="Z106" s="18">
        <v>211</v>
      </c>
      <c r="AA106" s="2">
        <v>10</v>
      </c>
      <c r="AB106" s="7">
        <f t="shared" si="10"/>
        <v>0</v>
      </c>
      <c r="AC106" s="8" t="s">
        <v>147</v>
      </c>
      <c r="AD106" s="8">
        <v>50</v>
      </c>
      <c r="AE106" s="8" t="s">
        <v>153</v>
      </c>
      <c r="AF106" s="8">
        <f t="shared" si="9"/>
        <v>4</v>
      </c>
    </row>
    <row r="107" spans="2:33" x14ac:dyDescent="0.25">
      <c r="B107" s="2">
        <v>102</v>
      </c>
      <c r="C107" s="2" t="s">
        <v>128</v>
      </c>
      <c r="D107" s="2" t="s">
        <v>129</v>
      </c>
      <c r="E107" s="2" t="s">
        <v>126</v>
      </c>
      <c r="F107" s="13">
        <v>0.875</v>
      </c>
      <c r="G107" s="2"/>
      <c r="H107" s="3"/>
      <c r="I107" s="3"/>
      <c r="J107" s="2">
        <v>0</v>
      </c>
      <c r="K107" s="2"/>
      <c r="L107" s="2"/>
      <c r="M107" s="2"/>
      <c r="N107" s="18"/>
      <c r="O107" s="2">
        <v>700</v>
      </c>
      <c r="P107" s="8">
        <f t="shared" si="11"/>
        <v>28</v>
      </c>
      <c r="Q107" s="18"/>
      <c r="R107" s="18">
        <v>100</v>
      </c>
      <c r="S107" s="18">
        <v>572</v>
      </c>
      <c r="T107" s="18"/>
      <c r="U107" s="18"/>
      <c r="V107" s="18"/>
      <c r="W107" s="18"/>
      <c r="X107" s="18"/>
      <c r="Y107" s="18"/>
      <c r="Z107" s="18"/>
      <c r="AA107" s="2"/>
      <c r="AB107" s="7">
        <f t="shared" si="10"/>
        <v>0</v>
      </c>
      <c r="AC107" s="8" t="s">
        <v>155</v>
      </c>
      <c r="AD107" s="8">
        <v>50</v>
      </c>
      <c r="AE107" s="8" t="s">
        <v>153</v>
      </c>
      <c r="AF107" s="8">
        <f t="shared" si="9"/>
        <v>14</v>
      </c>
    </row>
    <row r="108" spans="2:33" x14ac:dyDescent="0.25">
      <c r="B108" s="2">
        <v>103</v>
      </c>
      <c r="C108" s="2" t="s">
        <v>128</v>
      </c>
      <c r="D108" s="2" t="s">
        <v>129</v>
      </c>
      <c r="E108" s="2" t="s">
        <v>127</v>
      </c>
      <c r="F108" s="13">
        <v>0.875</v>
      </c>
      <c r="G108" s="2"/>
      <c r="H108" s="3"/>
      <c r="I108" s="3"/>
      <c r="J108" s="2">
        <v>450</v>
      </c>
      <c r="K108" s="2"/>
      <c r="L108" s="2"/>
      <c r="M108" s="2"/>
      <c r="N108" s="18"/>
      <c r="O108" s="2">
        <v>514</v>
      </c>
      <c r="P108" s="8">
        <f t="shared" si="11"/>
        <v>530</v>
      </c>
      <c r="Q108" s="18"/>
      <c r="R108" s="18"/>
      <c r="S108" s="18"/>
      <c r="T108" s="18"/>
      <c r="U108" s="18"/>
      <c r="V108" s="18"/>
      <c r="W108" s="18">
        <v>124</v>
      </c>
      <c r="X108" s="18"/>
      <c r="Y108" s="18">
        <v>310</v>
      </c>
      <c r="Z108" s="18"/>
      <c r="AA108" s="2"/>
      <c r="AB108" s="7">
        <f t="shared" si="10"/>
        <v>0</v>
      </c>
      <c r="AC108" s="8" t="s">
        <v>155</v>
      </c>
      <c r="AD108" s="8">
        <v>50</v>
      </c>
      <c r="AE108" s="8" t="s">
        <v>153</v>
      </c>
      <c r="AF108" s="8">
        <f t="shared" si="9"/>
        <v>19.28</v>
      </c>
    </row>
    <row r="109" spans="2:33" x14ac:dyDescent="0.25">
      <c r="B109" s="2">
        <v>104</v>
      </c>
      <c r="C109" s="2" t="s">
        <v>130</v>
      </c>
      <c r="D109" s="2" t="s">
        <v>0</v>
      </c>
      <c r="E109" s="2" t="s">
        <v>131</v>
      </c>
      <c r="F109" s="13">
        <v>0.375</v>
      </c>
      <c r="G109" s="2"/>
      <c r="H109" s="3"/>
      <c r="I109" s="3"/>
      <c r="J109" s="2">
        <v>3575</v>
      </c>
      <c r="K109" s="2"/>
      <c r="L109" s="2"/>
      <c r="M109" s="2"/>
      <c r="N109" s="18"/>
      <c r="O109" s="2">
        <v>45</v>
      </c>
      <c r="P109" s="8">
        <f t="shared" si="11"/>
        <v>20</v>
      </c>
      <c r="Q109" s="18">
        <v>1800</v>
      </c>
      <c r="R109" s="18"/>
      <c r="S109" s="18">
        <v>1800</v>
      </c>
      <c r="T109" s="18"/>
      <c r="U109" s="18"/>
      <c r="V109" s="18"/>
      <c r="W109" s="18"/>
      <c r="X109" s="18"/>
      <c r="Y109" s="18"/>
      <c r="Z109" s="18"/>
      <c r="AA109" s="2"/>
      <c r="AB109" s="7">
        <f t="shared" si="10"/>
        <v>0</v>
      </c>
      <c r="AC109" s="8" t="s">
        <v>148</v>
      </c>
      <c r="AD109" s="8">
        <v>250</v>
      </c>
      <c r="AE109" s="8" t="s">
        <v>154</v>
      </c>
      <c r="AF109" s="8">
        <f t="shared" si="9"/>
        <v>14.48</v>
      </c>
    </row>
    <row r="110" spans="2:33" x14ac:dyDescent="0.25">
      <c r="B110" s="2">
        <v>105</v>
      </c>
      <c r="C110" s="2" t="s">
        <v>130</v>
      </c>
      <c r="D110" s="2" t="s">
        <v>0</v>
      </c>
      <c r="E110" s="35" t="s">
        <v>132</v>
      </c>
      <c r="F110" s="51">
        <v>0.375</v>
      </c>
      <c r="G110" s="35"/>
      <c r="H110" s="3"/>
      <c r="I110" s="3"/>
      <c r="J110" s="35">
        <v>4100</v>
      </c>
      <c r="K110" s="2"/>
      <c r="L110" s="2"/>
      <c r="M110" s="2"/>
      <c r="N110" s="35"/>
      <c r="O110" s="35"/>
      <c r="P110" s="8">
        <f t="shared" si="11"/>
        <v>-1480</v>
      </c>
      <c r="Q110" s="18"/>
      <c r="R110" s="18"/>
      <c r="S110" s="18"/>
      <c r="T110" s="18"/>
      <c r="U110" s="18"/>
      <c r="V110" s="18"/>
      <c r="W110" s="18"/>
      <c r="X110" s="18"/>
      <c r="Y110" s="18"/>
      <c r="Z110" s="18">
        <v>1000</v>
      </c>
      <c r="AA110" s="2">
        <v>4580</v>
      </c>
      <c r="AB110" s="7">
        <f t="shared" si="10"/>
        <v>0</v>
      </c>
      <c r="AC110" s="8" t="s">
        <v>148</v>
      </c>
      <c r="AD110" s="8">
        <v>250</v>
      </c>
      <c r="AE110" s="8" t="s">
        <v>154</v>
      </c>
      <c r="AF110" s="8">
        <f t="shared" si="9"/>
        <v>16.399999999999999</v>
      </c>
    </row>
    <row r="111" spans="2:33" x14ac:dyDescent="0.25">
      <c r="B111" s="2">
        <v>106</v>
      </c>
      <c r="C111" s="2" t="s">
        <v>130</v>
      </c>
      <c r="D111" s="2" t="s">
        <v>0</v>
      </c>
      <c r="E111" s="2" t="s">
        <v>133</v>
      </c>
      <c r="F111" s="13">
        <v>0.375</v>
      </c>
      <c r="G111" s="2"/>
      <c r="H111" s="3"/>
      <c r="I111" s="3"/>
      <c r="J111" s="2">
        <v>0</v>
      </c>
      <c r="K111" s="2"/>
      <c r="L111" s="2"/>
      <c r="M111" s="2"/>
      <c r="N111" s="18"/>
      <c r="O111" s="2"/>
      <c r="P111" s="8">
        <f t="shared" si="11"/>
        <v>0</v>
      </c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2"/>
      <c r="AB111" s="7">
        <f t="shared" si="10"/>
        <v>0</v>
      </c>
      <c r="AC111" s="8" t="s">
        <v>148</v>
      </c>
      <c r="AD111" s="8">
        <v>250</v>
      </c>
      <c r="AE111" s="8" t="s">
        <v>154</v>
      </c>
      <c r="AF111" s="8">
        <f t="shared" si="9"/>
        <v>0</v>
      </c>
    </row>
    <row r="112" spans="2:33" x14ac:dyDescent="0.25">
      <c r="B112" s="2">
        <v>107</v>
      </c>
      <c r="C112" s="2" t="s">
        <v>130</v>
      </c>
      <c r="D112" s="2" t="s">
        <v>0</v>
      </c>
      <c r="E112" s="35" t="s">
        <v>134</v>
      </c>
      <c r="F112" s="51">
        <v>0.75</v>
      </c>
      <c r="G112" s="35"/>
      <c r="H112" s="3"/>
      <c r="I112" s="3"/>
      <c r="J112" s="35">
        <v>1200</v>
      </c>
      <c r="K112" s="2"/>
      <c r="L112" s="2"/>
      <c r="M112" s="2"/>
      <c r="N112" s="35"/>
      <c r="O112" s="35"/>
      <c r="P112" s="8">
        <f t="shared" si="11"/>
        <v>-237</v>
      </c>
      <c r="Q112" s="18">
        <v>224</v>
      </c>
      <c r="R112" s="18">
        <v>576</v>
      </c>
      <c r="S112" s="18"/>
      <c r="T112" s="18">
        <v>187</v>
      </c>
      <c r="U112" s="18"/>
      <c r="V112" s="18"/>
      <c r="W112" s="18"/>
      <c r="X112" s="18"/>
      <c r="Y112" s="18"/>
      <c r="Z112" s="18"/>
      <c r="AA112" s="2">
        <v>450</v>
      </c>
      <c r="AB112" s="7">
        <f t="shared" si="10"/>
        <v>0</v>
      </c>
      <c r="AC112" s="8" t="s">
        <v>150</v>
      </c>
      <c r="AD112" s="8">
        <v>200</v>
      </c>
      <c r="AE112" s="8" t="s">
        <v>154</v>
      </c>
      <c r="AF112" s="8">
        <f t="shared" si="9"/>
        <v>6</v>
      </c>
    </row>
    <row r="113" spans="2:32" x14ac:dyDescent="0.25">
      <c r="B113" s="2">
        <v>108</v>
      </c>
      <c r="C113" s="2" t="s">
        <v>130</v>
      </c>
      <c r="D113" s="2" t="s">
        <v>0</v>
      </c>
      <c r="E113" s="2" t="s">
        <v>135</v>
      </c>
      <c r="F113" s="13">
        <v>0.75</v>
      </c>
      <c r="G113" s="2"/>
      <c r="H113" s="3"/>
      <c r="I113" s="3"/>
      <c r="J113" s="2">
        <v>1887</v>
      </c>
      <c r="K113" s="2"/>
      <c r="L113" s="2"/>
      <c r="M113" s="2"/>
      <c r="N113" s="18"/>
      <c r="O113" s="2">
        <v>751</v>
      </c>
      <c r="P113" s="8">
        <f t="shared" si="11"/>
        <v>147</v>
      </c>
      <c r="Q113" s="18"/>
      <c r="R113" s="18"/>
      <c r="S113" s="18"/>
      <c r="T113" s="18">
        <v>720</v>
      </c>
      <c r="U113" s="18">
        <v>997</v>
      </c>
      <c r="V113" s="18">
        <v>774</v>
      </c>
      <c r="W113" s="18"/>
      <c r="X113" s="18"/>
      <c r="Y113" s="18"/>
      <c r="Z113" s="18"/>
      <c r="AA113" s="2"/>
      <c r="AB113" s="7">
        <f t="shared" si="10"/>
        <v>0</v>
      </c>
      <c r="AC113" s="8" t="s">
        <v>150</v>
      </c>
      <c r="AD113" s="8">
        <v>200</v>
      </c>
      <c r="AE113" s="8" t="s">
        <v>154</v>
      </c>
      <c r="AF113" s="8">
        <f t="shared" si="9"/>
        <v>13.19</v>
      </c>
    </row>
    <row r="114" spans="2:32" x14ac:dyDescent="0.25">
      <c r="B114" s="2">
        <v>109</v>
      </c>
      <c r="C114" s="2" t="s">
        <v>130</v>
      </c>
      <c r="D114" s="2" t="s">
        <v>0</v>
      </c>
      <c r="E114" s="2" t="s">
        <v>136</v>
      </c>
      <c r="F114" s="13">
        <v>0.75</v>
      </c>
      <c r="G114" s="2"/>
      <c r="H114" s="3"/>
      <c r="I114" s="3"/>
      <c r="J114" s="2">
        <v>490</v>
      </c>
      <c r="K114" s="2"/>
      <c r="L114" s="2"/>
      <c r="M114" s="2"/>
      <c r="N114" s="18"/>
      <c r="O114" s="2">
        <v>10</v>
      </c>
      <c r="P114" s="8">
        <f t="shared" si="11"/>
        <v>70</v>
      </c>
      <c r="Q114" s="18"/>
      <c r="R114" s="18"/>
      <c r="S114" s="18"/>
      <c r="T114" s="18">
        <v>194</v>
      </c>
      <c r="U114" s="18"/>
      <c r="V114" s="18"/>
      <c r="W114" s="18">
        <v>236</v>
      </c>
      <c r="X114" s="18"/>
      <c r="Y114" s="18"/>
      <c r="Z114" s="18"/>
      <c r="AA114" s="2"/>
      <c r="AB114" s="7">
        <f t="shared" si="10"/>
        <v>0</v>
      </c>
      <c r="AC114" s="8" t="s">
        <v>150</v>
      </c>
      <c r="AD114" s="8">
        <v>200</v>
      </c>
      <c r="AE114" s="8" t="s">
        <v>154</v>
      </c>
      <c r="AF114" s="8">
        <f t="shared" si="9"/>
        <v>2.5</v>
      </c>
    </row>
    <row r="115" spans="2:32" x14ac:dyDescent="0.25">
      <c r="B115" s="2">
        <v>110</v>
      </c>
      <c r="C115" s="2" t="s">
        <v>130</v>
      </c>
      <c r="D115" s="2" t="s">
        <v>0</v>
      </c>
      <c r="E115" s="35" t="s">
        <v>137</v>
      </c>
      <c r="F115" s="51">
        <v>0.75</v>
      </c>
      <c r="G115" s="35"/>
      <c r="H115" s="3"/>
      <c r="I115" s="3"/>
      <c r="J115" s="35">
        <v>1700</v>
      </c>
      <c r="K115" s="2"/>
      <c r="L115" s="2"/>
      <c r="M115" s="2"/>
      <c r="N115" s="35"/>
      <c r="O115" s="35"/>
      <c r="P115" s="8">
        <f t="shared" si="11"/>
        <v>-652</v>
      </c>
      <c r="Q115" s="18">
        <v>36</v>
      </c>
      <c r="R115" s="18"/>
      <c r="S115" s="18">
        <v>716</v>
      </c>
      <c r="T115" s="18"/>
      <c r="U115" s="18">
        <v>28</v>
      </c>
      <c r="V115" s="18"/>
      <c r="W115" s="18">
        <v>880</v>
      </c>
      <c r="X115" s="18"/>
      <c r="Y115" s="18"/>
      <c r="Z115" s="18"/>
      <c r="AA115" s="2">
        <v>692</v>
      </c>
      <c r="AB115" s="7">
        <f t="shared" si="10"/>
        <v>0</v>
      </c>
      <c r="AC115" s="8" t="s">
        <v>150</v>
      </c>
      <c r="AD115" s="8">
        <v>200</v>
      </c>
      <c r="AE115" s="8" t="s">
        <v>154</v>
      </c>
      <c r="AF115" s="8">
        <f t="shared" si="9"/>
        <v>8.5</v>
      </c>
    </row>
    <row r="116" spans="2:32" x14ac:dyDescent="0.25">
      <c r="B116" s="2">
        <v>111</v>
      </c>
      <c r="C116" s="2" t="s">
        <v>130</v>
      </c>
      <c r="D116" s="2" t="s">
        <v>0</v>
      </c>
      <c r="E116" s="2" t="s">
        <v>138</v>
      </c>
      <c r="F116" s="13">
        <v>0.75</v>
      </c>
      <c r="G116" s="2"/>
      <c r="H116" s="3"/>
      <c r="I116" s="3"/>
      <c r="J116" s="2">
        <v>237</v>
      </c>
      <c r="K116" s="2"/>
      <c r="L116" s="2"/>
      <c r="M116" s="2"/>
      <c r="N116" s="18"/>
      <c r="O116" s="2">
        <v>63</v>
      </c>
      <c r="P116" s="8">
        <f t="shared" si="11"/>
        <v>-11</v>
      </c>
      <c r="Q116" s="18"/>
      <c r="R116" s="18"/>
      <c r="S116" s="18"/>
      <c r="T116" s="18">
        <v>173</v>
      </c>
      <c r="U116" s="18"/>
      <c r="V116" s="18"/>
      <c r="W116" s="18"/>
      <c r="X116" s="18">
        <v>138</v>
      </c>
      <c r="Y116" s="18"/>
      <c r="Z116" s="18"/>
      <c r="AA116" s="2"/>
      <c r="AB116" s="7">
        <f t="shared" si="10"/>
        <v>0</v>
      </c>
      <c r="AC116" s="8" t="s">
        <v>150</v>
      </c>
      <c r="AD116" s="8">
        <v>200</v>
      </c>
      <c r="AE116" s="8" t="s">
        <v>154</v>
      </c>
      <c r="AF116" s="8">
        <f t="shared" si="9"/>
        <v>1.5</v>
      </c>
    </row>
    <row r="117" spans="2:32" x14ac:dyDescent="0.25">
      <c r="B117" s="2">
        <v>112</v>
      </c>
      <c r="C117" s="2" t="s">
        <v>130</v>
      </c>
      <c r="D117" s="2" t="s">
        <v>0</v>
      </c>
      <c r="E117" s="2" t="s">
        <v>139</v>
      </c>
      <c r="F117" s="13">
        <v>0.75</v>
      </c>
      <c r="G117" s="2"/>
      <c r="H117" s="3"/>
      <c r="I117" s="3"/>
      <c r="J117" s="2">
        <v>493</v>
      </c>
      <c r="K117" s="2"/>
      <c r="L117" s="2"/>
      <c r="M117" s="2"/>
      <c r="N117" s="18"/>
      <c r="O117" s="2">
        <v>7</v>
      </c>
      <c r="P117" s="8">
        <f t="shared" si="11"/>
        <v>54</v>
      </c>
      <c r="Q117" s="18"/>
      <c r="R117" s="18"/>
      <c r="S117" s="18">
        <v>213</v>
      </c>
      <c r="T117" s="18"/>
      <c r="U117" s="18">
        <v>13</v>
      </c>
      <c r="V117" s="18"/>
      <c r="W117" s="18">
        <v>220</v>
      </c>
      <c r="X117" s="18"/>
      <c r="Y117" s="18"/>
      <c r="Z117" s="18"/>
      <c r="AA117" s="2"/>
      <c r="AB117" s="7">
        <f t="shared" si="10"/>
        <v>0</v>
      </c>
      <c r="AC117" s="8" t="s">
        <v>150</v>
      </c>
      <c r="AD117" s="8">
        <v>200</v>
      </c>
      <c r="AE117" s="8" t="s">
        <v>154</v>
      </c>
      <c r="AF117" s="8">
        <f t="shared" si="9"/>
        <v>2.5</v>
      </c>
    </row>
    <row r="118" spans="2:32" x14ac:dyDescent="0.25">
      <c r="B118" s="2">
        <v>113</v>
      </c>
      <c r="C118" s="2" t="s">
        <v>130</v>
      </c>
      <c r="D118" s="2" t="s">
        <v>0</v>
      </c>
      <c r="E118" s="2" t="s">
        <v>140</v>
      </c>
      <c r="F118" s="13">
        <v>0.75</v>
      </c>
      <c r="G118" s="2"/>
      <c r="H118" s="3"/>
      <c r="I118" s="3"/>
      <c r="J118" s="2">
        <v>328</v>
      </c>
      <c r="K118" s="2"/>
      <c r="L118" s="2"/>
      <c r="M118" s="2"/>
      <c r="N118" s="18">
        <v>700</v>
      </c>
      <c r="O118" s="2">
        <v>172</v>
      </c>
      <c r="P118" s="8">
        <f t="shared" si="11"/>
        <v>48</v>
      </c>
      <c r="Q118" s="18"/>
      <c r="R118" s="18"/>
      <c r="S118" s="18">
        <v>24</v>
      </c>
      <c r="T118" s="18">
        <v>309</v>
      </c>
      <c r="U118" s="18">
        <v>167</v>
      </c>
      <c r="V118" s="18"/>
      <c r="W118" s="18"/>
      <c r="X118" s="18"/>
      <c r="Y118" s="18">
        <v>652</v>
      </c>
      <c r="Z118" s="18"/>
      <c r="AA118" s="2"/>
      <c r="AB118" s="7">
        <f t="shared" si="10"/>
        <v>0</v>
      </c>
      <c r="AC118" s="8" t="s">
        <v>150</v>
      </c>
      <c r="AD118" s="8">
        <v>200</v>
      </c>
      <c r="AE118" s="8" t="s">
        <v>154</v>
      </c>
      <c r="AF118" s="8">
        <f t="shared" si="9"/>
        <v>6</v>
      </c>
    </row>
    <row r="119" spans="2:32" x14ac:dyDescent="0.25">
      <c r="B119" s="2">
        <v>114</v>
      </c>
      <c r="C119" s="2" t="s">
        <v>130</v>
      </c>
      <c r="D119" s="2" t="s">
        <v>0</v>
      </c>
      <c r="E119" s="2" t="s">
        <v>141</v>
      </c>
      <c r="F119" s="13">
        <v>0.875</v>
      </c>
      <c r="G119" s="2"/>
      <c r="H119" s="3"/>
      <c r="I119" s="3"/>
      <c r="J119" s="2">
        <v>1751</v>
      </c>
      <c r="K119" s="2"/>
      <c r="L119" s="2"/>
      <c r="M119" s="2"/>
      <c r="N119" s="18"/>
      <c r="O119" s="2">
        <v>21</v>
      </c>
      <c r="P119" s="8">
        <f t="shared" si="11"/>
        <v>416</v>
      </c>
      <c r="Q119" s="18"/>
      <c r="R119" s="18"/>
      <c r="S119" s="18">
        <v>538</v>
      </c>
      <c r="T119" s="18">
        <v>257</v>
      </c>
      <c r="U119" s="18">
        <v>561</v>
      </c>
      <c r="V119" s="18"/>
      <c r="W119" s="18"/>
      <c r="X119" s="18"/>
      <c r="Y119" s="18"/>
      <c r="Z119" s="18"/>
      <c r="AA119" s="2"/>
      <c r="AB119" s="7">
        <f t="shared" si="10"/>
        <v>0</v>
      </c>
      <c r="AC119" s="8" t="s">
        <v>150</v>
      </c>
      <c r="AD119" s="8">
        <v>200</v>
      </c>
      <c r="AE119" s="8" t="s">
        <v>154</v>
      </c>
      <c r="AF119" s="8">
        <f t="shared" si="9"/>
        <v>8.86</v>
      </c>
    </row>
    <row r="120" spans="2:32" x14ac:dyDescent="0.25">
      <c r="B120" s="2">
        <v>115</v>
      </c>
      <c r="C120" s="2" t="s">
        <v>130</v>
      </c>
      <c r="D120" s="2" t="s">
        <v>0</v>
      </c>
      <c r="E120" s="2" t="s">
        <v>142</v>
      </c>
      <c r="F120" s="13">
        <v>0.875</v>
      </c>
      <c r="G120" s="2"/>
      <c r="H120" s="3"/>
      <c r="I120" s="3"/>
      <c r="J120" s="2">
        <v>432</v>
      </c>
      <c r="K120" s="2"/>
      <c r="L120" s="2"/>
      <c r="M120" s="2"/>
      <c r="N120" s="18"/>
      <c r="O120" s="2"/>
      <c r="P120" s="8">
        <f t="shared" si="11"/>
        <v>432</v>
      </c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2"/>
      <c r="AB120" s="7">
        <f t="shared" si="10"/>
        <v>0</v>
      </c>
      <c r="AC120" s="8" t="s">
        <v>150</v>
      </c>
      <c r="AD120" s="8">
        <v>200</v>
      </c>
      <c r="AE120" s="8" t="s">
        <v>154</v>
      </c>
      <c r="AF120" s="8">
        <f t="shared" si="9"/>
        <v>2.16</v>
      </c>
    </row>
    <row r="121" spans="2:32" x14ac:dyDescent="0.25">
      <c r="B121" s="2">
        <v>116</v>
      </c>
      <c r="C121" s="2" t="s">
        <v>130</v>
      </c>
      <c r="D121" s="2" t="s">
        <v>0</v>
      </c>
      <c r="E121" s="2" t="s">
        <v>143</v>
      </c>
      <c r="F121" s="13">
        <v>0.875</v>
      </c>
      <c r="G121" s="2"/>
      <c r="H121" s="3"/>
      <c r="I121" s="3"/>
      <c r="J121" s="2">
        <v>0</v>
      </c>
      <c r="K121" s="2"/>
      <c r="L121" s="2"/>
      <c r="M121" s="2"/>
      <c r="N121" s="18"/>
      <c r="O121" s="2"/>
      <c r="P121" s="8">
        <f t="shared" si="11"/>
        <v>0</v>
      </c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2"/>
      <c r="AB121" s="7">
        <f t="shared" si="10"/>
        <v>0</v>
      </c>
      <c r="AC121" s="8" t="s">
        <v>150</v>
      </c>
      <c r="AD121" s="8">
        <v>200</v>
      </c>
      <c r="AE121" s="8" t="s">
        <v>154</v>
      </c>
      <c r="AF121" s="8">
        <f t="shared" si="9"/>
        <v>0</v>
      </c>
    </row>
    <row r="122" spans="2:32" x14ac:dyDescent="0.25">
      <c r="B122" s="2">
        <v>117</v>
      </c>
      <c r="C122" s="2" t="s">
        <v>130</v>
      </c>
      <c r="D122" s="2" t="s">
        <v>0</v>
      </c>
      <c r="E122" s="2" t="s">
        <v>144</v>
      </c>
      <c r="F122" s="13">
        <v>0.875</v>
      </c>
      <c r="G122" s="2"/>
      <c r="H122" s="3"/>
      <c r="I122" s="3"/>
      <c r="J122" s="2">
        <v>0</v>
      </c>
      <c r="K122" s="2"/>
      <c r="L122" s="2"/>
      <c r="M122" s="2"/>
      <c r="N122" s="18"/>
      <c r="O122" s="2"/>
      <c r="P122" s="8">
        <f t="shared" si="11"/>
        <v>0</v>
      </c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2"/>
      <c r="AB122" s="7">
        <f t="shared" si="10"/>
        <v>0</v>
      </c>
      <c r="AC122" s="8" t="s">
        <v>150</v>
      </c>
      <c r="AD122" s="8">
        <v>200</v>
      </c>
      <c r="AE122" s="8" t="s">
        <v>154</v>
      </c>
      <c r="AF122" s="8">
        <f t="shared" si="9"/>
        <v>0</v>
      </c>
    </row>
    <row r="123" spans="2:32" x14ac:dyDescent="0.25">
      <c r="B123" s="2">
        <v>118</v>
      </c>
      <c r="C123" s="2" t="s">
        <v>188</v>
      </c>
      <c r="D123" s="2" t="s">
        <v>129</v>
      </c>
      <c r="E123" s="2" t="s">
        <v>160</v>
      </c>
      <c r="F123" s="13">
        <v>0.3125</v>
      </c>
      <c r="G123" s="2"/>
      <c r="H123" s="3"/>
      <c r="I123" s="3">
        <v>0.2</v>
      </c>
      <c r="J123" s="2">
        <v>0</v>
      </c>
      <c r="K123" s="2"/>
      <c r="L123" s="2"/>
      <c r="M123" s="2"/>
      <c r="N123" s="18"/>
      <c r="O123" s="2"/>
      <c r="P123" s="8">
        <f t="shared" si="11"/>
        <v>0</v>
      </c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2"/>
      <c r="AB123" s="7">
        <f t="shared" si="10"/>
        <v>0</v>
      </c>
      <c r="AC123" s="8" t="s">
        <v>148</v>
      </c>
      <c r="AD123" s="12">
        <v>500</v>
      </c>
      <c r="AE123" s="8" t="s">
        <v>189</v>
      </c>
      <c r="AF123" s="8">
        <f t="shared" ref="AF123:AF149" si="12">+SUM(J123:O123)/AD123</f>
        <v>0</v>
      </c>
    </row>
    <row r="124" spans="2:32" x14ac:dyDescent="0.25">
      <c r="B124" s="2">
        <v>119</v>
      </c>
      <c r="C124" s="2" t="s">
        <v>188</v>
      </c>
      <c r="D124" s="2" t="s">
        <v>129</v>
      </c>
      <c r="E124" s="2" t="s">
        <v>161</v>
      </c>
      <c r="F124" s="13">
        <v>0.3125</v>
      </c>
      <c r="G124" s="2"/>
      <c r="H124" s="3"/>
      <c r="I124" s="3">
        <v>0.2</v>
      </c>
      <c r="J124" s="2">
        <v>0</v>
      </c>
      <c r="K124" s="2"/>
      <c r="L124" s="2"/>
      <c r="M124" s="2"/>
      <c r="N124" s="18"/>
      <c r="O124" s="2">
        <v>644</v>
      </c>
      <c r="P124" s="8">
        <f t="shared" si="11"/>
        <v>644</v>
      </c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2"/>
      <c r="AB124" s="7">
        <f t="shared" si="10"/>
        <v>0</v>
      </c>
      <c r="AC124" s="8" t="s">
        <v>148</v>
      </c>
      <c r="AD124" s="12">
        <v>500</v>
      </c>
      <c r="AE124" s="8" t="s">
        <v>189</v>
      </c>
      <c r="AF124" s="8">
        <f t="shared" si="12"/>
        <v>1.288</v>
      </c>
    </row>
    <row r="125" spans="2:32" x14ac:dyDescent="0.25">
      <c r="B125" s="2">
        <v>120</v>
      </c>
      <c r="C125" s="2" t="s">
        <v>188</v>
      </c>
      <c r="D125" s="2" t="s">
        <v>129</v>
      </c>
      <c r="E125" s="2" t="s">
        <v>162</v>
      </c>
      <c r="F125" s="13">
        <v>0.3125</v>
      </c>
      <c r="G125" s="2"/>
      <c r="H125" s="3"/>
      <c r="I125" s="3">
        <v>0.2</v>
      </c>
      <c r="J125" s="2">
        <v>0</v>
      </c>
      <c r="K125" s="2"/>
      <c r="L125" s="2"/>
      <c r="M125" s="2"/>
      <c r="N125" s="18"/>
      <c r="O125" s="2"/>
      <c r="P125" s="8">
        <f t="shared" si="11"/>
        <v>0</v>
      </c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2"/>
      <c r="AB125" s="7">
        <f t="shared" si="10"/>
        <v>0</v>
      </c>
      <c r="AC125" s="8" t="s">
        <v>148</v>
      </c>
      <c r="AD125" s="12">
        <v>500</v>
      </c>
      <c r="AE125" s="8" t="s">
        <v>189</v>
      </c>
      <c r="AF125" s="8">
        <f t="shared" si="12"/>
        <v>0</v>
      </c>
    </row>
    <row r="126" spans="2:32" x14ac:dyDescent="0.25">
      <c r="B126" s="2">
        <v>121</v>
      </c>
      <c r="C126" s="2" t="s">
        <v>188</v>
      </c>
      <c r="D126" s="2" t="s">
        <v>129</v>
      </c>
      <c r="E126" s="2" t="s">
        <v>163</v>
      </c>
      <c r="F126" s="13">
        <v>0.3125</v>
      </c>
      <c r="G126" s="2"/>
      <c r="H126" s="3"/>
      <c r="I126" s="3">
        <v>0.2</v>
      </c>
      <c r="J126" s="2">
        <v>0</v>
      </c>
      <c r="K126" s="2"/>
      <c r="L126" s="2"/>
      <c r="M126" s="2"/>
      <c r="N126" s="18"/>
      <c r="O126" s="2">
        <v>1991</v>
      </c>
      <c r="P126" s="8">
        <f t="shared" si="11"/>
        <v>1991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2"/>
      <c r="AB126" s="7">
        <f t="shared" si="10"/>
        <v>0</v>
      </c>
      <c r="AC126" s="8" t="s">
        <v>148</v>
      </c>
      <c r="AD126" s="12">
        <v>500</v>
      </c>
      <c r="AE126" s="8" t="s">
        <v>189</v>
      </c>
      <c r="AF126" s="8">
        <f t="shared" si="12"/>
        <v>3.9820000000000002</v>
      </c>
    </row>
    <row r="127" spans="2:32" x14ac:dyDescent="0.25">
      <c r="B127" s="2">
        <v>122</v>
      </c>
      <c r="C127" s="2" t="s">
        <v>188</v>
      </c>
      <c r="D127" s="2" t="s">
        <v>129</v>
      </c>
      <c r="E127" s="2" t="s">
        <v>164</v>
      </c>
      <c r="F127" s="13">
        <v>0.3125</v>
      </c>
      <c r="G127" s="2"/>
      <c r="H127" s="3"/>
      <c r="I127" s="3">
        <v>0.2</v>
      </c>
      <c r="J127" s="2">
        <v>0</v>
      </c>
      <c r="K127" s="2"/>
      <c r="L127" s="2"/>
      <c r="M127" s="2"/>
      <c r="N127" s="18"/>
      <c r="O127" s="2"/>
      <c r="P127" s="8">
        <f t="shared" si="11"/>
        <v>0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2"/>
      <c r="AB127" s="7">
        <f t="shared" si="10"/>
        <v>0</v>
      </c>
      <c r="AC127" s="8" t="s">
        <v>148</v>
      </c>
      <c r="AD127" s="12">
        <v>500</v>
      </c>
      <c r="AE127" s="8" t="s">
        <v>189</v>
      </c>
      <c r="AF127" s="8">
        <f t="shared" si="12"/>
        <v>0</v>
      </c>
    </row>
    <row r="128" spans="2:32" x14ac:dyDescent="0.25">
      <c r="B128" s="2">
        <v>123</v>
      </c>
      <c r="C128" s="2" t="s">
        <v>188</v>
      </c>
      <c r="D128" s="2" t="s">
        <v>129</v>
      </c>
      <c r="E128" s="2" t="s">
        <v>165</v>
      </c>
      <c r="F128" s="13">
        <v>0.3125</v>
      </c>
      <c r="G128" s="2"/>
      <c r="H128" s="3"/>
      <c r="I128" s="3">
        <v>0.2</v>
      </c>
      <c r="J128" s="2">
        <v>0</v>
      </c>
      <c r="K128" s="2"/>
      <c r="L128" s="2"/>
      <c r="M128" s="2"/>
      <c r="N128" s="18"/>
      <c r="O128" s="2">
        <v>700</v>
      </c>
      <c r="P128" s="8">
        <f t="shared" si="11"/>
        <v>700</v>
      </c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2"/>
      <c r="AB128" s="7">
        <f t="shared" si="10"/>
        <v>0</v>
      </c>
      <c r="AC128" s="8" t="s">
        <v>148</v>
      </c>
      <c r="AD128" s="12">
        <v>500</v>
      </c>
      <c r="AE128" s="8" t="s">
        <v>189</v>
      </c>
      <c r="AF128" s="8">
        <f t="shared" si="12"/>
        <v>1.4</v>
      </c>
    </row>
    <row r="129" spans="2:32" x14ac:dyDescent="0.25">
      <c r="B129" s="2">
        <v>124</v>
      </c>
      <c r="C129" s="2" t="s">
        <v>188</v>
      </c>
      <c r="D129" s="2" t="s">
        <v>129</v>
      </c>
      <c r="E129" s="2" t="s">
        <v>166</v>
      </c>
      <c r="F129" s="13">
        <v>0.3125</v>
      </c>
      <c r="G129" s="2"/>
      <c r="H129" s="3"/>
      <c r="I129" s="3">
        <v>0.16</v>
      </c>
      <c r="J129" s="2">
        <v>0</v>
      </c>
      <c r="K129" s="2"/>
      <c r="L129" s="2"/>
      <c r="M129" s="2"/>
      <c r="N129" s="18"/>
      <c r="O129" s="2"/>
      <c r="P129" s="8">
        <f t="shared" si="11"/>
        <v>0</v>
      </c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2"/>
      <c r="AB129" s="7">
        <f t="shared" si="10"/>
        <v>0</v>
      </c>
      <c r="AC129" s="8" t="s">
        <v>148</v>
      </c>
      <c r="AD129" s="12">
        <v>500</v>
      </c>
      <c r="AE129" s="8" t="s">
        <v>189</v>
      </c>
      <c r="AF129" s="8">
        <f t="shared" si="12"/>
        <v>0</v>
      </c>
    </row>
    <row r="130" spans="2:32" x14ac:dyDescent="0.25">
      <c r="B130" s="2">
        <v>125</v>
      </c>
      <c r="C130" s="2" t="s">
        <v>188</v>
      </c>
      <c r="D130" s="2" t="s">
        <v>129</v>
      </c>
      <c r="E130" s="2" t="s">
        <v>167</v>
      </c>
      <c r="F130" s="13">
        <v>0.3125</v>
      </c>
      <c r="G130" s="2"/>
      <c r="H130" s="3"/>
      <c r="I130" s="3">
        <v>0.16</v>
      </c>
      <c r="J130" s="2">
        <v>0</v>
      </c>
      <c r="K130" s="2"/>
      <c r="L130" s="2"/>
      <c r="M130" s="2"/>
      <c r="N130" s="18"/>
      <c r="O130" s="2"/>
      <c r="P130" s="8">
        <f t="shared" si="11"/>
        <v>0</v>
      </c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2"/>
      <c r="AB130" s="7">
        <f t="shared" si="10"/>
        <v>0</v>
      </c>
      <c r="AC130" s="8" t="s">
        <v>148</v>
      </c>
      <c r="AD130" s="12">
        <v>500</v>
      </c>
      <c r="AE130" s="8" t="s">
        <v>189</v>
      </c>
      <c r="AF130" s="8">
        <f t="shared" si="12"/>
        <v>0</v>
      </c>
    </row>
    <row r="131" spans="2:32" x14ac:dyDescent="0.25">
      <c r="B131" s="2">
        <v>126</v>
      </c>
      <c r="C131" s="2" t="s">
        <v>188</v>
      </c>
      <c r="D131" s="2" t="s">
        <v>129</v>
      </c>
      <c r="E131" s="2" t="s">
        <v>168</v>
      </c>
      <c r="F131" s="13">
        <v>0.3125</v>
      </c>
      <c r="G131" s="2"/>
      <c r="H131" s="3"/>
      <c r="I131" s="3">
        <v>0.21</v>
      </c>
      <c r="J131" s="2">
        <v>0</v>
      </c>
      <c r="K131" s="2"/>
      <c r="L131" s="2"/>
      <c r="M131" s="2"/>
      <c r="N131" s="18"/>
      <c r="O131" s="2"/>
      <c r="P131" s="8">
        <f t="shared" si="11"/>
        <v>0</v>
      </c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2"/>
      <c r="AB131" s="7">
        <f t="shared" si="10"/>
        <v>0</v>
      </c>
      <c r="AC131" s="8" t="s">
        <v>148</v>
      </c>
      <c r="AD131" s="12">
        <v>500</v>
      </c>
      <c r="AE131" s="8" t="s">
        <v>189</v>
      </c>
      <c r="AF131" s="8">
        <f t="shared" si="12"/>
        <v>0</v>
      </c>
    </row>
    <row r="132" spans="2:32" x14ac:dyDescent="0.25">
      <c r="B132" s="2">
        <v>127</v>
      </c>
      <c r="C132" s="2" t="s">
        <v>188</v>
      </c>
      <c r="D132" s="2" t="s">
        <v>129</v>
      </c>
      <c r="E132" s="2" t="s">
        <v>169</v>
      </c>
      <c r="F132" s="13">
        <v>0.3125</v>
      </c>
      <c r="G132" s="2"/>
      <c r="H132" s="3"/>
      <c r="I132" s="3">
        <v>0.21</v>
      </c>
      <c r="J132" s="2">
        <v>0</v>
      </c>
      <c r="K132" s="2"/>
      <c r="L132" s="2"/>
      <c r="M132" s="2"/>
      <c r="N132" s="18"/>
      <c r="O132" s="2"/>
      <c r="P132" s="8">
        <f t="shared" si="11"/>
        <v>0</v>
      </c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2"/>
      <c r="AB132" s="7">
        <f t="shared" si="10"/>
        <v>0</v>
      </c>
      <c r="AC132" s="8" t="s">
        <v>148</v>
      </c>
      <c r="AD132" s="12">
        <v>500</v>
      </c>
      <c r="AE132" s="8" t="s">
        <v>189</v>
      </c>
      <c r="AF132" s="8">
        <f t="shared" si="12"/>
        <v>0</v>
      </c>
    </row>
    <row r="133" spans="2:32" x14ac:dyDescent="0.25">
      <c r="B133" s="2">
        <v>128</v>
      </c>
      <c r="C133" s="2" t="s">
        <v>188</v>
      </c>
      <c r="D133" s="2" t="s">
        <v>129</v>
      </c>
      <c r="E133" s="2" t="s">
        <v>170</v>
      </c>
      <c r="F133" s="13">
        <v>0.3125</v>
      </c>
      <c r="G133" s="2"/>
      <c r="H133" s="3"/>
      <c r="I133" s="3">
        <v>0.25</v>
      </c>
      <c r="J133" s="2">
        <v>0</v>
      </c>
      <c r="K133" s="2"/>
      <c r="L133" s="2"/>
      <c r="M133" s="2"/>
      <c r="N133" s="18"/>
      <c r="O133" s="2"/>
      <c r="P133" s="8">
        <f t="shared" si="11"/>
        <v>0</v>
      </c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2"/>
      <c r="AB133" s="7">
        <f t="shared" si="10"/>
        <v>0</v>
      </c>
      <c r="AC133" s="8" t="s">
        <v>148</v>
      </c>
      <c r="AD133" s="12">
        <v>500</v>
      </c>
      <c r="AE133" s="8" t="s">
        <v>189</v>
      </c>
      <c r="AF133" s="8">
        <f t="shared" si="12"/>
        <v>0</v>
      </c>
    </row>
    <row r="134" spans="2:32" x14ac:dyDescent="0.25">
      <c r="B134" s="2">
        <v>129</v>
      </c>
      <c r="C134" s="2" t="s">
        <v>188</v>
      </c>
      <c r="D134" s="2" t="s">
        <v>129</v>
      </c>
      <c r="E134" s="2" t="s">
        <v>171</v>
      </c>
      <c r="F134" s="13">
        <v>0.3125</v>
      </c>
      <c r="G134" s="2"/>
      <c r="H134" s="3"/>
      <c r="I134" s="3">
        <v>0.25</v>
      </c>
      <c r="J134" s="2">
        <v>0</v>
      </c>
      <c r="K134" s="2"/>
      <c r="L134" s="2"/>
      <c r="M134" s="2"/>
      <c r="N134" s="18"/>
      <c r="O134" s="2"/>
      <c r="P134" s="8">
        <f t="shared" ref="P134:P149" si="13">+J134+K134+L134+M134+N134+O134-SUM(Q134:AA134)</f>
        <v>0</v>
      </c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2"/>
      <c r="AB134" s="7">
        <f t="shared" ref="AB134:AB149" si="14">+H134*SUM(J134:O134)</f>
        <v>0</v>
      </c>
      <c r="AC134" s="8" t="s">
        <v>148</v>
      </c>
      <c r="AD134" s="12">
        <v>500</v>
      </c>
      <c r="AE134" s="8" t="s">
        <v>189</v>
      </c>
      <c r="AF134" s="8">
        <f t="shared" si="12"/>
        <v>0</v>
      </c>
    </row>
    <row r="135" spans="2:32" x14ac:dyDescent="0.25">
      <c r="B135" s="2">
        <v>130</v>
      </c>
      <c r="C135" s="2" t="s">
        <v>188</v>
      </c>
      <c r="D135" s="2" t="s">
        <v>129</v>
      </c>
      <c r="E135" s="2" t="s">
        <v>172</v>
      </c>
      <c r="F135" s="13">
        <v>0.3125</v>
      </c>
      <c r="G135" s="2"/>
      <c r="H135" s="3"/>
      <c r="I135" s="3">
        <v>0.21</v>
      </c>
      <c r="J135" s="2">
        <v>0</v>
      </c>
      <c r="K135" s="2"/>
      <c r="L135" s="2"/>
      <c r="M135" s="2"/>
      <c r="N135" s="18"/>
      <c r="O135" s="2"/>
      <c r="P135" s="8">
        <f t="shared" si="13"/>
        <v>0</v>
      </c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2"/>
      <c r="AB135" s="7">
        <f t="shared" si="14"/>
        <v>0</v>
      </c>
      <c r="AC135" s="8" t="s">
        <v>148</v>
      </c>
      <c r="AD135" s="12">
        <v>500</v>
      </c>
      <c r="AE135" s="8" t="s">
        <v>189</v>
      </c>
      <c r="AF135" s="8">
        <f t="shared" si="12"/>
        <v>0</v>
      </c>
    </row>
    <row r="136" spans="2:32" x14ac:dyDescent="0.25">
      <c r="B136" s="2">
        <v>131</v>
      </c>
      <c r="C136" s="2" t="s">
        <v>188</v>
      </c>
      <c r="D136" s="2" t="s">
        <v>129</v>
      </c>
      <c r="E136" s="2" t="s">
        <v>173</v>
      </c>
      <c r="F136" s="13">
        <v>0.3125</v>
      </c>
      <c r="G136" s="2"/>
      <c r="H136" s="3"/>
      <c r="I136" s="3">
        <v>0.21</v>
      </c>
      <c r="J136" s="2">
        <v>0</v>
      </c>
      <c r="K136" s="2"/>
      <c r="L136" s="2"/>
      <c r="M136" s="2"/>
      <c r="N136" s="18"/>
      <c r="O136" s="2"/>
      <c r="P136" s="8">
        <f t="shared" si="13"/>
        <v>0</v>
      </c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2"/>
      <c r="AB136" s="7">
        <f t="shared" si="14"/>
        <v>0</v>
      </c>
      <c r="AC136" s="8" t="s">
        <v>148</v>
      </c>
      <c r="AD136" s="12">
        <v>500</v>
      </c>
      <c r="AE136" s="8" t="s">
        <v>189</v>
      </c>
      <c r="AF136" s="8">
        <f t="shared" si="12"/>
        <v>0</v>
      </c>
    </row>
    <row r="137" spans="2:32" x14ac:dyDescent="0.25">
      <c r="B137" s="2">
        <v>132</v>
      </c>
      <c r="C137" s="2" t="s">
        <v>188</v>
      </c>
      <c r="D137" s="2" t="s">
        <v>129</v>
      </c>
      <c r="E137" s="2" t="s">
        <v>174</v>
      </c>
      <c r="F137" s="13">
        <v>0.3125</v>
      </c>
      <c r="G137" s="2"/>
      <c r="H137" s="3"/>
      <c r="I137" s="3">
        <v>0.21</v>
      </c>
      <c r="J137" s="2">
        <v>0</v>
      </c>
      <c r="K137" s="2"/>
      <c r="L137" s="2"/>
      <c r="M137" s="2"/>
      <c r="N137" s="18"/>
      <c r="O137" s="2"/>
      <c r="P137" s="8">
        <f t="shared" si="13"/>
        <v>0</v>
      </c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2"/>
      <c r="AB137" s="7">
        <f t="shared" si="14"/>
        <v>0</v>
      </c>
      <c r="AC137" s="8" t="s">
        <v>148</v>
      </c>
      <c r="AD137" s="12">
        <v>500</v>
      </c>
      <c r="AE137" s="8" t="s">
        <v>189</v>
      </c>
      <c r="AF137" s="8">
        <f t="shared" si="12"/>
        <v>0</v>
      </c>
    </row>
    <row r="138" spans="2:32" x14ac:dyDescent="0.25">
      <c r="B138" s="2">
        <v>133</v>
      </c>
      <c r="C138" s="2" t="s">
        <v>188</v>
      </c>
      <c r="D138" s="2" t="s">
        <v>129</v>
      </c>
      <c r="E138" s="2" t="s">
        <v>175</v>
      </c>
      <c r="F138" s="13">
        <v>0.3125</v>
      </c>
      <c r="G138" s="2"/>
      <c r="H138" s="3"/>
      <c r="I138" s="3">
        <v>0.21</v>
      </c>
      <c r="J138" s="2">
        <v>0</v>
      </c>
      <c r="K138" s="2"/>
      <c r="L138" s="2"/>
      <c r="M138" s="2"/>
      <c r="N138" s="18"/>
      <c r="O138" s="2"/>
      <c r="P138" s="8">
        <f t="shared" si="13"/>
        <v>0</v>
      </c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2"/>
      <c r="AB138" s="7">
        <f t="shared" si="14"/>
        <v>0</v>
      </c>
      <c r="AC138" s="8" t="s">
        <v>148</v>
      </c>
      <c r="AD138" s="12">
        <v>500</v>
      </c>
      <c r="AE138" s="8" t="s">
        <v>189</v>
      </c>
      <c r="AF138" s="8">
        <f t="shared" si="12"/>
        <v>0</v>
      </c>
    </row>
    <row r="139" spans="2:32" x14ac:dyDescent="0.25">
      <c r="B139" s="2">
        <v>134</v>
      </c>
      <c r="C139" s="2" t="s">
        <v>188</v>
      </c>
      <c r="D139" s="2" t="s">
        <v>129</v>
      </c>
      <c r="E139" s="2" t="s">
        <v>176</v>
      </c>
      <c r="F139" s="13">
        <v>0.3125</v>
      </c>
      <c r="G139" s="2"/>
      <c r="H139" s="3"/>
      <c r="I139" s="3">
        <v>0.16</v>
      </c>
      <c r="J139" s="2">
        <v>0</v>
      </c>
      <c r="K139" s="2"/>
      <c r="L139" s="2"/>
      <c r="M139" s="2"/>
      <c r="N139" s="18"/>
      <c r="O139" s="2"/>
      <c r="P139" s="8">
        <f t="shared" si="13"/>
        <v>0</v>
      </c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2"/>
      <c r="AB139" s="7">
        <f t="shared" si="14"/>
        <v>0</v>
      </c>
      <c r="AC139" s="8" t="s">
        <v>148</v>
      </c>
      <c r="AD139" s="12">
        <v>500</v>
      </c>
      <c r="AE139" s="8" t="s">
        <v>189</v>
      </c>
      <c r="AF139" s="8">
        <f t="shared" si="12"/>
        <v>0</v>
      </c>
    </row>
    <row r="140" spans="2:32" x14ac:dyDescent="0.25">
      <c r="B140" s="2">
        <v>135</v>
      </c>
      <c r="C140" s="2" t="s">
        <v>188</v>
      </c>
      <c r="D140" s="2" t="s">
        <v>129</v>
      </c>
      <c r="E140" s="2" t="s">
        <v>177</v>
      </c>
      <c r="F140" s="13">
        <v>0.3125</v>
      </c>
      <c r="G140" s="2"/>
      <c r="H140" s="3"/>
      <c r="I140" s="3">
        <v>0.16</v>
      </c>
      <c r="J140" s="2">
        <v>0</v>
      </c>
      <c r="K140" s="2"/>
      <c r="L140" s="2"/>
      <c r="M140" s="2"/>
      <c r="N140" s="18"/>
      <c r="O140" s="2"/>
      <c r="P140" s="8">
        <f t="shared" si="13"/>
        <v>0</v>
      </c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2"/>
      <c r="AB140" s="7">
        <f t="shared" si="14"/>
        <v>0</v>
      </c>
      <c r="AC140" s="8" t="s">
        <v>148</v>
      </c>
      <c r="AD140" s="12">
        <v>500</v>
      </c>
      <c r="AE140" s="8" t="s">
        <v>189</v>
      </c>
      <c r="AF140" s="8">
        <f t="shared" si="12"/>
        <v>0</v>
      </c>
    </row>
    <row r="141" spans="2:32" x14ac:dyDescent="0.25">
      <c r="B141" s="2">
        <v>136</v>
      </c>
      <c r="C141" s="2" t="s">
        <v>188</v>
      </c>
      <c r="D141" s="2" t="s">
        <v>129</v>
      </c>
      <c r="E141" s="2" t="s">
        <v>178</v>
      </c>
      <c r="F141" s="13">
        <v>0.3125</v>
      </c>
      <c r="G141" s="2"/>
      <c r="H141" s="3"/>
      <c r="I141" s="3">
        <v>0.21</v>
      </c>
      <c r="J141" s="2">
        <v>0</v>
      </c>
      <c r="K141" s="2"/>
      <c r="L141" s="2"/>
      <c r="M141" s="2"/>
      <c r="N141" s="18"/>
      <c r="O141" s="2"/>
      <c r="P141" s="8">
        <f t="shared" si="13"/>
        <v>0</v>
      </c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2"/>
      <c r="AB141" s="7">
        <f t="shared" si="14"/>
        <v>0</v>
      </c>
      <c r="AC141" s="8" t="s">
        <v>148</v>
      </c>
      <c r="AD141" s="12">
        <v>500</v>
      </c>
      <c r="AE141" s="8" t="s">
        <v>189</v>
      </c>
      <c r="AF141" s="8">
        <f t="shared" si="12"/>
        <v>0</v>
      </c>
    </row>
    <row r="142" spans="2:32" x14ac:dyDescent="0.25">
      <c r="B142" s="2">
        <v>137</v>
      </c>
      <c r="C142" s="2" t="s">
        <v>188</v>
      </c>
      <c r="D142" s="2" t="s">
        <v>129</v>
      </c>
      <c r="E142" s="2" t="s">
        <v>179</v>
      </c>
      <c r="F142" s="13">
        <v>0.3125</v>
      </c>
      <c r="G142" s="2"/>
      <c r="H142" s="3"/>
      <c r="I142" s="3">
        <v>0.16</v>
      </c>
      <c r="J142" s="2">
        <v>0</v>
      </c>
      <c r="K142" s="2"/>
      <c r="L142" s="2"/>
      <c r="M142" s="2"/>
      <c r="N142" s="18"/>
      <c r="O142" s="2"/>
      <c r="P142" s="8">
        <f t="shared" si="13"/>
        <v>0</v>
      </c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2"/>
      <c r="AB142" s="7">
        <f t="shared" si="14"/>
        <v>0</v>
      </c>
      <c r="AC142" s="8" t="s">
        <v>148</v>
      </c>
      <c r="AD142" s="12">
        <v>500</v>
      </c>
      <c r="AE142" s="8" t="s">
        <v>189</v>
      </c>
      <c r="AF142" s="8">
        <f t="shared" si="12"/>
        <v>0</v>
      </c>
    </row>
    <row r="143" spans="2:32" x14ac:dyDescent="0.25">
      <c r="B143" s="2">
        <v>138</v>
      </c>
      <c r="C143" s="2" t="s">
        <v>188</v>
      </c>
      <c r="D143" s="2" t="s">
        <v>129</v>
      </c>
      <c r="E143" s="2" t="s">
        <v>180</v>
      </c>
      <c r="F143" s="13">
        <v>0.3125</v>
      </c>
      <c r="G143" s="2"/>
      <c r="H143" s="3"/>
      <c r="I143" s="3">
        <v>0.16</v>
      </c>
      <c r="J143" s="2">
        <v>0</v>
      </c>
      <c r="K143" s="2"/>
      <c r="L143" s="2"/>
      <c r="M143" s="2"/>
      <c r="N143" s="18"/>
      <c r="O143" s="2"/>
      <c r="P143" s="8">
        <f t="shared" si="13"/>
        <v>0</v>
      </c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2"/>
      <c r="AB143" s="7">
        <f t="shared" si="14"/>
        <v>0</v>
      </c>
      <c r="AC143" s="8" t="s">
        <v>148</v>
      </c>
      <c r="AD143" s="12">
        <v>500</v>
      </c>
      <c r="AE143" s="8" t="s">
        <v>189</v>
      </c>
      <c r="AF143" s="8">
        <f t="shared" si="12"/>
        <v>0</v>
      </c>
    </row>
    <row r="144" spans="2:32" x14ac:dyDescent="0.25">
      <c r="B144" s="2">
        <v>139</v>
      </c>
      <c r="C144" s="2" t="s">
        <v>188</v>
      </c>
      <c r="D144" s="2" t="s">
        <v>129</v>
      </c>
      <c r="E144" s="2" t="s">
        <v>181</v>
      </c>
      <c r="F144" s="13">
        <v>0.3125</v>
      </c>
      <c r="G144" s="2"/>
      <c r="H144" s="3"/>
      <c r="I144" s="3">
        <v>0.21</v>
      </c>
      <c r="J144" s="2">
        <v>0</v>
      </c>
      <c r="K144" s="2"/>
      <c r="L144" s="2"/>
      <c r="M144" s="2"/>
      <c r="N144" s="18"/>
      <c r="O144" s="2"/>
      <c r="P144" s="8">
        <f t="shared" si="13"/>
        <v>0</v>
      </c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2"/>
      <c r="AB144" s="7">
        <f t="shared" si="14"/>
        <v>0</v>
      </c>
      <c r="AC144" s="8" t="s">
        <v>148</v>
      </c>
      <c r="AD144" s="12">
        <v>500</v>
      </c>
      <c r="AE144" s="8" t="s">
        <v>189</v>
      </c>
      <c r="AF144" s="8">
        <f t="shared" si="12"/>
        <v>0</v>
      </c>
    </row>
    <row r="145" spans="2:32" x14ac:dyDescent="0.25">
      <c r="B145" s="2">
        <v>140</v>
      </c>
      <c r="C145" s="2" t="s">
        <v>188</v>
      </c>
      <c r="D145" s="2" t="s">
        <v>129</v>
      </c>
      <c r="E145" s="2" t="s">
        <v>182</v>
      </c>
      <c r="F145" s="13">
        <v>0.3125</v>
      </c>
      <c r="G145" s="2"/>
      <c r="H145" s="3"/>
      <c r="I145" s="3">
        <v>0.21</v>
      </c>
      <c r="J145" s="2">
        <v>0</v>
      </c>
      <c r="K145" s="2"/>
      <c r="L145" s="2"/>
      <c r="M145" s="2"/>
      <c r="N145" s="18"/>
      <c r="O145" s="2"/>
      <c r="P145" s="8">
        <f t="shared" si="13"/>
        <v>0</v>
      </c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2"/>
      <c r="AB145" s="7">
        <f t="shared" si="14"/>
        <v>0</v>
      </c>
      <c r="AC145" s="8" t="s">
        <v>148</v>
      </c>
      <c r="AD145" s="12">
        <v>500</v>
      </c>
      <c r="AE145" s="8" t="s">
        <v>189</v>
      </c>
      <c r="AF145" s="8">
        <f t="shared" si="12"/>
        <v>0</v>
      </c>
    </row>
    <row r="146" spans="2:32" x14ac:dyDescent="0.25">
      <c r="B146" s="2">
        <v>141</v>
      </c>
      <c r="C146" s="2" t="s">
        <v>188</v>
      </c>
      <c r="D146" s="2" t="s">
        <v>129</v>
      </c>
      <c r="E146" s="2" t="s">
        <v>183</v>
      </c>
      <c r="F146" s="13">
        <v>0.3125</v>
      </c>
      <c r="G146" s="2"/>
      <c r="H146" s="3"/>
      <c r="I146" s="3">
        <v>0.21</v>
      </c>
      <c r="J146" s="2">
        <v>0</v>
      </c>
      <c r="K146" s="2"/>
      <c r="L146" s="2"/>
      <c r="M146" s="2"/>
      <c r="N146" s="18"/>
      <c r="O146" s="2"/>
      <c r="P146" s="8">
        <f t="shared" si="13"/>
        <v>0</v>
      </c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2"/>
      <c r="AB146" s="7">
        <f t="shared" si="14"/>
        <v>0</v>
      </c>
      <c r="AC146" s="8" t="s">
        <v>148</v>
      </c>
      <c r="AD146" s="12">
        <v>500</v>
      </c>
      <c r="AE146" s="8" t="s">
        <v>189</v>
      </c>
      <c r="AF146" s="8">
        <f t="shared" si="12"/>
        <v>0</v>
      </c>
    </row>
    <row r="147" spans="2:32" x14ac:dyDescent="0.25">
      <c r="B147" s="2">
        <v>142</v>
      </c>
      <c r="C147" s="2" t="s">
        <v>188</v>
      </c>
      <c r="D147" s="2" t="s">
        <v>129</v>
      </c>
      <c r="E147" s="2" t="s">
        <v>184</v>
      </c>
      <c r="F147" s="13">
        <v>0.3125</v>
      </c>
      <c r="G147" s="2"/>
      <c r="H147" s="3"/>
      <c r="I147" s="3">
        <v>0.21</v>
      </c>
      <c r="J147" s="2">
        <v>0</v>
      </c>
      <c r="K147" s="2"/>
      <c r="L147" s="2"/>
      <c r="M147" s="2"/>
      <c r="N147" s="18"/>
      <c r="O147" s="2"/>
      <c r="P147" s="8">
        <f t="shared" si="13"/>
        <v>0</v>
      </c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2"/>
      <c r="AB147" s="7">
        <f t="shared" si="14"/>
        <v>0</v>
      </c>
      <c r="AC147" s="8" t="s">
        <v>148</v>
      </c>
      <c r="AD147" s="12">
        <v>500</v>
      </c>
      <c r="AE147" s="8" t="s">
        <v>189</v>
      </c>
      <c r="AF147" s="8">
        <f t="shared" si="12"/>
        <v>0</v>
      </c>
    </row>
    <row r="148" spans="2:32" x14ac:dyDescent="0.25">
      <c r="B148" s="2">
        <v>143</v>
      </c>
      <c r="C148" s="2" t="s">
        <v>188</v>
      </c>
      <c r="D148" s="2" t="s">
        <v>129</v>
      </c>
      <c r="E148" s="2" t="s">
        <v>185</v>
      </c>
      <c r="F148" s="13">
        <v>0.3125</v>
      </c>
      <c r="G148" s="2"/>
      <c r="H148" s="3"/>
      <c r="I148" s="3">
        <v>0.19</v>
      </c>
      <c r="J148" s="2">
        <v>0</v>
      </c>
      <c r="K148" s="2"/>
      <c r="L148" s="2"/>
      <c r="M148" s="2"/>
      <c r="N148" s="18"/>
      <c r="O148" s="2"/>
      <c r="P148" s="8">
        <f t="shared" si="13"/>
        <v>0</v>
      </c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2"/>
      <c r="AB148" s="7">
        <f t="shared" si="14"/>
        <v>0</v>
      </c>
      <c r="AC148" s="8" t="s">
        <v>148</v>
      </c>
      <c r="AD148" s="12">
        <v>500</v>
      </c>
      <c r="AE148" s="8" t="s">
        <v>189</v>
      </c>
      <c r="AF148" s="8">
        <f t="shared" si="12"/>
        <v>0</v>
      </c>
    </row>
    <row r="149" spans="2:32" x14ac:dyDescent="0.25">
      <c r="B149" s="2">
        <v>144</v>
      </c>
      <c r="C149" s="2" t="s">
        <v>188</v>
      </c>
      <c r="D149" s="2" t="s">
        <v>129</v>
      </c>
      <c r="E149" s="2" t="s">
        <v>186</v>
      </c>
      <c r="F149" s="13">
        <v>0.3125</v>
      </c>
      <c r="G149" s="2"/>
      <c r="H149" s="3"/>
      <c r="I149" s="3">
        <v>0.19</v>
      </c>
      <c r="J149" s="2">
        <v>0</v>
      </c>
      <c r="K149" s="2"/>
      <c r="L149" s="2"/>
      <c r="M149" s="2"/>
      <c r="N149" s="18"/>
      <c r="O149" s="2"/>
      <c r="P149" s="8">
        <f t="shared" si="13"/>
        <v>0</v>
      </c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2"/>
      <c r="AB149" s="7">
        <f t="shared" si="14"/>
        <v>0</v>
      </c>
      <c r="AC149" s="8" t="s">
        <v>148</v>
      </c>
      <c r="AD149" s="12">
        <v>500</v>
      </c>
      <c r="AE149" s="8" t="s">
        <v>189</v>
      </c>
      <c r="AF149" s="8">
        <f t="shared" si="12"/>
        <v>0</v>
      </c>
    </row>
    <row r="150" spans="2:32" x14ac:dyDescent="0.25">
      <c r="I150" s="4" t="s">
        <v>19</v>
      </c>
      <c r="J150" s="9">
        <f>SUM(J6:J122)</f>
        <v>21793</v>
      </c>
      <c r="K150" s="9">
        <f t="shared" ref="K150:AB150" si="15">SUM(K6:K122)</f>
        <v>0</v>
      </c>
      <c r="L150" s="9">
        <f t="shared" si="15"/>
        <v>0</v>
      </c>
      <c r="M150" s="9">
        <f t="shared" si="15"/>
        <v>0</v>
      </c>
      <c r="N150" s="19">
        <f t="shared" si="15"/>
        <v>1580</v>
      </c>
      <c r="O150" s="9">
        <f>SUM(O6:O122)</f>
        <v>3018</v>
      </c>
      <c r="P150" s="11">
        <f t="shared" si="15"/>
        <v>-21520</v>
      </c>
      <c r="Q150" s="19">
        <f t="shared" si="15"/>
        <v>2060</v>
      </c>
      <c r="R150" s="19">
        <f t="shared" si="15"/>
        <v>2250</v>
      </c>
      <c r="S150" s="19">
        <f t="shared" si="15"/>
        <v>3863</v>
      </c>
      <c r="T150" s="19">
        <f t="shared" si="15"/>
        <v>3785</v>
      </c>
      <c r="U150" s="19">
        <f t="shared" si="15"/>
        <v>1766</v>
      </c>
      <c r="V150" s="19">
        <f t="shared" si="15"/>
        <v>1574</v>
      </c>
      <c r="W150" s="19">
        <f t="shared" si="15"/>
        <v>8550</v>
      </c>
      <c r="X150" s="19">
        <f t="shared" si="15"/>
        <v>5476</v>
      </c>
      <c r="Y150" s="19">
        <f t="shared" si="15"/>
        <v>6877</v>
      </c>
      <c r="Z150" s="19">
        <f t="shared" si="15"/>
        <v>2367</v>
      </c>
      <c r="AA150" s="9">
        <f t="shared" si="15"/>
        <v>9343</v>
      </c>
      <c r="AB150" s="9">
        <f t="shared" si="15"/>
        <v>0</v>
      </c>
      <c r="AF150" s="12">
        <f>SUM(AF6:AF122)</f>
        <v>162.41499999999999</v>
      </c>
    </row>
    <row r="151" spans="2:32" x14ac:dyDescent="0.25">
      <c r="I151" s="4" t="s">
        <v>21</v>
      </c>
      <c r="J151" s="99">
        <f>+J150+K150+L150+M150+N150+O150</f>
        <v>26391</v>
      </c>
      <c r="K151" s="99"/>
      <c r="L151" s="99"/>
      <c r="M151" s="99"/>
      <c r="N151" s="99"/>
      <c r="O151" s="99"/>
      <c r="Q151" s="123">
        <f>+Q150+R150</f>
        <v>4310</v>
      </c>
      <c r="R151" s="124"/>
      <c r="S151" s="123">
        <f>+S150+T150</f>
        <v>7648</v>
      </c>
      <c r="T151" s="124"/>
      <c r="U151" s="123">
        <f>+U150+V150</f>
        <v>3340</v>
      </c>
      <c r="V151" s="124"/>
      <c r="W151" s="130">
        <f t="shared" ref="W151" si="16">+W150+X150</f>
        <v>14026</v>
      </c>
      <c r="X151" s="131"/>
      <c r="Y151" s="123">
        <f t="shared" ref="Y151" si="17">+Y150+Z150</f>
        <v>9244</v>
      </c>
      <c r="Z151" s="124"/>
      <c r="AA151" s="10">
        <f>+AA150</f>
        <v>9343</v>
      </c>
    </row>
    <row r="152" spans="2:32" x14ac:dyDescent="0.25">
      <c r="J152" s="33">
        <f>+J150</f>
        <v>21793</v>
      </c>
      <c r="K152" s="33">
        <f t="shared" ref="K152:O152" si="18">+K150</f>
        <v>0</v>
      </c>
      <c r="L152" s="33">
        <f t="shared" si="18"/>
        <v>0</v>
      </c>
      <c r="M152" s="33">
        <f t="shared" si="18"/>
        <v>0</v>
      </c>
      <c r="N152" s="50">
        <f t="shared" si="18"/>
        <v>1580</v>
      </c>
      <c r="O152" s="33">
        <f t="shared" si="18"/>
        <v>3018</v>
      </c>
      <c r="Q152" s="50">
        <f>+Q150</f>
        <v>2060</v>
      </c>
    </row>
    <row r="154" spans="2:32" x14ac:dyDescent="0.25">
      <c r="D154" s="2" t="s">
        <v>217</v>
      </c>
      <c r="E154" s="2" t="s">
        <v>218</v>
      </c>
      <c r="F154" s="2" t="s">
        <v>219</v>
      </c>
    </row>
    <row r="155" spans="2:32" x14ac:dyDescent="0.25">
      <c r="C155" s="31" t="s">
        <v>212</v>
      </c>
      <c r="D155" s="8">
        <v>26391</v>
      </c>
      <c r="E155" s="2">
        <f>+D155/5</f>
        <v>5278.2</v>
      </c>
      <c r="F155" s="2">
        <f>+E155/2</f>
        <v>2639.1</v>
      </c>
      <c r="I155" s="22"/>
      <c r="Q155" s="18" t="s">
        <v>15</v>
      </c>
      <c r="R155" s="18" t="s">
        <v>16</v>
      </c>
      <c r="S155" s="18" t="s">
        <v>15</v>
      </c>
      <c r="T155" s="18" t="s">
        <v>16</v>
      </c>
      <c r="U155" s="18" t="s">
        <v>15</v>
      </c>
      <c r="V155" s="18" t="s">
        <v>16</v>
      </c>
      <c r="W155" s="18" t="s">
        <v>15</v>
      </c>
      <c r="X155" s="18" t="s">
        <v>16</v>
      </c>
      <c r="Y155" s="18" t="s">
        <v>15</v>
      </c>
      <c r="Z155" s="18" t="s">
        <v>16</v>
      </c>
      <c r="AA155" s="2"/>
    </row>
    <row r="156" spans="2:32" x14ac:dyDescent="0.25">
      <c r="C156" s="31" t="s">
        <v>213</v>
      </c>
      <c r="D156" s="8">
        <v>6776</v>
      </c>
      <c r="E156" s="2">
        <f>+D156/5</f>
        <v>1355.2</v>
      </c>
      <c r="F156" s="2">
        <f>+E156/2</f>
        <v>677.6</v>
      </c>
      <c r="Q156" s="39">
        <f>Q150/F155</f>
        <v>0.78056913341669509</v>
      </c>
      <c r="R156" s="39">
        <f>R150/F155</f>
        <v>0.85256337387745829</v>
      </c>
      <c r="S156" s="39">
        <f>S150/F155</f>
        <v>1.4637565836838318</v>
      </c>
      <c r="T156" s="39">
        <f>T150/F155</f>
        <v>1.4342010533894132</v>
      </c>
      <c r="U156" s="39">
        <f>U150/F155</f>
        <v>0.66916751923004059</v>
      </c>
      <c r="V156" s="39">
        <f>V150/$F$155</f>
        <v>0.59641544465916418</v>
      </c>
      <c r="W156" s="39">
        <f t="shared" ref="W156:Z156" si="19">W150/$F$155</f>
        <v>3.2397408207343412</v>
      </c>
      <c r="X156" s="39">
        <f t="shared" si="19"/>
        <v>2.0749497934902053</v>
      </c>
      <c r="Y156" s="39">
        <f t="shared" si="19"/>
        <v>2.6058125876245692</v>
      </c>
      <c r="Z156" s="39">
        <f t="shared" si="19"/>
        <v>0.89689666931908607</v>
      </c>
      <c r="AA156" s="39"/>
    </row>
    <row r="157" spans="2:32" x14ac:dyDescent="0.25">
      <c r="C157" s="31" t="s">
        <v>214</v>
      </c>
      <c r="D157" s="2">
        <f>D155-D156</f>
        <v>19615</v>
      </c>
      <c r="E157" s="2"/>
      <c r="F157" s="2"/>
    </row>
    <row r="158" spans="2:32" x14ac:dyDescent="0.25">
      <c r="C158" s="31" t="s">
        <v>215</v>
      </c>
      <c r="D158" s="32">
        <f>+D157/D155</f>
        <v>0.74324580349361524</v>
      </c>
      <c r="E158" s="2"/>
      <c r="F158" s="2"/>
    </row>
    <row r="159" spans="2:32" x14ac:dyDescent="0.25">
      <c r="C159" s="31" t="s">
        <v>216</v>
      </c>
      <c r="D159" s="32">
        <f>+D156/D155</f>
        <v>0.25675419650638476</v>
      </c>
      <c r="E159" s="2"/>
      <c r="F159" s="2"/>
    </row>
    <row r="162" spans="2:7" x14ac:dyDescent="0.25">
      <c r="B162" s="129" t="s">
        <v>227</v>
      </c>
      <c r="C162" s="42">
        <v>46237</v>
      </c>
      <c r="D162" s="42">
        <v>46238</v>
      </c>
      <c r="E162" s="42">
        <v>46239</v>
      </c>
      <c r="F162" s="42">
        <v>46240</v>
      </c>
      <c r="G162" s="43">
        <v>46241</v>
      </c>
    </row>
    <row r="163" spans="2:7" x14ac:dyDescent="0.25">
      <c r="B163" s="129"/>
      <c r="C163" s="44" t="s">
        <v>222</v>
      </c>
      <c r="D163" s="44" t="s">
        <v>223</v>
      </c>
      <c r="E163" s="44" t="s">
        <v>224</v>
      </c>
      <c r="F163" s="44" t="s">
        <v>225</v>
      </c>
      <c r="G163" s="44" t="s">
        <v>226</v>
      </c>
    </row>
    <row r="164" spans="2:7" x14ac:dyDescent="0.25">
      <c r="B164" s="40" t="s">
        <v>220</v>
      </c>
      <c r="C164" s="39"/>
      <c r="D164" s="39"/>
      <c r="E164" s="39">
        <v>0.63</v>
      </c>
      <c r="F164" s="45">
        <v>0.67</v>
      </c>
      <c r="G164" s="45">
        <v>0.74</v>
      </c>
    </row>
    <row r="165" spans="2:7" x14ac:dyDescent="0.25">
      <c r="B165" s="41" t="s">
        <v>221</v>
      </c>
      <c r="C165" s="39"/>
      <c r="D165" s="39"/>
      <c r="E165" s="39">
        <v>0.37</v>
      </c>
      <c r="F165" s="45">
        <v>0.33</v>
      </c>
      <c r="G165" s="45">
        <v>0.26</v>
      </c>
    </row>
  </sheetData>
  <autoFilter ref="C5:AF151" xr:uid="{00000000-0009-0000-0000-000006000000}"/>
  <mergeCells count="15">
    <mergeCell ref="D2:E2"/>
    <mergeCell ref="C3:C4"/>
    <mergeCell ref="K4:O4"/>
    <mergeCell ref="Q4:R4"/>
    <mergeCell ref="S4:T4"/>
    <mergeCell ref="B162:B163"/>
    <mergeCell ref="W4:X4"/>
    <mergeCell ref="Y4:Z4"/>
    <mergeCell ref="J151:O151"/>
    <mergeCell ref="Q151:R151"/>
    <mergeCell ref="S151:T151"/>
    <mergeCell ref="U151:V151"/>
    <mergeCell ref="W151:X151"/>
    <mergeCell ref="Y151:Z151"/>
    <mergeCell ref="U4:V4"/>
  </mergeCells>
  <conditionalFormatting sqref="Q156:Z156">
    <cfRule type="cellIs" dxfId="23" priority="1" operator="between">
      <formula>1</formula>
      <formula>5</formula>
    </cfRule>
    <cfRule type="cellIs" dxfId="22" priority="2" operator="between">
      <formula>0.85</formula>
      <formula>0.99</formula>
    </cfRule>
    <cfRule type="cellIs" dxfId="21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AK165"/>
  <sheetViews>
    <sheetView topLeftCell="A130" zoomScale="85" zoomScaleNormal="85" workbookViewId="0">
      <pane xSplit="15" topLeftCell="P1" activePane="topRight" state="frozen"/>
      <selection activeCell="J1" sqref="J1:N1048576"/>
      <selection pane="topRight" activeCell="P153" sqref="P153:AA155"/>
    </sheetView>
  </sheetViews>
  <sheetFormatPr baseColWidth="10" defaultColWidth="8.7109375" defaultRowHeight="15" x14ac:dyDescent="0.25"/>
  <cols>
    <col min="1" max="1" width="8.7109375" style="1"/>
    <col min="2" max="2" width="21.140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hidden="1" customWidth="1"/>
    <col min="8" max="8" width="15.42578125" style="1" hidden="1" customWidth="1"/>
    <col min="9" max="9" width="11.7109375" style="1" bestFit="1" customWidth="1"/>
    <col min="10" max="10" width="11.5703125" style="1" customWidth="1"/>
    <col min="11" max="12" width="8.85546875" style="1" hidden="1" customWidth="1"/>
    <col min="13" max="13" width="1.42578125" style="1" hidden="1" customWidth="1"/>
    <col min="14" max="14" width="20" style="1" bestFit="1" customWidth="1"/>
    <col min="15" max="15" width="10.140625" style="1" customWidth="1"/>
    <col min="16" max="17" width="9.140625" style="1" customWidth="1"/>
    <col min="18" max="22" width="8.7109375" style="16" customWidth="1"/>
    <col min="23" max="23" width="8.7109375" style="1" customWidth="1"/>
    <col min="24" max="24" width="8.7109375" style="80" customWidth="1"/>
    <col min="25" max="25" width="8.7109375" style="1" customWidth="1"/>
    <col min="26" max="27" width="8.7109375" style="16" customWidth="1"/>
    <col min="28" max="28" width="8.7109375" style="1" customWidth="1"/>
    <col min="29" max="29" width="8.7109375" style="1"/>
    <col min="30" max="30" width="14.42578125" style="1" bestFit="1" customWidth="1"/>
    <col min="31" max="31" width="13" style="1" customWidth="1"/>
    <col min="32" max="32" width="11.5703125" style="1" bestFit="1" customWidth="1"/>
    <col min="33" max="33" width="12.140625" style="1" bestFit="1" customWidth="1"/>
    <col min="34" max="34" width="8.7109375" style="1"/>
    <col min="35" max="35" width="14.42578125" style="1" bestFit="1" customWidth="1"/>
    <col min="36" max="36" width="18.42578125" style="1" bestFit="1" customWidth="1"/>
    <col min="37" max="16384" width="8.7109375" style="1"/>
  </cols>
  <sheetData>
    <row r="1" spans="1:37" x14ac:dyDescent="0.25">
      <c r="W1" s="16"/>
      <c r="Y1" s="16"/>
      <c r="Z1" s="70"/>
      <c r="AA1" s="70"/>
    </row>
    <row r="2" spans="1:37" x14ac:dyDescent="0.25">
      <c r="B2" s="4" t="s">
        <v>17</v>
      </c>
      <c r="C2" s="92" t="s">
        <v>18</v>
      </c>
      <c r="D2" s="92"/>
      <c r="W2" s="16"/>
      <c r="Y2" s="16"/>
      <c r="Z2" s="70"/>
      <c r="AA2" s="70"/>
    </row>
    <row r="3" spans="1:37" x14ac:dyDescent="0.25">
      <c r="B3" s="93">
        <f ca="1">TODAY()</f>
        <v>46308</v>
      </c>
      <c r="C3" s="4" t="s">
        <v>15</v>
      </c>
      <c r="D3" s="2" t="s">
        <v>209</v>
      </c>
      <c r="I3" s="4" t="s">
        <v>4</v>
      </c>
      <c r="W3" s="16"/>
      <c r="Y3" s="16"/>
      <c r="Z3" s="70"/>
      <c r="AA3" s="70"/>
    </row>
    <row r="4" spans="1:37" x14ac:dyDescent="0.25">
      <c r="B4" s="93"/>
      <c r="C4" s="4" t="s">
        <v>16</v>
      </c>
      <c r="D4" s="2"/>
      <c r="I4" s="4" t="s">
        <v>5</v>
      </c>
      <c r="J4" s="98" t="s">
        <v>211</v>
      </c>
      <c r="K4" s="98"/>
      <c r="L4" s="98"/>
      <c r="M4" s="98"/>
      <c r="N4" s="98"/>
      <c r="P4" s="122">
        <v>46244</v>
      </c>
      <c r="Q4" s="122"/>
      <c r="R4" s="125">
        <v>46245</v>
      </c>
      <c r="S4" s="125"/>
      <c r="T4" s="125">
        <v>46246</v>
      </c>
      <c r="U4" s="125"/>
      <c r="V4" s="122">
        <v>46247</v>
      </c>
      <c r="W4" s="122"/>
      <c r="X4" s="122">
        <v>46248</v>
      </c>
      <c r="Y4" s="122"/>
      <c r="Z4" s="122"/>
      <c r="AA4" s="122"/>
      <c r="AB4" s="6" t="s">
        <v>10</v>
      </c>
    </row>
    <row r="5" spans="1:37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>
        <v>33</v>
      </c>
      <c r="J5" s="4" t="s">
        <v>230</v>
      </c>
      <c r="K5" s="4" t="s">
        <v>9</v>
      </c>
      <c r="L5" s="4" t="s">
        <v>11</v>
      </c>
      <c r="M5" s="4" t="s">
        <v>12</v>
      </c>
      <c r="N5" s="4"/>
      <c r="O5" s="4" t="s">
        <v>14</v>
      </c>
      <c r="P5" s="4" t="s">
        <v>15</v>
      </c>
      <c r="Q5" s="4" t="s">
        <v>16</v>
      </c>
      <c r="R5" s="17" t="s">
        <v>15</v>
      </c>
      <c r="S5" s="17" t="s">
        <v>16</v>
      </c>
      <c r="T5" s="17" t="s">
        <v>15</v>
      </c>
      <c r="U5" s="17" t="s">
        <v>16</v>
      </c>
      <c r="V5" s="17" t="s">
        <v>15</v>
      </c>
      <c r="W5" s="17" t="s">
        <v>16</v>
      </c>
      <c r="X5" s="81" t="s">
        <v>15</v>
      </c>
      <c r="Y5" s="17" t="s">
        <v>16</v>
      </c>
      <c r="Z5" s="17"/>
      <c r="AA5" s="17"/>
      <c r="AB5" s="4" t="s">
        <v>20</v>
      </c>
      <c r="AC5" s="4" t="s">
        <v>8</v>
      </c>
      <c r="AD5" s="4" t="s">
        <v>22</v>
      </c>
      <c r="AE5" s="4" t="s">
        <v>145</v>
      </c>
      <c r="AF5" s="4" t="s">
        <v>23</v>
      </c>
      <c r="AG5" s="4" t="s">
        <v>156</v>
      </c>
      <c r="AH5"/>
      <c r="AI5" t="s">
        <v>157</v>
      </c>
      <c r="AJ5" t="s">
        <v>159</v>
      </c>
      <c r="AK5"/>
    </row>
    <row r="6" spans="1:37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2">
        <f>VLOOKUP(D6,'[1]PROGRAMA S33 TRANSF'!$B$3:$K$58,2,0)</f>
        <v>1860</v>
      </c>
      <c r="J6" s="2"/>
      <c r="K6" s="2"/>
      <c r="L6" s="2"/>
      <c r="M6" s="2"/>
      <c r="N6" s="2"/>
      <c r="O6" s="8">
        <f t="shared" ref="O6:O37" si="0">+I6+J6+K6+L6+M6+N6-SUM(P6:AB6)</f>
        <v>-1502</v>
      </c>
      <c r="P6" s="18"/>
      <c r="Q6" s="2"/>
      <c r="R6" s="18"/>
      <c r="S6" s="18"/>
      <c r="T6" s="18"/>
      <c r="U6" s="18"/>
      <c r="V6" s="18"/>
      <c r="W6" s="18"/>
      <c r="X6" s="82"/>
      <c r="Y6" s="18"/>
      <c r="Z6" s="18"/>
      <c r="AA6" s="18"/>
      <c r="AB6" s="61">
        <v>3362</v>
      </c>
      <c r="AC6" s="7">
        <f t="shared" ref="AC6:AC37" si="1">+G6*SUM(I6:N6)</f>
        <v>0</v>
      </c>
      <c r="AD6" s="8" t="s">
        <v>146</v>
      </c>
      <c r="AE6" s="8">
        <v>150</v>
      </c>
      <c r="AF6" s="8" t="s">
        <v>152</v>
      </c>
      <c r="AG6" s="8">
        <f t="shared" ref="AG6:AG21" si="2">+SUM(I6:N6)/AE6</f>
        <v>12.4</v>
      </c>
      <c r="AH6"/>
      <c r="AI6" s="15">
        <v>0</v>
      </c>
      <c r="AJ6">
        <v>0</v>
      </c>
      <c r="AK6"/>
    </row>
    <row r="7" spans="1:37" x14ac:dyDescent="0.25">
      <c r="A7" s="2">
        <v>2</v>
      </c>
      <c r="B7" s="2" t="s">
        <v>24</v>
      </c>
      <c r="C7" s="2" t="s">
        <v>129</v>
      </c>
      <c r="D7" s="2" t="s">
        <v>26</v>
      </c>
      <c r="E7" s="13">
        <v>0.25</v>
      </c>
      <c r="F7" s="2">
        <v>2.8000000000000001E-2</v>
      </c>
      <c r="G7" s="3"/>
      <c r="H7" s="3"/>
      <c r="I7" s="2">
        <f>VLOOKUP(D7,'[1]PROGRAMA S33 TRANSF'!$B$3:$K$58,2,0)</f>
        <v>3669</v>
      </c>
      <c r="J7" s="2"/>
      <c r="K7" s="2"/>
      <c r="L7" s="2"/>
      <c r="M7" s="2"/>
      <c r="N7" s="2"/>
      <c r="O7" s="8">
        <f t="shared" si="0"/>
        <v>-896</v>
      </c>
      <c r="P7" s="18">
        <v>1300</v>
      </c>
      <c r="Q7" s="2"/>
      <c r="R7" s="18"/>
      <c r="S7" s="18"/>
      <c r="T7" s="18"/>
      <c r="U7" s="18"/>
      <c r="V7" s="18"/>
      <c r="W7" s="18"/>
      <c r="X7" s="18">
        <v>1000</v>
      </c>
      <c r="Y7" s="18"/>
      <c r="Z7" s="18"/>
      <c r="AA7" s="18"/>
      <c r="AB7" s="61">
        <v>2265</v>
      </c>
      <c r="AC7" s="7">
        <f t="shared" si="1"/>
        <v>0</v>
      </c>
      <c r="AD7" s="8" t="s">
        <v>146</v>
      </c>
      <c r="AE7" s="8">
        <v>200</v>
      </c>
      <c r="AF7" s="8" t="s">
        <v>152</v>
      </c>
      <c r="AG7" s="8">
        <f t="shared" si="2"/>
        <v>18.344999999999999</v>
      </c>
      <c r="AH7"/>
      <c r="AI7" s="15" t="s">
        <v>146</v>
      </c>
      <c r="AJ7">
        <v>52</v>
      </c>
      <c r="AK7"/>
    </row>
    <row r="8" spans="1:37" x14ac:dyDescent="0.25">
      <c r="A8" s="2">
        <v>3</v>
      </c>
      <c r="B8" s="2" t="s">
        <v>24</v>
      </c>
      <c r="C8" s="2" t="s">
        <v>129</v>
      </c>
      <c r="D8" s="2" t="s">
        <v>27</v>
      </c>
      <c r="E8" s="13">
        <v>0.25</v>
      </c>
      <c r="F8" s="2">
        <v>2.8000000000000001E-2</v>
      </c>
      <c r="G8" s="3"/>
      <c r="H8" s="3"/>
      <c r="I8" s="2">
        <f>VLOOKUP(D8,'[1]PROGRAMA S33 TRANSF'!$B$3:$K$58,2,0)</f>
        <v>2239</v>
      </c>
      <c r="J8" s="2"/>
      <c r="K8" s="2"/>
      <c r="L8" s="2"/>
      <c r="M8" s="2"/>
      <c r="N8" s="2"/>
      <c r="O8" s="8">
        <f t="shared" si="0"/>
        <v>-1561</v>
      </c>
      <c r="P8" s="18"/>
      <c r="Q8" s="2"/>
      <c r="R8" s="18"/>
      <c r="S8" s="18"/>
      <c r="T8" s="18"/>
      <c r="U8" s="18"/>
      <c r="V8" s="18"/>
      <c r="W8" s="18"/>
      <c r="X8" s="18">
        <v>1550</v>
      </c>
      <c r="Y8" s="18"/>
      <c r="Z8" s="18"/>
      <c r="AA8" s="18"/>
      <c r="AB8" s="61">
        <v>2250</v>
      </c>
      <c r="AC8" s="7">
        <f t="shared" si="1"/>
        <v>0</v>
      </c>
      <c r="AD8" s="8" t="s">
        <v>146</v>
      </c>
      <c r="AE8" s="8">
        <v>200</v>
      </c>
      <c r="AF8" s="8" t="s">
        <v>152</v>
      </c>
      <c r="AG8" s="8">
        <f t="shared" si="2"/>
        <v>11.195</v>
      </c>
      <c r="AH8"/>
      <c r="AI8" s="15" t="s">
        <v>155</v>
      </c>
      <c r="AJ8">
        <v>0</v>
      </c>
      <c r="AK8"/>
    </row>
    <row r="9" spans="1:37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2">
        <f>VLOOKUP(D9,'[1]PROGRAMA S33 TRANSF'!$B$3:$K$58,2,0)</f>
        <v>875</v>
      </c>
      <c r="J9" s="2"/>
      <c r="K9" s="2"/>
      <c r="L9" s="2"/>
      <c r="M9" s="2"/>
      <c r="N9" s="2"/>
      <c r="O9" s="8">
        <f t="shared" si="0"/>
        <v>-433</v>
      </c>
      <c r="P9" s="18"/>
      <c r="Q9" s="2"/>
      <c r="R9" s="18"/>
      <c r="S9" s="18"/>
      <c r="T9" s="18"/>
      <c r="U9" s="18"/>
      <c r="V9" s="18"/>
      <c r="W9" s="18"/>
      <c r="X9" s="82"/>
      <c r="Y9" s="18"/>
      <c r="Z9" s="18"/>
      <c r="AA9" s="18"/>
      <c r="AB9" s="61">
        <v>1308</v>
      </c>
      <c r="AC9" s="7">
        <f t="shared" si="1"/>
        <v>0</v>
      </c>
      <c r="AD9" s="8" t="s">
        <v>146</v>
      </c>
      <c r="AE9" s="8">
        <v>100</v>
      </c>
      <c r="AF9" s="8" t="s">
        <v>152</v>
      </c>
      <c r="AG9" s="8">
        <f t="shared" si="2"/>
        <v>8.75</v>
      </c>
      <c r="AH9"/>
      <c r="AI9" s="15" t="s">
        <v>147</v>
      </c>
      <c r="AJ9">
        <v>116</v>
      </c>
      <c r="AK9"/>
    </row>
    <row r="10" spans="1:37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2">
        <f>VLOOKUP(D10,'[1]PROGRAMA S33 TRANSF'!$B$3:$K$58,2,0)</f>
        <v>1908</v>
      </c>
      <c r="J10" s="2"/>
      <c r="K10" s="2"/>
      <c r="L10" s="2"/>
      <c r="M10" s="2"/>
      <c r="N10" s="2"/>
      <c r="O10" s="8">
        <f t="shared" si="0"/>
        <v>-22</v>
      </c>
      <c r="P10" s="18"/>
      <c r="Q10" s="2"/>
      <c r="R10" s="18"/>
      <c r="S10" s="18"/>
      <c r="T10" s="18"/>
      <c r="U10" s="18"/>
      <c r="V10" s="18"/>
      <c r="W10" s="18"/>
      <c r="X10" s="82"/>
      <c r="Y10" s="18"/>
      <c r="Z10" s="35"/>
      <c r="AA10" s="35"/>
      <c r="AB10" s="61">
        <v>1930</v>
      </c>
      <c r="AC10" s="7">
        <f t="shared" si="1"/>
        <v>0</v>
      </c>
      <c r="AD10" s="8" t="s">
        <v>146</v>
      </c>
      <c r="AE10" s="8">
        <v>150</v>
      </c>
      <c r="AF10" s="8" t="s">
        <v>152</v>
      </c>
      <c r="AG10" s="8">
        <f t="shared" si="2"/>
        <v>12.72</v>
      </c>
      <c r="AH10"/>
      <c r="AI10" s="15" t="s">
        <v>150</v>
      </c>
      <c r="AJ10">
        <v>2</v>
      </c>
      <c r="AK10"/>
    </row>
    <row r="11" spans="1:37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2">
        <f>VLOOKUP(D11,'[1]PROGRAMA S33 TRANSF'!$B$3:$K$58,2,0)</f>
        <v>855</v>
      </c>
      <c r="J11" s="2"/>
      <c r="K11" s="2"/>
      <c r="L11" s="2"/>
      <c r="M11" s="2"/>
      <c r="N11" s="2"/>
      <c r="O11" s="8">
        <f t="shared" si="0"/>
        <v>-642</v>
      </c>
      <c r="P11" s="18"/>
      <c r="Q11" s="2"/>
      <c r="R11" s="18"/>
      <c r="S11" s="18"/>
      <c r="T11" s="2"/>
      <c r="U11" s="18"/>
      <c r="V11" s="18"/>
      <c r="W11" s="18"/>
      <c r="X11" s="82"/>
      <c r="Y11" s="18"/>
      <c r="Z11" s="35"/>
      <c r="AA11" s="35"/>
      <c r="AB11" s="61">
        <v>1497</v>
      </c>
      <c r="AC11" s="7">
        <f t="shared" si="1"/>
        <v>0</v>
      </c>
      <c r="AD11" s="8" t="s">
        <v>146</v>
      </c>
      <c r="AE11" s="8">
        <v>150</v>
      </c>
      <c r="AF11" s="8" t="s">
        <v>152</v>
      </c>
      <c r="AG11" s="8">
        <f t="shared" si="2"/>
        <v>5.7</v>
      </c>
      <c r="AH11"/>
      <c r="AI11" s="15" t="s">
        <v>149</v>
      </c>
      <c r="AJ11">
        <v>10</v>
      </c>
      <c r="AK11"/>
    </row>
    <row r="12" spans="1:37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2">
        <f>VLOOKUP(D12,'[1]PROGRAMA S33 TRANSF'!$B$3:$K$58,2,0)</f>
        <v>855</v>
      </c>
      <c r="J12" s="2"/>
      <c r="K12" s="2"/>
      <c r="L12" s="2"/>
      <c r="M12" s="2"/>
      <c r="N12" s="2"/>
      <c r="O12" s="8">
        <f t="shared" si="0"/>
        <v>-45</v>
      </c>
      <c r="P12" s="18"/>
      <c r="Q12" s="2"/>
      <c r="R12" s="18"/>
      <c r="S12" s="18"/>
      <c r="T12" s="18"/>
      <c r="U12" s="18"/>
      <c r="V12" s="18"/>
      <c r="W12" s="18"/>
      <c r="X12" s="82"/>
      <c r="Y12" s="18"/>
      <c r="Z12" s="35"/>
      <c r="AA12" s="35"/>
      <c r="AB12" s="61">
        <v>900</v>
      </c>
      <c r="AC12" s="7">
        <f t="shared" si="1"/>
        <v>0</v>
      </c>
      <c r="AD12" s="8" t="s">
        <v>146</v>
      </c>
      <c r="AE12" s="8">
        <v>50</v>
      </c>
      <c r="AF12" s="8" t="s">
        <v>152</v>
      </c>
      <c r="AG12" s="8">
        <f t="shared" si="2"/>
        <v>17.100000000000001</v>
      </c>
      <c r="AH12"/>
      <c r="AI12" s="15" t="s">
        <v>158</v>
      </c>
      <c r="AJ12">
        <v>180</v>
      </c>
      <c r="AK12"/>
    </row>
    <row r="13" spans="1:37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2">
        <f>VLOOKUP(D13,'[1]PROGRAMA S33 TRANSF'!$B$3:$K$58,2,0)</f>
        <v>875</v>
      </c>
      <c r="J13" s="2"/>
      <c r="K13" s="2"/>
      <c r="L13" s="2"/>
      <c r="M13" s="2"/>
      <c r="N13" s="2"/>
      <c r="O13" s="8">
        <f t="shared" si="0"/>
        <v>75</v>
      </c>
      <c r="P13" s="18"/>
      <c r="Q13" s="2"/>
      <c r="R13" s="18"/>
      <c r="S13" s="18"/>
      <c r="T13" s="18"/>
      <c r="U13" s="18"/>
      <c r="V13" s="18"/>
      <c r="W13" s="18"/>
      <c r="X13" s="82"/>
      <c r="Y13" s="18"/>
      <c r="Z13" s="18"/>
      <c r="AA13" s="18"/>
      <c r="AB13" s="61">
        <v>800</v>
      </c>
      <c r="AC13" s="7">
        <f t="shared" si="1"/>
        <v>0</v>
      </c>
      <c r="AD13" s="8" t="s">
        <v>146</v>
      </c>
      <c r="AE13" s="8">
        <v>100</v>
      </c>
      <c r="AF13" s="8" t="s">
        <v>152</v>
      </c>
      <c r="AG13" s="8">
        <f t="shared" si="2"/>
        <v>8.75</v>
      </c>
      <c r="AH13"/>
      <c r="AI13"/>
      <c r="AJ13"/>
      <c r="AK13"/>
    </row>
    <row r="14" spans="1:37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2">
        <f>VLOOKUP(D14,'[1]PROGRAMA S33 TRANSF'!$B$3:$K$58,2,0)</f>
        <v>100</v>
      </c>
      <c r="J14" s="2"/>
      <c r="K14" s="2"/>
      <c r="L14" s="2"/>
      <c r="M14" s="2"/>
      <c r="N14" s="2"/>
      <c r="O14" s="8">
        <f t="shared" si="0"/>
        <v>0</v>
      </c>
      <c r="P14" s="18"/>
      <c r="Q14" s="2"/>
      <c r="R14" s="18"/>
      <c r="S14" s="18"/>
      <c r="T14" s="18"/>
      <c r="U14" s="18"/>
      <c r="V14" s="18"/>
      <c r="W14" s="18"/>
      <c r="X14" s="82"/>
      <c r="Y14" s="18"/>
      <c r="Z14" s="18"/>
      <c r="AA14" s="18"/>
      <c r="AB14" s="61">
        <v>100</v>
      </c>
      <c r="AC14" s="7">
        <f t="shared" si="1"/>
        <v>0</v>
      </c>
      <c r="AD14" s="8" t="s">
        <v>146</v>
      </c>
      <c r="AE14" s="8">
        <v>50</v>
      </c>
      <c r="AF14" s="8" t="s">
        <v>152</v>
      </c>
      <c r="AG14" s="8">
        <f t="shared" si="2"/>
        <v>2</v>
      </c>
      <c r="AH14"/>
      <c r="AI14"/>
      <c r="AJ14"/>
      <c r="AK14"/>
    </row>
    <row r="15" spans="1:37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2">
        <f>VLOOKUP(D15,'[1]PROGRAMA S33 TRANSF'!$B$3:$K$58,2,0)</f>
        <v>455</v>
      </c>
      <c r="J15" s="2"/>
      <c r="K15" s="2"/>
      <c r="L15" s="2"/>
      <c r="M15" s="2"/>
      <c r="N15" s="2"/>
      <c r="O15" s="8">
        <f t="shared" si="0"/>
        <v>28</v>
      </c>
      <c r="P15" s="18"/>
      <c r="Q15" s="2"/>
      <c r="R15" s="18">
        <v>427</v>
      </c>
      <c r="S15" s="18"/>
      <c r="T15" s="18"/>
      <c r="U15" s="18"/>
      <c r="V15" s="18"/>
      <c r="W15" s="18"/>
      <c r="X15" s="82"/>
      <c r="Y15" s="18"/>
      <c r="Z15" s="35"/>
      <c r="AA15" s="18"/>
      <c r="AB15" s="2"/>
      <c r="AC15" s="7">
        <f t="shared" si="1"/>
        <v>0</v>
      </c>
      <c r="AD15" s="8" t="s">
        <v>147</v>
      </c>
      <c r="AE15" s="8">
        <v>60</v>
      </c>
      <c r="AF15" s="8" t="s">
        <v>152</v>
      </c>
      <c r="AG15" s="8">
        <f t="shared" si="2"/>
        <v>7.583333333333333</v>
      </c>
      <c r="AH15"/>
      <c r="AI15"/>
      <c r="AJ15"/>
      <c r="AK15"/>
    </row>
    <row r="16" spans="1:37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2">
        <f>VLOOKUP(D16,'[1]PROGRAMA S33 TRANSF'!$B$3:$K$58,2,0)</f>
        <v>3599</v>
      </c>
      <c r="J16" s="2"/>
      <c r="K16" s="2"/>
      <c r="L16" s="2"/>
      <c r="M16" s="2"/>
      <c r="N16" s="2"/>
      <c r="O16" s="8">
        <f t="shared" si="0"/>
        <v>57</v>
      </c>
      <c r="P16" s="18"/>
      <c r="Q16" s="2"/>
      <c r="R16" s="18"/>
      <c r="S16" s="18"/>
      <c r="T16" s="18"/>
      <c r="U16" s="18"/>
      <c r="V16" s="18"/>
      <c r="W16" s="18"/>
      <c r="X16" s="82"/>
      <c r="Y16" s="18"/>
      <c r="Z16" s="18"/>
      <c r="AA16" s="18"/>
      <c r="AB16" s="61">
        <v>3542</v>
      </c>
      <c r="AC16" s="7">
        <f t="shared" si="1"/>
        <v>0</v>
      </c>
      <c r="AD16" s="8" t="s">
        <v>148</v>
      </c>
      <c r="AE16" s="8">
        <v>100</v>
      </c>
      <c r="AF16" s="8" t="s">
        <v>152</v>
      </c>
      <c r="AG16" s="8">
        <f t="shared" si="2"/>
        <v>35.99</v>
      </c>
      <c r="AH16"/>
      <c r="AI16"/>
      <c r="AJ16"/>
      <c r="AK16"/>
    </row>
    <row r="17" spans="1:37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2">
        <f>VLOOKUP(D17,'[1]PROGRAMA S33 TRANSF'!$B$3:$K$58,2,0)</f>
        <v>100</v>
      </c>
      <c r="J17" s="2"/>
      <c r="K17" s="2"/>
      <c r="L17" s="2"/>
      <c r="M17" s="2"/>
      <c r="N17" s="2"/>
      <c r="O17" s="8">
        <f t="shared" si="0"/>
        <v>-12</v>
      </c>
      <c r="P17" s="18"/>
      <c r="Q17" s="2"/>
      <c r="R17" s="18"/>
      <c r="S17" s="18"/>
      <c r="T17" s="18"/>
      <c r="U17" s="18"/>
      <c r="V17" s="18">
        <v>112</v>
      </c>
      <c r="W17" s="18"/>
      <c r="X17" s="82"/>
      <c r="Y17" s="18"/>
      <c r="Z17" s="18"/>
      <c r="AA17" s="18"/>
      <c r="AB17" s="18"/>
      <c r="AC17" s="7">
        <f t="shared" si="1"/>
        <v>0</v>
      </c>
      <c r="AD17" s="8" t="s">
        <v>149</v>
      </c>
      <c r="AE17" s="8">
        <v>100</v>
      </c>
      <c r="AF17" s="8" t="s">
        <v>152</v>
      </c>
      <c r="AG17" s="8">
        <f t="shared" si="2"/>
        <v>1</v>
      </c>
      <c r="AH17"/>
      <c r="AI17"/>
      <c r="AJ17"/>
      <c r="AK17"/>
    </row>
    <row r="18" spans="1:37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2">
        <f>VLOOKUP(D18,'[1]PROGRAMA S33 TRANSF'!$B$3:$K$58,2,0)</f>
        <v>1134</v>
      </c>
      <c r="J18" s="2"/>
      <c r="K18" s="2"/>
      <c r="L18" s="2"/>
      <c r="M18" s="2"/>
      <c r="N18" s="2"/>
      <c r="O18" s="8">
        <f t="shared" si="0"/>
        <v>31</v>
      </c>
      <c r="P18" s="18"/>
      <c r="Q18" s="2"/>
      <c r="R18" s="18"/>
      <c r="S18" s="18"/>
      <c r="T18" s="18"/>
      <c r="U18" s="18"/>
      <c r="V18" s="18"/>
      <c r="W18" s="18"/>
      <c r="X18" s="82"/>
      <c r="Y18" s="18"/>
      <c r="Z18" s="18"/>
      <c r="AA18" s="18"/>
      <c r="AB18" s="61">
        <v>1103</v>
      </c>
      <c r="AC18" s="7">
        <f t="shared" si="1"/>
        <v>0</v>
      </c>
      <c r="AD18" s="8" t="s">
        <v>149</v>
      </c>
      <c r="AE18" s="8">
        <v>100</v>
      </c>
      <c r="AF18" s="8" t="s">
        <v>152</v>
      </c>
      <c r="AG18" s="8">
        <f t="shared" si="2"/>
        <v>11.34</v>
      </c>
      <c r="AH18"/>
      <c r="AI18"/>
      <c r="AJ18"/>
      <c r="AK18"/>
    </row>
    <row r="19" spans="1:37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2">
        <f>VLOOKUP(D19,'[1]PROGRAMA S33 TRANSF'!$B$3:$K$58,2,0)</f>
        <v>162</v>
      </c>
      <c r="J19" s="2"/>
      <c r="K19" s="2"/>
      <c r="L19" s="2"/>
      <c r="M19" s="2"/>
      <c r="N19" s="2"/>
      <c r="O19" s="8">
        <f t="shared" si="0"/>
        <v>45</v>
      </c>
      <c r="P19" s="18"/>
      <c r="Q19" s="2"/>
      <c r="R19" s="18"/>
      <c r="S19" s="18"/>
      <c r="T19" s="18">
        <v>117</v>
      </c>
      <c r="U19" s="18"/>
      <c r="V19" s="18"/>
      <c r="W19" s="18"/>
      <c r="X19" s="82"/>
      <c r="Y19" s="18"/>
      <c r="Z19" s="18"/>
      <c r="AA19" s="18"/>
      <c r="AB19" s="2"/>
      <c r="AC19" s="7">
        <f t="shared" si="1"/>
        <v>0</v>
      </c>
      <c r="AD19" s="8" t="s">
        <v>149</v>
      </c>
      <c r="AE19" s="8">
        <v>100</v>
      </c>
      <c r="AF19" s="8" t="s">
        <v>152</v>
      </c>
      <c r="AG19" s="8">
        <f t="shared" si="2"/>
        <v>1.62</v>
      </c>
      <c r="AH19"/>
      <c r="AI19"/>
      <c r="AJ19"/>
      <c r="AK19"/>
    </row>
    <row r="20" spans="1:37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2">
        <f>VLOOKUP(D20,'[1]PROGRAMA S33 TRANSF'!$B$3:$K$58,2,0)</f>
        <v>100</v>
      </c>
      <c r="J20" s="2"/>
      <c r="K20" s="2"/>
      <c r="L20" s="2"/>
      <c r="M20" s="2"/>
      <c r="N20" s="2"/>
      <c r="O20" s="8">
        <f t="shared" si="0"/>
        <v>100</v>
      </c>
      <c r="P20" s="18"/>
      <c r="Q20" s="2"/>
      <c r="R20" s="18"/>
      <c r="S20" s="18"/>
      <c r="T20" s="18"/>
      <c r="U20" s="18"/>
      <c r="V20" s="18"/>
      <c r="W20" s="18"/>
      <c r="X20" s="81"/>
      <c r="Y20" s="18"/>
      <c r="Z20" s="18"/>
      <c r="AA20" s="18"/>
      <c r="AB20" s="2"/>
      <c r="AC20" s="7">
        <f t="shared" si="1"/>
        <v>0</v>
      </c>
      <c r="AD20" s="8" t="s">
        <v>149</v>
      </c>
      <c r="AE20" s="8">
        <v>80</v>
      </c>
      <c r="AF20" s="8" t="s">
        <v>152</v>
      </c>
      <c r="AG20" s="8">
        <f t="shared" si="2"/>
        <v>1.25</v>
      </c>
      <c r="AH20"/>
      <c r="AI20"/>
      <c r="AJ20"/>
      <c r="AK20"/>
    </row>
    <row r="21" spans="1:37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2">
        <f>VLOOKUP(D21,'[1]PROGRAMA S33 TRANSF'!$B$3:$K$58,2,0)</f>
        <v>200</v>
      </c>
      <c r="J21" s="2"/>
      <c r="K21" s="2"/>
      <c r="L21" s="2"/>
      <c r="M21" s="2"/>
      <c r="N21" s="2"/>
      <c r="O21" s="8">
        <f t="shared" si="0"/>
        <v>-20</v>
      </c>
      <c r="P21" s="18"/>
      <c r="Q21" s="2"/>
      <c r="R21" s="18"/>
      <c r="S21" s="18">
        <v>187</v>
      </c>
      <c r="T21" s="18"/>
      <c r="U21" s="18"/>
      <c r="V21" s="18"/>
      <c r="W21" s="18">
        <v>33</v>
      </c>
      <c r="X21" s="82"/>
      <c r="Y21" s="18"/>
      <c r="Z21" s="18"/>
      <c r="AA21" s="18"/>
      <c r="AB21" s="2"/>
      <c r="AC21" s="7">
        <f t="shared" si="1"/>
        <v>0</v>
      </c>
      <c r="AD21" s="8" t="s">
        <v>149</v>
      </c>
      <c r="AE21" s="8">
        <v>100</v>
      </c>
      <c r="AF21" s="8" t="s">
        <v>152</v>
      </c>
      <c r="AG21" s="8">
        <f t="shared" si="2"/>
        <v>2</v>
      </c>
      <c r="AH21"/>
      <c r="AI21"/>
      <c r="AJ21"/>
      <c r="AK21"/>
    </row>
    <row r="22" spans="1:37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2">
        <f>VLOOKUP(D22,'[1]PROGRAMA S33 TRANSF'!$B$3:$K$58,2,0)</f>
        <v>180</v>
      </c>
      <c r="J22" s="2"/>
      <c r="K22" s="2"/>
      <c r="L22" s="2"/>
      <c r="M22" s="2"/>
      <c r="N22" s="2"/>
      <c r="O22" s="8">
        <f t="shared" si="0"/>
        <v>180</v>
      </c>
      <c r="P22" s="18"/>
      <c r="Q22" s="2"/>
      <c r="R22" s="18"/>
      <c r="S22" s="18"/>
      <c r="T22" s="18"/>
      <c r="U22" s="18"/>
      <c r="V22" s="18"/>
      <c r="W22" s="18"/>
      <c r="X22" s="82"/>
      <c r="Y22" s="18"/>
      <c r="Z22" s="18"/>
      <c r="AA22" s="18"/>
      <c r="AB22" s="2"/>
      <c r="AC22" s="7">
        <f t="shared" si="1"/>
        <v>0</v>
      </c>
      <c r="AD22" s="8">
        <v>0</v>
      </c>
      <c r="AE22" s="8">
        <v>0</v>
      </c>
      <c r="AF22" s="8" t="s">
        <v>152</v>
      </c>
      <c r="AG22" s="8">
        <v>0</v>
      </c>
      <c r="AH22"/>
      <c r="AI22"/>
      <c r="AJ22"/>
      <c r="AK22"/>
    </row>
    <row r="23" spans="1:37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2"/>
      <c r="J23" s="2"/>
      <c r="K23" s="2"/>
      <c r="L23" s="2"/>
      <c r="M23" s="2"/>
      <c r="N23" s="2"/>
      <c r="O23" s="8">
        <f t="shared" si="0"/>
        <v>0</v>
      </c>
      <c r="P23" s="18"/>
      <c r="Q23" s="2"/>
      <c r="R23" s="18"/>
      <c r="S23" s="18"/>
      <c r="T23" s="18"/>
      <c r="U23" s="18"/>
      <c r="V23" s="18"/>
      <c r="W23" s="18"/>
      <c r="X23" s="82"/>
      <c r="Y23" s="18"/>
      <c r="Z23" s="18"/>
      <c r="AA23" s="18"/>
      <c r="AB23" s="2"/>
      <c r="AC23" s="7">
        <f t="shared" si="1"/>
        <v>0</v>
      </c>
      <c r="AD23" s="8">
        <v>0</v>
      </c>
      <c r="AE23" s="8">
        <v>0</v>
      </c>
      <c r="AF23" s="8" t="s">
        <v>152</v>
      </c>
      <c r="AG23" s="8">
        <v>0</v>
      </c>
      <c r="AH23"/>
    </row>
    <row r="24" spans="1:37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2"/>
      <c r="J24" s="2"/>
      <c r="K24" s="2"/>
      <c r="L24" s="2"/>
      <c r="M24" s="2"/>
      <c r="N24" s="2"/>
      <c r="O24" s="8">
        <f t="shared" si="0"/>
        <v>0</v>
      </c>
      <c r="P24" s="18"/>
      <c r="Q24" s="2"/>
      <c r="R24" s="18"/>
      <c r="S24" s="18"/>
      <c r="T24" s="18"/>
      <c r="U24" s="18"/>
      <c r="V24" s="18"/>
      <c r="W24" s="18"/>
      <c r="X24" s="82"/>
      <c r="Y24" s="18"/>
      <c r="Z24" s="18"/>
      <c r="AA24" s="18"/>
      <c r="AB24" s="2"/>
      <c r="AC24" s="7">
        <f t="shared" si="1"/>
        <v>0</v>
      </c>
      <c r="AD24" s="8">
        <v>0</v>
      </c>
      <c r="AE24" s="8">
        <v>0</v>
      </c>
      <c r="AF24" s="8" t="s">
        <v>152</v>
      </c>
      <c r="AG24" s="8">
        <v>0</v>
      </c>
      <c r="AH24"/>
    </row>
    <row r="25" spans="1:37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2"/>
      <c r="J25" s="2"/>
      <c r="K25" s="2"/>
      <c r="L25" s="2"/>
      <c r="M25" s="2"/>
      <c r="N25" s="2"/>
      <c r="O25" s="8">
        <f t="shared" si="0"/>
        <v>0</v>
      </c>
      <c r="P25" s="18"/>
      <c r="Q25" s="2"/>
      <c r="R25" s="18"/>
      <c r="S25" s="18"/>
      <c r="T25" s="18"/>
      <c r="U25" s="18"/>
      <c r="V25" s="18"/>
      <c r="W25" s="18"/>
      <c r="X25" s="82"/>
      <c r="Y25" s="18"/>
      <c r="Z25" s="18"/>
      <c r="AA25" s="18"/>
      <c r="AB25" s="2"/>
      <c r="AC25" s="7">
        <f t="shared" si="1"/>
        <v>0</v>
      </c>
      <c r="AD25" s="8">
        <v>0</v>
      </c>
      <c r="AE25" s="8">
        <v>0</v>
      </c>
      <c r="AF25" s="8" t="s">
        <v>152</v>
      </c>
      <c r="AG25" s="8">
        <v>0</v>
      </c>
      <c r="AH25"/>
    </row>
    <row r="26" spans="1:37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2"/>
      <c r="J26" s="2"/>
      <c r="K26" s="2"/>
      <c r="L26" s="2"/>
      <c r="M26" s="2"/>
      <c r="N26" s="2"/>
      <c r="O26" s="8">
        <f t="shared" si="0"/>
        <v>0</v>
      </c>
      <c r="P26" s="18"/>
      <c r="Q26" s="2"/>
      <c r="R26" s="18"/>
      <c r="S26" s="18"/>
      <c r="T26" s="18"/>
      <c r="U26" s="18"/>
      <c r="V26" s="18"/>
      <c r="W26" s="18"/>
      <c r="X26" s="82"/>
      <c r="Y26" s="18"/>
      <c r="Z26" s="18"/>
      <c r="AA26" s="18"/>
      <c r="AB26" s="2"/>
      <c r="AC26" s="7">
        <f t="shared" si="1"/>
        <v>0</v>
      </c>
      <c r="AD26" s="8">
        <v>0</v>
      </c>
      <c r="AE26" s="8">
        <v>0</v>
      </c>
      <c r="AF26" s="8" t="s">
        <v>152</v>
      </c>
      <c r="AG26" s="8">
        <v>0</v>
      </c>
      <c r="AH26"/>
    </row>
    <row r="27" spans="1:37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2"/>
      <c r="J27" s="2"/>
      <c r="K27" s="2"/>
      <c r="L27" s="2"/>
      <c r="M27" s="2"/>
      <c r="N27" s="2"/>
      <c r="O27" s="8">
        <f t="shared" si="0"/>
        <v>0</v>
      </c>
      <c r="P27" s="18"/>
      <c r="Q27" s="2"/>
      <c r="R27" s="18"/>
      <c r="S27" s="18"/>
      <c r="T27" s="18"/>
      <c r="U27" s="18"/>
      <c r="V27" s="18"/>
      <c r="W27" s="18"/>
      <c r="X27" s="82"/>
      <c r="Y27" s="18"/>
      <c r="Z27" s="18"/>
      <c r="AA27" s="18"/>
      <c r="AB27" s="2"/>
      <c r="AC27" s="7">
        <f t="shared" si="1"/>
        <v>0</v>
      </c>
      <c r="AD27" s="8">
        <v>0</v>
      </c>
      <c r="AE27" s="8">
        <v>0</v>
      </c>
      <c r="AF27" s="8" t="s">
        <v>152</v>
      </c>
      <c r="AG27" s="8">
        <v>0</v>
      </c>
      <c r="AH27"/>
    </row>
    <row r="28" spans="1:37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2"/>
      <c r="J28" s="2"/>
      <c r="K28" s="2"/>
      <c r="L28" s="2"/>
      <c r="M28" s="2"/>
      <c r="N28" s="2"/>
      <c r="O28" s="8">
        <f t="shared" si="0"/>
        <v>0</v>
      </c>
      <c r="P28" s="18"/>
      <c r="Q28" s="2"/>
      <c r="R28" s="18"/>
      <c r="S28" s="18"/>
      <c r="T28" s="18"/>
      <c r="U28" s="18"/>
      <c r="V28" s="18"/>
      <c r="W28" s="18"/>
      <c r="X28" s="82"/>
      <c r="Y28" s="18"/>
      <c r="Z28" s="18"/>
      <c r="AA28" s="18"/>
      <c r="AB28" s="2"/>
      <c r="AC28" s="7">
        <f t="shared" si="1"/>
        <v>0</v>
      </c>
      <c r="AD28" s="8">
        <v>0</v>
      </c>
      <c r="AE28" s="8">
        <v>0</v>
      </c>
      <c r="AF28" s="8" t="s">
        <v>152</v>
      </c>
      <c r="AG28" s="8">
        <v>0</v>
      </c>
      <c r="AH28"/>
    </row>
    <row r="29" spans="1:37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2"/>
      <c r="J29" s="2"/>
      <c r="K29" s="2"/>
      <c r="L29" s="2"/>
      <c r="M29" s="2"/>
      <c r="N29" s="2"/>
      <c r="O29" s="8">
        <f t="shared" si="0"/>
        <v>0</v>
      </c>
      <c r="P29" s="18"/>
      <c r="Q29" s="2"/>
      <c r="R29" s="18"/>
      <c r="S29" s="18"/>
      <c r="T29" s="18"/>
      <c r="U29" s="18"/>
      <c r="V29" s="18"/>
      <c r="W29" s="18"/>
      <c r="X29" s="82"/>
      <c r="Y29" s="18"/>
      <c r="Z29" s="18"/>
      <c r="AA29" s="18"/>
      <c r="AB29" s="2"/>
      <c r="AC29" s="7">
        <f t="shared" si="1"/>
        <v>0</v>
      </c>
      <c r="AD29" s="8">
        <v>0</v>
      </c>
      <c r="AE29" s="8">
        <v>0</v>
      </c>
      <c r="AF29" s="8" t="s">
        <v>152</v>
      </c>
      <c r="AG29" s="8">
        <v>0</v>
      </c>
      <c r="AH29"/>
    </row>
    <row r="30" spans="1:37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2">
        <f>VLOOKUP(D30,'[1]PROGRAMA S33 TRANSF'!$B$3:$K$58,2,0)</f>
        <v>180</v>
      </c>
      <c r="J30" s="2"/>
      <c r="K30" s="2"/>
      <c r="L30" s="2"/>
      <c r="M30" s="2"/>
      <c r="N30" s="2"/>
      <c r="O30" s="8">
        <f t="shared" si="0"/>
        <v>180</v>
      </c>
      <c r="P30" s="18"/>
      <c r="Q30" s="2"/>
      <c r="R30" s="18"/>
      <c r="S30" s="18"/>
      <c r="T30" s="18"/>
      <c r="U30" s="18"/>
      <c r="V30" s="18"/>
      <c r="W30" s="18"/>
      <c r="X30" s="82"/>
      <c r="Y30" s="18"/>
      <c r="Z30" s="18"/>
      <c r="AA30" s="18"/>
      <c r="AB30" s="2"/>
      <c r="AC30" s="7">
        <f t="shared" si="1"/>
        <v>0</v>
      </c>
      <c r="AD30" s="8">
        <v>0</v>
      </c>
      <c r="AE30" s="8">
        <v>0</v>
      </c>
      <c r="AF30" s="8" t="s">
        <v>152</v>
      </c>
      <c r="AG30" s="8">
        <v>0</v>
      </c>
      <c r="AH30"/>
    </row>
    <row r="31" spans="1:37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2">
        <f>VLOOKUP(D31,'[1]PROGRAMA S33 TRANSF'!$B$3:$K$58,2,0)</f>
        <v>100</v>
      </c>
      <c r="J31" s="2"/>
      <c r="K31" s="2"/>
      <c r="L31" s="2"/>
      <c r="M31" s="2"/>
      <c r="N31" s="2"/>
      <c r="O31" s="8">
        <f t="shared" si="0"/>
        <v>100</v>
      </c>
      <c r="P31" s="18"/>
      <c r="Q31" s="2"/>
      <c r="R31" s="18"/>
      <c r="S31" s="18"/>
      <c r="T31" s="18"/>
      <c r="U31" s="18"/>
      <c r="V31" s="18"/>
      <c r="W31" s="18"/>
      <c r="X31" s="82"/>
      <c r="Y31" s="18"/>
      <c r="Z31" s="18"/>
      <c r="AA31" s="18"/>
      <c r="AB31" s="2"/>
      <c r="AC31" s="7">
        <f t="shared" si="1"/>
        <v>0</v>
      </c>
      <c r="AD31" s="8">
        <v>0</v>
      </c>
      <c r="AE31" s="8">
        <v>0</v>
      </c>
      <c r="AF31" s="8" t="s">
        <v>152</v>
      </c>
      <c r="AG31" s="8">
        <v>0</v>
      </c>
      <c r="AH31"/>
    </row>
    <row r="32" spans="1:37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2">
        <f>VLOOKUP(D32,'[1]PROGRAMA S33 TRANSF'!$B$3:$K$58,2,0)</f>
        <v>100</v>
      </c>
      <c r="J32" s="2"/>
      <c r="K32" s="2"/>
      <c r="L32" s="2"/>
      <c r="M32" s="2"/>
      <c r="N32" s="2"/>
      <c r="O32" s="8">
        <f t="shared" si="0"/>
        <v>100</v>
      </c>
      <c r="P32" s="18"/>
      <c r="Q32" s="2"/>
      <c r="R32" s="18"/>
      <c r="S32" s="18"/>
      <c r="T32" s="18"/>
      <c r="U32" s="18"/>
      <c r="V32" s="18"/>
      <c r="W32" s="18"/>
      <c r="X32" s="82"/>
      <c r="Y32" s="18"/>
      <c r="Z32" s="18"/>
      <c r="AA32" s="18"/>
      <c r="AB32" s="2"/>
      <c r="AC32" s="7">
        <f t="shared" si="1"/>
        <v>0</v>
      </c>
      <c r="AD32" s="8">
        <v>0</v>
      </c>
      <c r="AE32" s="8">
        <v>0</v>
      </c>
      <c r="AF32" s="8" t="s">
        <v>152</v>
      </c>
      <c r="AG32" s="8">
        <v>0</v>
      </c>
      <c r="AH32"/>
    </row>
    <row r="33" spans="1:34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2"/>
      <c r="J33" s="2"/>
      <c r="K33" s="2"/>
      <c r="L33" s="2"/>
      <c r="M33" s="2"/>
      <c r="N33" s="2"/>
      <c r="O33" s="8">
        <f t="shared" si="0"/>
        <v>0</v>
      </c>
      <c r="P33" s="18"/>
      <c r="Q33" s="2"/>
      <c r="R33" s="18"/>
      <c r="S33" s="18"/>
      <c r="T33" s="18"/>
      <c r="U33" s="18"/>
      <c r="V33" s="18"/>
      <c r="W33" s="18"/>
      <c r="X33" s="82"/>
      <c r="Y33" s="18"/>
      <c r="Z33" s="18"/>
      <c r="AA33" s="18"/>
      <c r="AB33" s="2"/>
      <c r="AC33" s="7">
        <f t="shared" si="1"/>
        <v>0</v>
      </c>
      <c r="AD33" s="8">
        <v>0</v>
      </c>
      <c r="AE33" s="8">
        <v>0</v>
      </c>
      <c r="AF33" s="8" t="s">
        <v>152</v>
      </c>
      <c r="AG33" s="8">
        <v>0</v>
      </c>
      <c r="AH33"/>
    </row>
    <row r="34" spans="1:34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2"/>
      <c r="J34" s="2"/>
      <c r="K34" s="2"/>
      <c r="L34" s="2"/>
      <c r="M34" s="2"/>
      <c r="N34" s="2"/>
      <c r="O34" s="8">
        <f t="shared" si="0"/>
        <v>0</v>
      </c>
      <c r="P34" s="18"/>
      <c r="Q34" s="2"/>
      <c r="R34" s="18"/>
      <c r="S34" s="18"/>
      <c r="T34" s="18"/>
      <c r="U34" s="18"/>
      <c r="V34" s="18"/>
      <c r="W34" s="18"/>
      <c r="X34" s="82"/>
      <c r="Y34" s="18"/>
      <c r="Z34" s="18"/>
      <c r="AA34" s="18"/>
      <c r="AB34" s="2"/>
      <c r="AC34" s="7">
        <f t="shared" si="1"/>
        <v>0</v>
      </c>
      <c r="AD34" s="8">
        <v>0</v>
      </c>
      <c r="AE34" s="8">
        <v>0</v>
      </c>
      <c r="AF34" s="8" t="s">
        <v>152</v>
      </c>
      <c r="AG34" s="8">
        <v>0</v>
      </c>
      <c r="AH34"/>
    </row>
    <row r="35" spans="1:34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2">
        <f>VLOOKUP(D35,'[1]PROGRAMA S33 TRANSF'!$B$3:$K$58,2,0)</f>
        <v>100</v>
      </c>
      <c r="J35" s="2"/>
      <c r="K35" s="2"/>
      <c r="L35" s="2"/>
      <c r="M35" s="2"/>
      <c r="N35" s="2"/>
      <c r="O35" s="8">
        <f t="shared" si="0"/>
        <v>100</v>
      </c>
      <c r="P35" s="18"/>
      <c r="Q35" s="2"/>
      <c r="R35" s="18"/>
      <c r="S35" s="18"/>
      <c r="T35" s="18"/>
      <c r="U35" s="18"/>
      <c r="V35" s="18"/>
      <c r="W35" s="18"/>
      <c r="X35" s="82"/>
      <c r="Y35" s="18"/>
      <c r="Z35" s="18"/>
      <c r="AA35" s="18"/>
      <c r="AB35" s="2"/>
      <c r="AC35" s="7">
        <f t="shared" si="1"/>
        <v>0</v>
      </c>
      <c r="AD35" s="8">
        <v>0</v>
      </c>
      <c r="AE35" s="8">
        <v>0</v>
      </c>
      <c r="AF35" s="8" t="s">
        <v>152</v>
      </c>
      <c r="AG35" s="8">
        <v>0</v>
      </c>
      <c r="AH35"/>
    </row>
    <row r="36" spans="1:34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2">
        <f>VLOOKUP(D36,'[1]PROGRAMA S33 TRANSF'!$B$3:$K$58,2,0)</f>
        <v>855</v>
      </c>
      <c r="J36" s="2"/>
      <c r="K36" s="2"/>
      <c r="L36" s="2"/>
      <c r="M36" s="2"/>
      <c r="N36" s="2"/>
      <c r="O36" s="8">
        <f t="shared" si="0"/>
        <v>57</v>
      </c>
      <c r="P36" s="18"/>
      <c r="Q36" s="2">
        <v>798</v>
      </c>
      <c r="R36" s="18"/>
      <c r="S36" s="18"/>
      <c r="T36" s="18"/>
      <c r="U36" s="18"/>
      <c r="V36" s="18"/>
      <c r="W36" s="18"/>
      <c r="X36" s="82"/>
      <c r="Y36" s="18"/>
      <c r="Z36" s="35"/>
      <c r="AA36" s="18"/>
      <c r="AB36" s="2"/>
      <c r="AC36" s="7">
        <f t="shared" si="1"/>
        <v>0</v>
      </c>
      <c r="AD36" s="8" t="s">
        <v>149</v>
      </c>
      <c r="AE36" s="8">
        <v>200</v>
      </c>
      <c r="AF36" s="8" t="s">
        <v>152</v>
      </c>
      <c r="AG36" s="8">
        <f t="shared" ref="AG36:AG45" si="3">+SUM(I36:N36)/AE36</f>
        <v>4.2750000000000004</v>
      </c>
      <c r="AH36"/>
    </row>
    <row r="37" spans="1:34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2">
        <f>VLOOKUP(D37,'[1]PROGRAMA S33 TRANSF'!$B$3:$K$58,2,0)</f>
        <v>855</v>
      </c>
      <c r="J37" s="2"/>
      <c r="K37" s="2"/>
      <c r="L37" s="2"/>
      <c r="M37" s="2"/>
      <c r="N37" s="2"/>
      <c r="O37" s="8">
        <f t="shared" si="0"/>
        <v>-105</v>
      </c>
      <c r="P37" s="18"/>
      <c r="Q37" s="2"/>
      <c r="R37" s="18"/>
      <c r="S37" s="18"/>
      <c r="T37" s="18"/>
      <c r="U37" s="18"/>
      <c r="V37" s="18">
        <v>300</v>
      </c>
      <c r="W37" s="18"/>
      <c r="X37" s="82"/>
      <c r="Y37" s="18"/>
      <c r="Z37" s="18"/>
      <c r="AA37" s="18"/>
      <c r="AB37" s="61">
        <v>660</v>
      </c>
      <c r="AC37" s="7">
        <f t="shared" si="1"/>
        <v>0</v>
      </c>
      <c r="AD37" s="8" t="s">
        <v>149</v>
      </c>
      <c r="AE37" s="8">
        <v>100</v>
      </c>
      <c r="AF37" s="8" t="s">
        <v>152</v>
      </c>
      <c r="AG37" s="8">
        <f t="shared" si="3"/>
        <v>8.5500000000000007</v>
      </c>
      <c r="AH37"/>
    </row>
    <row r="38" spans="1:34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2">
        <f>VLOOKUP(D38,'[1]PROGRAMA S33 TRANSF'!$B$3:$K$58,2,0)</f>
        <v>1438</v>
      </c>
      <c r="J38" s="2"/>
      <c r="K38" s="2"/>
      <c r="L38" s="2"/>
      <c r="M38" s="2"/>
      <c r="N38" s="2"/>
      <c r="O38" s="8">
        <f t="shared" ref="O38:O69" si="4">+I38+J38+K38+L38+M38+N38-SUM(P38:AB38)</f>
        <v>48</v>
      </c>
      <c r="P38" s="18"/>
      <c r="Q38" s="2"/>
      <c r="R38" s="18"/>
      <c r="S38" s="18"/>
      <c r="T38" s="18"/>
      <c r="U38" s="18">
        <v>984</v>
      </c>
      <c r="V38" s="18">
        <v>406</v>
      </c>
      <c r="W38" s="18"/>
      <c r="X38" s="82"/>
      <c r="Y38" s="18"/>
      <c r="Z38" s="35"/>
      <c r="AA38" s="18"/>
      <c r="AB38" s="2"/>
      <c r="AC38" s="7">
        <f t="shared" ref="AC38:AC69" si="5">+G38*SUM(I38:N38)</f>
        <v>0</v>
      </c>
      <c r="AD38" s="8" t="s">
        <v>149</v>
      </c>
      <c r="AE38" s="8">
        <v>100</v>
      </c>
      <c r="AF38" s="8" t="s">
        <v>152</v>
      </c>
      <c r="AG38" s="8">
        <f t="shared" si="3"/>
        <v>14.38</v>
      </c>
      <c r="AH38"/>
    </row>
    <row r="39" spans="1:34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2">
        <f>VLOOKUP(D39,'[1]PROGRAMA S33 TRANSF'!$B$3:$K$58,2,0)</f>
        <v>855</v>
      </c>
      <c r="J39" s="2"/>
      <c r="K39" s="2"/>
      <c r="L39" s="2"/>
      <c r="M39" s="2"/>
      <c r="N39" s="2"/>
      <c r="O39" s="8">
        <f t="shared" si="4"/>
        <v>0</v>
      </c>
      <c r="P39" s="18"/>
      <c r="Q39" s="2"/>
      <c r="R39" s="18"/>
      <c r="S39" s="18"/>
      <c r="T39" s="18">
        <v>855</v>
      </c>
      <c r="U39" s="18"/>
      <c r="V39" s="18"/>
      <c r="W39" s="18"/>
      <c r="X39" s="82"/>
      <c r="Y39" s="18"/>
      <c r="Z39" s="18"/>
      <c r="AA39" s="18"/>
      <c r="AB39" s="2"/>
      <c r="AC39" s="7">
        <f t="shared" si="5"/>
        <v>0</v>
      </c>
      <c r="AD39" s="8" t="s">
        <v>150</v>
      </c>
      <c r="AE39" s="8">
        <v>2000</v>
      </c>
      <c r="AF39" s="8" t="s">
        <v>152</v>
      </c>
      <c r="AG39" s="8">
        <f t="shared" si="3"/>
        <v>0.42749999999999999</v>
      </c>
      <c r="AH39"/>
    </row>
    <row r="40" spans="1:34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2">
        <f>VLOOKUP(D40,'[1]PROGRAMA S33 TRANSF'!$B$3:$K$58,2,0)</f>
        <v>1174</v>
      </c>
      <c r="J40" s="2"/>
      <c r="K40" s="2"/>
      <c r="L40" s="2"/>
      <c r="M40" s="2"/>
      <c r="N40" s="2"/>
      <c r="O40" s="8">
        <f t="shared" si="4"/>
        <v>43</v>
      </c>
      <c r="P40" s="18"/>
      <c r="Q40" s="2">
        <v>1131</v>
      </c>
      <c r="R40" s="18"/>
      <c r="S40" s="18"/>
      <c r="T40" s="18"/>
      <c r="U40" s="18"/>
      <c r="V40" s="18"/>
      <c r="W40" s="18"/>
      <c r="X40" s="82"/>
      <c r="Y40" s="18"/>
      <c r="Z40" s="18"/>
      <c r="AA40" s="18"/>
      <c r="AB40" s="2"/>
      <c r="AC40" s="7">
        <f t="shared" si="5"/>
        <v>0</v>
      </c>
      <c r="AD40" s="8" t="s">
        <v>150</v>
      </c>
      <c r="AE40" s="8">
        <v>500</v>
      </c>
      <c r="AF40" s="8" t="s">
        <v>152</v>
      </c>
      <c r="AG40" s="8">
        <f t="shared" si="3"/>
        <v>2.3479999999999999</v>
      </c>
      <c r="AH40"/>
    </row>
    <row r="41" spans="1:34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2">
        <f>VLOOKUP(D41,'[1]PROGRAMA S33 TRANSF'!$B$3:$K$58,2,0)</f>
        <v>100</v>
      </c>
      <c r="J41" s="2"/>
      <c r="K41" s="2"/>
      <c r="L41" s="2"/>
      <c r="M41" s="2"/>
      <c r="N41" s="2"/>
      <c r="O41" s="8">
        <f t="shared" si="4"/>
        <v>100</v>
      </c>
      <c r="P41" s="18"/>
      <c r="Q41" s="2"/>
      <c r="R41" s="18"/>
      <c r="S41" s="18"/>
      <c r="T41" s="18"/>
      <c r="U41" s="18"/>
      <c r="V41" s="18"/>
      <c r="W41" s="18"/>
      <c r="X41" s="82"/>
      <c r="Y41" s="18"/>
      <c r="Z41" s="18"/>
      <c r="AA41" s="18"/>
      <c r="AB41" s="2"/>
      <c r="AC41" s="7">
        <f t="shared" si="5"/>
        <v>0</v>
      </c>
      <c r="AD41" s="8" t="s">
        <v>150</v>
      </c>
      <c r="AE41" s="8">
        <v>250</v>
      </c>
      <c r="AF41" s="8" t="s">
        <v>152</v>
      </c>
      <c r="AG41" s="8">
        <f t="shared" si="3"/>
        <v>0.4</v>
      </c>
      <c r="AH41"/>
    </row>
    <row r="42" spans="1:34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2">
        <f>VLOOKUP(D42,'[1]PROGRAMA S33 TRANSF'!$B$3:$K$58,2,0)</f>
        <v>875</v>
      </c>
      <c r="J42" s="2"/>
      <c r="K42" s="2"/>
      <c r="L42" s="2"/>
      <c r="M42" s="2"/>
      <c r="N42" s="2"/>
      <c r="O42" s="8">
        <f t="shared" si="4"/>
        <v>875</v>
      </c>
      <c r="P42" s="18"/>
      <c r="Q42" s="2"/>
      <c r="R42" s="18"/>
      <c r="S42" s="18"/>
      <c r="T42" s="18"/>
      <c r="U42" s="18"/>
      <c r="V42" s="18"/>
      <c r="W42" s="18"/>
      <c r="X42" s="82"/>
      <c r="Y42" s="18"/>
      <c r="Z42" s="18"/>
      <c r="AA42" s="18"/>
      <c r="AB42" s="2"/>
      <c r="AC42" s="7">
        <f t="shared" si="5"/>
        <v>0</v>
      </c>
      <c r="AD42" s="8" t="s">
        <v>150</v>
      </c>
      <c r="AE42" s="8">
        <v>300</v>
      </c>
      <c r="AF42" s="8" t="s">
        <v>152</v>
      </c>
      <c r="AG42" s="8">
        <f t="shared" si="3"/>
        <v>2.9166666666666665</v>
      </c>
      <c r="AH42"/>
    </row>
    <row r="43" spans="1:34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2">
        <f>VLOOKUP(D43,'[1]PROGRAMA S33 TRANSF'!$B$3:$K$58,2,0)</f>
        <v>875</v>
      </c>
      <c r="J43" s="2"/>
      <c r="K43" s="2"/>
      <c r="L43" s="2"/>
      <c r="M43" s="2"/>
      <c r="N43" s="2"/>
      <c r="O43" s="8">
        <f t="shared" si="4"/>
        <v>875</v>
      </c>
      <c r="P43" s="18"/>
      <c r="Q43" s="2"/>
      <c r="R43" s="18"/>
      <c r="S43" s="18"/>
      <c r="T43" s="18"/>
      <c r="U43" s="18"/>
      <c r="V43" s="18"/>
      <c r="W43" s="18"/>
      <c r="X43" s="82"/>
      <c r="Y43" s="18"/>
      <c r="Z43" s="18"/>
      <c r="AA43" s="18"/>
      <c r="AB43" s="2"/>
      <c r="AC43" s="7">
        <f t="shared" si="5"/>
        <v>0</v>
      </c>
      <c r="AD43" s="8" t="s">
        <v>150</v>
      </c>
      <c r="AE43" s="8">
        <v>300</v>
      </c>
      <c r="AF43" s="8" t="s">
        <v>152</v>
      </c>
      <c r="AG43" s="8">
        <f t="shared" si="3"/>
        <v>2.9166666666666665</v>
      </c>
      <c r="AH43"/>
    </row>
    <row r="44" spans="1:34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2">
        <f>VLOOKUP(D44,'[1]PROGRAMA S33 TRANSF'!$B$3:$K$58,2,0)</f>
        <v>100</v>
      </c>
      <c r="J44" s="2"/>
      <c r="K44" s="2"/>
      <c r="L44" s="2"/>
      <c r="M44" s="2"/>
      <c r="N44" s="2"/>
      <c r="O44" s="8">
        <f t="shared" si="4"/>
        <v>100</v>
      </c>
      <c r="P44" s="18"/>
      <c r="Q44" s="2"/>
      <c r="R44" s="18"/>
      <c r="S44" s="18"/>
      <c r="T44" s="18"/>
      <c r="U44" s="18"/>
      <c r="V44" s="18"/>
      <c r="W44" s="18"/>
      <c r="X44" s="82"/>
      <c r="Y44" s="18"/>
      <c r="Z44" s="18"/>
      <c r="AA44" s="18"/>
      <c r="AB44" s="2"/>
      <c r="AC44" s="7">
        <f t="shared" si="5"/>
        <v>0</v>
      </c>
      <c r="AD44" s="8" t="s">
        <v>150</v>
      </c>
      <c r="AE44" s="8">
        <v>2000</v>
      </c>
      <c r="AF44" s="8" t="s">
        <v>152</v>
      </c>
      <c r="AG44" s="8">
        <f t="shared" si="3"/>
        <v>0.05</v>
      </c>
      <c r="AH44"/>
    </row>
    <row r="45" spans="1:34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2">
        <f>VLOOKUP(D45,'[1]PROGRAMA S33 TRANSF'!$B$3:$K$58,2,0)</f>
        <v>100</v>
      </c>
      <c r="J45" s="2"/>
      <c r="K45" s="2"/>
      <c r="L45" s="2"/>
      <c r="M45" s="2"/>
      <c r="N45" s="2"/>
      <c r="O45" s="8">
        <f t="shared" si="4"/>
        <v>100</v>
      </c>
      <c r="P45" s="18"/>
      <c r="Q45" s="2"/>
      <c r="R45" s="18"/>
      <c r="S45" s="18"/>
      <c r="T45" s="18"/>
      <c r="U45" s="18"/>
      <c r="V45" s="18"/>
      <c r="W45" s="18"/>
      <c r="X45" s="82"/>
      <c r="Y45" s="18"/>
      <c r="Z45" s="18"/>
      <c r="AA45" s="18"/>
      <c r="AB45" s="2"/>
      <c r="AC45" s="7">
        <f t="shared" si="5"/>
        <v>0</v>
      </c>
      <c r="AD45" s="8" t="s">
        <v>150</v>
      </c>
      <c r="AE45" s="8">
        <v>1000</v>
      </c>
      <c r="AF45" s="8" t="s">
        <v>152</v>
      </c>
      <c r="AG45" s="8">
        <f t="shared" si="3"/>
        <v>0.1</v>
      </c>
      <c r="AH45"/>
    </row>
    <row r="46" spans="1:34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2"/>
      <c r="J46" s="2"/>
      <c r="K46" s="2"/>
      <c r="L46" s="2"/>
      <c r="M46" s="2"/>
      <c r="N46" s="2"/>
      <c r="O46" s="8">
        <f t="shared" si="4"/>
        <v>0</v>
      </c>
      <c r="P46" s="18"/>
      <c r="Q46" s="2"/>
      <c r="R46" s="18"/>
      <c r="S46" s="18"/>
      <c r="T46" s="18"/>
      <c r="U46" s="18"/>
      <c r="V46" s="18"/>
      <c r="W46" s="18"/>
      <c r="X46" s="82"/>
      <c r="Y46" s="18"/>
      <c r="Z46" s="18"/>
      <c r="AA46" s="18"/>
      <c r="AB46" s="2"/>
      <c r="AC46" s="7">
        <f t="shared" si="5"/>
        <v>0</v>
      </c>
      <c r="AD46" s="8">
        <v>0</v>
      </c>
      <c r="AE46" s="8">
        <v>0</v>
      </c>
      <c r="AF46" s="8" t="s">
        <v>152</v>
      </c>
      <c r="AG46" s="8">
        <v>0</v>
      </c>
      <c r="AH46"/>
    </row>
    <row r="47" spans="1:34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2"/>
      <c r="J47" s="2"/>
      <c r="K47" s="2"/>
      <c r="L47" s="2"/>
      <c r="M47" s="2"/>
      <c r="N47" s="2"/>
      <c r="O47" s="8">
        <f t="shared" si="4"/>
        <v>0</v>
      </c>
      <c r="P47" s="18"/>
      <c r="Q47" s="2"/>
      <c r="R47" s="18"/>
      <c r="S47" s="18"/>
      <c r="T47" s="18"/>
      <c r="U47" s="18"/>
      <c r="V47" s="18"/>
      <c r="W47" s="18"/>
      <c r="X47" s="82"/>
      <c r="Y47" s="18"/>
      <c r="Z47" s="18"/>
      <c r="AA47" s="18"/>
      <c r="AB47" s="2"/>
      <c r="AC47" s="7">
        <f t="shared" si="5"/>
        <v>0</v>
      </c>
      <c r="AD47" s="8">
        <v>0</v>
      </c>
      <c r="AE47" s="8">
        <v>0</v>
      </c>
      <c r="AF47" s="8" t="s">
        <v>152</v>
      </c>
      <c r="AG47" s="8">
        <v>0</v>
      </c>
      <c r="AH47"/>
    </row>
    <row r="48" spans="1:34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2">
        <f>VLOOKUP(D48,'[1]PROGRAMA S33 TRANSF'!$B$3:$K$58,2,0)</f>
        <v>100</v>
      </c>
      <c r="J48" s="2"/>
      <c r="K48" s="2"/>
      <c r="L48" s="2"/>
      <c r="M48" s="2"/>
      <c r="N48" s="2"/>
      <c r="O48" s="8">
        <f t="shared" si="4"/>
        <v>100</v>
      </c>
      <c r="P48" s="18"/>
      <c r="Q48" s="2"/>
      <c r="R48" s="18"/>
      <c r="S48" s="18"/>
      <c r="T48" s="18"/>
      <c r="U48" s="18"/>
      <c r="V48" s="18"/>
      <c r="W48" s="18"/>
      <c r="X48" s="82"/>
      <c r="Y48" s="18"/>
      <c r="Z48" s="18"/>
      <c r="AA48" s="18"/>
      <c r="AB48" s="2"/>
      <c r="AC48" s="7">
        <f t="shared" si="5"/>
        <v>0</v>
      </c>
      <c r="AD48" s="8">
        <v>0</v>
      </c>
      <c r="AE48" s="8">
        <v>0</v>
      </c>
      <c r="AF48" s="8" t="s">
        <v>152</v>
      </c>
      <c r="AG48" s="8">
        <v>0</v>
      </c>
      <c r="AH48"/>
    </row>
    <row r="49" spans="1:34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2">
        <f>VLOOKUP(D49,'[1]PROGRAMA S33 TRANSF'!$B$3:$K$58,2,0)</f>
        <v>163</v>
      </c>
      <c r="J49" s="2"/>
      <c r="K49" s="2"/>
      <c r="L49" s="2"/>
      <c r="M49" s="2"/>
      <c r="N49" s="2"/>
      <c r="O49" s="8">
        <f t="shared" si="4"/>
        <v>163</v>
      </c>
      <c r="P49" s="18"/>
      <c r="Q49" s="2"/>
      <c r="R49" s="18"/>
      <c r="S49" s="18"/>
      <c r="T49" s="18"/>
      <c r="U49" s="18"/>
      <c r="V49" s="18"/>
      <c r="W49" s="18"/>
      <c r="X49" s="82"/>
      <c r="Y49" s="18"/>
      <c r="Z49" s="18"/>
      <c r="AA49" s="18"/>
      <c r="AB49" s="2"/>
      <c r="AC49" s="7">
        <f t="shared" si="5"/>
        <v>0</v>
      </c>
      <c r="AD49" s="8">
        <v>0</v>
      </c>
      <c r="AE49" s="8">
        <v>0</v>
      </c>
      <c r="AF49" s="8" t="s">
        <v>152</v>
      </c>
      <c r="AG49" s="8">
        <v>0</v>
      </c>
      <c r="AH49"/>
    </row>
    <row r="50" spans="1:34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2">
        <f>VLOOKUP(D50,'[1]PROGRAMA S33 TRANSF'!$B$3:$K$58,2,0)</f>
        <v>100</v>
      </c>
      <c r="J50" s="2"/>
      <c r="K50" s="2"/>
      <c r="L50" s="2"/>
      <c r="M50" s="2"/>
      <c r="N50" s="2"/>
      <c r="O50" s="8">
        <f t="shared" si="4"/>
        <v>100</v>
      </c>
      <c r="P50" s="18"/>
      <c r="Q50" s="2"/>
      <c r="R50" s="18"/>
      <c r="S50" s="18"/>
      <c r="T50" s="18"/>
      <c r="U50" s="18"/>
      <c r="V50" s="18"/>
      <c r="W50" s="18"/>
      <c r="X50" s="82"/>
      <c r="Y50" s="18"/>
      <c r="Z50" s="18"/>
      <c r="AA50" s="18"/>
      <c r="AB50" s="2"/>
      <c r="AC50" s="7">
        <f t="shared" si="5"/>
        <v>0</v>
      </c>
      <c r="AD50" s="8">
        <v>0</v>
      </c>
      <c r="AE50" s="8">
        <v>0</v>
      </c>
      <c r="AF50" s="8" t="s">
        <v>152</v>
      </c>
      <c r="AG50" s="8">
        <v>0</v>
      </c>
      <c r="AH50"/>
    </row>
    <row r="51" spans="1:34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2"/>
      <c r="J51" s="2"/>
      <c r="K51" s="2"/>
      <c r="L51" s="2"/>
      <c r="M51" s="2"/>
      <c r="N51" s="2"/>
      <c r="O51" s="8">
        <f t="shared" si="4"/>
        <v>0</v>
      </c>
      <c r="P51" s="18"/>
      <c r="Q51" s="2"/>
      <c r="R51" s="18"/>
      <c r="S51" s="18"/>
      <c r="T51" s="18"/>
      <c r="U51" s="18"/>
      <c r="V51" s="18"/>
      <c r="W51" s="18"/>
      <c r="X51" s="82"/>
      <c r="Y51" s="18"/>
      <c r="Z51" s="18"/>
      <c r="AA51" s="18"/>
      <c r="AB51" s="2"/>
      <c r="AC51" s="7">
        <f t="shared" si="5"/>
        <v>0</v>
      </c>
      <c r="AD51" s="8">
        <v>0</v>
      </c>
      <c r="AE51" s="8">
        <v>0</v>
      </c>
      <c r="AF51" s="8" t="s">
        <v>152</v>
      </c>
      <c r="AG51" s="8">
        <v>0</v>
      </c>
      <c r="AH51"/>
    </row>
    <row r="52" spans="1:34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2"/>
      <c r="J52" s="2"/>
      <c r="K52" s="2"/>
      <c r="L52" s="2"/>
      <c r="M52" s="2"/>
      <c r="N52" s="2"/>
      <c r="O52" s="8">
        <f t="shared" si="4"/>
        <v>0</v>
      </c>
      <c r="P52" s="18"/>
      <c r="Q52" s="2"/>
      <c r="R52" s="18"/>
      <c r="S52" s="18"/>
      <c r="T52" s="18"/>
      <c r="U52" s="18"/>
      <c r="V52" s="18"/>
      <c r="W52" s="18"/>
      <c r="X52" s="82"/>
      <c r="Y52" s="18"/>
      <c r="Z52" s="18"/>
      <c r="AA52" s="18"/>
      <c r="AB52" s="2"/>
      <c r="AC52" s="7">
        <f t="shared" si="5"/>
        <v>0</v>
      </c>
      <c r="AD52" s="8">
        <v>0</v>
      </c>
      <c r="AE52" s="8">
        <v>0</v>
      </c>
      <c r="AF52" s="8" t="s">
        <v>152</v>
      </c>
      <c r="AG52" s="8">
        <v>0</v>
      </c>
      <c r="AH52"/>
    </row>
    <row r="53" spans="1:34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2"/>
      <c r="J53" s="2"/>
      <c r="K53" s="2"/>
      <c r="L53" s="2"/>
      <c r="M53" s="2"/>
      <c r="N53" s="2"/>
      <c r="O53" s="8">
        <f t="shared" si="4"/>
        <v>0</v>
      </c>
      <c r="P53" s="18"/>
      <c r="Q53" s="2"/>
      <c r="R53" s="18"/>
      <c r="S53" s="18"/>
      <c r="T53" s="18"/>
      <c r="U53" s="18"/>
      <c r="V53" s="18"/>
      <c r="W53" s="18"/>
      <c r="X53" s="82"/>
      <c r="Y53" s="18"/>
      <c r="Z53" s="18"/>
      <c r="AA53" s="18"/>
      <c r="AB53" s="2"/>
      <c r="AC53" s="7">
        <f t="shared" si="5"/>
        <v>0</v>
      </c>
      <c r="AD53" s="8">
        <v>0</v>
      </c>
      <c r="AE53" s="8">
        <v>0</v>
      </c>
      <c r="AF53" s="8" t="s">
        <v>152</v>
      </c>
      <c r="AG53" s="8">
        <v>0</v>
      </c>
      <c r="AH53"/>
    </row>
    <row r="54" spans="1:34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2">
        <f>VLOOKUP(D54,'[1]PROGRAMA S33 TRANSF'!$B$3:$K$58,2,0)</f>
        <v>100</v>
      </c>
      <c r="J54" s="2"/>
      <c r="K54" s="2"/>
      <c r="L54" s="2"/>
      <c r="M54" s="2"/>
      <c r="N54" s="2"/>
      <c r="O54" s="8">
        <f t="shared" si="4"/>
        <v>100</v>
      </c>
      <c r="P54" s="18"/>
      <c r="Q54" s="2"/>
      <c r="R54" s="18"/>
      <c r="S54" s="18"/>
      <c r="T54" s="18"/>
      <c r="U54" s="18"/>
      <c r="V54" s="18"/>
      <c r="W54" s="18"/>
      <c r="X54" s="82"/>
      <c r="Y54" s="18"/>
      <c r="Z54" s="18"/>
      <c r="AA54" s="18"/>
      <c r="AB54" s="2"/>
      <c r="AC54" s="7">
        <f t="shared" si="5"/>
        <v>0</v>
      </c>
      <c r="AD54" s="8">
        <v>0</v>
      </c>
      <c r="AE54" s="8">
        <v>0</v>
      </c>
      <c r="AF54" s="8" t="s">
        <v>152</v>
      </c>
      <c r="AG54" s="8">
        <v>0</v>
      </c>
      <c r="AH54"/>
    </row>
    <row r="55" spans="1:34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2">
        <f>VLOOKUP(D55,'[1]PROGRAMA S33 TRANSF'!$B$3:$K$58,2,0)</f>
        <v>100</v>
      </c>
      <c r="J55" s="2"/>
      <c r="K55" s="2"/>
      <c r="L55" s="2"/>
      <c r="M55" s="2"/>
      <c r="N55" s="2"/>
      <c r="O55" s="8">
        <f t="shared" si="4"/>
        <v>100</v>
      </c>
      <c r="P55" s="18"/>
      <c r="Q55" s="2"/>
      <c r="R55" s="18"/>
      <c r="S55" s="18"/>
      <c r="T55" s="18"/>
      <c r="U55" s="18"/>
      <c r="V55" s="18"/>
      <c r="W55" s="18"/>
      <c r="X55" s="82"/>
      <c r="Y55" s="18"/>
      <c r="Z55" s="18"/>
      <c r="AA55" s="18"/>
      <c r="AB55" s="2"/>
      <c r="AC55" s="7">
        <f t="shared" si="5"/>
        <v>0</v>
      </c>
      <c r="AD55" s="8">
        <v>0</v>
      </c>
      <c r="AE55" s="8">
        <v>0</v>
      </c>
      <c r="AF55" s="8" t="s">
        <v>152</v>
      </c>
      <c r="AG55" s="8">
        <v>0</v>
      </c>
      <c r="AH55"/>
    </row>
    <row r="56" spans="1:34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2">
        <f>VLOOKUP(D56,'[1]PROGRAMA S33 TRANSF'!$B$3:$K$58,2,0)</f>
        <v>100</v>
      </c>
      <c r="J56" s="2"/>
      <c r="K56" s="2"/>
      <c r="L56" s="2"/>
      <c r="M56" s="2"/>
      <c r="N56" s="2"/>
      <c r="O56" s="8">
        <f t="shared" si="4"/>
        <v>100</v>
      </c>
      <c r="P56" s="18"/>
      <c r="Q56" s="2"/>
      <c r="R56" s="18"/>
      <c r="S56" s="18"/>
      <c r="T56" s="18"/>
      <c r="U56" s="18"/>
      <c r="V56" s="18"/>
      <c r="W56" s="18"/>
      <c r="X56" s="82"/>
      <c r="Y56" s="18"/>
      <c r="Z56" s="18"/>
      <c r="AA56" s="18"/>
      <c r="AB56" s="2"/>
      <c r="AC56" s="7">
        <f t="shared" si="5"/>
        <v>0</v>
      </c>
      <c r="AD56" s="8">
        <v>0</v>
      </c>
      <c r="AE56" s="8">
        <v>0</v>
      </c>
      <c r="AF56" s="8" t="s">
        <v>152</v>
      </c>
      <c r="AG56" s="8">
        <v>0</v>
      </c>
      <c r="AH56"/>
    </row>
    <row r="57" spans="1:34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2">
        <f>VLOOKUP(D57,'[1]PROGRAMA S33 TRANSF'!$B$3:$K$58,2,0)</f>
        <v>2239</v>
      </c>
      <c r="J57" s="2"/>
      <c r="K57" s="2"/>
      <c r="L57" s="2"/>
      <c r="M57" s="2"/>
      <c r="N57" s="2"/>
      <c r="O57" s="8">
        <f t="shared" si="4"/>
        <v>-461</v>
      </c>
      <c r="P57" s="18">
        <v>2000</v>
      </c>
      <c r="Q57" s="2">
        <v>700</v>
      </c>
      <c r="R57" s="18"/>
      <c r="S57" s="18"/>
      <c r="T57" s="18"/>
      <c r="U57" s="18"/>
      <c r="V57" s="18"/>
      <c r="W57" s="18"/>
      <c r="X57" s="82"/>
      <c r="Y57" s="18"/>
      <c r="Z57" s="18"/>
      <c r="AA57" s="18"/>
      <c r="AB57" s="2"/>
      <c r="AC57" s="7">
        <f t="shared" si="5"/>
        <v>0</v>
      </c>
      <c r="AD57" s="8" t="s">
        <v>150</v>
      </c>
      <c r="AE57" s="8">
        <v>1000</v>
      </c>
      <c r="AF57" s="8" t="s">
        <v>152</v>
      </c>
      <c r="AG57" s="8">
        <f t="shared" ref="AG57:AG63" si="6">+SUM(I57:N57)/AE57</f>
        <v>2.2389999999999999</v>
      </c>
      <c r="AH57"/>
    </row>
    <row r="58" spans="1:34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2">
        <f>VLOOKUP(D58,'[1]PROGRAMA S33 TRANSF'!$B$3:$K$58,2,0)</f>
        <v>461</v>
      </c>
      <c r="J58" s="2"/>
      <c r="K58" s="2"/>
      <c r="L58" s="2"/>
      <c r="M58" s="2"/>
      <c r="N58" s="2"/>
      <c r="O58" s="8">
        <f t="shared" si="4"/>
        <v>39</v>
      </c>
      <c r="P58" s="18"/>
      <c r="Q58" s="2"/>
      <c r="R58" s="18"/>
      <c r="S58" s="18"/>
      <c r="T58" s="18"/>
      <c r="U58" s="18">
        <v>422</v>
      </c>
      <c r="V58" s="18"/>
      <c r="W58" s="18"/>
      <c r="X58" s="82"/>
      <c r="Y58" s="18"/>
      <c r="Z58" s="18"/>
      <c r="AA58" s="18"/>
      <c r="AB58" s="2"/>
      <c r="AC58" s="7">
        <f t="shared" si="5"/>
        <v>0</v>
      </c>
      <c r="AD58" s="8" t="s">
        <v>151</v>
      </c>
      <c r="AE58" s="8">
        <v>200</v>
      </c>
      <c r="AF58" s="8" t="s">
        <v>152</v>
      </c>
      <c r="AG58" s="8">
        <f t="shared" si="6"/>
        <v>2.3050000000000002</v>
      </c>
      <c r="AH58"/>
    </row>
    <row r="59" spans="1:34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2">
        <f>VLOOKUP(D59,'[1]PROGRAMA S33 TRANSF'!$B$3:$K$58,2,0)</f>
        <v>455</v>
      </c>
      <c r="J59" s="2"/>
      <c r="K59" s="2"/>
      <c r="L59" s="2"/>
      <c r="M59" s="2"/>
      <c r="N59" s="2"/>
      <c r="O59" s="8">
        <f t="shared" si="4"/>
        <v>-17</v>
      </c>
      <c r="P59" s="18"/>
      <c r="Q59" s="2"/>
      <c r="R59" s="18"/>
      <c r="S59" s="18"/>
      <c r="T59" s="18"/>
      <c r="U59" s="18">
        <v>472</v>
      </c>
      <c r="V59" s="18"/>
      <c r="W59" s="18"/>
      <c r="X59" s="82"/>
      <c r="Y59" s="18"/>
      <c r="Z59" s="18"/>
      <c r="AA59" s="18"/>
      <c r="AB59" s="2"/>
      <c r="AC59" s="7">
        <f t="shared" si="5"/>
        <v>0</v>
      </c>
      <c r="AD59" s="8" t="s">
        <v>150</v>
      </c>
      <c r="AE59" s="8">
        <v>1000</v>
      </c>
      <c r="AF59" s="8" t="s">
        <v>152</v>
      </c>
      <c r="AG59" s="8">
        <f t="shared" si="6"/>
        <v>0.45500000000000002</v>
      </c>
      <c r="AH59"/>
    </row>
    <row r="60" spans="1:34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2">
        <f>VLOOKUP(D60,'[1]PROGRAMA S33 TRANSF'!$B$3:$K$58,2,0)</f>
        <v>435</v>
      </c>
      <c r="J60" s="2"/>
      <c r="K60" s="2"/>
      <c r="L60" s="2"/>
      <c r="M60" s="2"/>
      <c r="N60" s="2"/>
      <c r="O60" s="8">
        <f t="shared" si="4"/>
        <v>435</v>
      </c>
      <c r="P60" s="18"/>
      <c r="Q60" s="2"/>
      <c r="R60" s="18"/>
      <c r="S60" s="18"/>
      <c r="T60" s="18"/>
      <c r="U60" s="18"/>
      <c r="V60" s="18"/>
      <c r="W60" s="18"/>
      <c r="X60" s="82"/>
      <c r="Y60" s="18"/>
      <c r="Z60" s="18"/>
      <c r="AA60" s="18"/>
      <c r="AB60" s="2"/>
      <c r="AC60" s="7">
        <f t="shared" si="5"/>
        <v>0</v>
      </c>
      <c r="AD60" s="8" t="s">
        <v>151</v>
      </c>
      <c r="AE60" s="8">
        <v>500</v>
      </c>
      <c r="AF60" s="8" t="s">
        <v>152</v>
      </c>
      <c r="AG60" s="8">
        <f t="shared" si="6"/>
        <v>0.87</v>
      </c>
      <c r="AH60"/>
    </row>
    <row r="61" spans="1:34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2">
        <f>VLOOKUP(D61,'[1]PROGRAMA S33 TRANSF'!$B$3:$K$58,2,0)</f>
        <v>342</v>
      </c>
      <c r="J61" s="2"/>
      <c r="K61" s="2"/>
      <c r="L61" s="2"/>
      <c r="M61" s="2"/>
      <c r="N61" s="2"/>
      <c r="O61" s="8">
        <f t="shared" si="4"/>
        <v>244</v>
      </c>
      <c r="P61" s="18"/>
      <c r="Q61" s="2"/>
      <c r="R61" s="18"/>
      <c r="S61" s="18"/>
      <c r="T61" s="18"/>
      <c r="U61" s="18"/>
      <c r="V61" s="18"/>
      <c r="W61" s="18">
        <v>98</v>
      </c>
      <c r="X61" s="82"/>
      <c r="Y61" s="18"/>
      <c r="Z61" s="18"/>
      <c r="AA61" s="18"/>
      <c r="AB61" s="2"/>
      <c r="AC61" s="7">
        <f t="shared" si="5"/>
        <v>0</v>
      </c>
      <c r="AD61" s="8" t="s">
        <v>150</v>
      </c>
      <c r="AE61" s="8">
        <v>1000</v>
      </c>
      <c r="AF61" s="8" t="s">
        <v>152</v>
      </c>
      <c r="AG61" s="8">
        <f t="shared" si="6"/>
        <v>0.34200000000000003</v>
      </c>
      <c r="AH61"/>
    </row>
    <row r="62" spans="1:34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2">
        <f>VLOOKUP(D62,'[1]PROGRAMA S33 TRANSF'!$B$3:$K$58,2,0)</f>
        <v>179</v>
      </c>
      <c r="J62" s="2"/>
      <c r="K62" s="2"/>
      <c r="L62" s="2"/>
      <c r="M62" s="2"/>
      <c r="N62" s="2"/>
      <c r="O62" s="8">
        <f t="shared" si="4"/>
        <v>179</v>
      </c>
      <c r="P62" s="18"/>
      <c r="Q62" s="2"/>
      <c r="R62" s="18"/>
      <c r="S62" s="18"/>
      <c r="T62" s="18"/>
      <c r="U62" s="18"/>
      <c r="V62" s="18"/>
      <c r="W62" s="18"/>
      <c r="X62" s="82"/>
      <c r="Y62" s="18"/>
      <c r="Z62" s="18"/>
      <c r="AA62" s="18"/>
      <c r="AB62" s="2"/>
      <c r="AC62" s="7">
        <f t="shared" si="5"/>
        <v>0</v>
      </c>
      <c r="AD62" s="8" t="s">
        <v>151</v>
      </c>
      <c r="AE62" s="8">
        <v>200</v>
      </c>
      <c r="AF62" s="8" t="s">
        <v>152</v>
      </c>
      <c r="AG62" s="8">
        <f t="shared" si="6"/>
        <v>0.89500000000000002</v>
      </c>
      <c r="AH62"/>
    </row>
    <row r="63" spans="1:34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2">
        <f>VLOOKUP(D63,'[1]PROGRAMA S33 TRANSF'!$B$3:$K$58,2,0)</f>
        <v>179</v>
      </c>
      <c r="J63" s="2"/>
      <c r="K63" s="2"/>
      <c r="L63" s="2"/>
      <c r="M63" s="2"/>
      <c r="N63" s="2"/>
      <c r="O63" s="8">
        <f t="shared" si="4"/>
        <v>179</v>
      </c>
      <c r="P63" s="18"/>
      <c r="Q63" s="2"/>
      <c r="R63" s="18"/>
      <c r="S63" s="18"/>
      <c r="T63" s="18"/>
      <c r="U63" s="18"/>
      <c r="V63" s="18"/>
      <c r="W63" s="18"/>
      <c r="X63" s="82"/>
      <c r="Y63" s="18"/>
      <c r="Z63" s="18"/>
      <c r="AA63" s="18"/>
      <c r="AB63" s="2"/>
      <c r="AC63" s="7">
        <f t="shared" si="5"/>
        <v>0</v>
      </c>
      <c r="AD63" s="8" t="s">
        <v>151</v>
      </c>
      <c r="AE63" s="8">
        <v>500</v>
      </c>
      <c r="AF63" s="8" t="s">
        <v>152</v>
      </c>
      <c r="AG63" s="8">
        <f t="shared" si="6"/>
        <v>0.35799999999999998</v>
      </c>
      <c r="AH63"/>
    </row>
    <row r="64" spans="1:34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2">
        <f>VLOOKUP(D64,'[1]PROGRAMA S33 TRANSF'!$B$3:$K$58,2,0)</f>
        <v>100</v>
      </c>
      <c r="J64" s="2"/>
      <c r="K64" s="2"/>
      <c r="L64" s="2"/>
      <c r="M64" s="2"/>
      <c r="N64" s="2"/>
      <c r="O64" s="8">
        <f t="shared" si="4"/>
        <v>-31</v>
      </c>
      <c r="P64" s="18"/>
      <c r="Q64" s="2"/>
      <c r="R64" s="18"/>
      <c r="S64" s="18"/>
      <c r="T64" s="18">
        <v>131</v>
      </c>
      <c r="U64" s="18"/>
      <c r="V64" s="18"/>
      <c r="W64" s="18"/>
      <c r="X64" s="82"/>
      <c r="Y64" s="18"/>
      <c r="Z64" s="18"/>
      <c r="AA64" s="18"/>
      <c r="AB64" s="2"/>
      <c r="AC64" s="7">
        <f t="shared" si="5"/>
        <v>0</v>
      </c>
      <c r="AD64" s="8">
        <v>0</v>
      </c>
      <c r="AE64" s="8">
        <v>0</v>
      </c>
      <c r="AF64" s="8" t="s">
        <v>152</v>
      </c>
      <c r="AG64" s="8">
        <v>0</v>
      </c>
      <c r="AH64"/>
    </row>
    <row r="65" spans="1:34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2">
        <f>VLOOKUP(D65,'[1]PROGRAMA S33 TRANSF'!$B$3:$K$58,2,0)</f>
        <v>313</v>
      </c>
      <c r="J65" s="2"/>
      <c r="K65" s="2"/>
      <c r="L65" s="2"/>
      <c r="M65" s="2"/>
      <c r="N65" s="2"/>
      <c r="O65" s="8">
        <f t="shared" si="4"/>
        <v>313</v>
      </c>
      <c r="P65" s="18"/>
      <c r="Q65" s="2"/>
      <c r="R65" s="18"/>
      <c r="S65" s="18"/>
      <c r="T65" s="18"/>
      <c r="U65" s="18"/>
      <c r="V65" s="18"/>
      <c r="W65" s="18"/>
      <c r="X65" s="82"/>
      <c r="Y65" s="18"/>
      <c r="Z65" s="18"/>
      <c r="AA65" s="18"/>
      <c r="AB65" s="2"/>
      <c r="AC65" s="7">
        <f t="shared" si="5"/>
        <v>0</v>
      </c>
      <c r="AD65" s="8">
        <v>0</v>
      </c>
      <c r="AE65" s="8">
        <v>0</v>
      </c>
      <c r="AF65" s="8" t="s">
        <v>152</v>
      </c>
      <c r="AG65" s="8">
        <v>0</v>
      </c>
      <c r="AH65"/>
    </row>
    <row r="66" spans="1:34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2">
        <f>VLOOKUP(D66,'[1]PROGRAMA S33 TRANSF'!$B$3:$K$58,2,0)</f>
        <v>100</v>
      </c>
      <c r="J66" s="2"/>
      <c r="K66" s="2"/>
      <c r="L66" s="2"/>
      <c r="M66" s="2"/>
      <c r="N66" s="2"/>
      <c r="O66" s="8">
        <f t="shared" si="4"/>
        <v>100</v>
      </c>
      <c r="P66" s="18"/>
      <c r="Q66" s="2"/>
      <c r="R66" s="18"/>
      <c r="S66" s="18"/>
      <c r="T66" s="18"/>
      <c r="U66" s="18"/>
      <c r="V66" s="18"/>
      <c r="W66" s="18"/>
      <c r="X66" s="82"/>
      <c r="Y66" s="18"/>
      <c r="Z66" s="18"/>
      <c r="AA66" s="18"/>
      <c r="AB66" s="2"/>
      <c r="AC66" s="7">
        <f t="shared" si="5"/>
        <v>0</v>
      </c>
      <c r="AD66" s="8">
        <v>0</v>
      </c>
      <c r="AE66" s="8">
        <v>0</v>
      </c>
      <c r="AF66" s="8" t="s">
        <v>152</v>
      </c>
      <c r="AG66" s="8">
        <v>0</v>
      </c>
      <c r="AH66"/>
    </row>
    <row r="67" spans="1:34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2"/>
      <c r="J67" s="2"/>
      <c r="K67" s="2"/>
      <c r="L67" s="2"/>
      <c r="M67" s="2"/>
      <c r="N67" s="2"/>
      <c r="O67" s="8">
        <f t="shared" si="4"/>
        <v>0</v>
      </c>
      <c r="P67" s="18"/>
      <c r="Q67" s="2"/>
      <c r="R67" s="18"/>
      <c r="S67" s="18"/>
      <c r="T67" s="18"/>
      <c r="U67" s="18"/>
      <c r="V67" s="18"/>
      <c r="W67" s="18"/>
      <c r="X67" s="82"/>
      <c r="Y67" s="18"/>
      <c r="Z67" s="18"/>
      <c r="AA67" s="18"/>
      <c r="AB67" s="2"/>
      <c r="AC67" s="7">
        <f t="shared" si="5"/>
        <v>0</v>
      </c>
      <c r="AD67" s="8" t="s">
        <v>151</v>
      </c>
      <c r="AE67" s="8">
        <v>200</v>
      </c>
      <c r="AF67" s="8" t="s">
        <v>152</v>
      </c>
      <c r="AG67" s="8">
        <f>+SUM(I67:N67)/AE67</f>
        <v>0</v>
      </c>
      <c r="AH67"/>
    </row>
    <row r="68" spans="1:34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2">
        <f>VLOOKUP(D68,'[1]PROGRAMA S33 TRANSF'!$B$3:$K$58,2,0)</f>
        <v>134</v>
      </c>
      <c r="J68" s="2"/>
      <c r="K68" s="2"/>
      <c r="L68" s="2"/>
      <c r="M68" s="2"/>
      <c r="N68" s="2"/>
      <c r="O68" s="8">
        <f t="shared" si="4"/>
        <v>2</v>
      </c>
      <c r="P68" s="18"/>
      <c r="Q68" s="2"/>
      <c r="R68" s="18"/>
      <c r="S68" s="18"/>
      <c r="T68" s="18">
        <v>132</v>
      </c>
      <c r="U68" s="18"/>
      <c r="V68" s="18"/>
      <c r="W68" s="18"/>
      <c r="X68" s="82"/>
      <c r="Y68" s="18"/>
      <c r="Z68" s="18"/>
      <c r="AA68" s="18"/>
      <c r="AB68" s="2"/>
      <c r="AC68" s="7">
        <f t="shared" si="5"/>
        <v>0</v>
      </c>
      <c r="AD68" s="8">
        <v>0</v>
      </c>
      <c r="AE68" s="8">
        <v>0</v>
      </c>
      <c r="AF68" s="8" t="s">
        <v>152</v>
      </c>
      <c r="AG68" s="8">
        <v>0</v>
      </c>
      <c r="AH68"/>
    </row>
    <row r="69" spans="1:34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2">
        <f>VLOOKUP(D69,'[1]PROGRAMA S33 TRANSF'!$B$3:$K$58,2,0)</f>
        <v>493</v>
      </c>
      <c r="J69" s="2"/>
      <c r="K69" s="2"/>
      <c r="L69" s="2"/>
      <c r="M69" s="2"/>
      <c r="N69" s="2"/>
      <c r="O69" s="8">
        <f t="shared" si="4"/>
        <v>493</v>
      </c>
      <c r="P69" s="18"/>
      <c r="Q69" s="2"/>
      <c r="R69" s="18"/>
      <c r="S69" s="18"/>
      <c r="T69" s="18"/>
      <c r="U69" s="18"/>
      <c r="V69" s="18"/>
      <c r="W69" s="18"/>
      <c r="X69" s="82"/>
      <c r="Y69" s="18"/>
      <c r="Z69" s="18"/>
      <c r="AA69" s="18"/>
      <c r="AB69" s="2"/>
      <c r="AC69" s="7">
        <f t="shared" si="5"/>
        <v>0</v>
      </c>
      <c r="AD69" s="8">
        <v>0</v>
      </c>
      <c r="AE69" s="8">
        <v>0</v>
      </c>
      <c r="AF69" s="8" t="s">
        <v>152</v>
      </c>
      <c r="AG69" s="8">
        <v>0</v>
      </c>
      <c r="AH69"/>
    </row>
    <row r="70" spans="1:34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2">
        <f>VLOOKUP(D70,'[1]PROGRAMA S33 TRANSF'!$B$3:$K$58,2,0)</f>
        <v>100</v>
      </c>
      <c r="J70" s="2"/>
      <c r="K70" s="2"/>
      <c r="L70" s="2"/>
      <c r="M70" s="2"/>
      <c r="N70" s="2"/>
      <c r="O70" s="8">
        <f t="shared" ref="O70:O101" si="7">+I70+J70+K70+L70+M70+N70-SUM(P70:AB70)</f>
        <v>100</v>
      </c>
      <c r="P70" s="18"/>
      <c r="Q70" s="2"/>
      <c r="R70" s="18"/>
      <c r="S70" s="18"/>
      <c r="T70" s="18"/>
      <c r="U70" s="18"/>
      <c r="V70" s="18"/>
      <c r="W70" s="18"/>
      <c r="X70" s="82"/>
      <c r="Y70" s="18"/>
      <c r="Z70" s="18"/>
      <c r="AA70" s="18"/>
      <c r="AB70" s="2"/>
      <c r="AC70" s="7">
        <f t="shared" ref="AC70:AC101" si="8">+G70*SUM(I70:N70)</f>
        <v>0</v>
      </c>
      <c r="AD70" s="8" t="s">
        <v>151</v>
      </c>
      <c r="AE70" s="8">
        <v>200</v>
      </c>
      <c r="AF70" s="8" t="s">
        <v>152</v>
      </c>
      <c r="AG70" s="8">
        <f>+SUM(I70:N70)/AE70</f>
        <v>0.5</v>
      </c>
      <c r="AH70"/>
    </row>
    <row r="71" spans="1:34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2">
        <f>VLOOKUP(D71,'[1]PROGRAMA S33 TRANSF'!$B$3:$K$58,2,0)</f>
        <v>100</v>
      </c>
      <c r="J71" s="2"/>
      <c r="K71" s="2"/>
      <c r="L71" s="2"/>
      <c r="M71" s="2"/>
      <c r="N71" s="2"/>
      <c r="O71" s="8">
        <f t="shared" si="7"/>
        <v>100</v>
      </c>
      <c r="P71" s="18"/>
      <c r="Q71" s="2"/>
      <c r="R71" s="18"/>
      <c r="S71" s="18"/>
      <c r="T71" s="18"/>
      <c r="U71" s="18"/>
      <c r="V71" s="18"/>
      <c r="W71" s="18"/>
      <c r="X71" s="82"/>
      <c r="Y71" s="18"/>
      <c r="Z71" s="18"/>
      <c r="AA71" s="18"/>
      <c r="AB71" s="2"/>
      <c r="AC71" s="7">
        <f t="shared" si="8"/>
        <v>0</v>
      </c>
      <c r="AD71" s="8" t="s">
        <v>151</v>
      </c>
      <c r="AE71" s="8">
        <v>500</v>
      </c>
      <c r="AF71" s="8" t="s">
        <v>152</v>
      </c>
      <c r="AG71" s="8">
        <f>+SUM(I71:N71)/AE71</f>
        <v>0.2</v>
      </c>
      <c r="AH71"/>
    </row>
    <row r="72" spans="1:34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2">
        <f>VLOOKUP(D72,'[1]PROGRAMA S33 TRANSF'!$B$3:$K$58,2,0)</f>
        <v>100</v>
      </c>
      <c r="J72" s="2"/>
      <c r="K72" s="2"/>
      <c r="L72" s="2"/>
      <c r="M72" s="2"/>
      <c r="N72" s="2"/>
      <c r="O72" s="8">
        <f t="shared" si="7"/>
        <v>100</v>
      </c>
      <c r="P72" s="18"/>
      <c r="Q72" s="2"/>
      <c r="R72" s="18"/>
      <c r="S72" s="18"/>
      <c r="T72" s="18"/>
      <c r="U72" s="18"/>
      <c r="V72" s="18"/>
      <c r="W72" s="18"/>
      <c r="X72" s="82"/>
      <c r="Y72" s="18"/>
      <c r="Z72" s="18"/>
      <c r="AA72" s="18"/>
      <c r="AB72" s="2"/>
      <c r="AC72" s="7">
        <f t="shared" si="8"/>
        <v>0</v>
      </c>
      <c r="AD72" s="8" t="s">
        <v>151</v>
      </c>
      <c r="AE72" s="8">
        <v>200</v>
      </c>
      <c r="AF72" s="8" t="s">
        <v>152</v>
      </c>
      <c r="AG72" s="8">
        <f>+SUM(I72:N72)/AE72</f>
        <v>0.5</v>
      </c>
      <c r="AH72"/>
    </row>
    <row r="73" spans="1:34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2"/>
      <c r="J73" s="2"/>
      <c r="K73" s="2"/>
      <c r="L73" s="2"/>
      <c r="M73" s="2"/>
      <c r="N73" s="2"/>
      <c r="O73" s="8">
        <f t="shared" si="7"/>
        <v>0</v>
      </c>
      <c r="P73" s="18"/>
      <c r="Q73" s="2"/>
      <c r="R73" s="18"/>
      <c r="S73" s="18"/>
      <c r="T73" s="18"/>
      <c r="U73" s="18"/>
      <c r="V73" s="18"/>
      <c r="W73" s="18"/>
      <c r="X73" s="82"/>
      <c r="Y73" s="18"/>
      <c r="Z73" s="18"/>
      <c r="AA73" s="18"/>
      <c r="AB73" s="2"/>
      <c r="AC73" s="7">
        <f t="shared" si="8"/>
        <v>0</v>
      </c>
      <c r="AD73" s="8">
        <v>0</v>
      </c>
      <c r="AE73" s="8">
        <v>0</v>
      </c>
      <c r="AF73" s="8" t="s">
        <v>152</v>
      </c>
      <c r="AG73" s="8">
        <v>0</v>
      </c>
      <c r="AH73"/>
    </row>
    <row r="74" spans="1:34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2">
        <f>VLOOKUP(D74,'[1]PROGRAMA S33 TRANSF'!$B$3:$K$58,2,0)</f>
        <v>100</v>
      </c>
      <c r="J74" s="2"/>
      <c r="K74" s="2"/>
      <c r="L74" s="2"/>
      <c r="M74" s="2"/>
      <c r="N74" s="2"/>
      <c r="O74" s="8">
        <f t="shared" si="7"/>
        <v>-6</v>
      </c>
      <c r="P74" s="18"/>
      <c r="Q74" s="2"/>
      <c r="R74" s="18"/>
      <c r="S74" s="18"/>
      <c r="T74" s="18">
        <v>106</v>
      </c>
      <c r="U74" s="18"/>
      <c r="V74" s="18"/>
      <c r="W74" s="18"/>
      <c r="X74" s="82"/>
      <c r="Y74" s="18"/>
      <c r="Z74" s="18"/>
      <c r="AA74" s="18"/>
      <c r="AB74" s="2"/>
      <c r="AC74" s="7">
        <f t="shared" si="8"/>
        <v>0</v>
      </c>
      <c r="AD74" s="8">
        <v>0</v>
      </c>
      <c r="AE74" s="8">
        <v>0</v>
      </c>
      <c r="AF74" s="8" t="s">
        <v>152</v>
      </c>
      <c r="AG74" s="8">
        <v>0</v>
      </c>
      <c r="AH74"/>
    </row>
    <row r="75" spans="1:34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2"/>
      <c r="J75" s="2"/>
      <c r="K75" s="2"/>
      <c r="L75" s="2"/>
      <c r="M75" s="2"/>
      <c r="N75" s="2"/>
      <c r="O75" s="8">
        <f t="shared" si="7"/>
        <v>0</v>
      </c>
      <c r="P75" s="18"/>
      <c r="Q75" s="2"/>
      <c r="R75" s="18"/>
      <c r="S75" s="18"/>
      <c r="T75" s="18"/>
      <c r="U75" s="18"/>
      <c r="V75" s="18"/>
      <c r="W75" s="18"/>
      <c r="X75" s="82"/>
      <c r="Y75" s="18"/>
      <c r="Z75" s="18"/>
      <c r="AA75" s="18"/>
      <c r="AB75" s="2"/>
      <c r="AC75" s="7">
        <f t="shared" si="8"/>
        <v>0</v>
      </c>
      <c r="AD75" s="8">
        <v>0</v>
      </c>
      <c r="AE75" s="8">
        <v>0</v>
      </c>
      <c r="AF75" s="8" t="s">
        <v>152</v>
      </c>
      <c r="AG75" s="8">
        <v>0</v>
      </c>
      <c r="AH75"/>
    </row>
    <row r="76" spans="1:34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2"/>
      <c r="J76" s="2"/>
      <c r="K76" s="2"/>
      <c r="L76" s="2"/>
      <c r="M76" s="2"/>
      <c r="N76" s="2"/>
      <c r="O76" s="8">
        <f t="shared" si="7"/>
        <v>0</v>
      </c>
      <c r="P76" s="18"/>
      <c r="Q76" s="2"/>
      <c r="R76" s="18"/>
      <c r="S76" s="18"/>
      <c r="T76" s="18"/>
      <c r="U76" s="18"/>
      <c r="V76" s="18"/>
      <c r="W76" s="18"/>
      <c r="X76" s="82"/>
      <c r="Y76" s="18"/>
      <c r="Z76" s="18"/>
      <c r="AA76" s="18"/>
      <c r="AB76" s="2"/>
      <c r="AC76" s="7">
        <f t="shared" si="8"/>
        <v>0</v>
      </c>
      <c r="AD76" s="8">
        <v>0</v>
      </c>
      <c r="AE76" s="8">
        <v>0</v>
      </c>
      <c r="AF76" s="8" t="s">
        <v>152</v>
      </c>
      <c r="AG76" s="8">
        <v>0</v>
      </c>
      <c r="AH76"/>
    </row>
    <row r="77" spans="1:34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2"/>
      <c r="J77" s="2"/>
      <c r="K77" s="2"/>
      <c r="L77" s="2"/>
      <c r="M77" s="2"/>
      <c r="N77" s="2"/>
      <c r="O77" s="8">
        <f t="shared" si="7"/>
        <v>0</v>
      </c>
      <c r="P77" s="18"/>
      <c r="Q77" s="2"/>
      <c r="R77" s="18"/>
      <c r="S77" s="18"/>
      <c r="T77" s="18"/>
      <c r="U77" s="18"/>
      <c r="V77" s="18"/>
      <c r="W77" s="18"/>
      <c r="X77" s="82"/>
      <c r="Y77" s="18"/>
      <c r="Z77" s="18"/>
      <c r="AA77" s="18"/>
      <c r="AB77" s="2"/>
      <c r="AC77" s="7">
        <f t="shared" si="8"/>
        <v>0</v>
      </c>
      <c r="AD77" s="8">
        <v>0</v>
      </c>
      <c r="AE77" s="8">
        <v>0</v>
      </c>
      <c r="AF77" s="8" t="s">
        <v>152</v>
      </c>
      <c r="AG77" s="8">
        <v>0</v>
      </c>
      <c r="AH77"/>
    </row>
    <row r="78" spans="1:34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2"/>
      <c r="J78" s="2"/>
      <c r="K78" s="2"/>
      <c r="L78" s="2"/>
      <c r="M78" s="2"/>
      <c r="N78" s="2"/>
      <c r="O78" s="8">
        <f t="shared" si="7"/>
        <v>0</v>
      </c>
      <c r="P78" s="18"/>
      <c r="Q78" s="2"/>
      <c r="R78" s="18"/>
      <c r="S78" s="18"/>
      <c r="T78" s="18"/>
      <c r="U78" s="18"/>
      <c r="V78" s="18"/>
      <c r="W78" s="18"/>
      <c r="X78" s="82"/>
      <c r="Y78" s="18"/>
      <c r="Z78" s="18"/>
      <c r="AA78" s="18"/>
      <c r="AB78" s="2"/>
      <c r="AC78" s="7">
        <f t="shared" si="8"/>
        <v>0</v>
      </c>
      <c r="AD78" s="8">
        <v>0</v>
      </c>
      <c r="AE78" s="8">
        <v>0</v>
      </c>
      <c r="AF78" s="8" t="s">
        <v>152</v>
      </c>
      <c r="AG78" s="8">
        <v>0</v>
      </c>
      <c r="AH78"/>
    </row>
    <row r="79" spans="1:34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2"/>
      <c r="J79" s="2"/>
      <c r="K79" s="2"/>
      <c r="L79" s="2"/>
      <c r="M79" s="2"/>
      <c r="N79" s="2"/>
      <c r="O79" s="8">
        <f t="shared" si="7"/>
        <v>0</v>
      </c>
      <c r="P79" s="18"/>
      <c r="Q79" s="2"/>
      <c r="R79" s="18"/>
      <c r="S79" s="18"/>
      <c r="T79" s="18"/>
      <c r="U79" s="18"/>
      <c r="V79" s="18"/>
      <c r="W79" s="18"/>
      <c r="X79" s="82"/>
      <c r="Y79" s="18"/>
      <c r="Z79" s="18"/>
      <c r="AA79" s="18"/>
      <c r="AB79" s="2"/>
      <c r="AC79" s="7">
        <f t="shared" si="8"/>
        <v>0</v>
      </c>
      <c r="AD79" s="8">
        <v>0</v>
      </c>
      <c r="AE79" s="8">
        <v>0</v>
      </c>
      <c r="AF79" s="8" t="s">
        <v>152</v>
      </c>
      <c r="AG79" s="8">
        <v>0</v>
      </c>
      <c r="AH79"/>
    </row>
    <row r="80" spans="1:34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2">
        <f>VLOOKUP(D80,'[1]PROGRAMA S33 TRANSF'!$B$3:$K$58,2,0)</f>
        <v>100</v>
      </c>
      <c r="J80" s="2"/>
      <c r="K80" s="2"/>
      <c r="L80" s="2"/>
      <c r="M80" s="2"/>
      <c r="N80" s="2"/>
      <c r="O80" s="8">
        <f t="shared" si="7"/>
        <v>0</v>
      </c>
      <c r="P80" s="18"/>
      <c r="Q80" s="2"/>
      <c r="R80" s="18"/>
      <c r="S80" s="18"/>
      <c r="T80" s="18">
        <v>100</v>
      </c>
      <c r="U80" s="18"/>
      <c r="V80" s="18"/>
      <c r="W80" s="18"/>
      <c r="X80" s="82"/>
      <c r="Y80" s="18"/>
      <c r="Z80" s="18"/>
      <c r="AA80" s="18"/>
      <c r="AB80" s="2"/>
      <c r="AC80" s="7">
        <f t="shared" si="8"/>
        <v>0</v>
      </c>
      <c r="AD80" s="8">
        <v>0</v>
      </c>
      <c r="AE80" s="8">
        <v>0</v>
      </c>
      <c r="AF80" s="8" t="s">
        <v>152</v>
      </c>
      <c r="AG80" s="8">
        <v>0</v>
      </c>
      <c r="AH80"/>
    </row>
    <row r="81" spans="1:34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2"/>
      <c r="J81" s="2"/>
      <c r="K81" s="2"/>
      <c r="L81" s="2"/>
      <c r="M81" s="2"/>
      <c r="N81" s="2"/>
      <c r="O81" s="8">
        <f t="shared" si="7"/>
        <v>0</v>
      </c>
      <c r="P81" s="18"/>
      <c r="Q81" s="2"/>
      <c r="R81" s="18"/>
      <c r="S81" s="18"/>
      <c r="T81" s="18"/>
      <c r="U81" s="18"/>
      <c r="V81" s="18"/>
      <c r="W81" s="18"/>
      <c r="X81" s="82"/>
      <c r="Y81" s="18"/>
      <c r="Z81" s="18"/>
      <c r="AA81" s="18"/>
      <c r="AB81" s="2"/>
      <c r="AC81" s="7">
        <f t="shared" si="8"/>
        <v>0</v>
      </c>
      <c r="AD81" s="8">
        <v>0</v>
      </c>
      <c r="AE81" s="8">
        <v>0</v>
      </c>
      <c r="AF81" s="8" t="s">
        <v>152</v>
      </c>
      <c r="AG81" s="8">
        <v>0</v>
      </c>
      <c r="AH81"/>
    </row>
    <row r="82" spans="1:34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2">
        <f>VLOOKUP(D82,'[1]PROGRAMA S33 TRANSF'!$B$3:$K$58,2,0)</f>
        <v>100</v>
      </c>
      <c r="J82" s="2"/>
      <c r="K82" s="2"/>
      <c r="L82" s="2"/>
      <c r="M82" s="2"/>
      <c r="N82" s="2"/>
      <c r="O82" s="8">
        <f t="shared" si="7"/>
        <v>100</v>
      </c>
      <c r="P82" s="18"/>
      <c r="Q82" s="2"/>
      <c r="R82" s="18"/>
      <c r="S82" s="18"/>
      <c r="T82" s="18"/>
      <c r="U82" s="18"/>
      <c r="V82" s="18"/>
      <c r="W82" s="18"/>
      <c r="X82" s="82"/>
      <c r="Y82" s="18"/>
      <c r="Z82" s="18"/>
      <c r="AA82" s="18"/>
      <c r="AB82" s="2"/>
      <c r="AC82" s="7">
        <f t="shared" si="8"/>
        <v>0</v>
      </c>
      <c r="AD82" s="8">
        <v>0</v>
      </c>
      <c r="AE82" s="8">
        <v>0</v>
      </c>
      <c r="AF82" s="8" t="s">
        <v>152</v>
      </c>
      <c r="AG82" s="8">
        <v>0</v>
      </c>
      <c r="AH82"/>
    </row>
    <row r="83" spans="1:34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2">
        <f>VLOOKUP(D83,'[1]PROGRAMA S33 TRANSF'!$B$3:$K$58,2,0)</f>
        <v>100</v>
      </c>
      <c r="J83" s="2"/>
      <c r="K83" s="2"/>
      <c r="L83" s="2"/>
      <c r="M83" s="2"/>
      <c r="N83" s="2"/>
      <c r="O83" s="8">
        <f t="shared" si="7"/>
        <v>100</v>
      </c>
      <c r="P83" s="18"/>
      <c r="Q83" s="2"/>
      <c r="R83" s="18"/>
      <c r="S83" s="18"/>
      <c r="T83" s="18"/>
      <c r="U83" s="18"/>
      <c r="V83" s="18"/>
      <c r="W83" s="18"/>
      <c r="X83" s="82"/>
      <c r="Y83" s="18"/>
      <c r="Z83" s="18"/>
      <c r="AA83" s="18"/>
      <c r="AB83" s="2"/>
      <c r="AC83" s="7">
        <f t="shared" si="8"/>
        <v>0</v>
      </c>
      <c r="AD83" s="8">
        <v>0</v>
      </c>
      <c r="AE83" s="8">
        <v>0</v>
      </c>
      <c r="AF83" s="8" t="s">
        <v>152</v>
      </c>
      <c r="AG83" s="8">
        <v>0</v>
      </c>
      <c r="AH83"/>
    </row>
    <row r="84" spans="1:34" x14ac:dyDescent="0.25">
      <c r="A84" s="2">
        <v>79</v>
      </c>
      <c r="B84" s="2" t="s">
        <v>128</v>
      </c>
      <c r="C84" s="2" t="s">
        <v>129</v>
      </c>
      <c r="D84" s="2" t="s">
        <v>103</v>
      </c>
      <c r="E84" s="13">
        <v>0.25</v>
      </c>
      <c r="F84" s="2"/>
      <c r="G84" s="3"/>
      <c r="H84" s="3"/>
      <c r="I84" s="18">
        <f>VLOOKUP(D84,'[1]PROGRAMA S33 FALCON'!$B$3:$J$10,2,0)</f>
        <v>600</v>
      </c>
      <c r="J84" s="2"/>
      <c r="K84" s="2"/>
      <c r="L84" s="2"/>
      <c r="M84" s="2"/>
      <c r="N84" s="2"/>
      <c r="O84" s="8">
        <f t="shared" si="7"/>
        <v>-30</v>
      </c>
      <c r="P84" s="18"/>
      <c r="Q84" s="2"/>
      <c r="R84" s="18"/>
      <c r="S84" s="18"/>
      <c r="T84" s="18"/>
      <c r="U84" s="18"/>
      <c r="V84" s="18"/>
      <c r="W84" s="18"/>
      <c r="X84" s="18">
        <v>630</v>
      </c>
      <c r="Y84" s="18"/>
      <c r="Z84" s="18"/>
      <c r="AA84" s="18"/>
      <c r="AB84" s="2"/>
      <c r="AC84" s="7">
        <f t="shared" si="8"/>
        <v>0</v>
      </c>
      <c r="AD84" s="8" t="s">
        <v>146</v>
      </c>
      <c r="AE84" s="8">
        <v>200</v>
      </c>
      <c r="AF84" s="8" t="s">
        <v>153</v>
      </c>
      <c r="AG84" s="8">
        <f>+SUM(I84:N84)/AE84</f>
        <v>3</v>
      </c>
      <c r="AH84"/>
    </row>
    <row r="85" spans="1:34" x14ac:dyDescent="0.25">
      <c r="A85" s="2">
        <v>80</v>
      </c>
      <c r="B85" s="2" t="s">
        <v>128</v>
      </c>
      <c r="C85" s="2" t="s">
        <v>129</v>
      </c>
      <c r="D85" s="2" t="s">
        <v>104</v>
      </c>
      <c r="E85" s="13">
        <v>0.25</v>
      </c>
      <c r="F85" s="2"/>
      <c r="G85" s="3"/>
      <c r="H85" s="3"/>
      <c r="I85" s="18">
        <f>VLOOKUP(D85,'[1]PROGRAMA S33 FALCON'!$B$3:$J$10,2,0)</f>
        <v>2000</v>
      </c>
      <c r="J85" s="2"/>
      <c r="K85" s="2"/>
      <c r="L85" s="2"/>
      <c r="M85" s="2"/>
      <c r="N85" s="2"/>
      <c r="O85" s="8">
        <f t="shared" si="7"/>
        <v>700</v>
      </c>
      <c r="P85" s="18"/>
      <c r="Q85" s="2"/>
      <c r="R85" s="18"/>
      <c r="S85" s="18"/>
      <c r="T85" s="18"/>
      <c r="U85" s="18"/>
      <c r="V85" s="18"/>
      <c r="W85" s="18"/>
      <c r="X85" s="18">
        <v>1300</v>
      </c>
      <c r="Y85" s="18"/>
      <c r="Z85" s="18"/>
      <c r="AA85" s="18"/>
      <c r="AB85" s="2"/>
      <c r="AC85" s="7">
        <f t="shared" si="8"/>
        <v>0</v>
      </c>
      <c r="AD85" s="8" t="s">
        <v>146</v>
      </c>
      <c r="AE85" s="8">
        <v>200</v>
      </c>
      <c r="AF85" s="8" t="s">
        <v>153</v>
      </c>
      <c r="AG85" s="8">
        <f>+SUM(I85:N85)/AE85</f>
        <v>10</v>
      </c>
      <c r="AH85"/>
    </row>
    <row r="86" spans="1:34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18"/>
      <c r="J86" s="2"/>
      <c r="K86" s="2"/>
      <c r="L86" s="2"/>
      <c r="M86" s="2"/>
      <c r="N86" s="2"/>
      <c r="O86" s="8">
        <f t="shared" si="7"/>
        <v>0</v>
      </c>
      <c r="P86" s="18"/>
      <c r="Q86" s="2"/>
      <c r="R86" s="18"/>
      <c r="S86" s="18"/>
      <c r="T86" s="2"/>
      <c r="U86" s="18"/>
      <c r="V86" s="18"/>
      <c r="W86" s="18"/>
      <c r="X86" s="82"/>
      <c r="Y86" s="18"/>
      <c r="Z86" s="18"/>
      <c r="AA86" s="18"/>
      <c r="AB86" s="2"/>
      <c r="AC86" s="7">
        <f t="shared" si="8"/>
        <v>0</v>
      </c>
      <c r="AD86" s="8" t="s">
        <v>146</v>
      </c>
      <c r="AE86" s="8">
        <v>200</v>
      </c>
      <c r="AF86" s="8" t="s">
        <v>153</v>
      </c>
      <c r="AG86" s="8">
        <f>+SUM(I86:N86)/AE86</f>
        <v>0</v>
      </c>
      <c r="AH86"/>
    </row>
    <row r="87" spans="1:34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18"/>
      <c r="J87" s="2"/>
      <c r="K87" s="2"/>
      <c r="L87" s="2"/>
      <c r="M87" s="2"/>
      <c r="N87" s="2"/>
      <c r="O87" s="8">
        <f t="shared" si="7"/>
        <v>0</v>
      </c>
      <c r="P87" s="18"/>
      <c r="Q87" s="2"/>
      <c r="R87" s="18"/>
      <c r="S87" s="18"/>
      <c r="T87" s="18"/>
      <c r="U87" s="18"/>
      <c r="V87" s="18"/>
      <c r="W87" s="18"/>
      <c r="X87" s="82"/>
      <c r="Y87" s="18"/>
      <c r="Z87" s="18"/>
      <c r="AA87" s="18"/>
      <c r="AB87" s="2"/>
      <c r="AC87" s="7">
        <f t="shared" si="8"/>
        <v>0</v>
      </c>
      <c r="AD87" s="8">
        <v>0</v>
      </c>
      <c r="AE87" s="8">
        <v>0</v>
      </c>
      <c r="AF87" s="8" t="s">
        <v>153</v>
      </c>
      <c r="AG87" s="8">
        <v>0</v>
      </c>
      <c r="AH87"/>
    </row>
    <row r="88" spans="1:34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18"/>
      <c r="J88" s="2"/>
      <c r="K88" s="2"/>
      <c r="L88" s="2"/>
      <c r="M88" s="2"/>
      <c r="N88" s="2"/>
      <c r="O88" s="8">
        <f t="shared" si="7"/>
        <v>0</v>
      </c>
      <c r="P88" s="18"/>
      <c r="Q88" s="2"/>
      <c r="R88" s="18"/>
      <c r="S88" s="18"/>
      <c r="T88" s="18"/>
      <c r="U88" s="18"/>
      <c r="V88" s="18"/>
      <c r="W88" s="18"/>
      <c r="X88" s="82"/>
      <c r="Y88" s="18"/>
      <c r="Z88" s="18"/>
      <c r="AA88" s="18"/>
      <c r="AB88" s="2"/>
      <c r="AC88" s="7">
        <f t="shared" si="8"/>
        <v>0</v>
      </c>
      <c r="AD88" s="8">
        <v>0</v>
      </c>
      <c r="AE88" s="8">
        <v>0</v>
      </c>
      <c r="AF88" s="8" t="s">
        <v>153</v>
      </c>
      <c r="AG88" s="8">
        <v>0</v>
      </c>
      <c r="AH88"/>
    </row>
    <row r="89" spans="1:34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18"/>
      <c r="J89" s="2"/>
      <c r="K89" s="2"/>
      <c r="L89" s="2"/>
      <c r="M89" s="2"/>
      <c r="N89" s="2"/>
      <c r="O89" s="8">
        <f t="shared" si="7"/>
        <v>0</v>
      </c>
      <c r="P89" s="18"/>
      <c r="Q89" s="2"/>
      <c r="R89" s="18"/>
      <c r="S89" s="18"/>
      <c r="T89" s="18"/>
      <c r="U89" s="18"/>
      <c r="V89" s="18"/>
      <c r="W89" s="18"/>
      <c r="X89" s="82"/>
      <c r="Y89" s="18"/>
      <c r="Z89" s="18"/>
      <c r="AA89" s="18"/>
      <c r="AB89" s="2"/>
      <c r="AC89" s="7">
        <f t="shared" si="8"/>
        <v>0</v>
      </c>
      <c r="AD89" s="8">
        <v>0</v>
      </c>
      <c r="AE89" s="8">
        <v>0</v>
      </c>
      <c r="AF89" s="8" t="s">
        <v>153</v>
      </c>
      <c r="AG89" s="8">
        <v>0</v>
      </c>
      <c r="AH89"/>
    </row>
    <row r="90" spans="1:34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18"/>
      <c r="J90" s="2"/>
      <c r="K90" s="2"/>
      <c r="L90" s="2"/>
      <c r="M90" s="2"/>
      <c r="N90" s="2"/>
      <c r="O90" s="8">
        <f t="shared" si="7"/>
        <v>0</v>
      </c>
      <c r="P90" s="18"/>
      <c r="Q90" s="2"/>
      <c r="R90" s="18"/>
      <c r="S90" s="18"/>
      <c r="T90" s="18"/>
      <c r="U90" s="18"/>
      <c r="V90" s="18"/>
      <c r="W90" s="18"/>
      <c r="X90" s="82"/>
      <c r="Y90" s="18"/>
      <c r="Z90" s="18"/>
      <c r="AA90" s="18"/>
      <c r="AB90" s="2"/>
      <c r="AC90" s="7">
        <f t="shared" si="8"/>
        <v>0</v>
      </c>
      <c r="AD90" s="8">
        <v>0</v>
      </c>
      <c r="AE90" s="8">
        <v>0</v>
      </c>
      <c r="AF90" s="8" t="s">
        <v>153</v>
      </c>
      <c r="AG90" s="8">
        <v>0</v>
      </c>
      <c r="AH90"/>
    </row>
    <row r="91" spans="1:34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18"/>
      <c r="J91" s="2"/>
      <c r="K91" s="2"/>
      <c r="L91" s="2"/>
      <c r="M91" s="2"/>
      <c r="N91" s="2"/>
      <c r="O91" s="8">
        <f t="shared" si="7"/>
        <v>-89</v>
      </c>
      <c r="P91" s="18"/>
      <c r="Q91" s="2"/>
      <c r="R91" s="18"/>
      <c r="S91" s="18"/>
      <c r="T91" s="18"/>
      <c r="U91" s="18"/>
      <c r="V91" s="18">
        <v>89</v>
      </c>
      <c r="W91" s="18"/>
      <c r="X91" s="82"/>
      <c r="Y91" s="18"/>
      <c r="Z91" s="18"/>
      <c r="AA91" s="18"/>
      <c r="AB91" s="2"/>
      <c r="AC91" s="7">
        <f t="shared" si="8"/>
        <v>0</v>
      </c>
      <c r="AD91" s="8" t="s">
        <v>147</v>
      </c>
      <c r="AE91" s="8">
        <v>100</v>
      </c>
      <c r="AF91" s="8" t="s">
        <v>153</v>
      </c>
      <c r="AG91" s="8">
        <f t="shared" ref="AG91:AG122" si="9">+SUM(I91:N91)/AE91</f>
        <v>0</v>
      </c>
      <c r="AH91"/>
    </row>
    <row r="92" spans="1:34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18"/>
      <c r="J92" s="2"/>
      <c r="K92" s="2"/>
      <c r="L92" s="2"/>
      <c r="M92" s="2"/>
      <c r="N92" s="2"/>
      <c r="O92" s="8">
        <f t="shared" si="7"/>
        <v>0</v>
      </c>
      <c r="P92" s="18"/>
      <c r="Q92" s="2"/>
      <c r="R92" s="18"/>
      <c r="S92" s="18"/>
      <c r="T92" s="18"/>
      <c r="U92" s="18"/>
      <c r="V92" s="18"/>
      <c r="W92" s="18"/>
      <c r="X92" s="82"/>
      <c r="Y92" s="18"/>
      <c r="Z92" s="18"/>
      <c r="AA92" s="18"/>
      <c r="AB92" s="2"/>
      <c r="AC92" s="7">
        <f t="shared" si="8"/>
        <v>0</v>
      </c>
      <c r="AD92" s="8" t="s">
        <v>147</v>
      </c>
      <c r="AE92" s="8">
        <v>200</v>
      </c>
      <c r="AF92" s="8" t="s">
        <v>153</v>
      </c>
      <c r="AG92" s="8">
        <f t="shared" si="9"/>
        <v>0</v>
      </c>
      <c r="AH92"/>
    </row>
    <row r="93" spans="1:34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18"/>
      <c r="J93" s="2" t="e">
        <f>VLOOKUP(D93,[2]Hoja1!$A$2:$G$20,7,0)</f>
        <v>#N/A</v>
      </c>
      <c r="K93" s="2"/>
      <c r="L93" s="2"/>
      <c r="M93" s="2"/>
      <c r="N93" s="2"/>
      <c r="O93" s="8" t="e">
        <f t="shared" si="7"/>
        <v>#N/A</v>
      </c>
      <c r="P93" s="18"/>
      <c r="Q93" s="2"/>
      <c r="R93" s="18"/>
      <c r="S93" s="18"/>
      <c r="T93" s="18"/>
      <c r="U93" s="18"/>
      <c r="V93" s="18">
        <v>128</v>
      </c>
      <c r="W93" s="18"/>
      <c r="X93" s="82"/>
      <c r="Y93" s="18"/>
      <c r="Z93" s="18"/>
      <c r="AA93" s="18"/>
      <c r="AB93" s="2"/>
      <c r="AC93" s="7" t="e">
        <f t="shared" si="8"/>
        <v>#N/A</v>
      </c>
      <c r="AD93" s="8" t="s">
        <v>147</v>
      </c>
      <c r="AE93" s="8">
        <v>200</v>
      </c>
      <c r="AF93" s="8" t="s">
        <v>153</v>
      </c>
      <c r="AG93" s="8" t="e">
        <f t="shared" si="9"/>
        <v>#N/A</v>
      </c>
      <c r="AH93"/>
    </row>
    <row r="94" spans="1:34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18">
        <f>VLOOKUP(D94,'[1]PROGRAMA S33 FALCON'!$B$3:$J$10,2,0)</f>
        <v>800</v>
      </c>
      <c r="J94" s="2" t="e">
        <f>VLOOKUP(D94,[2]Hoja1!$A$2:$G$20,7,0)</f>
        <v>#N/A</v>
      </c>
      <c r="K94" s="2"/>
      <c r="L94" s="2"/>
      <c r="M94" s="2"/>
      <c r="N94" s="2"/>
      <c r="O94" s="8" t="e">
        <f t="shared" si="7"/>
        <v>#N/A</v>
      </c>
      <c r="P94" s="18">
        <v>221</v>
      </c>
      <c r="Q94" s="2">
        <v>400</v>
      </c>
      <c r="R94" s="18">
        <v>400</v>
      </c>
      <c r="S94" s="18"/>
      <c r="T94" s="18"/>
      <c r="U94" s="18"/>
      <c r="V94" s="18">
        <v>145</v>
      </c>
      <c r="W94" s="18"/>
      <c r="X94" s="82"/>
      <c r="Y94" s="18"/>
      <c r="Z94" s="18"/>
      <c r="AA94" s="18"/>
      <c r="AB94" s="2"/>
      <c r="AC94" s="7" t="e">
        <f t="shared" si="8"/>
        <v>#N/A</v>
      </c>
      <c r="AD94" s="8" t="s">
        <v>147</v>
      </c>
      <c r="AE94" s="8">
        <v>200</v>
      </c>
      <c r="AF94" s="8" t="s">
        <v>153</v>
      </c>
      <c r="AG94" s="8" t="e">
        <f t="shared" si="9"/>
        <v>#N/A</v>
      </c>
      <c r="AH94"/>
    </row>
    <row r="95" spans="1:34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18">
        <f>VLOOKUP(D95,'[1]PROGRAMA S33 FALCON'!$B$3:$J$10,2,0)</f>
        <v>400</v>
      </c>
      <c r="J95" s="2"/>
      <c r="K95" s="2"/>
      <c r="L95" s="2"/>
      <c r="M95" s="2"/>
      <c r="N95" s="2"/>
      <c r="O95" s="8">
        <f t="shared" si="7"/>
        <v>400</v>
      </c>
      <c r="P95" s="18"/>
      <c r="Q95" s="2"/>
      <c r="R95" s="18"/>
      <c r="S95" s="18"/>
      <c r="T95" s="18"/>
      <c r="U95" s="18"/>
      <c r="V95" s="18"/>
      <c r="W95" s="18"/>
      <c r="X95" s="82"/>
      <c r="Y95" s="18"/>
      <c r="Z95" s="18"/>
      <c r="AA95" s="18"/>
      <c r="AB95" s="2"/>
      <c r="AC95" s="7">
        <f t="shared" si="8"/>
        <v>0</v>
      </c>
      <c r="AD95" s="8" t="s">
        <v>147</v>
      </c>
      <c r="AE95" s="8">
        <v>200</v>
      </c>
      <c r="AF95" s="8" t="s">
        <v>153</v>
      </c>
      <c r="AG95" s="8">
        <f t="shared" si="9"/>
        <v>2</v>
      </c>
      <c r="AH95"/>
    </row>
    <row r="96" spans="1:34" x14ac:dyDescent="0.25">
      <c r="A96" s="2">
        <v>91</v>
      </c>
      <c r="B96" s="2" t="s">
        <v>128</v>
      </c>
      <c r="C96" s="2" t="s">
        <v>129</v>
      </c>
      <c r="D96" s="2" t="s">
        <v>115</v>
      </c>
      <c r="E96" s="13">
        <v>0.5</v>
      </c>
      <c r="F96" s="2"/>
      <c r="G96" s="3"/>
      <c r="H96" s="3"/>
      <c r="I96" s="18"/>
      <c r="J96" s="2" t="e">
        <f>VLOOKUP(D96,[2]Hoja1!$A$2:$G$20,7,0)</f>
        <v>#N/A</v>
      </c>
      <c r="K96" s="2"/>
      <c r="L96" s="2"/>
      <c r="M96" s="2"/>
      <c r="N96" s="2"/>
      <c r="O96" s="8" t="e">
        <f t="shared" si="7"/>
        <v>#N/A</v>
      </c>
      <c r="P96" s="18"/>
      <c r="Q96" s="2"/>
      <c r="R96" s="18"/>
      <c r="S96" s="18"/>
      <c r="T96" s="18"/>
      <c r="U96" s="18"/>
      <c r="V96" s="18"/>
      <c r="W96" s="18">
        <v>48</v>
      </c>
      <c r="X96" s="82"/>
      <c r="Y96" s="18"/>
      <c r="Z96" s="18"/>
      <c r="AA96" s="18"/>
      <c r="AB96" s="2"/>
      <c r="AC96" s="7" t="e">
        <f t="shared" si="8"/>
        <v>#N/A</v>
      </c>
      <c r="AD96" s="8" t="s">
        <v>147</v>
      </c>
      <c r="AE96" s="8">
        <v>200</v>
      </c>
      <c r="AF96" s="8" t="s">
        <v>153</v>
      </c>
      <c r="AG96" s="8" t="e">
        <f t="shared" si="9"/>
        <v>#N/A</v>
      </c>
      <c r="AH96"/>
    </row>
    <row r="97" spans="1:34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18"/>
      <c r="J97" s="2" t="e">
        <f>VLOOKUP(D97,[2]Hoja1!$A$2:$G$20,7,0)</f>
        <v>#N/A</v>
      </c>
      <c r="K97" s="2"/>
      <c r="L97" s="2"/>
      <c r="M97" s="2"/>
      <c r="N97" s="2"/>
      <c r="O97" s="8" t="e">
        <f t="shared" si="7"/>
        <v>#N/A</v>
      </c>
      <c r="P97" s="18"/>
      <c r="Q97" s="2"/>
      <c r="R97" s="18"/>
      <c r="S97" s="18"/>
      <c r="T97" s="18"/>
      <c r="U97" s="18"/>
      <c r="V97" s="18">
        <v>99</v>
      </c>
      <c r="W97" s="18"/>
      <c r="X97" s="82"/>
      <c r="Y97" s="18"/>
      <c r="Z97" s="18"/>
      <c r="AA97" s="18"/>
      <c r="AB97" s="2"/>
      <c r="AC97" s="7" t="e">
        <f t="shared" si="8"/>
        <v>#N/A</v>
      </c>
      <c r="AD97" s="8" t="s">
        <v>147</v>
      </c>
      <c r="AE97" s="8">
        <v>200</v>
      </c>
      <c r="AF97" s="8" t="s">
        <v>153</v>
      </c>
      <c r="AG97" s="8" t="e">
        <f t="shared" si="9"/>
        <v>#N/A</v>
      </c>
      <c r="AH97"/>
    </row>
    <row r="98" spans="1:34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18"/>
      <c r="J98" s="2"/>
      <c r="K98" s="2"/>
      <c r="L98" s="2"/>
      <c r="M98" s="2"/>
      <c r="N98" s="2"/>
      <c r="O98" s="8">
        <f t="shared" si="7"/>
        <v>0</v>
      </c>
      <c r="P98" s="18"/>
      <c r="Q98" s="2"/>
      <c r="R98" s="18"/>
      <c r="S98" s="18"/>
      <c r="T98" s="18"/>
      <c r="U98" s="18"/>
      <c r="V98" s="18"/>
      <c r="W98" s="18"/>
      <c r="X98" s="82"/>
      <c r="Y98" s="18"/>
      <c r="Z98" s="18"/>
      <c r="AA98" s="18"/>
      <c r="AB98" s="2"/>
      <c r="AC98" s="7">
        <f t="shared" si="8"/>
        <v>0</v>
      </c>
      <c r="AD98" s="8" t="s">
        <v>147</v>
      </c>
      <c r="AE98" s="8">
        <v>150</v>
      </c>
      <c r="AF98" s="8" t="s">
        <v>153</v>
      </c>
      <c r="AG98" s="8">
        <f t="shared" si="9"/>
        <v>0</v>
      </c>
    </row>
    <row r="99" spans="1:34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18"/>
      <c r="J99" s="2"/>
      <c r="K99" s="2"/>
      <c r="L99" s="2"/>
      <c r="M99" s="2"/>
      <c r="N99" s="2"/>
      <c r="O99" s="8">
        <f t="shared" si="7"/>
        <v>0</v>
      </c>
      <c r="P99" s="18"/>
      <c r="Q99" s="18"/>
      <c r="R99" s="18"/>
      <c r="S99" s="18"/>
      <c r="T99" s="18"/>
      <c r="U99" s="18"/>
      <c r="V99" s="18"/>
      <c r="W99" s="18"/>
      <c r="X99" s="82"/>
      <c r="Y99" s="18"/>
      <c r="Z99" s="18"/>
      <c r="AA99" s="18"/>
      <c r="AB99" s="2"/>
      <c r="AC99" s="7">
        <f t="shared" si="8"/>
        <v>0</v>
      </c>
      <c r="AD99" s="8" t="s">
        <v>147</v>
      </c>
      <c r="AE99" s="8">
        <v>150</v>
      </c>
      <c r="AF99" s="8" t="s">
        <v>153</v>
      </c>
      <c r="AG99" s="8">
        <f t="shared" si="9"/>
        <v>0</v>
      </c>
    </row>
    <row r="100" spans="1:34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18">
        <f>VLOOKUP(D100,'[1]PROGRAMA S33 FALCON'!$B$3:$J$10,2,0)</f>
        <v>300</v>
      </c>
      <c r="J100" s="2"/>
      <c r="K100" s="2"/>
      <c r="L100" s="2"/>
      <c r="M100" s="2"/>
      <c r="N100" s="2"/>
      <c r="O100" s="8">
        <f t="shared" si="7"/>
        <v>0</v>
      </c>
      <c r="P100" s="18"/>
      <c r="Q100" s="18"/>
      <c r="R100" s="18">
        <v>300</v>
      </c>
      <c r="S100" s="18"/>
      <c r="T100" s="2"/>
      <c r="U100" s="18"/>
      <c r="V100" s="18"/>
      <c r="W100" s="18"/>
      <c r="X100" s="82"/>
      <c r="Y100" s="18"/>
      <c r="Z100" s="18"/>
      <c r="AA100" s="18"/>
      <c r="AB100" s="2"/>
      <c r="AC100" s="7">
        <f t="shared" si="8"/>
        <v>0</v>
      </c>
      <c r="AD100" s="8" t="s">
        <v>147</v>
      </c>
      <c r="AE100" s="8">
        <v>150</v>
      </c>
      <c r="AF100" s="8" t="s">
        <v>153</v>
      </c>
      <c r="AG100" s="8">
        <f t="shared" si="9"/>
        <v>2</v>
      </c>
    </row>
    <row r="101" spans="1:34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18">
        <f>VLOOKUP(D101,'[1]PROGRAMA S33 FALCON'!$B$3:$J$10,2,0)</f>
        <v>150</v>
      </c>
      <c r="J101" s="2"/>
      <c r="K101" s="2"/>
      <c r="L101" s="2"/>
      <c r="M101" s="2"/>
      <c r="N101" s="2"/>
      <c r="O101" s="8">
        <f t="shared" si="7"/>
        <v>0</v>
      </c>
      <c r="P101" s="18">
        <v>150</v>
      </c>
      <c r="Q101" s="18"/>
      <c r="R101" s="18"/>
      <c r="S101" s="18"/>
      <c r="T101" s="2"/>
      <c r="U101" s="18"/>
      <c r="V101" s="18"/>
      <c r="W101" s="18"/>
      <c r="X101" s="82"/>
      <c r="Y101" s="18"/>
      <c r="Z101" s="18"/>
      <c r="AA101" s="18"/>
      <c r="AB101" s="2"/>
      <c r="AC101" s="7">
        <f t="shared" si="8"/>
        <v>0</v>
      </c>
      <c r="AD101" s="8" t="s">
        <v>147</v>
      </c>
      <c r="AE101" s="8">
        <v>150</v>
      </c>
      <c r="AF101" s="8" t="s">
        <v>153</v>
      </c>
      <c r="AG101" s="8">
        <f t="shared" si="9"/>
        <v>1</v>
      </c>
    </row>
    <row r="102" spans="1:34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18"/>
      <c r="J102" s="2" t="e">
        <f>VLOOKUP(D102,[2]Hoja1!$A$2:$G$20,7,0)</f>
        <v>#N/A</v>
      </c>
      <c r="K102" s="2"/>
      <c r="L102" s="2"/>
      <c r="M102" s="2"/>
      <c r="N102" s="2"/>
      <c r="O102" s="8" t="e">
        <f t="shared" ref="O102:O133" si="10">+I102+J102+K102+L102+M102+N102-SUM(P102:AB102)</f>
        <v>#N/A</v>
      </c>
      <c r="P102" s="18"/>
      <c r="Q102" s="18"/>
      <c r="R102" s="18">
        <v>800</v>
      </c>
      <c r="S102" s="18"/>
      <c r="T102" s="18"/>
      <c r="U102" s="18"/>
      <c r="V102" s="18"/>
      <c r="W102" s="18"/>
      <c r="X102" s="82"/>
      <c r="Y102" s="18"/>
      <c r="Z102" s="18"/>
      <c r="AA102" s="18"/>
      <c r="AB102" s="2"/>
      <c r="AC102" s="7" t="e">
        <f t="shared" ref="AC102:AC133" si="11">+G102*SUM(I102:N102)</f>
        <v>#N/A</v>
      </c>
      <c r="AD102" s="8" t="s">
        <v>147</v>
      </c>
      <c r="AE102" s="8">
        <v>80</v>
      </c>
      <c r="AF102" s="8" t="s">
        <v>153</v>
      </c>
      <c r="AG102" s="8" t="e">
        <f t="shared" si="9"/>
        <v>#N/A</v>
      </c>
    </row>
    <row r="103" spans="1:34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18">
        <f>VLOOKUP(D103,'[1]PROGRAMA S33 FALCON'!$B$3:$J$10,2,0)</f>
        <v>880</v>
      </c>
      <c r="J103" s="2" t="e">
        <f>VLOOKUP(D103,[2]Hoja1!$A$2:$G$20,7,0)</f>
        <v>#N/A</v>
      </c>
      <c r="K103" s="2"/>
      <c r="L103" s="2"/>
      <c r="M103" s="2"/>
      <c r="N103" s="2"/>
      <c r="O103" s="8" t="e">
        <f t="shared" si="10"/>
        <v>#N/A</v>
      </c>
      <c r="P103" s="18"/>
      <c r="Q103" s="18"/>
      <c r="R103" s="18"/>
      <c r="S103" s="18">
        <v>320</v>
      </c>
      <c r="T103" s="18"/>
      <c r="U103" s="18">
        <v>720</v>
      </c>
      <c r="V103" s="18"/>
      <c r="W103" s="18">
        <v>59</v>
      </c>
      <c r="X103" s="82"/>
      <c r="Y103" s="18"/>
      <c r="Z103" s="18"/>
      <c r="AA103" s="18"/>
      <c r="AB103" s="2"/>
      <c r="AC103" s="7" t="e">
        <f t="shared" si="11"/>
        <v>#N/A</v>
      </c>
      <c r="AD103" s="8" t="s">
        <v>147</v>
      </c>
      <c r="AE103" s="8">
        <v>80</v>
      </c>
      <c r="AF103" s="8" t="s">
        <v>153</v>
      </c>
      <c r="AG103" s="8" t="e">
        <f t="shared" si="9"/>
        <v>#N/A</v>
      </c>
    </row>
    <row r="104" spans="1:34" x14ac:dyDescent="0.25">
      <c r="A104" s="2">
        <v>99</v>
      </c>
      <c r="B104" s="2" t="s">
        <v>128</v>
      </c>
      <c r="C104" s="2" t="s">
        <v>129</v>
      </c>
      <c r="D104" s="2" t="s">
        <v>123</v>
      </c>
      <c r="E104" s="13">
        <v>0.75</v>
      </c>
      <c r="F104" s="2"/>
      <c r="G104" s="3"/>
      <c r="H104" s="3"/>
      <c r="I104" s="18"/>
      <c r="J104" s="2"/>
      <c r="K104" s="2"/>
      <c r="L104" s="2"/>
      <c r="M104" s="2"/>
      <c r="N104" s="2"/>
      <c r="O104" s="8">
        <f t="shared" si="10"/>
        <v>0</v>
      </c>
      <c r="P104" s="18"/>
      <c r="Q104" s="18"/>
      <c r="R104" s="18"/>
      <c r="S104" s="18"/>
      <c r="T104" s="2"/>
      <c r="U104" s="18"/>
      <c r="V104" s="18"/>
      <c r="W104" s="18"/>
      <c r="X104" s="82"/>
      <c r="Y104" s="18"/>
      <c r="Z104" s="18"/>
      <c r="AA104" s="18"/>
      <c r="AB104" s="2"/>
      <c r="AC104" s="7">
        <f t="shared" si="11"/>
        <v>0</v>
      </c>
      <c r="AD104" s="8" t="s">
        <v>147</v>
      </c>
      <c r="AE104" s="8">
        <v>80</v>
      </c>
      <c r="AF104" s="8" t="s">
        <v>153</v>
      </c>
      <c r="AG104" s="8">
        <f t="shared" si="9"/>
        <v>0</v>
      </c>
    </row>
    <row r="105" spans="1:34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18"/>
      <c r="J105" s="2" t="e">
        <f>VLOOKUP(D105,[2]Hoja1!$A$2:$G$20,7,0)</f>
        <v>#N/A</v>
      </c>
      <c r="K105" s="2"/>
      <c r="L105" s="2"/>
      <c r="M105" s="2"/>
      <c r="N105" s="2"/>
      <c r="O105" s="8" t="e">
        <f t="shared" si="10"/>
        <v>#N/A</v>
      </c>
      <c r="P105" s="18"/>
      <c r="Q105" s="18"/>
      <c r="R105" s="18"/>
      <c r="S105" s="18"/>
      <c r="T105" s="18"/>
      <c r="U105" s="18"/>
      <c r="V105" s="18"/>
      <c r="W105" s="18"/>
      <c r="X105" s="82"/>
      <c r="Y105" s="18"/>
      <c r="Z105" s="18"/>
      <c r="AA105" s="18"/>
      <c r="AB105" s="2"/>
      <c r="AC105" s="7" t="e">
        <f t="shared" si="11"/>
        <v>#N/A</v>
      </c>
      <c r="AD105" s="8" t="s">
        <v>147</v>
      </c>
      <c r="AE105" s="8">
        <v>80</v>
      </c>
      <c r="AF105" s="8" t="s">
        <v>153</v>
      </c>
      <c r="AG105" s="8" t="e">
        <f t="shared" si="9"/>
        <v>#N/A</v>
      </c>
    </row>
    <row r="106" spans="1:34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18"/>
      <c r="J106" s="2"/>
      <c r="K106" s="2"/>
      <c r="L106" s="2"/>
      <c r="M106" s="2"/>
      <c r="N106" s="2"/>
      <c r="O106" s="8">
        <f t="shared" si="10"/>
        <v>0</v>
      </c>
      <c r="P106" s="18"/>
      <c r="Q106" s="18"/>
      <c r="R106" s="18"/>
      <c r="S106" s="18"/>
      <c r="T106" s="18"/>
      <c r="U106" s="18"/>
      <c r="V106" s="18"/>
      <c r="W106" s="18"/>
      <c r="X106" s="82"/>
      <c r="Y106" s="18"/>
      <c r="Z106" s="18"/>
      <c r="AA106" s="18"/>
      <c r="AB106" s="2"/>
      <c r="AC106" s="7">
        <f t="shared" si="11"/>
        <v>0</v>
      </c>
      <c r="AD106" s="8" t="s">
        <v>147</v>
      </c>
      <c r="AE106" s="8">
        <v>50</v>
      </c>
      <c r="AF106" s="8" t="s">
        <v>153</v>
      </c>
      <c r="AG106" s="8">
        <f t="shared" si="9"/>
        <v>0</v>
      </c>
    </row>
    <row r="107" spans="1:34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18">
        <f>VLOOKUP(D107,'[1]PROGRAMA S33 FALCON'!$B$3:$J$10,2,0)</f>
        <v>450</v>
      </c>
      <c r="J107" s="2" t="e">
        <f>VLOOKUP(D107,[2]Hoja1!$A$2:$G$20,7,0)</f>
        <v>#N/A</v>
      </c>
      <c r="K107" s="2"/>
      <c r="L107" s="2"/>
      <c r="M107" s="2"/>
      <c r="N107" s="2"/>
      <c r="O107" s="8" t="e">
        <f t="shared" si="10"/>
        <v>#N/A</v>
      </c>
      <c r="P107" s="18"/>
      <c r="Q107" s="18"/>
      <c r="R107" s="18"/>
      <c r="S107" s="18"/>
      <c r="T107" s="18"/>
      <c r="U107" s="18"/>
      <c r="V107" s="18"/>
      <c r="W107" s="18"/>
      <c r="X107" s="82"/>
      <c r="Y107" s="18"/>
      <c r="Z107" s="18"/>
      <c r="AA107" s="18"/>
      <c r="AB107" s="2"/>
      <c r="AC107" s="7" t="e">
        <f t="shared" si="11"/>
        <v>#N/A</v>
      </c>
      <c r="AD107" s="8" t="s">
        <v>155</v>
      </c>
      <c r="AE107" s="8">
        <v>50</v>
      </c>
      <c r="AF107" s="8" t="s">
        <v>153</v>
      </c>
      <c r="AG107" s="8" t="e">
        <f t="shared" si="9"/>
        <v>#N/A</v>
      </c>
    </row>
    <row r="108" spans="1:34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18"/>
      <c r="J108" s="2" t="e">
        <f>VLOOKUP(D108,[2]Hoja1!$A$2:$G$20,7,0)</f>
        <v>#N/A</v>
      </c>
      <c r="K108" s="2"/>
      <c r="L108" s="2"/>
      <c r="M108" s="2"/>
      <c r="N108" s="2"/>
      <c r="O108" s="8" t="e">
        <f t="shared" si="10"/>
        <v>#N/A</v>
      </c>
      <c r="P108" s="18"/>
      <c r="Q108" s="18"/>
      <c r="R108" s="18"/>
      <c r="S108" s="18"/>
      <c r="T108" s="18">
        <v>104</v>
      </c>
      <c r="U108" s="18"/>
      <c r="V108" s="18"/>
      <c r="W108" s="18"/>
      <c r="X108" s="82"/>
      <c r="Y108" s="18"/>
      <c r="Z108" s="18"/>
      <c r="AA108" s="18"/>
      <c r="AB108" s="2"/>
      <c r="AC108" s="7" t="e">
        <f t="shared" si="11"/>
        <v>#N/A</v>
      </c>
      <c r="AD108" s="8" t="s">
        <v>155</v>
      </c>
      <c r="AE108" s="8">
        <v>50</v>
      </c>
      <c r="AF108" s="8" t="s">
        <v>153</v>
      </c>
      <c r="AG108" s="8" t="e">
        <f t="shared" si="9"/>
        <v>#N/A</v>
      </c>
    </row>
    <row r="109" spans="1:34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2">
        <v>3640</v>
      </c>
      <c r="J109" s="2" t="e">
        <f>VLOOKUP(D109,[2]Hoja1!$A$2:$G$20,7,0)</f>
        <v>#N/A</v>
      </c>
      <c r="K109" s="2"/>
      <c r="L109" s="2"/>
      <c r="M109" s="2"/>
      <c r="N109" s="2"/>
      <c r="O109" s="8" t="e">
        <f t="shared" si="10"/>
        <v>#N/A</v>
      </c>
      <c r="P109" s="18">
        <v>1400</v>
      </c>
      <c r="Q109" s="18">
        <v>2240</v>
      </c>
      <c r="R109" s="18"/>
      <c r="S109" s="18"/>
      <c r="T109" s="18"/>
      <c r="U109" s="18"/>
      <c r="V109" s="18"/>
      <c r="W109" s="18"/>
      <c r="X109" s="82"/>
      <c r="Y109" s="18"/>
      <c r="Z109" s="18"/>
      <c r="AA109" s="18"/>
      <c r="AB109" s="2"/>
      <c r="AC109" s="7" t="e">
        <f t="shared" si="11"/>
        <v>#N/A</v>
      </c>
      <c r="AD109" s="8" t="s">
        <v>148</v>
      </c>
      <c r="AE109" s="8">
        <v>250</v>
      </c>
      <c r="AF109" s="8" t="s">
        <v>154</v>
      </c>
      <c r="AG109" s="8" t="e">
        <f t="shared" si="9"/>
        <v>#N/A</v>
      </c>
    </row>
    <row r="110" spans="1:34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2">
        <v>2240</v>
      </c>
      <c r="J110" s="2"/>
      <c r="K110" s="2"/>
      <c r="L110" s="2"/>
      <c r="M110" s="2"/>
      <c r="N110" s="2"/>
      <c r="O110" s="8">
        <f t="shared" si="10"/>
        <v>20</v>
      </c>
      <c r="P110" s="18">
        <v>1120</v>
      </c>
      <c r="Q110" s="18"/>
      <c r="R110" s="18"/>
      <c r="S110" s="18"/>
      <c r="T110" s="18"/>
      <c r="U110" s="18">
        <v>1100</v>
      </c>
      <c r="V110" s="18"/>
      <c r="W110" s="18"/>
      <c r="X110" s="82"/>
      <c r="Y110" s="18"/>
      <c r="Z110" s="18"/>
      <c r="AA110" s="18"/>
      <c r="AB110" s="2"/>
      <c r="AC110" s="7">
        <f t="shared" si="11"/>
        <v>0</v>
      </c>
      <c r="AD110" s="8" t="s">
        <v>148</v>
      </c>
      <c r="AE110" s="8">
        <v>250</v>
      </c>
      <c r="AF110" s="8" t="s">
        <v>154</v>
      </c>
      <c r="AG110" s="8">
        <f t="shared" si="9"/>
        <v>8.9600000000000009</v>
      </c>
    </row>
    <row r="111" spans="1:34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2"/>
      <c r="J111" s="2"/>
      <c r="K111" s="2"/>
      <c r="L111" s="2"/>
      <c r="M111" s="2"/>
      <c r="N111" s="2"/>
      <c r="O111" s="8">
        <f t="shared" si="10"/>
        <v>0</v>
      </c>
      <c r="P111" s="18"/>
      <c r="Q111" s="18"/>
      <c r="R111" s="18"/>
      <c r="S111" s="18"/>
      <c r="T111" s="18"/>
      <c r="U111" s="18"/>
      <c r="V111" s="18"/>
      <c r="W111" s="18"/>
      <c r="X111" s="82"/>
      <c r="Y111" s="18"/>
      <c r="Z111" s="18"/>
      <c r="AA111" s="18"/>
      <c r="AB111" s="2"/>
      <c r="AC111" s="7">
        <f t="shared" si="11"/>
        <v>0</v>
      </c>
      <c r="AD111" s="8" t="s">
        <v>148</v>
      </c>
      <c r="AE111" s="8">
        <v>250</v>
      </c>
      <c r="AF111" s="8" t="s">
        <v>154</v>
      </c>
      <c r="AG111" s="8">
        <f t="shared" si="9"/>
        <v>0</v>
      </c>
    </row>
    <row r="112" spans="1:34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2">
        <v>704</v>
      </c>
      <c r="J112" s="2"/>
      <c r="K112" s="2"/>
      <c r="L112" s="2"/>
      <c r="M112" s="2"/>
      <c r="N112" s="2"/>
      <c r="O112" s="8">
        <f t="shared" si="10"/>
        <v>-155</v>
      </c>
      <c r="P112" s="18"/>
      <c r="Q112" s="18"/>
      <c r="R112" s="18"/>
      <c r="S112" s="18"/>
      <c r="T112" s="18">
        <v>640</v>
      </c>
      <c r="U112" s="18">
        <v>155</v>
      </c>
      <c r="V112" s="18">
        <v>64</v>
      </c>
      <c r="W112" s="18"/>
      <c r="X112" s="82"/>
      <c r="Y112" s="18"/>
      <c r="Z112" s="18"/>
      <c r="AA112" s="18"/>
      <c r="AB112" s="2"/>
      <c r="AC112" s="7">
        <f t="shared" si="11"/>
        <v>0</v>
      </c>
      <c r="AD112" s="8" t="s">
        <v>150</v>
      </c>
      <c r="AE112" s="8">
        <v>200</v>
      </c>
      <c r="AF112" s="8" t="s">
        <v>154</v>
      </c>
      <c r="AG112" s="8">
        <f t="shared" si="9"/>
        <v>3.52</v>
      </c>
    </row>
    <row r="113" spans="1:33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2">
        <v>108</v>
      </c>
      <c r="J113" s="2" t="e">
        <f>VLOOKUP(D113,[2]Hoja1!$A$2:$G$20,7,0)</f>
        <v>#N/A</v>
      </c>
      <c r="K113" s="2"/>
      <c r="L113" s="2"/>
      <c r="M113" s="2"/>
      <c r="N113" s="2"/>
      <c r="O113" s="8" t="e">
        <f t="shared" si="10"/>
        <v>#N/A</v>
      </c>
      <c r="P113" s="18"/>
      <c r="Q113" s="18"/>
      <c r="R113" s="18"/>
      <c r="S113" s="18"/>
      <c r="T113" s="18"/>
      <c r="U113" s="18"/>
      <c r="V113" s="18"/>
      <c r="W113" s="18"/>
      <c r="X113" s="82"/>
      <c r="Y113" s="18"/>
      <c r="Z113" s="18"/>
      <c r="AA113" s="18"/>
      <c r="AB113" s="2"/>
      <c r="AC113" s="7" t="e">
        <f t="shared" si="11"/>
        <v>#N/A</v>
      </c>
      <c r="AD113" s="8" t="s">
        <v>150</v>
      </c>
      <c r="AE113" s="8">
        <v>200</v>
      </c>
      <c r="AF113" s="8" t="s">
        <v>154</v>
      </c>
      <c r="AG113" s="8" t="e">
        <f t="shared" si="9"/>
        <v>#N/A</v>
      </c>
    </row>
    <row r="114" spans="1:33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2"/>
      <c r="J114" s="2" t="e">
        <f>VLOOKUP(D114,[2]Hoja1!$A$2:$G$20,7,0)</f>
        <v>#N/A</v>
      </c>
      <c r="K114" s="2"/>
      <c r="L114" s="2"/>
      <c r="M114" s="2"/>
      <c r="N114" s="2"/>
      <c r="O114" s="8" t="e">
        <f t="shared" si="10"/>
        <v>#N/A</v>
      </c>
      <c r="P114" s="18"/>
      <c r="Q114" s="18"/>
      <c r="R114" s="18"/>
      <c r="S114" s="18"/>
      <c r="T114" s="18"/>
      <c r="U114" s="18">
        <v>48</v>
      </c>
      <c r="V114" s="18"/>
      <c r="W114" s="18"/>
      <c r="X114" s="82"/>
      <c r="Y114" s="18"/>
      <c r="Z114" s="18"/>
      <c r="AA114" s="18"/>
      <c r="AB114" s="2"/>
      <c r="AC114" s="7" t="e">
        <f t="shared" si="11"/>
        <v>#N/A</v>
      </c>
      <c r="AD114" s="8" t="s">
        <v>150</v>
      </c>
      <c r="AE114" s="8">
        <v>200</v>
      </c>
      <c r="AF114" s="8" t="s">
        <v>154</v>
      </c>
      <c r="AG114" s="8" t="e">
        <f t="shared" si="9"/>
        <v>#N/A</v>
      </c>
    </row>
    <row r="115" spans="1:33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2">
        <v>1296</v>
      </c>
      <c r="J115" s="2"/>
      <c r="K115" s="2"/>
      <c r="L115" s="2"/>
      <c r="M115" s="2"/>
      <c r="N115" s="2"/>
      <c r="O115" s="8">
        <f t="shared" si="10"/>
        <v>287</v>
      </c>
      <c r="P115" s="18"/>
      <c r="Q115" s="18"/>
      <c r="R115" s="18">
        <v>288</v>
      </c>
      <c r="S115" s="18">
        <v>721</v>
      </c>
      <c r="T115" s="18"/>
      <c r="U115" s="18"/>
      <c r="V115" s="18"/>
      <c r="W115" s="18"/>
      <c r="X115" s="82"/>
      <c r="Y115" s="18"/>
      <c r="Z115" s="18"/>
      <c r="AA115" s="18"/>
      <c r="AB115" s="2"/>
      <c r="AC115" s="7">
        <f t="shared" si="11"/>
        <v>0</v>
      </c>
      <c r="AD115" s="8" t="s">
        <v>150</v>
      </c>
      <c r="AE115" s="8">
        <v>200</v>
      </c>
      <c r="AF115" s="8" t="s">
        <v>154</v>
      </c>
      <c r="AG115" s="8">
        <f t="shared" si="9"/>
        <v>6.48</v>
      </c>
    </row>
    <row r="116" spans="1:33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2"/>
      <c r="J116" s="2"/>
      <c r="K116" s="2"/>
      <c r="L116" s="2"/>
      <c r="M116" s="2"/>
      <c r="N116" s="2"/>
      <c r="O116" s="8">
        <f t="shared" si="10"/>
        <v>0</v>
      </c>
      <c r="P116" s="18"/>
      <c r="Q116" s="18"/>
      <c r="R116" s="18"/>
      <c r="S116" s="18"/>
      <c r="T116" s="2"/>
      <c r="U116" s="18"/>
      <c r="V116" s="18"/>
      <c r="W116" s="18"/>
      <c r="X116" s="82"/>
      <c r="Y116" s="18"/>
      <c r="Z116" s="18"/>
      <c r="AA116" s="18"/>
      <c r="AB116" s="2"/>
      <c r="AC116" s="7">
        <f t="shared" si="11"/>
        <v>0</v>
      </c>
      <c r="AD116" s="8" t="s">
        <v>150</v>
      </c>
      <c r="AE116" s="8">
        <v>200</v>
      </c>
      <c r="AF116" s="8" t="s">
        <v>154</v>
      </c>
      <c r="AG116" s="8">
        <f t="shared" si="9"/>
        <v>0</v>
      </c>
    </row>
    <row r="117" spans="1:33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2">
        <v>224</v>
      </c>
      <c r="J117" s="2" t="e">
        <f>VLOOKUP(D117,[2]Hoja1!$A$2:$G$20,7,0)</f>
        <v>#N/A</v>
      </c>
      <c r="K117" s="2"/>
      <c r="L117" s="2"/>
      <c r="M117" s="2"/>
      <c r="N117" s="2"/>
      <c r="O117" s="8" t="e">
        <f t="shared" si="10"/>
        <v>#N/A</v>
      </c>
      <c r="P117" s="18"/>
      <c r="Q117" s="18"/>
      <c r="R117" s="18"/>
      <c r="S117" s="18"/>
      <c r="T117" s="18"/>
      <c r="U117" s="18">
        <v>130</v>
      </c>
      <c r="V117" s="18">
        <v>196</v>
      </c>
      <c r="W117" s="18"/>
      <c r="X117" s="82"/>
      <c r="Y117" s="18"/>
      <c r="Z117" s="18"/>
      <c r="AA117" s="18"/>
      <c r="AB117" s="2"/>
      <c r="AC117" s="7" t="e">
        <f t="shared" si="11"/>
        <v>#N/A</v>
      </c>
      <c r="AD117" s="8" t="s">
        <v>150</v>
      </c>
      <c r="AE117" s="8">
        <v>200</v>
      </c>
      <c r="AF117" s="8" t="s">
        <v>154</v>
      </c>
      <c r="AG117" s="8" t="e">
        <f t="shared" si="9"/>
        <v>#N/A</v>
      </c>
    </row>
    <row r="118" spans="1:33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2">
        <v>1920</v>
      </c>
      <c r="J118" s="2" t="e">
        <f>VLOOKUP(D118,[2]Hoja1!$A$2:$G$20,7,0)</f>
        <v>#N/A</v>
      </c>
      <c r="K118" s="2"/>
      <c r="L118" s="2"/>
      <c r="M118" s="2"/>
      <c r="N118" s="2"/>
      <c r="O118" s="8" t="e">
        <f t="shared" si="10"/>
        <v>#N/A</v>
      </c>
      <c r="P118" s="18">
        <v>48</v>
      </c>
      <c r="Q118" s="18"/>
      <c r="R118" s="18"/>
      <c r="S118" s="18"/>
      <c r="T118" s="18"/>
      <c r="U118" s="18"/>
      <c r="V118" s="18">
        <v>288</v>
      </c>
      <c r="W118" s="18"/>
      <c r="X118" s="82"/>
      <c r="Y118" s="35">
        <v>312</v>
      </c>
      <c r="Z118" s="18"/>
      <c r="AA118" s="18"/>
      <c r="AB118" s="2"/>
      <c r="AC118" s="7" t="e">
        <f t="shared" si="11"/>
        <v>#N/A</v>
      </c>
      <c r="AD118" s="8" t="s">
        <v>150</v>
      </c>
      <c r="AE118" s="8">
        <v>200</v>
      </c>
      <c r="AF118" s="8" t="s">
        <v>154</v>
      </c>
      <c r="AG118" s="8" t="e">
        <f t="shared" si="9"/>
        <v>#N/A</v>
      </c>
    </row>
    <row r="119" spans="1:33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2">
        <v>192</v>
      </c>
      <c r="J119" s="2" t="e">
        <f>VLOOKUP(D119,[2]Hoja1!$A$2:$G$20,7,0)</f>
        <v>#N/A</v>
      </c>
      <c r="K119" s="2"/>
      <c r="L119" s="2"/>
      <c r="M119" s="2"/>
      <c r="N119" s="2"/>
      <c r="O119" s="8" t="e">
        <f t="shared" si="10"/>
        <v>#N/A</v>
      </c>
      <c r="P119" s="18"/>
      <c r="Q119" s="18"/>
      <c r="R119" s="18"/>
      <c r="S119" s="18"/>
      <c r="T119" s="18">
        <v>600</v>
      </c>
      <c r="U119" s="18"/>
      <c r="V119" s="18"/>
      <c r="W119" s="18"/>
      <c r="X119" s="82"/>
      <c r="Y119" s="18"/>
      <c r="Z119" s="18"/>
      <c r="AA119" s="18"/>
      <c r="AB119" s="2"/>
      <c r="AC119" s="7" t="e">
        <f t="shared" si="11"/>
        <v>#N/A</v>
      </c>
      <c r="AD119" s="8" t="s">
        <v>150</v>
      </c>
      <c r="AE119" s="8">
        <v>200</v>
      </c>
      <c r="AF119" s="8" t="s">
        <v>154</v>
      </c>
      <c r="AG119" s="8" t="e">
        <f t="shared" si="9"/>
        <v>#N/A</v>
      </c>
    </row>
    <row r="120" spans="1:33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2">
        <v>1170</v>
      </c>
      <c r="J120" s="2" t="e">
        <f>VLOOKUP(D120,[2]Hoja1!$A$2:$G$20,7,0)</f>
        <v>#N/A</v>
      </c>
      <c r="K120" s="2"/>
      <c r="L120" s="2"/>
      <c r="M120" s="2"/>
      <c r="N120" s="2"/>
      <c r="O120" s="8" t="e">
        <f t="shared" si="10"/>
        <v>#N/A</v>
      </c>
      <c r="P120" s="18"/>
      <c r="Q120" s="18">
        <v>390</v>
      </c>
      <c r="R120" s="18">
        <v>598</v>
      </c>
      <c r="S120" s="18">
        <v>484</v>
      </c>
      <c r="T120" s="18"/>
      <c r="U120" s="18"/>
      <c r="V120" s="18"/>
      <c r="W120" s="18"/>
      <c r="X120" s="82"/>
      <c r="Y120" s="18"/>
      <c r="Z120" s="18"/>
      <c r="AA120" s="18"/>
      <c r="AB120" s="2"/>
      <c r="AC120" s="7" t="e">
        <f t="shared" si="11"/>
        <v>#N/A</v>
      </c>
      <c r="AD120" s="8" t="s">
        <v>150</v>
      </c>
      <c r="AE120" s="8">
        <v>200</v>
      </c>
      <c r="AF120" s="8" t="s">
        <v>154</v>
      </c>
      <c r="AG120" s="8" t="e">
        <f t="shared" si="9"/>
        <v>#N/A</v>
      </c>
    </row>
    <row r="121" spans="1:33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2"/>
      <c r="J121" s="2"/>
      <c r="K121" s="2"/>
      <c r="L121" s="2"/>
      <c r="M121" s="2"/>
      <c r="N121" s="2"/>
      <c r="O121" s="8">
        <f t="shared" si="10"/>
        <v>0</v>
      </c>
      <c r="P121" s="18"/>
      <c r="Q121" s="18"/>
      <c r="R121" s="18"/>
      <c r="S121" s="18"/>
      <c r="T121" s="18"/>
      <c r="U121" s="18"/>
      <c r="V121" s="18"/>
      <c r="W121" s="18"/>
      <c r="X121" s="82"/>
      <c r="Y121" s="18"/>
      <c r="Z121" s="18"/>
      <c r="AA121" s="18"/>
      <c r="AB121" s="2"/>
      <c r="AC121" s="7">
        <f t="shared" si="11"/>
        <v>0</v>
      </c>
      <c r="AD121" s="8" t="s">
        <v>150</v>
      </c>
      <c r="AE121" s="8">
        <v>200</v>
      </c>
      <c r="AF121" s="8" t="s">
        <v>154</v>
      </c>
      <c r="AG121" s="8">
        <f t="shared" si="9"/>
        <v>0</v>
      </c>
    </row>
    <row r="122" spans="1:33" x14ac:dyDescent="0.25">
      <c r="A122" s="2">
        <v>117</v>
      </c>
      <c r="B122" s="2" t="s">
        <v>130</v>
      </c>
      <c r="C122" s="2" t="s">
        <v>0</v>
      </c>
      <c r="D122" s="2" t="s">
        <v>144</v>
      </c>
      <c r="E122" s="13">
        <v>0.875</v>
      </c>
      <c r="F122" s="2"/>
      <c r="G122" s="3"/>
      <c r="H122" s="3"/>
      <c r="I122" s="2"/>
      <c r="J122" s="2"/>
      <c r="K122" s="2"/>
      <c r="L122" s="2"/>
      <c r="M122" s="2"/>
      <c r="N122" s="2"/>
      <c r="O122" s="8">
        <f t="shared" si="10"/>
        <v>0</v>
      </c>
      <c r="P122" s="18"/>
      <c r="Q122" s="18"/>
      <c r="R122" s="18"/>
      <c r="S122" s="18"/>
      <c r="T122" s="18"/>
      <c r="U122" s="18"/>
      <c r="V122" s="18"/>
      <c r="W122" s="18"/>
      <c r="X122" s="82"/>
      <c r="Y122" s="18"/>
      <c r="Z122" s="18"/>
      <c r="AA122" s="18"/>
      <c r="AB122" s="2"/>
      <c r="AC122" s="7">
        <f t="shared" si="11"/>
        <v>0</v>
      </c>
      <c r="AD122" s="8" t="s">
        <v>150</v>
      </c>
      <c r="AE122" s="8">
        <v>200</v>
      </c>
      <c r="AF122" s="8" t="s">
        <v>154</v>
      </c>
      <c r="AG122" s="8">
        <f t="shared" si="9"/>
        <v>0</v>
      </c>
    </row>
    <row r="123" spans="1:33" x14ac:dyDescent="0.25">
      <c r="A123" s="2">
        <v>118</v>
      </c>
      <c r="B123" s="2" t="s">
        <v>188</v>
      </c>
      <c r="C123" s="2" t="s">
        <v>129</v>
      </c>
      <c r="D123" s="2" t="s">
        <v>160</v>
      </c>
      <c r="E123" s="13">
        <v>0.3125</v>
      </c>
      <c r="F123" s="2"/>
      <c r="G123" s="3"/>
      <c r="H123" s="3">
        <v>0.2</v>
      </c>
      <c r="I123" s="2"/>
      <c r="J123" s="2"/>
      <c r="K123" s="2"/>
      <c r="L123" s="2"/>
      <c r="M123" s="2"/>
      <c r="N123" s="2"/>
      <c r="O123" s="8">
        <f t="shared" si="10"/>
        <v>0</v>
      </c>
      <c r="P123" s="18"/>
      <c r="Q123" s="2"/>
      <c r="R123" s="18"/>
      <c r="S123" s="18"/>
      <c r="T123" s="18"/>
      <c r="U123" s="18"/>
      <c r="V123" s="18"/>
      <c r="W123" s="18"/>
      <c r="X123" s="82"/>
      <c r="Y123" s="18"/>
      <c r="Z123" s="18"/>
      <c r="AA123" s="18"/>
      <c r="AB123" s="2"/>
      <c r="AC123" s="7">
        <f t="shared" si="11"/>
        <v>0</v>
      </c>
      <c r="AD123" s="8" t="s">
        <v>148</v>
      </c>
      <c r="AE123" s="12">
        <v>500</v>
      </c>
      <c r="AF123" s="8" t="s">
        <v>189</v>
      </c>
      <c r="AG123" s="8">
        <f t="shared" ref="AG123:AG149" si="12">+SUM(I123:N123)/AE123</f>
        <v>0</v>
      </c>
    </row>
    <row r="124" spans="1:33" x14ac:dyDescent="0.25">
      <c r="A124" s="2">
        <v>119</v>
      </c>
      <c r="B124" s="2" t="s">
        <v>188</v>
      </c>
      <c r="C124" s="2" t="s">
        <v>129</v>
      </c>
      <c r="D124" s="2" t="s">
        <v>161</v>
      </c>
      <c r="E124" s="13">
        <v>0.3125</v>
      </c>
      <c r="F124" s="2"/>
      <c r="G124" s="3"/>
      <c r="H124" s="3">
        <v>0.2</v>
      </c>
      <c r="I124" s="2"/>
      <c r="J124" s="2" t="e">
        <f>VLOOKUP(D124,[2]Hoja1!$A$2:$G$20,7,0)</f>
        <v>#N/A</v>
      </c>
      <c r="K124" s="2"/>
      <c r="L124" s="2"/>
      <c r="M124" s="2"/>
      <c r="N124" s="2"/>
      <c r="O124" s="8" t="e">
        <f t="shared" si="10"/>
        <v>#N/A</v>
      </c>
      <c r="P124" s="18"/>
      <c r="Q124" s="2">
        <v>600</v>
      </c>
      <c r="R124" s="18"/>
      <c r="S124" s="18"/>
      <c r="T124" s="18"/>
      <c r="U124" s="18"/>
      <c r="V124" s="18"/>
      <c r="W124" s="18"/>
      <c r="X124" s="82"/>
      <c r="Y124" s="18"/>
      <c r="Z124" s="18"/>
      <c r="AA124" s="18"/>
      <c r="AB124" s="2"/>
      <c r="AC124" s="7" t="e">
        <f t="shared" si="11"/>
        <v>#N/A</v>
      </c>
      <c r="AD124" s="8" t="s">
        <v>148</v>
      </c>
      <c r="AE124" s="12">
        <v>500</v>
      </c>
      <c r="AF124" s="8" t="s">
        <v>189</v>
      </c>
      <c r="AG124" s="8" t="e">
        <f t="shared" si="12"/>
        <v>#N/A</v>
      </c>
    </row>
    <row r="125" spans="1:33" x14ac:dyDescent="0.25">
      <c r="A125" s="2">
        <v>120</v>
      </c>
      <c r="B125" s="2" t="s">
        <v>188</v>
      </c>
      <c r="C125" s="2" t="s">
        <v>129</v>
      </c>
      <c r="D125" s="2" t="s">
        <v>162</v>
      </c>
      <c r="E125" s="13">
        <v>0.3125</v>
      </c>
      <c r="F125" s="2"/>
      <c r="G125" s="3"/>
      <c r="H125" s="3">
        <v>0.2</v>
      </c>
      <c r="I125" s="2"/>
      <c r="J125" s="2"/>
      <c r="K125" s="2"/>
      <c r="L125" s="2"/>
      <c r="M125" s="2"/>
      <c r="N125" s="2"/>
      <c r="O125" s="8">
        <f t="shared" si="10"/>
        <v>0</v>
      </c>
      <c r="P125" s="18"/>
      <c r="Q125" s="2"/>
      <c r="R125" s="18"/>
      <c r="S125" s="18"/>
      <c r="T125" s="18"/>
      <c r="U125" s="18"/>
      <c r="V125" s="18"/>
      <c r="W125" s="18"/>
      <c r="X125" s="82"/>
      <c r="Y125" s="18"/>
      <c r="Z125" s="18"/>
      <c r="AA125" s="18"/>
      <c r="AB125" s="2"/>
      <c r="AC125" s="7">
        <f t="shared" si="11"/>
        <v>0</v>
      </c>
      <c r="AD125" s="8" t="s">
        <v>148</v>
      </c>
      <c r="AE125" s="12">
        <v>500</v>
      </c>
      <c r="AF125" s="8" t="s">
        <v>189</v>
      </c>
      <c r="AG125" s="8">
        <f t="shared" si="12"/>
        <v>0</v>
      </c>
    </row>
    <row r="126" spans="1:33" x14ac:dyDescent="0.25">
      <c r="A126" s="2">
        <v>121</v>
      </c>
      <c r="B126" s="2" t="s">
        <v>188</v>
      </c>
      <c r="C126" s="2" t="s">
        <v>129</v>
      </c>
      <c r="D126" s="2" t="s">
        <v>163</v>
      </c>
      <c r="E126" s="13">
        <v>0.3125</v>
      </c>
      <c r="F126" s="2"/>
      <c r="G126" s="3"/>
      <c r="H126" s="3">
        <v>0.2</v>
      </c>
      <c r="I126" s="2"/>
      <c r="J126" s="2" t="e">
        <f>VLOOKUP(D126,[2]Hoja1!$A$2:$G$20,7,0)</f>
        <v>#N/A</v>
      </c>
      <c r="K126" s="2"/>
      <c r="L126" s="2"/>
      <c r="M126" s="2"/>
      <c r="N126" s="2"/>
      <c r="O126" s="8" t="e">
        <f t="shared" si="10"/>
        <v>#N/A</v>
      </c>
      <c r="P126" s="18"/>
      <c r="Q126" s="2"/>
      <c r="R126" s="18"/>
      <c r="S126" s="18"/>
      <c r="T126" s="18"/>
      <c r="U126" s="18"/>
      <c r="V126" s="18"/>
      <c r="W126" s="18"/>
      <c r="X126" s="82"/>
      <c r="Y126" s="18"/>
      <c r="Z126" s="18"/>
      <c r="AA126" s="18"/>
      <c r="AB126" s="2"/>
      <c r="AC126" s="7" t="e">
        <f t="shared" si="11"/>
        <v>#N/A</v>
      </c>
      <c r="AD126" s="8" t="s">
        <v>148</v>
      </c>
      <c r="AE126" s="12">
        <v>500</v>
      </c>
      <c r="AF126" s="8" t="s">
        <v>189</v>
      </c>
      <c r="AG126" s="8" t="e">
        <f t="shared" si="12"/>
        <v>#N/A</v>
      </c>
    </row>
    <row r="127" spans="1:33" x14ac:dyDescent="0.25">
      <c r="A127" s="2">
        <v>122</v>
      </c>
      <c r="B127" s="2" t="s">
        <v>188</v>
      </c>
      <c r="C127" s="2" t="s">
        <v>129</v>
      </c>
      <c r="D127" s="2" t="s">
        <v>164</v>
      </c>
      <c r="E127" s="13">
        <v>0.3125</v>
      </c>
      <c r="F127" s="2"/>
      <c r="G127" s="3"/>
      <c r="H127" s="3">
        <v>0.2</v>
      </c>
      <c r="I127" s="2"/>
      <c r="J127" s="2"/>
      <c r="K127" s="2"/>
      <c r="L127" s="2"/>
      <c r="M127" s="2"/>
      <c r="N127" s="2"/>
      <c r="O127" s="8">
        <f t="shared" si="10"/>
        <v>0</v>
      </c>
      <c r="P127" s="18"/>
      <c r="Q127" s="2"/>
      <c r="R127" s="18"/>
      <c r="S127" s="18"/>
      <c r="T127" s="18"/>
      <c r="U127" s="18"/>
      <c r="V127" s="18"/>
      <c r="W127" s="18"/>
      <c r="X127" s="82"/>
      <c r="Y127" s="18"/>
      <c r="Z127" s="18"/>
      <c r="AA127" s="18"/>
      <c r="AB127" s="2"/>
      <c r="AC127" s="7">
        <f t="shared" si="11"/>
        <v>0</v>
      </c>
      <c r="AD127" s="8" t="s">
        <v>148</v>
      </c>
      <c r="AE127" s="12">
        <v>500</v>
      </c>
      <c r="AF127" s="8" t="s">
        <v>189</v>
      </c>
      <c r="AG127" s="8">
        <f t="shared" si="12"/>
        <v>0</v>
      </c>
    </row>
    <row r="128" spans="1:33" x14ac:dyDescent="0.25">
      <c r="A128" s="2">
        <v>123</v>
      </c>
      <c r="B128" s="2" t="s">
        <v>188</v>
      </c>
      <c r="C128" s="2" t="s">
        <v>129</v>
      </c>
      <c r="D128" s="2" t="s">
        <v>165</v>
      </c>
      <c r="E128" s="13">
        <v>0.3125</v>
      </c>
      <c r="F128" s="2"/>
      <c r="G128" s="3"/>
      <c r="H128" s="3">
        <v>0.2</v>
      </c>
      <c r="I128" s="2"/>
      <c r="J128" s="2" t="e">
        <f>VLOOKUP(D128,[2]Hoja1!$A$2:$G$20,7,0)</f>
        <v>#N/A</v>
      </c>
      <c r="K128" s="2"/>
      <c r="L128" s="2"/>
      <c r="M128" s="2"/>
      <c r="N128" s="2"/>
      <c r="O128" s="8" t="e">
        <f t="shared" si="10"/>
        <v>#N/A</v>
      </c>
      <c r="P128" s="18"/>
      <c r="Q128" s="2"/>
      <c r="R128" s="18"/>
      <c r="S128" s="18"/>
      <c r="T128" s="18"/>
      <c r="U128" s="18"/>
      <c r="V128" s="18"/>
      <c r="W128" s="18"/>
      <c r="X128" s="82"/>
      <c r="Y128" s="18"/>
      <c r="Z128" s="18"/>
      <c r="AA128" s="18"/>
      <c r="AB128" s="2"/>
      <c r="AC128" s="7" t="e">
        <f t="shared" si="11"/>
        <v>#N/A</v>
      </c>
      <c r="AD128" s="8" t="s">
        <v>148</v>
      </c>
      <c r="AE128" s="12">
        <v>500</v>
      </c>
      <c r="AF128" s="8" t="s">
        <v>189</v>
      </c>
      <c r="AG128" s="8" t="e">
        <f t="shared" si="12"/>
        <v>#N/A</v>
      </c>
    </row>
    <row r="129" spans="1:33" x14ac:dyDescent="0.25">
      <c r="A129" s="2">
        <v>124</v>
      </c>
      <c r="B129" s="2" t="s">
        <v>188</v>
      </c>
      <c r="C129" s="2" t="s">
        <v>129</v>
      </c>
      <c r="D129" s="2" t="s">
        <v>166</v>
      </c>
      <c r="E129" s="13">
        <v>0.3125</v>
      </c>
      <c r="F129" s="2"/>
      <c r="G129" s="3"/>
      <c r="H129" s="3">
        <v>0.16</v>
      </c>
      <c r="I129" s="2"/>
      <c r="J129" s="2"/>
      <c r="K129" s="2"/>
      <c r="L129" s="2"/>
      <c r="M129" s="2"/>
      <c r="N129" s="2"/>
      <c r="O129" s="8">
        <f t="shared" si="10"/>
        <v>0</v>
      </c>
      <c r="P129" s="18"/>
      <c r="Q129" s="2"/>
      <c r="R129" s="18"/>
      <c r="S129" s="18"/>
      <c r="T129" s="18"/>
      <c r="U129" s="18"/>
      <c r="V129" s="18"/>
      <c r="W129" s="18"/>
      <c r="X129" s="82"/>
      <c r="Y129" s="18"/>
      <c r="Z129" s="18"/>
      <c r="AA129" s="18"/>
      <c r="AB129" s="2"/>
      <c r="AC129" s="7">
        <f t="shared" si="11"/>
        <v>0</v>
      </c>
      <c r="AD129" s="8" t="s">
        <v>148</v>
      </c>
      <c r="AE129" s="12">
        <v>500</v>
      </c>
      <c r="AF129" s="8" t="s">
        <v>189</v>
      </c>
      <c r="AG129" s="8">
        <f t="shared" si="12"/>
        <v>0</v>
      </c>
    </row>
    <row r="130" spans="1:33" x14ac:dyDescent="0.25">
      <c r="A130" s="2">
        <v>125</v>
      </c>
      <c r="B130" s="2" t="s">
        <v>188</v>
      </c>
      <c r="C130" s="2" t="s">
        <v>129</v>
      </c>
      <c r="D130" s="2" t="s">
        <v>167</v>
      </c>
      <c r="E130" s="13">
        <v>0.3125</v>
      </c>
      <c r="F130" s="2"/>
      <c r="G130" s="3"/>
      <c r="H130" s="3">
        <v>0.16</v>
      </c>
      <c r="I130" s="2"/>
      <c r="J130" s="2"/>
      <c r="K130" s="2"/>
      <c r="L130" s="2"/>
      <c r="M130" s="2"/>
      <c r="N130" s="2"/>
      <c r="O130" s="8">
        <f t="shared" si="10"/>
        <v>0</v>
      </c>
      <c r="P130" s="18"/>
      <c r="Q130" s="2"/>
      <c r="R130" s="18"/>
      <c r="S130" s="18"/>
      <c r="T130" s="18"/>
      <c r="U130" s="18"/>
      <c r="V130" s="18"/>
      <c r="W130" s="18"/>
      <c r="X130" s="82"/>
      <c r="Y130" s="18"/>
      <c r="Z130" s="18"/>
      <c r="AA130" s="18"/>
      <c r="AB130" s="2"/>
      <c r="AC130" s="7">
        <f t="shared" si="11"/>
        <v>0</v>
      </c>
      <c r="AD130" s="8" t="s">
        <v>148</v>
      </c>
      <c r="AE130" s="12">
        <v>500</v>
      </c>
      <c r="AF130" s="8" t="s">
        <v>189</v>
      </c>
      <c r="AG130" s="8">
        <f t="shared" si="12"/>
        <v>0</v>
      </c>
    </row>
    <row r="131" spans="1:33" x14ac:dyDescent="0.25">
      <c r="A131" s="2">
        <v>126</v>
      </c>
      <c r="B131" s="2" t="s">
        <v>188</v>
      </c>
      <c r="C131" s="2" t="s">
        <v>129</v>
      </c>
      <c r="D131" s="2" t="s">
        <v>168</v>
      </c>
      <c r="E131" s="13">
        <v>0.3125</v>
      </c>
      <c r="F131" s="2"/>
      <c r="G131" s="3"/>
      <c r="H131" s="3">
        <v>0.21</v>
      </c>
      <c r="I131" s="2"/>
      <c r="J131" s="2"/>
      <c r="K131" s="2"/>
      <c r="L131" s="2"/>
      <c r="M131" s="2"/>
      <c r="N131" s="2"/>
      <c r="O131" s="8">
        <f t="shared" si="10"/>
        <v>0</v>
      </c>
      <c r="P131" s="18"/>
      <c r="Q131" s="2"/>
      <c r="R131" s="18"/>
      <c r="S131" s="18"/>
      <c r="T131" s="18"/>
      <c r="U131" s="18"/>
      <c r="V131" s="18"/>
      <c r="W131" s="18"/>
      <c r="X131" s="82"/>
      <c r="Y131" s="18"/>
      <c r="Z131" s="18"/>
      <c r="AA131" s="18"/>
      <c r="AB131" s="2"/>
      <c r="AC131" s="7">
        <f t="shared" si="11"/>
        <v>0</v>
      </c>
      <c r="AD131" s="8" t="s">
        <v>148</v>
      </c>
      <c r="AE131" s="12">
        <v>500</v>
      </c>
      <c r="AF131" s="8" t="s">
        <v>189</v>
      </c>
      <c r="AG131" s="8">
        <f t="shared" si="12"/>
        <v>0</v>
      </c>
    </row>
    <row r="132" spans="1:33" x14ac:dyDescent="0.25">
      <c r="A132" s="2">
        <v>127</v>
      </c>
      <c r="B132" s="2" t="s">
        <v>188</v>
      </c>
      <c r="C132" s="2" t="s">
        <v>129</v>
      </c>
      <c r="D132" s="2" t="s">
        <v>169</v>
      </c>
      <c r="E132" s="13">
        <v>0.3125</v>
      </c>
      <c r="F132" s="2"/>
      <c r="G132" s="3"/>
      <c r="H132" s="3">
        <v>0.21</v>
      </c>
      <c r="I132" s="2"/>
      <c r="J132" s="2"/>
      <c r="K132" s="2"/>
      <c r="L132" s="2"/>
      <c r="M132" s="2"/>
      <c r="N132" s="2"/>
      <c r="O132" s="8">
        <f t="shared" si="10"/>
        <v>0</v>
      </c>
      <c r="P132" s="18"/>
      <c r="Q132" s="2"/>
      <c r="R132" s="18"/>
      <c r="S132" s="18"/>
      <c r="T132" s="18"/>
      <c r="U132" s="18"/>
      <c r="V132" s="18"/>
      <c r="W132" s="18"/>
      <c r="X132" s="82"/>
      <c r="Y132" s="18"/>
      <c r="Z132" s="18"/>
      <c r="AA132" s="18"/>
      <c r="AB132" s="2"/>
      <c r="AC132" s="7">
        <f t="shared" si="11"/>
        <v>0</v>
      </c>
      <c r="AD132" s="8" t="s">
        <v>148</v>
      </c>
      <c r="AE132" s="12">
        <v>500</v>
      </c>
      <c r="AF132" s="8" t="s">
        <v>189</v>
      </c>
      <c r="AG132" s="8">
        <f t="shared" si="12"/>
        <v>0</v>
      </c>
    </row>
    <row r="133" spans="1:33" x14ac:dyDescent="0.25">
      <c r="A133" s="2">
        <v>128</v>
      </c>
      <c r="B133" s="2" t="s">
        <v>188</v>
      </c>
      <c r="C133" s="2" t="s">
        <v>129</v>
      </c>
      <c r="D133" s="2" t="s">
        <v>170</v>
      </c>
      <c r="E133" s="13">
        <v>0.3125</v>
      </c>
      <c r="F133" s="2"/>
      <c r="G133" s="3"/>
      <c r="H133" s="3">
        <v>0.25</v>
      </c>
      <c r="I133" s="2"/>
      <c r="J133" s="2"/>
      <c r="K133" s="2"/>
      <c r="L133" s="2"/>
      <c r="M133" s="2"/>
      <c r="N133" s="2"/>
      <c r="O133" s="8">
        <f t="shared" si="10"/>
        <v>0</v>
      </c>
      <c r="P133" s="18"/>
      <c r="Q133" s="2"/>
      <c r="R133" s="18"/>
      <c r="S133" s="18"/>
      <c r="T133" s="18"/>
      <c r="U133" s="18"/>
      <c r="V133" s="18"/>
      <c r="W133" s="18"/>
      <c r="X133" s="82"/>
      <c r="Y133" s="18"/>
      <c r="Z133" s="18"/>
      <c r="AA133" s="18"/>
      <c r="AB133" s="2"/>
      <c r="AC133" s="7">
        <f t="shared" si="11"/>
        <v>0</v>
      </c>
      <c r="AD133" s="8" t="s">
        <v>148</v>
      </c>
      <c r="AE133" s="12">
        <v>500</v>
      </c>
      <c r="AF133" s="8" t="s">
        <v>189</v>
      </c>
      <c r="AG133" s="8">
        <f t="shared" si="12"/>
        <v>0</v>
      </c>
    </row>
    <row r="134" spans="1:33" x14ac:dyDescent="0.25">
      <c r="A134" s="2">
        <v>129</v>
      </c>
      <c r="B134" s="2" t="s">
        <v>188</v>
      </c>
      <c r="C134" s="2" t="s">
        <v>129</v>
      </c>
      <c r="D134" s="2" t="s">
        <v>171</v>
      </c>
      <c r="E134" s="13">
        <v>0.3125</v>
      </c>
      <c r="F134" s="2"/>
      <c r="G134" s="3"/>
      <c r="H134" s="3">
        <v>0.25</v>
      </c>
      <c r="I134" s="2"/>
      <c r="J134" s="2"/>
      <c r="K134" s="2"/>
      <c r="L134" s="2"/>
      <c r="M134" s="2"/>
      <c r="N134" s="2"/>
      <c r="O134" s="8">
        <f t="shared" ref="O134:O149" si="13">+I134+J134+K134+L134+M134+N134-SUM(P134:AB134)</f>
        <v>0</v>
      </c>
      <c r="P134" s="18"/>
      <c r="Q134" s="2"/>
      <c r="R134" s="18"/>
      <c r="S134" s="18"/>
      <c r="T134" s="18"/>
      <c r="U134" s="18"/>
      <c r="V134" s="18"/>
      <c r="W134" s="18"/>
      <c r="X134" s="82"/>
      <c r="Y134" s="18"/>
      <c r="Z134" s="18"/>
      <c r="AA134" s="18"/>
      <c r="AB134" s="2"/>
      <c r="AC134" s="7">
        <f t="shared" ref="AC134:AC149" si="14">+G134*SUM(I134:N134)</f>
        <v>0</v>
      </c>
      <c r="AD134" s="8" t="s">
        <v>148</v>
      </c>
      <c r="AE134" s="12">
        <v>500</v>
      </c>
      <c r="AF134" s="8" t="s">
        <v>189</v>
      </c>
      <c r="AG134" s="8">
        <f t="shared" si="12"/>
        <v>0</v>
      </c>
    </row>
    <row r="135" spans="1:33" x14ac:dyDescent="0.25">
      <c r="A135" s="2">
        <v>130</v>
      </c>
      <c r="B135" s="2" t="s">
        <v>188</v>
      </c>
      <c r="C135" s="2" t="s">
        <v>129</v>
      </c>
      <c r="D135" s="2" t="s">
        <v>172</v>
      </c>
      <c r="E135" s="13">
        <v>0.3125</v>
      </c>
      <c r="F135" s="2"/>
      <c r="G135" s="3"/>
      <c r="H135" s="3">
        <v>0.21</v>
      </c>
      <c r="I135" s="2"/>
      <c r="J135" s="2"/>
      <c r="K135" s="2"/>
      <c r="L135" s="2"/>
      <c r="M135" s="2"/>
      <c r="N135" s="2"/>
      <c r="O135" s="8">
        <f t="shared" si="13"/>
        <v>0</v>
      </c>
      <c r="P135" s="18"/>
      <c r="Q135" s="2"/>
      <c r="R135" s="18"/>
      <c r="S135" s="18"/>
      <c r="T135" s="18"/>
      <c r="U135" s="18"/>
      <c r="V135" s="18"/>
      <c r="W135" s="18"/>
      <c r="X135" s="82"/>
      <c r="Y135" s="18"/>
      <c r="Z135" s="18"/>
      <c r="AA135" s="18"/>
      <c r="AB135" s="2"/>
      <c r="AC135" s="7">
        <f t="shared" si="14"/>
        <v>0</v>
      </c>
      <c r="AD135" s="8" t="s">
        <v>148</v>
      </c>
      <c r="AE135" s="12">
        <v>500</v>
      </c>
      <c r="AF135" s="8" t="s">
        <v>189</v>
      </c>
      <c r="AG135" s="8">
        <f t="shared" si="12"/>
        <v>0</v>
      </c>
    </row>
    <row r="136" spans="1:33" x14ac:dyDescent="0.25">
      <c r="A136" s="2">
        <v>131</v>
      </c>
      <c r="B136" s="2" t="s">
        <v>188</v>
      </c>
      <c r="C136" s="2" t="s">
        <v>129</v>
      </c>
      <c r="D136" s="2" t="s">
        <v>173</v>
      </c>
      <c r="E136" s="13">
        <v>0.3125</v>
      </c>
      <c r="F136" s="2"/>
      <c r="G136" s="3"/>
      <c r="H136" s="3">
        <v>0.21</v>
      </c>
      <c r="I136" s="2"/>
      <c r="J136" s="2"/>
      <c r="K136" s="2"/>
      <c r="L136" s="2"/>
      <c r="M136" s="2"/>
      <c r="N136" s="2"/>
      <c r="O136" s="8">
        <f t="shared" si="13"/>
        <v>0</v>
      </c>
      <c r="P136" s="18"/>
      <c r="Q136" s="2"/>
      <c r="R136" s="18"/>
      <c r="S136" s="18"/>
      <c r="T136" s="18"/>
      <c r="U136" s="18"/>
      <c r="V136" s="18"/>
      <c r="W136" s="18"/>
      <c r="X136" s="82"/>
      <c r="Y136" s="18"/>
      <c r="Z136" s="18"/>
      <c r="AA136" s="18"/>
      <c r="AB136" s="2"/>
      <c r="AC136" s="7">
        <f t="shared" si="14"/>
        <v>0</v>
      </c>
      <c r="AD136" s="8" t="s">
        <v>148</v>
      </c>
      <c r="AE136" s="12">
        <v>500</v>
      </c>
      <c r="AF136" s="8" t="s">
        <v>189</v>
      </c>
      <c r="AG136" s="8">
        <f t="shared" si="12"/>
        <v>0</v>
      </c>
    </row>
    <row r="137" spans="1:33" x14ac:dyDescent="0.25">
      <c r="A137" s="2">
        <v>132</v>
      </c>
      <c r="B137" s="2" t="s">
        <v>188</v>
      </c>
      <c r="C137" s="2" t="s">
        <v>129</v>
      </c>
      <c r="D137" s="2" t="s">
        <v>174</v>
      </c>
      <c r="E137" s="13">
        <v>0.3125</v>
      </c>
      <c r="F137" s="2"/>
      <c r="G137" s="3"/>
      <c r="H137" s="3">
        <v>0.21</v>
      </c>
      <c r="I137" s="2"/>
      <c r="J137" s="2"/>
      <c r="K137" s="2"/>
      <c r="L137" s="2"/>
      <c r="M137" s="2"/>
      <c r="N137" s="2"/>
      <c r="O137" s="8">
        <f t="shared" si="13"/>
        <v>0</v>
      </c>
      <c r="P137" s="18"/>
      <c r="Q137" s="2"/>
      <c r="R137" s="18"/>
      <c r="S137" s="18"/>
      <c r="T137" s="18"/>
      <c r="U137" s="18"/>
      <c r="V137" s="18"/>
      <c r="W137" s="18"/>
      <c r="X137" s="82"/>
      <c r="Y137" s="18"/>
      <c r="Z137" s="18"/>
      <c r="AA137" s="18"/>
      <c r="AB137" s="2"/>
      <c r="AC137" s="7">
        <f t="shared" si="14"/>
        <v>0</v>
      </c>
      <c r="AD137" s="8" t="s">
        <v>148</v>
      </c>
      <c r="AE137" s="12">
        <v>500</v>
      </c>
      <c r="AF137" s="8" t="s">
        <v>189</v>
      </c>
      <c r="AG137" s="8">
        <f t="shared" si="12"/>
        <v>0</v>
      </c>
    </row>
    <row r="138" spans="1:33" x14ac:dyDescent="0.25">
      <c r="A138" s="2">
        <v>133</v>
      </c>
      <c r="B138" s="2" t="s">
        <v>188</v>
      </c>
      <c r="C138" s="2" t="s">
        <v>129</v>
      </c>
      <c r="D138" s="2" t="s">
        <v>175</v>
      </c>
      <c r="E138" s="13">
        <v>0.3125</v>
      </c>
      <c r="F138" s="2"/>
      <c r="G138" s="3"/>
      <c r="H138" s="3">
        <v>0.21</v>
      </c>
      <c r="I138" s="2"/>
      <c r="J138" s="2"/>
      <c r="K138" s="2"/>
      <c r="L138" s="2"/>
      <c r="M138" s="2"/>
      <c r="N138" s="2"/>
      <c r="O138" s="8">
        <f t="shared" si="13"/>
        <v>0</v>
      </c>
      <c r="P138" s="18"/>
      <c r="Q138" s="2"/>
      <c r="R138" s="18"/>
      <c r="S138" s="18"/>
      <c r="T138" s="18"/>
      <c r="U138" s="18"/>
      <c r="V138" s="18"/>
      <c r="W138" s="18"/>
      <c r="X138" s="82"/>
      <c r="Y138" s="18"/>
      <c r="Z138" s="18"/>
      <c r="AA138" s="18"/>
      <c r="AB138" s="2"/>
      <c r="AC138" s="7">
        <f t="shared" si="14"/>
        <v>0</v>
      </c>
      <c r="AD138" s="8" t="s">
        <v>148</v>
      </c>
      <c r="AE138" s="12">
        <v>500</v>
      </c>
      <c r="AF138" s="8" t="s">
        <v>189</v>
      </c>
      <c r="AG138" s="8">
        <f t="shared" si="12"/>
        <v>0</v>
      </c>
    </row>
    <row r="139" spans="1:33" x14ac:dyDescent="0.25">
      <c r="A139" s="2">
        <v>134</v>
      </c>
      <c r="B139" s="2" t="s">
        <v>188</v>
      </c>
      <c r="C139" s="2" t="s">
        <v>129</v>
      </c>
      <c r="D139" s="2" t="s">
        <v>176</v>
      </c>
      <c r="E139" s="13">
        <v>0.3125</v>
      </c>
      <c r="F139" s="2"/>
      <c r="G139" s="3"/>
      <c r="H139" s="3">
        <v>0.16</v>
      </c>
      <c r="I139" s="2"/>
      <c r="J139" s="2"/>
      <c r="K139" s="2"/>
      <c r="L139" s="2"/>
      <c r="M139" s="2"/>
      <c r="N139" s="2"/>
      <c r="O139" s="8">
        <f t="shared" si="13"/>
        <v>0</v>
      </c>
      <c r="P139" s="18"/>
      <c r="Q139" s="2"/>
      <c r="R139" s="18"/>
      <c r="S139" s="18"/>
      <c r="T139" s="18"/>
      <c r="U139" s="18"/>
      <c r="V139" s="18"/>
      <c r="W139" s="18"/>
      <c r="X139" s="82"/>
      <c r="Y139" s="18"/>
      <c r="Z139" s="18"/>
      <c r="AA139" s="18"/>
      <c r="AB139" s="2"/>
      <c r="AC139" s="7">
        <f t="shared" si="14"/>
        <v>0</v>
      </c>
      <c r="AD139" s="8" t="s">
        <v>148</v>
      </c>
      <c r="AE139" s="12">
        <v>500</v>
      </c>
      <c r="AF139" s="8" t="s">
        <v>189</v>
      </c>
      <c r="AG139" s="8">
        <f t="shared" si="12"/>
        <v>0</v>
      </c>
    </row>
    <row r="140" spans="1:33" x14ac:dyDescent="0.25">
      <c r="A140" s="2">
        <v>135</v>
      </c>
      <c r="B140" s="2" t="s">
        <v>188</v>
      </c>
      <c r="C140" s="2" t="s">
        <v>129</v>
      </c>
      <c r="D140" s="2" t="s">
        <v>177</v>
      </c>
      <c r="E140" s="13">
        <v>0.3125</v>
      </c>
      <c r="F140" s="2"/>
      <c r="G140" s="3"/>
      <c r="H140" s="3">
        <v>0.16</v>
      </c>
      <c r="I140" s="2"/>
      <c r="J140" s="2"/>
      <c r="K140" s="2"/>
      <c r="L140" s="2"/>
      <c r="M140" s="2"/>
      <c r="N140" s="2"/>
      <c r="O140" s="8">
        <f t="shared" si="13"/>
        <v>0</v>
      </c>
      <c r="P140" s="18"/>
      <c r="Q140" s="2"/>
      <c r="R140" s="18"/>
      <c r="S140" s="18"/>
      <c r="T140" s="18"/>
      <c r="U140" s="18"/>
      <c r="V140" s="18"/>
      <c r="W140" s="18"/>
      <c r="X140" s="82"/>
      <c r="Y140" s="18"/>
      <c r="Z140" s="18"/>
      <c r="AA140" s="18"/>
      <c r="AB140" s="2"/>
      <c r="AC140" s="7">
        <f t="shared" si="14"/>
        <v>0</v>
      </c>
      <c r="AD140" s="8" t="s">
        <v>148</v>
      </c>
      <c r="AE140" s="12">
        <v>500</v>
      </c>
      <c r="AF140" s="8" t="s">
        <v>189</v>
      </c>
      <c r="AG140" s="8">
        <f t="shared" si="12"/>
        <v>0</v>
      </c>
    </row>
    <row r="141" spans="1:33" x14ac:dyDescent="0.25">
      <c r="A141" s="2">
        <v>136</v>
      </c>
      <c r="B141" s="2" t="s">
        <v>188</v>
      </c>
      <c r="C141" s="2" t="s">
        <v>129</v>
      </c>
      <c r="D141" s="2" t="s">
        <v>178</v>
      </c>
      <c r="E141" s="13">
        <v>0.3125</v>
      </c>
      <c r="F141" s="2"/>
      <c r="G141" s="3"/>
      <c r="H141" s="3">
        <v>0.21</v>
      </c>
      <c r="I141" s="2"/>
      <c r="J141" s="2"/>
      <c r="K141" s="2"/>
      <c r="L141" s="2"/>
      <c r="M141" s="2"/>
      <c r="N141" s="2"/>
      <c r="O141" s="8">
        <f t="shared" si="13"/>
        <v>0</v>
      </c>
      <c r="P141" s="18"/>
      <c r="Q141" s="2"/>
      <c r="R141" s="18"/>
      <c r="S141" s="18"/>
      <c r="T141" s="18"/>
      <c r="U141" s="18"/>
      <c r="V141" s="18"/>
      <c r="W141" s="18"/>
      <c r="X141" s="82"/>
      <c r="Y141" s="18"/>
      <c r="Z141" s="18"/>
      <c r="AA141" s="18"/>
      <c r="AB141" s="2"/>
      <c r="AC141" s="7">
        <f t="shared" si="14"/>
        <v>0</v>
      </c>
      <c r="AD141" s="8" t="s">
        <v>148</v>
      </c>
      <c r="AE141" s="12">
        <v>500</v>
      </c>
      <c r="AF141" s="8" t="s">
        <v>189</v>
      </c>
      <c r="AG141" s="8">
        <f t="shared" si="12"/>
        <v>0</v>
      </c>
    </row>
    <row r="142" spans="1:33" x14ac:dyDescent="0.25">
      <c r="A142" s="2">
        <v>137</v>
      </c>
      <c r="B142" s="2" t="s">
        <v>188</v>
      </c>
      <c r="C142" s="2" t="s">
        <v>129</v>
      </c>
      <c r="D142" s="2" t="s">
        <v>179</v>
      </c>
      <c r="E142" s="13">
        <v>0.3125</v>
      </c>
      <c r="F142" s="2"/>
      <c r="G142" s="3"/>
      <c r="H142" s="3">
        <v>0.16</v>
      </c>
      <c r="I142" s="2"/>
      <c r="J142" s="2"/>
      <c r="K142" s="2"/>
      <c r="L142" s="2"/>
      <c r="M142" s="2"/>
      <c r="N142" s="2"/>
      <c r="O142" s="8">
        <f t="shared" si="13"/>
        <v>0</v>
      </c>
      <c r="P142" s="18"/>
      <c r="Q142" s="2"/>
      <c r="R142" s="18"/>
      <c r="S142" s="18"/>
      <c r="T142" s="18"/>
      <c r="U142" s="18"/>
      <c r="V142" s="18"/>
      <c r="W142" s="18"/>
      <c r="X142" s="82"/>
      <c r="Y142" s="18"/>
      <c r="Z142" s="18"/>
      <c r="AA142" s="18"/>
      <c r="AB142" s="2"/>
      <c r="AC142" s="7">
        <f t="shared" si="14"/>
        <v>0</v>
      </c>
      <c r="AD142" s="8" t="s">
        <v>148</v>
      </c>
      <c r="AE142" s="12">
        <v>500</v>
      </c>
      <c r="AF142" s="8" t="s">
        <v>189</v>
      </c>
      <c r="AG142" s="8">
        <f t="shared" si="12"/>
        <v>0</v>
      </c>
    </row>
    <row r="143" spans="1:33" x14ac:dyDescent="0.25">
      <c r="A143" s="2">
        <v>138</v>
      </c>
      <c r="B143" s="2" t="s">
        <v>188</v>
      </c>
      <c r="C143" s="2" t="s">
        <v>129</v>
      </c>
      <c r="D143" s="2" t="s">
        <v>180</v>
      </c>
      <c r="E143" s="13">
        <v>0.3125</v>
      </c>
      <c r="F143" s="2"/>
      <c r="G143" s="3"/>
      <c r="H143" s="3">
        <v>0.16</v>
      </c>
      <c r="I143" s="2"/>
      <c r="J143" s="2"/>
      <c r="K143" s="2"/>
      <c r="L143" s="2"/>
      <c r="M143" s="2"/>
      <c r="N143" s="2"/>
      <c r="O143" s="8">
        <f t="shared" si="13"/>
        <v>0</v>
      </c>
      <c r="P143" s="18"/>
      <c r="Q143" s="2"/>
      <c r="R143" s="18"/>
      <c r="S143" s="18"/>
      <c r="T143" s="18"/>
      <c r="U143" s="18"/>
      <c r="V143" s="18"/>
      <c r="W143" s="18"/>
      <c r="X143" s="82"/>
      <c r="Y143" s="18"/>
      <c r="Z143" s="18"/>
      <c r="AA143" s="18"/>
      <c r="AB143" s="2"/>
      <c r="AC143" s="7">
        <f t="shared" si="14"/>
        <v>0</v>
      </c>
      <c r="AD143" s="8" t="s">
        <v>148</v>
      </c>
      <c r="AE143" s="12">
        <v>500</v>
      </c>
      <c r="AF143" s="8" t="s">
        <v>189</v>
      </c>
      <c r="AG143" s="8">
        <f t="shared" si="12"/>
        <v>0</v>
      </c>
    </row>
    <row r="144" spans="1:33" x14ac:dyDescent="0.25">
      <c r="A144" s="2">
        <v>139</v>
      </c>
      <c r="B144" s="2" t="s">
        <v>188</v>
      </c>
      <c r="C144" s="2" t="s">
        <v>129</v>
      </c>
      <c r="D144" s="2" t="s">
        <v>181</v>
      </c>
      <c r="E144" s="13">
        <v>0.3125</v>
      </c>
      <c r="F144" s="2"/>
      <c r="G144" s="3"/>
      <c r="H144" s="3">
        <v>0.21</v>
      </c>
      <c r="I144" s="2"/>
      <c r="J144" s="2"/>
      <c r="K144" s="2"/>
      <c r="L144" s="2"/>
      <c r="M144" s="2"/>
      <c r="N144" s="2"/>
      <c r="O144" s="8">
        <f t="shared" si="13"/>
        <v>0</v>
      </c>
      <c r="P144" s="18"/>
      <c r="Q144" s="2"/>
      <c r="R144" s="18"/>
      <c r="S144" s="18"/>
      <c r="T144" s="18"/>
      <c r="U144" s="18"/>
      <c r="V144" s="18"/>
      <c r="W144" s="18"/>
      <c r="X144" s="82"/>
      <c r="Y144" s="18"/>
      <c r="Z144" s="18"/>
      <c r="AA144" s="18"/>
      <c r="AB144" s="2"/>
      <c r="AC144" s="7">
        <f t="shared" si="14"/>
        <v>0</v>
      </c>
      <c r="AD144" s="8" t="s">
        <v>148</v>
      </c>
      <c r="AE144" s="12">
        <v>500</v>
      </c>
      <c r="AF144" s="8" t="s">
        <v>189</v>
      </c>
      <c r="AG144" s="8">
        <f t="shared" si="12"/>
        <v>0</v>
      </c>
    </row>
    <row r="145" spans="1:33" x14ac:dyDescent="0.25">
      <c r="A145" s="2">
        <v>140</v>
      </c>
      <c r="B145" s="2" t="s">
        <v>188</v>
      </c>
      <c r="C145" s="2" t="s">
        <v>129</v>
      </c>
      <c r="D145" s="2" t="s">
        <v>182</v>
      </c>
      <c r="E145" s="13">
        <v>0.3125</v>
      </c>
      <c r="F145" s="2"/>
      <c r="G145" s="3"/>
      <c r="H145" s="3">
        <v>0.21</v>
      </c>
      <c r="I145" s="2"/>
      <c r="J145" s="2"/>
      <c r="K145" s="2"/>
      <c r="L145" s="2"/>
      <c r="M145" s="2"/>
      <c r="N145" s="2"/>
      <c r="O145" s="8">
        <f t="shared" si="13"/>
        <v>0</v>
      </c>
      <c r="P145" s="18"/>
      <c r="Q145" s="2"/>
      <c r="R145" s="18"/>
      <c r="S145" s="18"/>
      <c r="T145" s="18"/>
      <c r="U145" s="18"/>
      <c r="V145" s="18"/>
      <c r="W145" s="18"/>
      <c r="X145" s="82"/>
      <c r="Y145" s="18"/>
      <c r="Z145" s="18"/>
      <c r="AA145" s="18"/>
      <c r="AB145" s="2"/>
      <c r="AC145" s="7">
        <f t="shared" si="14"/>
        <v>0</v>
      </c>
      <c r="AD145" s="8" t="s">
        <v>148</v>
      </c>
      <c r="AE145" s="12">
        <v>500</v>
      </c>
      <c r="AF145" s="8" t="s">
        <v>189</v>
      </c>
      <c r="AG145" s="8">
        <f t="shared" si="12"/>
        <v>0</v>
      </c>
    </row>
    <row r="146" spans="1:33" x14ac:dyDescent="0.25">
      <c r="A146" s="2">
        <v>141</v>
      </c>
      <c r="B146" s="2" t="s">
        <v>188</v>
      </c>
      <c r="C146" s="2" t="s">
        <v>129</v>
      </c>
      <c r="D146" s="2" t="s">
        <v>183</v>
      </c>
      <c r="E146" s="13">
        <v>0.3125</v>
      </c>
      <c r="F146" s="2"/>
      <c r="G146" s="3"/>
      <c r="H146" s="3">
        <v>0.21</v>
      </c>
      <c r="I146" s="2"/>
      <c r="J146" s="2"/>
      <c r="K146" s="2"/>
      <c r="L146" s="2"/>
      <c r="M146" s="2"/>
      <c r="N146" s="2"/>
      <c r="O146" s="8">
        <f t="shared" si="13"/>
        <v>0</v>
      </c>
      <c r="P146" s="18"/>
      <c r="Q146" s="2"/>
      <c r="R146" s="18"/>
      <c r="S146" s="18"/>
      <c r="T146" s="18"/>
      <c r="U146" s="18"/>
      <c r="V146" s="18"/>
      <c r="W146" s="18"/>
      <c r="X146" s="82"/>
      <c r="Y146" s="18"/>
      <c r="Z146" s="18"/>
      <c r="AA146" s="18"/>
      <c r="AB146" s="2"/>
      <c r="AC146" s="7">
        <f t="shared" si="14"/>
        <v>0</v>
      </c>
      <c r="AD146" s="8" t="s">
        <v>148</v>
      </c>
      <c r="AE146" s="12">
        <v>500</v>
      </c>
      <c r="AF146" s="8" t="s">
        <v>189</v>
      </c>
      <c r="AG146" s="8">
        <f t="shared" si="12"/>
        <v>0</v>
      </c>
    </row>
    <row r="147" spans="1:33" x14ac:dyDescent="0.25">
      <c r="A147" s="2">
        <v>142</v>
      </c>
      <c r="B147" s="2" t="s">
        <v>188</v>
      </c>
      <c r="C147" s="2" t="s">
        <v>129</v>
      </c>
      <c r="D147" s="2" t="s">
        <v>184</v>
      </c>
      <c r="E147" s="13">
        <v>0.3125</v>
      </c>
      <c r="F147" s="2"/>
      <c r="G147" s="3"/>
      <c r="H147" s="3">
        <v>0.21</v>
      </c>
      <c r="I147" s="2"/>
      <c r="J147" s="2"/>
      <c r="K147" s="2"/>
      <c r="L147" s="2"/>
      <c r="M147" s="2"/>
      <c r="N147" s="2"/>
      <c r="O147" s="8">
        <f t="shared" si="13"/>
        <v>0</v>
      </c>
      <c r="P147" s="18"/>
      <c r="Q147" s="2"/>
      <c r="R147" s="18"/>
      <c r="S147" s="18"/>
      <c r="T147" s="18"/>
      <c r="U147" s="18"/>
      <c r="V147" s="18"/>
      <c r="W147" s="18"/>
      <c r="X147" s="82"/>
      <c r="Y147" s="18"/>
      <c r="Z147" s="18"/>
      <c r="AA147" s="18"/>
      <c r="AB147" s="2"/>
      <c r="AC147" s="7">
        <f t="shared" si="14"/>
        <v>0</v>
      </c>
      <c r="AD147" s="8" t="s">
        <v>148</v>
      </c>
      <c r="AE147" s="12">
        <v>500</v>
      </c>
      <c r="AF147" s="8" t="s">
        <v>189</v>
      </c>
      <c r="AG147" s="8">
        <f t="shared" si="12"/>
        <v>0</v>
      </c>
    </row>
    <row r="148" spans="1:33" x14ac:dyDescent="0.25">
      <c r="A148" s="2">
        <v>143</v>
      </c>
      <c r="B148" s="2" t="s">
        <v>188</v>
      </c>
      <c r="C148" s="2" t="s">
        <v>129</v>
      </c>
      <c r="D148" s="2" t="s">
        <v>185</v>
      </c>
      <c r="E148" s="13">
        <v>0.3125</v>
      </c>
      <c r="F148" s="2"/>
      <c r="G148" s="3"/>
      <c r="H148" s="3">
        <v>0.19</v>
      </c>
      <c r="I148" s="2"/>
      <c r="J148" s="2"/>
      <c r="K148" s="2"/>
      <c r="L148" s="2"/>
      <c r="M148" s="2"/>
      <c r="N148" s="2"/>
      <c r="O148" s="8">
        <f t="shared" si="13"/>
        <v>0</v>
      </c>
      <c r="P148" s="18"/>
      <c r="Q148" s="2"/>
      <c r="R148" s="18"/>
      <c r="S148" s="18"/>
      <c r="T148" s="18"/>
      <c r="U148" s="18"/>
      <c r="V148" s="18"/>
      <c r="W148" s="18"/>
      <c r="X148" s="82"/>
      <c r="Y148" s="18"/>
      <c r="Z148" s="18"/>
      <c r="AA148" s="18"/>
      <c r="AB148" s="2"/>
      <c r="AC148" s="7">
        <f t="shared" si="14"/>
        <v>0</v>
      </c>
      <c r="AD148" s="8" t="s">
        <v>148</v>
      </c>
      <c r="AE148" s="12">
        <v>500</v>
      </c>
      <c r="AF148" s="8" t="s">
        <v>189</v>
      </c>
      <c r="AG148" s="8">
        <f t="shared" si="12"/>
        <v>0</v>
      </c>
    </row>
    <row r="149" spans="1:33" x14ac:dyDescent="0.25">
      <c r="A149" s="2">
        <v>144</v>
      </c>
      <c r="B149" s="2" t="s">
        <v>188</v>
      </c>
      <c r="C149" s="2" t="s">
        <v>129</v>
      </c>
      <c r="D149" s="2" t="s">
        <v>186</v>
      </c>
      <c r="E149" s="13">
        <v>0.3125</v>
      </c>
      <c r="F149" s="2"/>
      <c r="G149" s="3"/>
      <c r="H149" s="3">
        <v>0.19</v>
      </c>
      <c r="I149" s="2"/>
      <c r="J149" s="2"/>
      <c r="K149" s="2"/>
      <c r="L149" s="2"/>
      <c r="M149" s="2"/>
      <c r="N149" s="2"/>
      <c r="O149" s="8">
        <f t="shared" si="13"/>
        <v>0</v>
      </c>
      <c r="P149" s="18"/>
      <c r="Q149" s="2"/>
      <c r="R149" s="18"/>
      <c r="S149" s="18"/>
      <c r="T149" s="18"/>
      <c r="U149" s="18"/>
      <c r="V149" s="18"/>
      <c r="W149" s="18"/>
      <c r="X149" s="82"/>
      <c r="Y149" s="18"/>
      <c r="Z149" s="18"/>
      <c r="AA149" s="18"/>
      <c r="AB149" s="2"/>
      <c r="AC149" s="7">
        <f t="shared" si="14"/>
        <v>0</v>
      </c>
      <c r="AD149" s="8" t="s">
        <v>148</v>
      </c>
      <c r="AE149" s="12">
        <v>500</v>
      </c>
      <c r="AF149" s="8" t="s">
        <v>189</v>
      </c>
      <c r="AG149" s="8">
        <f t="shared" si="12"/>
        <v>0</v>
      </c>
    </row>
    <row r="150" spans="1:33" x14ac:dyDescent="0.25">
      <c r="H150" s="4" t="s">
        <v>19</v>
      </c>
      <c r="I150" s="9">
        <f>SUM(I6:I122)</f>
        <v>50740</v>
      </c>
      <c r="J150" s="9" t="e">
        <f>SUM(J6:M122)</f>
        <v>#N/A</v>
      </c>
      <c r="K150" s="9">
        <f t="shared" ref="K150:AC150" si="15">SUM(K6:K122)</f>
        <v>0</v>
      </c>
      <c r="L150" s="9">
        <f t="shared" si="15"/>
        <v>0</v>
      </c>
      <c r="M150" s="9">
        <f t="shared" si="15"/>
        <v>0</v>
      </c>
      <c r="N150" s="9">
        <f t="shared" si="15"/>
        <v>0</v>
      </c>
      <c r="O150" s="11" t="e">
        <f t="shared" si="15"/>
        <v>#N/A</v>
      </c>
      <c r="P150" s="9">
        <f t="shared" si="15"/>
        <v>6239</v>
      </c>
      <c r="Q150" s="9">
        <f t="shared" si="15"/>
        <v>5659</v>
      </c>
      <c r="R150" s="19">
        <f t="shared" si="15"/>
        <v>2813</v>
      </c>
      <c r="S150" s="19">
        <f t="shared" si="15"/>
        <v>1712</v>
      </c>
      <c r="T150" s="19">
        <f t="shared" si="15"/>
        <v>2785</v>
      </c>
      <c r="U150" s="19">
        <f t="shared" si="15"/>
        <v>4031</v>
      </c>
      <c r="V150" s="19">
        <f t="shared" si="15"/>
        <v>1827</v>
      </c>
      <c r="W150" s="9">
        <f t="shared" si="15"/>
        <v>238</v>
      </c>
      <c r="X150" s="83">
        <f t="shared" si="15"/>
        <v>4480</v>
      </c>
      <c r="Y150" s="9">
        <f t="shared" si="15"/>
        <v>312</v>
      </c>
      <c r="Z150" s="19"/>
      <c r="AA150" s="19"/>
      <c r="AB150" s="9">
        <f t="shared" si="15"/>
        <v>19717</v>
      </c>
      <c r="AC150" s="9" t="e">
        <f t="shared" si="15"/>
        <v>#N/A</v>
      </c>
      <c r="AG150" s="12" t="e">
        <f>SUM(AG6:AG122)</f>
        <v>#N/A</v>
      </c>
    </row>
    <row r="151" spans="1:33" x14ac:dyDescent="0.25">
      <c r="H151" s="4" t="s">
        <v>21</v>
      </c>
      <c r="I151" s="99" t="e">
        <f>+I150+J150+K150+L150+M150+N150</f>
        <v>#N/A</v>
      </c>
      <c r="J151" s="99"/>
      <c r="K151" s="99"/>
      <c r="L151" s="99"/>
      <c r="M151" s="99"/>
      <c r="N151" s="99"/>
      <c r="P151" s="123">
        <f>+P150+Q150</f>
        <v>11898</v>
      </c>
      <c r="Q151" s="124"/>
      <c r="R151" s="123">
        <f>+R150+S150</f>
        <v>4525</v>
      </c>
      <c r="S151" s="124"/>
      <c r="T151" s="123">
        <f>+T150+U150</f>
        <v>6816</v>
      </c>
      <c r="U151" s="124"/>
      <c r="V151" s="123">
        <f t="shared" ref="V151" si="16">+V150+W150</f>
        <v>2065</v>
      </c>
      <c r="W151" s="124"/>
      <c r="X151" s="123">
        <f t="shared" ref="X151" si="17">+X150+Y150</f>
        <v>4792</v>
      </c>
      <c r="Y151" s="124"/>
      <c r="Z151" s="123"/>
      <c r="AA151" s="124"/>
      <c r="AB151" s="10">
        <f>+AB150</f>
        <v>19717</v>
      </c>
    </row>
    <row r="152" spans="1:33" x14ac:dyDescent="0.25">
      <c r="I152" s="33"/>
      <c r="J152" s="33" t="e">
        <f>+J150</f>
        <v>#N/A</v>
      </c>
      <c r="K152" s="33">
        <f t="shared" ref="K152:N152" si="18">+K150</f>
        <v>0</v>
      </c>
      <c r="L152" s="33">
        <f t="shared" si="18"/>
        <v>0</v>
      </c>
      <c r="M152" s="33">
        <f t="shared" si="18"/>
        <v>0</v>
      </c>
      <c r="N152" s="33">
        <f t="shared" si="18"/>
        <v>0</v>
      </c>
    </row>
    <row r="153" spans="1:33" x14ac:dyDescent="0.25">
      <c r="P153" s="40" t="s">
        <v>15</v>
      </c>
      <c r="Q153" s="63" t="s">
        <v>16</v>
      </c>
      <c r="R153" s="18" t="s">
        <v>15</v>
      </c>
      <c r="S153" s="18" t="s">
        <v>16</v>
      </c>
      <c r="T153" s="18" t="s">
        <v>15</v>
      </c>
      <c r="U153" s="18" t="s">
        <v>16</v>
      </c>
      <c r="V153" s="18" t="s">
        <v>15</v>
      </c>
      <c r="W153" s="63" t="s">
        <v>16</v>
      </c>
      <c r="X153" s="82" t="s">
        <v>15</v>
      </c>
      <c r="Y153" s="63" t="s">
        <v>16</v>
      </c>
      <c r="Z153" s="18"/>
      <c r="AA153" s="18"/>
      <c r="AB153" s="64"/>
    </row>
    <row r="154" spans="1:33" x14ac:dyDescent="0.25">
      <c r="C154" s="2" t="s">
        <v>217</v>
      </c>
      <c r="D154" s="2" t="s">
        <v>218</v>
      </c>
      <c r="E154" s="2" t="s">
        <v>219</v>
      </c>
      <c r="P154" s="39">
        <f>P150/$E$155</f>
        <v>1.1515106771746553</v>
      </c>
      <c r="Q154" s="39">
        <f>Q150/$E$155</f>
        <v>1.0444620808032334</v>
      </c>
      <c r="R154" s="39">
        <f>R150/$E$155</f>
        <v>0.51918569240139534</v>
      </c>
      <c r="S154" s="39">
        <f t="shared" ref="S154:Y154" si="19">S150/$E$156</f>
        <v>0.7165578436296669</v>
      </c>
      <c r="T154" s="39">
        <f>T150/$E$155</f>
        <v>0.51401782912829219</v>
      </c>
      <c r="U154" s="39">
        <f>U150/$E$155</f>
        <v>0.74398774478138086</v>
      </c>
      <c r="V154" s="39">
        <f t="shared" si="19"/>
        <v>0.76469110999497747</v>
      </c>
      <c r="W154" s="39">
        <f t="shared" si="19"/>
        <v>9.9614933869077521E-2</v>
      </c>
      <c r="X154" s="84">
        <f t="shared" si="19"/>
        <v>1.8751046375355769</v>
      </c>
      <c r="Y154" s="39">
        <f t="shared" si="19"/>
        <v>0.13058764439979911</v>
      </c>
      <c r="Z154" s="39"/>
      <c r="AA154" s="39"/>
      <c r="AB154" s="65"/>
    </row>
    <row r="155" spans="1:33" x14ac:dyDescent="0.25">
      <c r="B155" s="31" t="s">
        <v>212</v>
      </c>
      <c r="C155" s="66">
        <v>54181</v>
      </c>
      <c r="D155" s="2">
        <f>+C155/5</f>
        <v>10836.2</v>
      </c>
      <c r="E155" s="2">
        <f>+D155/2</f>
        <v>5418.1</v>
      </c>
      <c r="H155" s="22"/>
      <c r="P155" s="100">
        <v>46244</v>
      </c>
      <c r="Q155" s="98"/>
      <c r="R155" s="100">
        <v>46245</v>
      </c>
      <c r="S155" s="129"/>
      <c r="T155" s="133">
        <v>46246</v>
      </c>
      <c r="U155" s="129"/>
      <c r="V155" s="100">
        <v>46247</v>
      </c>
      <c r="W155" s="98"/>
      <c r="X155" s="100">
        <v>46248</v>
      </c>
      <c r="Y155" s="98"/>
      <c r="Z155" s="100"/>
      <c r="AA155" s="98"/>
    </row>
    <row r="156" spans="1:33" x14ac:dyDescent="0.25">
      <c r="B156" s="31" t="s">
        <v>213</v>
      </c>
      <c r="C156" s="8">
        <v>23892</v>
      </c>
      <c r="D156" s="2">
        <f>+C156/5</f>
        <v>4778.3999999999996</v>
      </c>
      <c r="E156" s="2">
        <f>+D156/2</f>
        <v>2389.1999999999998</v>
      </c>
    </row>
    <row r="157" spans="1:33" x14ac:dyDescent="0.25">
      <c r="B157" s="31" t="s">
        <v>214</v>
      </c>
      <c r="C157" s="2">
        <f>+C155-C156</f>
        <v>30289</v>
      </c>
      <c r="D157" s="2"/>
      <c r="E157" s="2"/>
    </row>
    <row r="158" spans="1:33" x14ac:dyDescent="0.25">
      <c r="B158" s="31" t="s">
        <v>215</v>
      </c>
      <c r="C158" s="32">
        <f>+C157/C155</f>
        <v>0.55903360956792969</v>
      </c>
      <c r="D158" s="2"/>
      <c r="E158" s="2"/>
    </row>
    <row r="159" spans="1:33" x14ac:dyDescent="0.25">
      <c r="B159" s="31" t="s">
        <v>216</v>
      </c>
      <c r="C159" s="32">
        <f>+C156/C155</f>
        <v>0.44096639043207031</v>
      </c>
      <c r="D159" s="2"/>
      <c r="E159" s="2"/>
    </row>
    <row r="162" spans="2:9" x14ac:dyDescent="0.25">
      <c r="B162" s="129" t="s">
        <v>227</v>
      </c>
      <c r="C162" s="42">
        <v>46244</v>
      </c>
      <c r="D162" s="42">
        <v>46245</v>
      </c>
      <c r="E162" s="42">
        <v>46246</v>
      </c>
      <c r="F162" s="43">
        <v>46247</v>
      </c>
      <c r="G162" s="43">
        <v>46248</v>
      </c>
      <c r="H162" s="43">
        <v>46249</v>
      </c>
      <c r="I162" s="42">
        <v>46248</v>
      </c>
    </row>
    <row r="163" spans="2:9" x14ac:dyDescent="0.25">
      <c r="B163" s="129"/>
      <c r="C163" s="44" t="s">
        <v>222</v>
      </c>
      <c r="D163" s="44" t="s">
        <v>223</v>
      </c>
      <c r="E163" s="44" t="s">
        <v>224</v>
      </c>
      <c r="F163" s="44" t="s">
        <v>225</v>
      </c>
      <c r="G163" s="44" t="s">
        <v>226</v>
      </c>
      <c r="I163" s="44" t="s">
        <v>229</v>
      </c>
    </row>
    <row r="164" spans="2:9" x14ac:dyDescent="0.25">
      <c r="B164" s="40" t="s">
        <v>220</v>
      </c>
      <c r="C164" s="39">
        <v>0.51</v>
      </c>
      <c r="D164" s="39"/>
      <c r="E164" s="39">
        <v>0.56000000000000005</v>
      </c>
      <c r="F164" s="45"/>
      <c r="G164" s="45">
        <v>0.74</v>
      </c>
      <c r="I164" s="39"/>
    </row>
    <row r="165" spans="2:9" x14ac:dyDescent="0.25">
      <c r="B165" s="41" t="s">
        <v>221</v>
      </c>
      <c r="C165" s="39">
        <v>0.49</v>
      </c>
      <c r="D165" s="39"/>
      <c r="E165" s="39">
        <v>0.44</v>
      </c>
      <c r="F165" s="45"/>
      <c r="G165" s="45">
        <v>0.26</v>
      </c>
      <c r="I165" s="39"/>
    </row>
  </sheetData>
  <autoFilter ref="B5:AG151" xr:uid="{00000000-0009-0000-0000-000007000000}"/>
  <mergeCells count="23">
    <mergeCell ref="V155:W155"/>
    <mergeCell ref="X155:Y155"/>
    <mergeCell ref="C2:D2"/>
    <mergeCell ref="B3:B4"/>
    <mergeCell ref="J4:N4"/>
    <mergeCell ref="P4:Q4"/>
    <mergeCell ref="R4:S4"/>
    <mergeCell ref="Z4:AA4"/>
    <mergeCell ref="Z151:AA151"/>
    <mergeCell ref="Z155:AA155"/>
    <mergeCell ref="B162:B163"/>
    <mergeCell ref="V4:W4"/>
    <mergeCell ref="X4:Y4"/>
    <mergeCell ref="I151:N151"/>
    <mergeCell ref="P151:Q151"/>
    <mergeCell ref="R151:S151"/>
    <mergeCell ref="T151:U151"/>
    <mergeCell ref="V151:W151"/>
    <mergeCell ref="X151:Y151"/>
    <mergeCell ref="T4:U4"/>
    <mergeCell ref="P155:Q155"/>
    <mergeCell ref="R155:S155"/>
    <mergeCell ref="T155:U155"/>
  </mergeCells>
  <conditionalFormatting sqref="P154:AA154">
    <cfRule type="cellIs" dxfId="20" priority="1" operator="between">
      <formula>1</formula>
      <formula>5</formula>
    </cfRule>
    <cfRule type="cellIs" dxfId="19" priority="2" operator="between">
      <formula>0.85</formula>
      <formula>0.99</formula>
    </cfRule>
    <cfRule type="cellIs" dxfId="18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7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A1:AI165"/>
  <sheetViews>
    <sheetView topLeftCell="A130" zoomScale="70" zoomScaleNormal="70" zoomScaleSheetLayoutView="130" workbookViewId="0">
      <pane xSplit="15" topLeftCell="P1" activePane="topRight" state="frozen"/>
      <selection activeCell="J1" sqref="J1:N1048576"/>
      <selection pane="topRight" activeCell="D10" sqref="D10"/>
    </sheetView>
  </sheetViews>
  <sheetFormatPr baseColWidth="10" defaultColWidth="8.7109375" defaultRowHeight="15" x14ac:dyDescent="0.25"/>
  <cols>
    <col min="1" max="1" width="8.7109375" style="1"/>
    <col min="2" max="2" width="22.28515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hidden="1" customWidth="1"/>
    <col min="8" max="8" width="15.42578125" style="1" hidden="1" customWidth="1"/>
    <col min="9" max="9" width="11.7109375" style="1" bestFit="1" customWidth="1"/>
    <col min="10" max="10" width="11.5703125" style="1" customWidth="1"/>
    <col min="11" max="12" width="8.85546875" style="1" hidden="1" customWidth="1"/>
    <col min="13" max="13" width="1.42578125" style="1" hidden="1" customWidth="1"/>
    <col min="14" max="14" width="20" style="1" bestFit="1" customWidth="1"/>
    <col min="15" max="15" width="10.140625" style="1" customWidth="1"/>
    <col min="16" max="17" width="9.140625" style="1" customWidth="1"/>
    <col min="18" max="18" width="8.85546875" style="16" customWidth="1"/>
    <col min="19" max="21" width="8.7109375" style="16" customWidth="1"/>
    <col min="22" max="23" width="8.7109375" style="1" customWidth="1"/>
    <col min="24" max="24" width="8.7109375" style="16" customWidth="1"/>
    <col min="25" max="25" width="8.7109375" style="72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x14ac:dyDescent="0.25">
      <c r="V1" s="16"/>
      <c r="W1" s="16"/>
    </row>
    <row r="2" spans="1:35" x14ac:dyDescent="0.25">
      <c r="B2" s="4" t="s">
        <v>17</v>
      </c>
      <c r="C2" s="92" t="s">
        <v>18</v>
      </c>
      <c r="D2" s="92"/>
      <c r="V2" s="16"/>
      <c r="W2" s="16"/>
    </row>
    <row r="3" spans="1:35" x14ac:dyDescent="0.25">
      <c r="B3" s="93">
        <f ca="1">TODAY()</f>
        <v>46308</v>
      </c>
      <c r="C3" s="4" t="s">
        <v>15</v>
      </c>
      <c r="D3" s="2" t="s">
        <v>209</v>
      </c>
      <c r="I3" s="4" t="s">
        <v>4</v>
      </c>
      <c r="V3" s="16"/>
      <c r="W3" s="16"/>
    </row>
    <row r="4" spans="1:35" x14ac:dyDescent="0.25">
      <c r="B4" s="93"/>
      <c r="C4" s="4" t="s">
        <v>16</v>
      </c>
      <c r="D4" s="2"/>
      <c r="I4" s="4" t="s">
        <v>5</v>
      </c>
      <c r="J4" s="98" t="s">
        <v>211</v>
      </c>
      <c r="K4" s="98"/>
      <c r="L4" s="98"/>
      <c r="M4" s="98"/>
      <c r="N4" s="98"/>
      <c r="P4" s="122">
        <v>46251</v>
      </c>
      <c r="Q4" s="122"/>
      <c r="R4" s="122">
        <v>46252</v>
      </c>
      <c r="S4" s="122"/>
      <c r="T4" s="122">
        <v>46253</v>
      </c>
      <c r="U4" s="122"/>
      <c r="V4" s="122">
        <v>46254</v>
      </c>
      <c r="W4" s="122"/>
      <c r="X4" s="122">
        <v>46255</v>
      </c>
      <c r="Y4" s="122"/>
      <c r="Z4" s="6" t="s">
        <v>10</v>
      </c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>
        <v>34</v>
      </c>
      <c r="J5" s="4" t="s">
        <v>231</v>
      </c>
      <c r="K5" s="4" t="s">
        <v>9</v>
      </c>
      <c r="L5" s="4" t="s">
        <v>11</v>
      </c>
      <c r="M5" s="4" t="s">
        <v>12</v>
      </c>
      <c r="N5" s="4"/>
      <c r="O5" s="4" t="s">
        <v>14</v>
      </c>
      <c r="P5" s="4" t="s">
        <v>15</v>
      </c>
      <c r="Q5" s="4" t="s">
        <v>16</v>
      </c>
      <c r="R5" s="17" t="s">
        <v>15</v>
      </c>
      <c r="S5" s="17" t="s">
        <v>16</v>
      </c>
      <c r="T5" s="17" t="s">
        <v>15</v>
      </c>
      <c r="U5" s="17" t="s">
        <v>16</v>
      </c>
      <c r="V5" s="17" t="s">
        <v>15</v>
      </c>
      <c r="W5" s="17" t="s">
        <v>16</v>
      </c>
      <c r="X5" s="17" t="s">
        <v>15</v>
      </c>
      <c r="Y5" s="73" t="s">
        <v>16</v>
      </c>
      <c r="Z5" s="4" t="s">
        <v>20</v>
      </c>
      <c r="AA5" s="4" t="s">
        <v>8</v>
      </c>
      <c r="AB5" s="4" t="s">
        <v>22</v>
      </c>
      <c r="AC5" s="4" t="s">
        <v>145</v>
      </c>
      <c r="AD5" s="4" t="s">
        <v>23</v>
      </c>
      <c r="AE5" s="4" t="s">
        <v>156</v>
      </c>
      <c r="AF5"/>
      <c r="AG5" t="s">
        <v>157</v>
      </c>
      <c r="AH5" t="s">
        <v>159</v>
      </c>
      <c r="AI5"/>
    </row>
    <row r="6" spans="1:35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2"/>
      <c r="J6" s="2">
        <f>IFERROR(VLOOKUP(D6,'[3]Programa produccion Transferenc'!$C:$D,2,0),0)</f>
        <v>0</v>
      </c>
      <c r="K6" s="2"/>
      <c r="L6" s="2"/>
      <c r="M6" s="2"/>
      <c r="N6" s="2"/>
      <c r="O6" s="8">
        <f t="shared" ref="O6:O69" si="0">+I6+J6+K6+L6+M6+N6-SUM(P6:Z6)</f>
        <v>0</v>
      </c>
      <c r="P6" s="2"/>
      <c r="Q6" s="2"/>
      <c r="R6" s="18"/>
      <c r="S6" s="18"/>
      <c r="T6" s="2"/>
      <c r="U6" s="2"/>
      <c r="V6" s="18"/>
      <c r="W6" s="18"/>
      <c r="X6" s="18"/>
      <c r="Y6" s="35"/>
      <c r="Z6" s="2"/>
      <c r="AA6" s="7">
        <f t="shared" ref="AA6:AA69" si="1">+G6*SUM(I6:N6)</f>
        <v>0</v>
      </c>
      <c r="AB6" s="8" t="s">
        <v>146</v>
      </c>
      <c r="AC6" s="8">
        <v>150</v>
      </c>
      <c r="AD6" s="8" t="s">
        <v>152</v>
      </c>
      <c r="AE6" s="8">
        <f t="shared" ref="AE6:AE21" si="2">+SUM(I6:N6)/AC6</f>
        <v>0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2" t="s">
        <v>24</v>
      </c>
      <c r="C7" s="2" t="s">
        <v>129</v>
      </c>
      <c r="D7" s="35" t="s">
        <v>26</v>
      </c>
      <c r="E7" s="13">
        <v>0.25</v>
      </c>
      <c r="F7" s="2">
        <v>2.8000000000000001E-2</v>
      </c>
      <c r="G7" s="3"/>
      <c r="H7" s="3"/>
      <c r="I7" s="2"/>
      <c r="J7" s="2">
        <f>IFERROR(VLOOKUP(D7,'[3]Programa produccion Transferenc'!$C:$D,2,0),0)</f>
        <v>950</v>
      </c>
      <c r="K7" s="2"/>
      <c r="L7" s="2"/>
      <c r="M7" s="2"/>
      <c r="N7" s="2"/>
      <c r="O7" s="8">
        <f t="shared" si="0"/>
        <v>-50</v>
      </c>
      <c r="P7" s="35">
        <v>1000</v>
      </c>
      <c r="Q7" s="2"/>
      <c r="R7" s="18"/>
      <c r="S7" s="18"/>
      <c r="T7" s="2"/>
      <c r="U7" s="2"/>
      <c r="V7" s="18"/>
      <c r="W7" s="18"/>
      <c r="X7" s="18"/>
      <c r="Y7" s="35"/>
      <c r="Z7" s="2"/>
      <c r="AA7" s="7">
        <f t="shared" si="1"/>
        <v>0</v>
      </c>
      <c r="AB7" s="8" t="s">
        <v>146</v>
      </c>
      <c r="AC7" s="8">
        <v>200</v>
      </c>
      <c r="AD7" s="8" t="s">
        <v>152</v>
      </c>
      <c r="AE7" s="8">
        <f t="shared" si="2"/>
        <v>4.75</v>
      </c>
      <c r="AF7"/>
      <c r="AG7" s="15" t="s">
        <v>146</v>
      </c>
      <c r="AH7">
        <v>52</v>
      </c>
      <c r="AI7"/>
    </row>
    <row r="8" spans="1:35" x14ac:dyDescent="0.25">
      <c r="A8" s="2">
        <v>3</v>
      </c>
      <c r="B8" s="2" t="s">
        <v>24</v>
      </c>
      <c r="C8" s="2" t="s">
        <v>129</v>
      </c>
      <c r="D8" s="35" t="s">
        <v>27</v>
      </c>
      <c r="E8" s="13">
        <v>0.25</v>
      </c>
      <c r="F8" s="2">
        <v>2.8000000000000001E-2</v>
      </c>
      <c r="G8" s="3"/>
      <c r="H8" s="3"/>
      <c r="I8" s="2"/>
      <c r="J8" s="2">
        <f>IFERROR(VLOOKUP(D8,'[3]Programa produccion Transferenc'!$C:$D,2,0),0)</f>
        <v>1500</v>
      </c>
      <c r="K8" s="2"/>
      <c r="L8" s="2"/>
      <c r="M8" s="2"/>
      <c r="N8" s="2"/>
      <c r="O8" s="8">
        <f t="shared" si="0"/>
        <v>-50</v>
      </c>
      <c r="P8" s="35">
        <v>1550</v>
      </c>
      <c r="Q8" s="2"/>
      <c r="R8" s="18"/>
      <c r="S8" s="18"/>
      <c r="T8" s="2"/>
      <c r="U8" s="2"/>
      <c r="V8" s="18"/>
      <c r="W8" s="18"/>
      <c r="X8" s="18"/>
      <c r="Y8" s="35"/>
      <c r="Z8" s="2"/>
      <c r="AA8" s="7">
        <f t="shared" si="1"/>
        <v>0</v>
      </c>
      <c r="AB8" s="8" t="s">
        <v>146</v>
      </c>
      <c r="AC8" s="8">
        <v>200</v>
      </c>
      <c r="AD8" s="8" t="s">
        <v>152</v>
      </c>
      <c r="AE8" s="8">
        <f t="shared" si="2"/>
        <v>7.5</v>
      </c>
      <c r="AF8"/>
      <c r="AG8" s="15" t="s">
        <v>155</v>
      </c>
      <c r="AH8">
        <v>0</v>
      </c>
      <c r="AI8"/>
    </row>
    <row r="9" spans="1:35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2">
        <v>300</v>
      </c>
      <c r="J9" s="2">
        <f>IFERROR(VLOOKUP(D9,'[3]Programa produccion Transferenc'!$C:$D,2,0),0)</f>
        <v>247</v>
      </c>
      <c r="K9" s="2"/>
      <c r="L9" s="2"/>
      <c r="M9" s="2"/>
      <c r="N9" s="2"/>
      <c r="O9" s="8">
        <f>+I9+J9+K9+L9+M9+N9-SUM(P9:Z9)</f>
        <v>-774</v>
      </c>
      <c r="P9" s="2">
        <v>300</v>
      </c>
      <c r="Q9" s="2"/>
      <c r="R9" s="18"/>
      <c r="S9" s="18"/>
      <c r="T9" s="2">
        <v>350</v>
      </c>
      <c r="U9" s="2">
        <v>671</v>
      </c>
      <c r="V9" s="18"/>
      <c r="W9" s="18"/>
      <c r="X9" s="18"/>
      <c r="Y9" s="35"/>
      <c r="Z9" s="2"/>
      <c r="AA9" s="7">
        <f t="shared" si="1"/>
        <v>0</v>
      </c>
      <c r="AB9" s="8" t="s">
        <v>146</v>
      </c>
      <c r="AC9" s="8">
        <v>100</v>
      </c>
      <c r="AD9" s="8" t="s">
        <v>152</v>
      </c>
      <c r="AE9" s="8">
        <f t="shared" si="2"/>
        <v>5.47</v>
      </c>
      <c r="AF9"/>
      <c r="AG9" s="15" t="s">
        <v>147</v>
      </c>
      <c r="AH9">
        <v>116</v>
      </c>
      <c r="AI9"/>
    </row>
    <row r="10" spans="1:35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2"/>
      <c r="J10" s="2">
        <f>IFERROR(VLOOKUP(D10,'[3]Programa produccion Transferenc'!$C:$D,2,0),0)</f>
        <v>800</v>
      </c>
      <c r="K10" s="2"/>
      <c r="L10" s="2"/>
      <c r="M10" s="2"/>
      <c r="N10" s="2"/>
      <c r="O10" s="8">
        <f>+I10+J10+K10+L10+M10+N10-SUM(P10:Z10)</f>
        <v>55</v>
      </c>
      <c r="P10" s="2"/>
      <c r="Q10" s="2"/>
      <c r="R10" s="35">
        <v>300</v>
      </c>
      <c r="S10" s="35">
        <v>130</v>
      </c>
      <c r="T10" s="2">
        <v>315</v>
      </c>
      <c r="U10" s="2"/>
      <c r="V10" s="18"/>
      <c r="W10" s="18"/>
      <c r="X10" s="18"/>
      <c r="Y10" s="35"/>
      <c r="Z10" s="2"/>
      <c r="AA10" s="7">
        <f t="shared" si="1"/>
        <v>0</v>
      </c>
      <c r="AB10" s="8" t="s">
        <v>146</v>
      </c>
      <c r="AC10" s="8">
        <v>150</v>
      </c>
      <c r="AD10" s="8" t="s">
        <v>152</v>
      </c>
      <c r="AE10" s="8">
        <f t="shared" si="2"/>
        <v>5.333333333333333</v>
      </c>
      <c r="AF10"/>
      <c r="AG10" s="15" t="s">
        <v>150</v>
      </c>
      <c r="AH10">
        <v>2</v>
      </c>
      <c r="AI10"/>
    </row>
    <row r="11" spans="1:35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2"/>
      <c r="J11" s="2">
        <f>IFERROR(VLOOKUP(D11,'[3]Programa produccion Transferenc'!$C:$D,2,0),0)</f>
        <v>1300</v>
      </c>
      <c r="K11" s="2"/>
      <c r="L11" s="2"/>
      <c r="M11" s="2"/>
      <c r="N11" s="2"/>
      <c r="O11" s="8">
        <f t="shared" si="0"/>
        <v>-165</v>
      </c>
      <c r="P11" s="2"/>
      <c r="Q11" s="2"/>
      <c r="R11" s="35">
        <v>1300</v>
      </c>
      <c r="S11" s="35"/>
      <c r="T11" s="2"/>
      <c r="U11" s="2"/>
      <c r="V11" s="18"/>
      <c r="W11" s="18"/>
      <c r="X11" s="18">
        <v>165</v>
      </c>
      <c r="Y11" s="35"/>
      <c r="Z11" s="2"/>
      <c r="AA11" s="7">
        <f t="shared" si="1"/>
        <v>0</v>
      </c>
      <c r="AB11" s="8" t="s">
        <v>146</v>
      </c>
      <c r="AC11" s="8">
        <v>150</v>
      </c>
      <c r="AD11" s="8" t="s">
        <v>152</v>
      </c>
      <c r="AE11" s="8">
        <f t="shared" si="2"/>
        <v>8.6666666666666661</v>
      </c>
      <c r="AF11"/>
      <c r="AG11" s="15" t="s">
        <v>149</v>
      </c>
      <c r="AH11">
        <v>10</v>
      </c>
      <c r="AI11"/>
    </row>
    <row r="12" spans="1:35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2"/>
      <c r="J12" s="2">
        <f>IFERROR(VLOOKUP(D12,'[3]Programa produccion Transferenc'!$C:$D,2,0),0)</f>
        <v>1300</v>
      </c>
      <c r="K12" s="2"/>
      <c r="L12" s="2"/>
      <c r="M12" s="2"/>
      <c r="N12" s="2"/>
      <c r="O12" s="8">
        <f t="shared" si="0"/>
        <v>-2230</v>
      </c>
      <c r="P12" s="2"/>
      <c r="Q12" s="2"/>
      <c r="R12" s="35">
        <v>1200</v>
      </c>
      <c r="S12" s="35">
        <v>180</v>
      </c>
      <c r="T12" s="2"/>
      <c r="U12" s="2"/>
      <c r="V12" s="18"/>
      <c r="W12" s="18"/>
      <c r="X12" s="18">
        <v>1600</v>
      </c>
      <c r="Y12" s="35">
        <v>550</v>
      </c>
      <c r="Z12" s="2"/>
      <c r="AA12" s="7">
        <f t="shared" si="1"/>
        <v>0</v>
      </c>
      <c r="AB12" s="8" t="s">
        <v>146</v>
      </c>
      <c r="AC12" s="8">
        <v>50</v>
      </c>
      <c r="AD12" s="8" t="s">
        <v>152</v>
      </c>
      <c r="AE12" s="8">
        <f t="shared" si="2"/>
        <v>26</v>
      </c>
      <c r="AF12"/>
      <c r="AG12" s="15" t="s">
        <v>158</v>
      </c>
      <c r="AH12">
        <v>180</v>
      </c>
      <c r="AI12"/>
    </row>
    <row r="13" spans="1:35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2">
        <v>500</v>
      </c>
      <c r="J13" s="2">
        <f>IFERROR(VLOOKUP(D13,'[3]Programa produccion Transferenc'!$C:$D,2,0),0)</f>
        <v>247</v>
      </c>
      <c r="K13" s="2"/>
      <c r="L13" s="2"/>
      <c r="M13" s="2"/>
      <c r="N13" s="2"/>
      <c r="O13" s="8">
        <f t="shared" si="0"/>
        <v>0</v>
      </c>
      <c r="P13" s="2">
        <v>500</v>
      </c>
      <c r="Q13" s="2"/>
      <c r="R13" s="18"/>
      <c r="S13" s="18"/>
      <c r="T13" s="2">
        <v>247</v>
      </c>
      <c r="U13" s="2"/>
      <c r="V13" s="18"/>
      <c r="W13" s="18"/>
      <c r="X13" s="18"/>
      <c r="Y13" s="35"/>
      <c r="Z13" s="2"/>
      <c r="AA13" s="7">
        <f t="shared" si="1"/>
        <v>0</v>
      </c>
      <c r="AB13" s="8" t="s">
        <v>146</v>
      </c>
      <c r="AC13" s="8">
        <v>100</v>
      </c>
      <c r="AD13" s="8" t="s">
        <v>152</v>
      </c>
      <c r="AE13" s="8">
        <f t="shared" si="2"/>
        <v>7.47</v>
      </c>
      <c r="AF13"/>
      <c r="AG13"/>
      <c r="AH13"/>
      <c r="AI13"/>
    </row>
    <row r="14" spans="1:35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2">
        <v>1000</v>
      </c>
      <c r="J14" s="2">
        <f>IFERROR(VLOOKUP(D14,'[3]Programa produccion Transferenc'!$C:$D,2,0),0)</f>
        <v>100</v>
      </c>
      <c r="K14" s="2"/>
      <c r="L14" s="2"/>
      <c r="M14" s="2"/>
      <c r="N14" s="2"/>
      <c r="O14" s="8">
        <f t="shared" si="0"/>
        <v>-6</v>
      </c>
      <c r="P14" s="68">
        <v>1106</v>
      </c>
      <c r="Q14" s="2"/>
      <c r="R14" s="18"/>
      <c r="S14" s="18"/>
      <c r="T14" s="2"/>
      <c r="U14" s="2"/>
      <c r="V14" s="18"/>
      <c r="W14" s="18"/>
      <c r="X14" s="18"/>
      <c r="Y14" s="35"/>
      <c r="Z14" s="2"/>
      <c r="AA14" s="7">
        <f t="shared" si="1"/>
        <v>0</v>
      </c>
      <c r="AB14" s="8" t="s">
        <v>146</v>
      </c>
      <c r="AC14" s="8">
        <v>50</v>
      </c>
      <c r="AD14" s="8" t="s">
        <v>152</v>
      </c>
      <c r="AE14" s="8">
        <f t="shared" si="2"/>
        <v>22</v>
      </c>
      <c r="AF14"/>
      <c r="AG14"/>
      <c r="AH14"/>
      <c r="AI14"/>
    </row>
    <row r="15" spans="1:35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2"/>
      <c r="J15" s="2">
        <f>IFERROR(VLOOKUP(D15,'[3]Programa produccion Transferenc'!$C:$D,2,0),0)</f>
        <v>500</v>
      </c>
      <c r="K15" s="2"/>
      <c r="L15" s="2"/>
      <c r="M15" s="2"/>
      <c r="N15" s="2"/>
      <c r="O15" s="8">
        <f t="shared" si="0"/>
        <v>0</v>
      </c>
      <c r="P15" s="2"/>
      <c r="Q15" s="2"/>
      <c r="R15" s="35">
        <v>500</v>
      </c>
      <c r="S15" s="18"/>
      <c r="T15" s="2"/>
      <c r="U15" s="2"/>
      <c r="V15" s="18"/>
      <c r="W15" s="18"/>
      <c r="X15" s="18"/>
      <c r="Y15" s="35"/>
      <c r="Z15" s="2"/>
      <c r="AA15" s="7">
        <f t="shared" si="1"/>
        <v>0</v>
      </c>
      <c r="AB15" s="8" t="s">
        <v>147</v>
      </c>
      <c r="AC15" s="8">
        <v>60</v>
      </c>
      <c r="AD15" s="8" t="s">
        <v>152</v>
      </c>
      <c r="AE15" s="8">
        <f t="shared" si="2"/>
        <v>8.3333333333333339</v>
      </c>
      <c r="AF15"/>
      <c r="AG15"/>
      <c r="AH15"/>
      <c r="AI15"/>
    </row>
    <row r="16" spans="1:35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2"/>
      <c r="J16" s="2">
        <f>IFERROR(VLOOKUP(D16,'[3]Programa produccion Transferenc'!$C:$D,2,0),0)</f>
        <v>3487</v>
      </c>
      <c r="K16" s="2"/>
      <c r="L16" s="2"/>
      <c r="M16" s="2"/>
      <c r="N16" s="2"/>
      <c r="O16" s="8">
        <f t="shared" si="0"/>
        <v>3487</v>
      </c>
      <c r="P16" s="2"/>
      <c r="Q16" s="2"/>
      <c r="R16" s="18"/>
      <c r="S16" s="18"/>
      <c r="T16" s="2"/>
      <c r="U16" s="2"/>
      <c r="V16" s="18"/>
      <c r="W16" s="18"/>
      <c r="X16" s="18"/>
      <c r="Y16" s="35"/>
      <c r="Z16" s="2"/>
      <c r="AA16" s="7">
        <f t="shared" si="1"/>
        <v>0</v>
      </c>
      <c r="AB16" s="8" t="s">
        <v>148</v>
      </c>
      <c r="AC16" s="8">
        <v>100</v>
      </c>
      <c r="AD16" s="8" t="s">
        <v>152</v>
      </c>
      <c r="AE16" s="8">
        <f t="shared" si="2"/>
        <v>34.869999999999997</v>
      </c>
      <c r="AF16"/>
      <c r="AG16"/>
      <c r="AH16"/>
      <c r="AI16"/>
    </row>
    <row r="17" spans="1:35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2"/>
      <c r="J17" s="2">
        <f>IFERROR(VLOOKUP(D17,'[3]Programa produccion Transferenc'!$C:$D,2,0),0)</f>
        <v>125</v>
      </c>
      <c r="K17" s="2"/>
      <c r="L17" s="2"/>
      <c r="M17" s="2"/>
      <c r="N17" s="2"/>
      <c r="O17" s="8">
        <f t="shared" si="0"/>
        <v>-14</v>
      </c>
      <c r="P17" s="2"/>
      <c r="Q17" s="2"/>
      <c r="R17" s="18"/>
      <c r="S17" s="18"/>
      <c r="T17" s="2"/>
      <c r="U17" s="2"/>
      <c r="V17" s="18">
        <v>139</v>
      </c>
      <c r="W17" s="18"/>
      <c r="X17" s="18"/>
      <c r="Y17" s="35"/>
      <c r="Z17" s="2"/>
      <c r="AA17" s="7">
        <f t="shared" si="1"/>
        <v>0</v>
      </c>
      <c r="AB17" s="8" t="s">
        <v>149</v>
      </c>
      <c r="AC17" s="8">
        <v>100</v>
      </c>
      <c r="AD17" s="8" t="s">
        <v>152</v>
      </c>
      <c r="AE17" s="8">
        <f t="shared" si="2"/>
        <v>1.25</v>
      </c>
      <c r="AF17"/>
      <c r="AG17"/>
      <c r="AH17"/>
      <c r="AI17"/>
    </row>
    <row r="18" spans="1:35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2"/>
      <c r="J18" s="2">
        <f>IFERROR(VLOOKUP(D18,'[3]Programa produccion Transferenc'!$C:$D,2,0),0)</f>
        <v>0</v>
      </c>
      <c r="K18" s="2"/>
      <c r="L18" s="2"/>
      <c r="M18" s="2"/>
      <c r="N18" s="2"/>
      <c r="O18" s="8">
        <f t="shared" si="0"/>
        <v>0</v>
      </c>
      <c r="P18" s="2"/>
      <c r="Q18" s="2"/>
      <c r="R18" s="18"/>
      <c r="S18" s="18"/>
      <c r="T18" s="2"/>
      <c r="U18" s="2"/>
      <c r="V18" s="18"/>
      <c r="W18" s="18"/>
      <c r="X18" s="18"/>
      <c r="Y18" s="35"/>
      <c r="Z18" s="2"/>
      <c r="AA18" s="7">
        <f t="shared" si="1"/>
        <v>0</v>
      </c>
      <c r="AB18" s="8" t="s">
        <v>149</v>
      </c>
      <c r="AC18" s="8">
        <v>100</v>
      </c>
      <c r="AD18" s="8" t="s">
        <v>152</v>
      </c>
      <c r="AE18" s="8">
        <f t="shared" si="2"/>
        <v>0</v>
      </c>
      <c r="AF18"/>
      <c r="AG18"/>
      <c r="AH18"/>
      <c r="AI18"/>
    </row>
    <row r="19" spans="1:35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2">
        <v>650</v>
      </c>
      <c r="J19" s="2">
        <f>IFERROR(VLOOKUP(D19,'[3]Programa produccion Transferenc'!$C:$D,2,0),0)</f>
        <v>150</v>
      </c>
      <c r="K19" s="2"/>
      <c r="L19" s="2"/>
      <c r="M19" s="2"/>
      <c r="N19" s="2"/>
      <c r="O19" s="8">
        <f t="shared" si="0"/>
        <v>0</v>
      </c>
      <c r="P19" s="2"/>
      <c r="Q19" s="2"/>
      <c r="R19" s="18"/>
      <c r="S19" s="18"/>
      <c r="T19" s="2"/>
      <c r="U19" s="2"/>
      <c r="V19" s="18">
        <v>800</v>
      </c>
      <c r="W19" s="18"/>
      <c r="X19" s="18"/>
      <c r="Y19" s="35"/>
      <c r="Z19" s="2"/>
      <c r="AA19" s="7">
        <f t="shared" si="1"/>
        <v>0</v>
      </c>
      <c r="AB19" s="8" t="s">
        <v>149</v>
      </c>
      <c r="AC19" s="8">
        <v>100</v>
      </c>
      <c r="AD19" s="8" t="s">
        <v>152</v>
      </c>
      <c r="AE19" s="8">
        <f t="shared" si="2"/>
        <v>8</v>
      </c>
      <c r="AF19"/>
      <c r="AG19"/>
      <c r="AH19"/>
      <c r="AI19"/>
    </row>
    <row r="20" spans="1:35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2"/>
      <c r="J20" s="2">
        <f>IFERROR(VLOOKUP(D20,'[3]Programa produccion Transferenc'!$C:$D,2,0),0)</f>
        <v>0</v>
      </c>
      <c r="K20" s="2"/>
      <c r="L20" s="2"/>
      <c r="M20" s="2"/>
      <c r="N20" s="2"/>
      <c r="O20" s="8">
        <f t="shared" si="0"/>
        <v>0</v>
      </c>
      <c r="P20" s="2"/>
      <c r="Q20" s="2"/>
      <c r="R20" s="18"/>
      <c r="S20" s="18"/>
      <c r="T20" s="2"/>
      <c r="U20" s="2"/>
      <c r="V20" s="18"/>
      <c r="W20" s="18"/>
      <c r="X20" s="17"/>
      <c r="Y20" s="35"/>
      <c r="Z20" s="2"/>
      <c r="AA20" s="7">
        <f t="shared" si="1"/>
        <v>0</v>
      </c>
      <c r="AB20" s="8" t="s">
        <v>149</v>
      </c>
      <c r="AC20" s="8">
        <v>80</v>
      </c>
      <c r="AD20" s="8" t="s">
        <v>152</v>
      </c>
      <c r="AE20" s="8">
        <f t="shared" si="2"/>
        <v>0</v>
      </c>
      <c r="AF20"/>
      <c r="AG20"/>
      <c r="AH20"/>
      <c r="AI20"/>
    </row>
    <row r="21" spans="1:35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2"/>
      <c r="J21" s="2">
        <f>IFERROR(VLOOKUP(D21,'[3]Programa produccion Transferenc'!$C:$D,2,0),0)</f>
        <v>0</v>
      </c>
      <c r="K21" s="2"/>
      <c r="L21" s="2"/>
      <c r="M21" s="2"/>
      <c r="N21" s="2"/>
      <c r="O21" s="8">
        <f t="shared" si="0"/>
        <v>0</v>
      </c>
      <c r="P21" s="2"/>
      <c r="Q21" s="2"/>
      <c r="R21" s="18"/>
      <c r="S21" s="18"/>
      <c r="T21" s="2"/>
      <c r="U21" s="2"/>
      <c r="V21" s="18"/>
      <c r="W21" s="18"/>
      <c r="X21" s="18"/>
      <c r="Y21" s="35"/>
      <c r="Z21" s="2"/>
      <c r="AA21" s="7">
        <f t="shared" si="1"/>
        <v>0</v>
      </c>
      <c r="AB21" s="8" t="s">
        <v>149</v>
      </c>
      <c r="AC21" s="8">
        <v>100</v>
      </c>
      <c r="AD21" s="8" t="s">
        <v>152</v>
      </c>
      <c r="AE21" s="8">
        <f t="shared" si="2"/>
        <v>0</v>
      </c>
      <c r="AF21"/>
      <c r="AG21"/>
      <c r="AH21"/>
      <c r="AI21"/>
    </row>
    <row r="22" spans="1:35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2">
        <v>180</v>
      </c>
      <c r="J22" s="2">
        <f>IFERROR(VLOOKUP(D22,'[3]Programa produccion Transferenc'!$C:$D,2,0),0)</f>
        <v>0</v>
      </c>
      <c r="K22" s="2"/>
      <c r="L22" s="2"/>
      <c r="M22" s="2"/>
      <c r="N22" s="2"/>
      <c r="O22" s="8">
        <f t="shared" si="0"/>
        <v>0</v>
      </c>
      <c r="P22" s="2"/>
      <c r="Q22" s="2"/>
      <c r="R22" s="18"/>
      <c r="S22" s="18"/>
      <c r="T22" s="2"/>
      <c r="U22" s="2"/>
      <c r="V22" s="18"/>
      <c r="W22" s="18"/>
      <c r="X22" s="18"/>
      <c r="Y22" s="35"/>
      <c r="Z22" s="2">
        <v>180</v>
      </c>
      <c r="AA22" s="7">
        <f t="shared" si="1"/>
        <v>0</v>
      </c>
      <c r="AB22" s="8">
        <v>0</v>
      </c>
      <c r="AC22" s="8">
        <v>0</v>
      </c>
      <c r="AD22" s="8" t="s">
        <v>152</v>
      </c>
      <c r="AE22" s="8">
        <v>0</v>
      </c>
      <c r="AF22"/>
      <c r="AG22"/>
      <c r="AH22"/>
      <c r="AI22"/>
    </row>
    <row r="23" spans="1:35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2"/>
      <c r="J23" s="2">
        <f>IFERROR(VLOOKUP(D23,'[3]Programa produccion Transferenc'!$C:$D,2,0),0)</f>
        <v>0</v>
      </c>
      <c r="K23" s="2"/>
      <c r="L23" s="2"/>
      <c r="M23" s="2"/>
      <c r="N23" s="2"/>
      <c r="O23" s="8">
        <f t="shared" si="0"/>
        <v>0</v>
      </c>
      <c r="P23" s="2"/>
      <c r="Q23" s="2"/>
      <c r="R23" s="18"/>
      <c r="S23" s="18"/>
      <c r="T23" s="2"/>
      <c r="U23" s="2"/>
      <c r="V23" s="18"/>
      <c r="W23" s="18"/>
      <c r="X23" s="18"/>
      <c r="Y23" s="35"/>
      <c r="Z23" s="2"/>
      <c r="AA23" s="7">
        <f t="shared" si="1"/>
        <v>0</v>
      </c>
      <c r="AB23" s="8">
        <v>0</v>
      </c>
      <c r="AC23" s="8">
        <v>0</v>
      </c>
      <c r="AD23" s="8" t="s">
        <v>152</v>
      </c>
      <c r="AE23" s="8">
        <v>0</v>
      </c>
      <c r="AF23"/>
    </row>
    <row r="24" spans="1:35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2"/>
      <c r="J24" s="2">
        <f>IFERROR(VLOOKUP(D24,'[3]Programa produccion Transferenc'!$C:$D,2,0),0)</f>
        <v>0</v>
      </c>
      <c r="K24" s="2"/>
      <c r="L24" s="2"/>
      <c r="M24" s="2"/>
      <c r="N24" s="2"/>
      <c r="O24" s="8">
        <f t="shared" si="0"/>
        <v>0</v>
      </c>
      <c r="P24" s="2"/>
      <c r="Q24" s="2"/>
      <c r="R24" s="18"/>
      <c r="S24" s="18"/>
      <c r="T24" s="2"/>
      <c r="U24" s="2"/>
      <c r="V24" s="18"/>
      <c r="W24" s="18"/>
      <c r="X24" s="18"/>
      <c r="Y24" s="35"/>
      <c r="Z24" s="2"/>
      <c r="AA24" s="7">
        <f t="shared" si="1"/>
        <v>0</v>
      </c>
      <c r="AB24" s="8">
        <v>0</v>
      </c>
      <c r="AC24" s="8">
        <v>0</v>
      </c>
      <c r="AD24" s="8" t="s">
        <v>152</v>
      </c>
      <c r="AE24" s="8">
        <v>0</v>
      </c>
      <c r="AF24"/>
    </row>
    <row r="25" spans="1:35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2"/>
      <c r="J25" s="2">
        <f>IFERROR(VLOOKUP(D25,'[3]Programa produccion Transferenc'!$C:$D,2,0),0)</f>
        <v>0</v>
      </c>
      <c r="K25" s="2"/>
      <c r="L25" s="2"/>
      <c r="M25" s="2"/>
      <c r="N25" s="2"/>
      <c r="O25" s="8">
        <f t="shared" si="0"/>
        <v>0</v>
      </c>
      <c r="P25" s="2"/>
      <c r="Q25" s="2"/>
      <c r="R25" s="18"/>
      <c r="S25" s="18"/>
      <c r="T25" s="2"/>
      <c r="U25" s="2"/>
      <c r="V25" s="18"/>
      <c r="W25" s="18"/>
      <c r="X25" s="18"/>
      <c r="Y25" s="35"/>
      <c r="Z25" s="2"/>
      <c r="AA25" s="7">
        <f t="shared" si="1"/>
        <v>0</v>
      </c>
      <c r="AB25" s="8">
        <v>0</v>
      </c>
      <c r="AC25" s="8">
        <v>0</v>
      </c>
      <c r="AD25" s="8" t="s">
        <v>152</v>
      </c>
      <c r="AE25" s="8">
        <v>0</v>
      </c>
      <c r="AF25"/>
    </row>
    <row r="26" spans="1:35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2">
        <v>100</v>
      </c>
      <c r="J26" s="2">
        <f>IFERROR(VLOOKUP(D26,'[3]Programa produccion Transferenc'!$C:$D,2,0),0)</f>
        <v>0</v>
      </c>
      <c r="K26" s="2"/>
      <c r="L26" s="2"/>
      <c r="M26" s="2"/>
      <c r="N26" s="2"/>
      <c r="O26" s="8">
        <f t="shared" si="0"/>
        <v>0</v>
      </c>
      <c r="P26" s="2"/>
      <c r="Q26" s="2"/>
      <c r="R26" s="18"/>
      <c r="S26" s="18"/>
      <c r="T26" s="2"/>
      <c r="U26" s="2"/>
      <c r="V26" s="18"/>
      <c r="W26" s="18"/>
      <c r="X26" s="18"/>
      <c r="Y26" s="35"/>
      <c r="Z26" s="2">
        <v>100</v>
      </c>
      <c r="AA26" s="7">
        <f t="shared" si="1"/>
        <v>0</v>
      </c>
      <c r="AB26" s="8">
        <v>0</v>
      </c>
      <c r="AC26" s="8">
        <v>0</v>
      </c>
      <c r="AD26" s="8" t="s">
        <v>152</v>
      </c>
      <c r="AE26" s="8">
        <v>0</v>
      </c>
      <c r="AF26"/>
    </row>
    <row r="27" spans="1:35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2"/>
      <c r="J27" s="2">
        <f>IFERROR(VLOOKUP(D27,'[3]Programa produccion Transferenc'!$C:$D,2,0),0)</f>
        <v>0</v>
      </c>
      <c r="K27" s="2"/>
      <c r="L27" s="2"/>
      <c r="M27" s="2"/>
      <c r="N27" s="2"/>
      <c r="O27" s="8">
        <f t="shared" si="0"/>
        <v>0</v>
      </c>
      <c r="P27" s="2"/>
      <c r="Q27" s="2"/>
      <c r="R27" s="18"/>
      <c r="S27" s="18"/>
      <c r="T27" s="2"/>
      <c r="U27" s="2"/>
      <c r="V27" s="18"/>
      <c r="W27" s="18"/>
      <c r="X27" s="18"/>
      <c r="Y27" s="35"/>
      <c r="Z27" s="2"/>
      <c r="AA27" s="7">
        <f t="shared" si="1"/>
        <v>0</v>
      </c>
      <c r="AB27" s="8">
        <v>0</v>
      </c>
      <c r="AC27" s="8">
        <v>0</v>
      </c>
      <c r="AD27" s="8" t="s">
        <v>152</v>
      </c>
      <c r="AE27" s="8">
        <v>0</v>
      </c>
      <c r="AF27"/>
    </row>
    <row r="28" spans="1:35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2"/>
      <c r="J28" s="2">
        <f>IFERROR(VLOOKUP(D28,'[3]Programa produccion Transferenc'!$C:$D,2,0),0)</f>
        <v>0</v>
      </c>
      <c r="K28" s="2"/>
      <c r="L28" s="2"/>
      <c r="M28" s="2"/>
      <c r="N28" s="2"/>
      <c r="O28" s="8">
        <f t="shared" si="0"/>
        <v>0</v>
      </c>
      <c r="P28" s="2"/>
      <c r="Q28" s="2"/>
      <c r="R28" s="18"/>
      <c r="S28" s="18"/>
      <c r="T28" s="2"/>
      <c r="U28" s="2"/>
      <c r="V28" s="18"/>
      <c r="W28" s="18"/>
      <c r="X28" s="18"/>
      <c r="Y28" s="35"/>
      <c r="Z28" s="2"/>
      <c r="AA28" s="7">
        <f t="shared" si="1"/>
        <v>0</v>
      </c>
      <c r="AB28" s="8">
        <v>0</v>
      </c>
      <c r="AC28" s="8">
        <v>0</v>
      </c>
      <c r="AD28" s="8" t="s">
        <v>152</v>
      </c>
      <c r="AE28" s="8">
        <v>0</v>
      </c>
      <c r="AF28"/>
    </row>
    <row r="29" spans="1:35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2"/>
      <c r="J29" s="2">
        <f>IFERROR(VLOOKUP(D29,'[3]Programa produccion Transferenc'!$C:$D,2,0),0)</f>
        <v>0</v>
      </c>
      <c r="K29" s="2"/>
      <c r="L29" s="2"/>
      <c r="M29" s="2"/>
      <c r="N29" s="2"/>
      <c r="O29" s="8">
        <f t="shared" si="0"/>
        <v>0</v>
      </c>
      <c r="P29" s="2"/>
      <c r="Q29" s="2"/>
      <c r="R29" s="18"/>
      <c r="S29" s="18"/>
      <c r="T29" s="2"/>
      <c r="U29" s="2"/>
      <c r="V29" s="18"/>
      <c r="W29" s="18"/>
      <c r="X29" s="18"/>
      <c r="Y29" s="35"/>
      <c r="Z29" s="2"/>
      <c r="AA29" s="7">
        <f t="shared" si="1"/>
        <v>0</v>
      </c>
      <c r="AB29" s="8">
        <v>0</v>
      </c>
      <c r="AC29" s="8">
        <v>0</v>
      </c>
      <c r="AD29" s="8" t="s">
        <v>152</v>
      </c>
      <c r="AE29" s="8">
        <v>0</v>
      </c>
      <c r="AF29"/>
    </row>
    <row r="30" spans="1:35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2">
        <v>180</v>
      </c>
      <c r="J30" s="2">
        <f>IFERROR(VLOOKUP(D30,'[3]Programa produccion Transferenc'!$C:$D,2,0),0)</f>
        <v>0</v>
      </c>
      <c r="K30" s="2"/>
      <c r="L30" s="2"/>
      <c r="M30" s="2"/>
      <c r="N30" s="2"/>
      <c r="O30" s="8">
        <f t="shared" si="0"/>
        <v>0</v>
      </c>
      <c r="P30" s="2"/>
      <c r="Q30" s="2"/>
      <c r="R30" s="18"/>
      <c r="S30" s="18"/>
      <c r="T30" s="2"/>
      <c r="U30" s="2"/>
      <c r="V30" s="18"/>
      <c r="W30" s="18"/>
      <c r="X30" s="18"/>
      <c r="Y30" s="35"/>
      <c r="Z30" s="2">
        <v>180</v>
      </c>
      <c r="AA30" s="7">
        <f t="shared" si="1"/>
        <v>0</v>
      </c>
      <c r="AB30" s="8">
        <v>0</v>
      </c>
      <c r="AC30" s="8">
        <v>0</v>
      </c>
      <c r="AD30" s="8" t="s">
        <v>152</v>
      </c>
      <c r="AE30" s="8">
        <v>0</v>
      </c>
      <c r="AF30"/>
    </row>
    <row r="31" spans="1:35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2">
        <v>100</v>
      </c>
      <c r="J31" s="2">
        <f>IFERROR(VLOOKUP(D31,'[3]Programa produccion Transferenc'!$C:$D,2,0),0)</f>
        <v>0</v>
      </c>
      <c r="K31" s="2"/>
      <c r="L31" s="2"/>
      <c r="M31" s="2"/>
      <c r="N31" s="2"/>
      <c r="O31" s="8">
        <f t="shared" si="0"/>
        <v>0</v>
      </c>
      <c r="P31" s="2"/>
      <c r="Q31" s="2"/>
      <c r="R31" s="18"/>
      <c r="S31" s="18"/>
      <c r="T31" s="2"/>
      <c r="U31" s="2"/>
      <c r="V31" s="18"/>
      <c r="W31" s="18"/>
      <c r="X31" s="18"/>
      <c r="Y31" s="35"/>
      <c r="Z31" s="2">
        <v>100</v>
      </c>
      <c r="AA31" s="7">
        <f t="shared" si="1"/>
        <v>0</v>
      </c>
      <c r="AB31" s="8">
        <v>0</v>
      </c>
      <c r="AC31" s="8">
        <v>0</v>
      </c>
      <c r="AD31" s="8" t="s">
        <v>152</v>
      </c>
      <c r="AE31" s="8">
        <v>0</v>
      </c>
      <c r="AF31"/>
    </row>
    <row r="32" spans="1:35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2">
        <v>100</v>
      </c>
      <c r="J32" s="2">
        <f>IFERROR(VLOOKUP(D32,'[3]Programa produccion Transferenc'!$C:$D,2,0),0)</f>
        <v>0</v>
      </c>
      <c r="K32" s="2"/>
      <c r="L32" s="2"/>
      <c r="M32" s="2"/>
      <c r="N32" s="2"/>
      <c r="O32" s="8">
        <f t="shared" si="0"/>
        <v>0</v>
      </c>
      <c r="P32" s="2"/>
      <c r="Q32" s="2"/>
      <c r="R32" s="18"/>
      <c r="S32" s="18"/>
      <c r="T32" s="2"/>
      <c r="U32" s="2"/>
      <c r="V32" s="18"/>
      <c r="W32" s="18"/>
      <c r="X32" s="18"/>
      <c r="Y32" s="35"/>
      <c r="Z32" s="2">
        <v>100</v>
      </c>
      <c r="AA32" s="7">
        <f t="shared" si="1"/>
        <v>0</v>
      </c>
      <c r="AB32" s="8">
        <v>0</v>
      </c>
      <c r="AC32" s="8">
        <v>0</v>
      </c>
      <c r="AD32" s="8" t="s">
        <v>152</v>
      </c>
      <c r="AE32" s="8">
        <v>0</v>
      </c>
      <c r="AF32"/>
    </row>
    <row r="33" spans="1:32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2"/>
      <c r="J33" s="2">
        <f>IFERROR(VLOOKUP(D33,'[3]Programa produccion Transferenc'!$C:$D,2,0),0)</f>
        <v>0</v>
      </c>
      <c r="K33" s="2"/>
      <c r="L33" s="2"/>
      <c r="M33" s="2"/>
      <c r="N33" s="2"/>
      <c r="O33" s="8">
        <f t="shared" si="0"/>
        <v>0</v>
      </c>
      <c r="P33" s="2"/>
      <c r="Q33" s="2"/>
      <c r="R33" s="18"/>
      <c r="S33" s="18"/>
      <c r="T33" s="2"/>
      <c r="U33" s="2"/>
      <c r="V33" s="18"/>
      <c r="W33" s="18"/>
      <c r="X33" s="18"/>
      <c r="Y33" s="35"/>
      <c r="Z33" s="2"/>
      <c r="AA33" s="7">
        <f t="shared" si="1"/>
        <v>0</v>
      </c>
      <c r="AB33" s="8">
        <v>0</v>
      </c>
      <c r="AC33" s="8">
        <v>0</v>
      </c>
      <c r="AD33" s="8" t="s">
        <v>152</v>
      </c>
      <c r="AE33" s="8">
        <v>0</v>
      </c>
      <c r="AF33"/>
    </row>
    <row r="34" spans="1:32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2"/>
      <c r="J34" s="2">
        <f>IFERROR(VLOOKUP(D34,'[3]Programa produccion Transferenc'!$C:$D,2,0),0)</f>
        <v>0</v>
      </c>
      <c r="K34" s="2"/>
      <c r="L34" s="2"/>
      <c r="M34" s="2"/>
      <c r="N34" s="2"/>
      <c r="O34" s="8">
        <f t="shared" si="0"/>
        <v>0</v>
      </c>
      <c r="P34" s="2"/>
      <c r="Q34" s="2"/>
      <c r="R34" s="18"/>
      <c r="S34" s="18"/>
      <c r="T34" s="2"/>
      <c r="U34" s="2"/>
      <c r="V34" s="18"/>
      <c r="W34" s="18"/>
      <c r="X34" s="18"/>
      <c r="Y34" s="35"/>
      <c r="Z34" s="2"/>
      <c r="AA34" s="7">
        <f t="shared" si="1"/>
        <v>0</v>
      </c>
      <c r="AB34" s="8">
        <v>0</v>
      </c>
      <c r="AC34" s="8">
        <v>0</v>
      </c>
      <c r="AD34" s="8" t="s">
        <v>152</v>
      </c>
      <c r="AE34" s="8">
        <v>0</v>
      </c>
      <c r="AF34"/>
    </row>
    <row r="35" spans="1:32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2">
        <v>100</v>
      </c>
      <c r="J35" s="2">
        <f>IFERROR(VLOOKUP(D35,'[3]Programa produccion Transferenc'!$C:$D,2,0),0)</f>
        <v>0</v>
      </c>
      <c r="K35" s="2"/>
      <c r="L35" s="2"/>
      <c r="M35" s="2"/>
      <c r="N35" s="2"/>
      <c r="O35" s="8">
        <f t="shared" si="0"/>
        <v>0</v>
      </c>
      <c r="P35" s="2"/>
      <c r="Q35" s="2"/>
      <c r="R35" s="18"/>
      <c r="S35" s="18"/>
      <c r="T35" s="2"/>
      <c r="U35" s="2"/>
      <c r="V35" s="18"/>
      <c r="W35" s="18"/>
      <c r="X35" s="18"/>
      <c r="Y35" s="35"/>
      <c r="Z35" s="2">
        <v>100</v>
      </c>
      <c r="AA35" s="7">
        <f t="shared" si="1"/>
        <v>0</v>
      </c>
      <c r="AB35" s="8">
        <v>0</v>
      </c>
      <c r="AC35" s="8">
        <v>0</v>
      </c>
      <c r="AD35" s="8" t="s">
        <v>152</v>
      </c>
      <c r="AE35" s="8">
        <v>0</v>
      </c>
      <c r="AF35"/>
    </row>
    <row r="36" spans="1:32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2"/>
      <c r="J36" s="2">
        <f>IFERROR(VLOOKUP(D36,'[3]Programa produccion Transferenc'!$C:$D,2,0),0)</f>
        <v>1250</v>
      </c>
      <c r="K36" s="2"/>
      <c r="L36" s="2"/>
      <c r="M36" s="2"/>
      <c r="N36" s="2"/>
      <c r="O36" s="8">
        <f t="shared" si="0"/>
        <v>-2412</v>
      </c>
      <c r="P36" s="2"/>
      <c r="Q36" s="2"/>
      <c r="R36" s="35">
        <v>1250</v>
      </c>
      <c r="S36" s="18"/>
      <c r="T36" s="2"/>
      <c r="U36" s="2"/>
      <c r="V36" s="18"/>
      <c r="W36" s="18"/>
      <c r="X36" s="18">
        <v>1300</v>
      </c>
      <c r="Y36" s="35">
        <v>1112</v>
      </c>
      <c r="Z36" s="2"/>
      <c r="AA36" s="7">
        <f t="shared" si="1"/>
        <v>0</v>
      </c>
      <c r="AB36" s="8" t="s">
        <v>149</v>
      </c>
      <c r="AC36" s="8">
        <v>200</v>
      </c>
      <c r="AD36" s="8" t="s">
        <v>152</v>
      </c>
      <c r="AE36" s="8">
        <f t="shared" ref="AE36:AE45" si="3">+SUM(I36:N36)/AC36</f>
        <v>6.25</v>
      </c>
      <c r="AF36"/>
    </row>
    <row r="37" spans="1:32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2">
        <v>200</v>
      </c>
      <c r="J37" s="2">
        <f>IFERROR(VLOOKUP(D37,'[3]Programa produccion Transferenc'!$C:$D,2,0),0)</f>
        <v>1300</v>
      </c>
      <c r="K37" s="2"/>
      <c r="L37" s="2"/>
      <c r="M37" s="2"/>
      <c r="N37" s="2"/>
      <c r="O37" s="8">
        <f t="shared" si="0"/>
        <v>130</v>
      </c>
      <c r="P37" s="68">
        <v>1370</v>
      </c>
      <c r="Q37" s="2"/>
      <c r="R37" s="18"/>
      <c r="S37" s="18"/>
      <c r="T37" s="2"/>
      <c r="U37" s="2"/>
      <c r="V37" s="18"/>
      <c r="W37" s="18"/>
      <c r="X37" s="18"/>
      <c r="Y37" s="35"/>
      <c r="Z37" s="2"/>
      <c r="AA37" s="7">
        <f t="shared" si="1"/>
        <v>0</v>
      </c>
      <c r="AB37" s="8" t="s">
        <v>149</v>
      </c>
      <c r="AC37" s="8">
        <v>100</v>
      </c>
      <c r="AD37" s="8" t="s">
        <v>152</v>
      </c>
      <c r="AE37" s="8">
        <f t="shared" si="3"/>
        <v>15</v>
      </c>
      <c r="AF37"/>
    </row>
    <row r="38" spans="1:32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2"/>
      <c r="J38" s="2">
        <f>IFERROR(VLOOKUP(D38,'[3]Programa produccion Transferenc'!$C:$D,2,0),0)</f>
        <v>1200</v>
      </c>
      <c r="K38" s="2"/>
      <c r="L38" s="2"/>
      <c r="M38" s="2"/>
      <c r="N38" s="2"/>
      <c r="O38" s="8">
        <f t="shared" si="0"/>
        <v>-72</v>
      </c>
      <c r="P38" s="2"/>
      <c r="Q38" s="2"/>
      <c r="R38" s="35">
        <v>1124</v>
      </c>
      <c r="S38" s="18"/>
      <c r="T38" s="2"/>
      <c r="U38" s="2"/>
      <c r="V38" s="18"/>
      <c r="W38" s="18"/>
      <c r="X38" s="18"/>
      <c r="Y38" s="35">
        <v>148</v>
      </c>
      <c r="Z38" s="2"/>
      <c r="AA38" s="7">
        <f t="shared" si="1"/>
        <v>0</v>
      </c>
      <c r="AB38" s="8" t="s">
        <v>149</v>
      </c>
      <c r="AC38" s="8">
        <v>100</v>
      </c>
      <c r="AD38" s="8" t="s">
        <v>152</v>
      </c>
      <c r="AE38" s="8">
        <f t="shared" si="3"/>
        <v>12</v>
      </c>
      <c r="AF38"/>
    </row>
    <row r="39" spans="1:32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2"/>
      <c r="J39" s="2">
        <f>IFERROR(VLOOKUP(D39,'[3]Programa produccion Transferenc'!$C:$D,2,0),0)</f>
        <v>1300</v>
      </c>
      <c r="K39" s="2"/>
      <c r="L39" s="2"/>
      <c r="M39" s="2"/>
      <c r="N39" s="2"/>
      <c r="O39" s="8">
        <f t="shared" si="0"/>
        <v>1300</v>
      </c>
      <c r="P39" s="2"/>
      <c r="Q39" s="2"/>
      <c r="R39" s="18"/>
      <c r="S39" s="18"/>
      <c r="T39" s="2"/>
      <c r="U39" s="2"/>
      <c r="V39" s="18"/>
      <c r="W39" s="18"/>
      <c r="X39" s="18"/>
      <c r="Y39" s="35"/>
      <c r="Z39" s="2"/>
      <c r="AA39" s="7">
        <f t="shared" si="1"/>
        <v>0</v>
      </c>
      <c r="AB39" s="8" t="s">
        <v>150</v>
      </c>
      <c r="AC39" s="8">
        <v>2000</v>
      </c>
      <c r="AD39" s="8" t="s">
        <v>152</v>
      </c>
      <c r="AE39" s="8">
        <f t="shared" si="3"/>
        <v>0.65</v>
      </c>
      <c r="AF39"/>
    </row>
    <row r="40" spans="1:32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2"/>
      <c r="J40" s="2">
        <f>IFERROR(VLOOKUP(D40,'[3]Programa produccion Transferenc'!$C:$D,2,0),0)</f>
        <v>350</v>
      </c>
      <c r="K40" s="2"/>
      <c r="L40" s="2"/>
      <c r="M40" s="2"/>
      <c r="N40" s="2"/>
      <c r="O40" s="8">
        <f t="shared" si="0"/>
        <v>350</v>
      </c>
      <c r="P40" s="2"/>
      <c r="Q40" s="2"/>
      <c r="R40" s="18"/>
      <c r="S40" s="18"/>
      <c r="T40" s="2"/>
      <c r="U40" s="2"/>
      <c r="V40" s="18"/>
      <c r="W40" s="18"/>
      <c r="X40" s="18"/>
      <c r="Y40" s="35"/>
      <c r="Z40" s="2"/>
      <c r="AA40" s="7">
        <f t="shared" si="1"/>
        <v>0</v>
      </c>
      <c r="AB40" s="8" t="s">
        <v>150</v>
      </c>
      <c r="AC40" s="8">
        <v>500</v>
      </c>
      <c r="AD40" s="8" t="s">
        <v>152</v>
      </c>
      <c r="AE40" s="8">
        <f t="shared" si="3"/>
        <v>0.7</v>
      </c>
      <c r="AF40"/>
    </row>
    <row r="41" spans="1:32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2"/>
      <c r="J41" s="2">
        <f>IFERROR(VLOOKUP(D41,'[3]Programa produccion Transferenc'!$C:$D,2,0),0)</f>
        <v>0</v>
      </c>
      <c r="K41" s="2"/>
      <c r="L41" s="2"/>
      <c r="M41" s="2"/>
      <c r="N41" s="2"/>
      <c r="O41" s="8">
        <f t="shared" si="0"/>
        <v>0</v>
      </c>
      <c r="P41" s="2"/>
      <c r="Q41" s="2"/>
      <c r="R41" s="18"/>
      <c r="S41" s="18"/>
      <c r="T41" s="2"/>
      <c r="U41" s="2"/>
      <c r="V41" s="18"/>
      <c r="W41" s="18"/>
      <c r="X41" s="18"/>
      <c r="Y41" s="35"/>
      <c r="Z41" s="2"/>
      <c r="AA41" s="7">
        <f t="shared" si="1"/>
        <v>0</v>
      </c>
      <c r="AB41" s="8" t="s">
        <v>150</v>
      </c>
      <c r="AC41" s="8">
        <v>250</v>
      </c>
      <c r="AD41" s="8" t="s">
        <v>152</v>
      </c>
      <c r="AE41" s="8">
        <f t="shared" si="3"/>
        <v>0</v>
      </c>
      <c r="AF41"/>
    </row>
    <row r="42" spans="1:32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2">
        <v>1400</v>
      </c>
      <c r="J42" s="2">
        <f>IFERROR(VLOOKUP(D42,'[3]Programa produccion Transferenc'!$C:$D,2,0),0)</f>
        <v>247</v>
      </c>
      <c r="K42" s="2"/>
      <c r="L42" s="2"/>
      <c r="M42" s="2"/>
      <c r="N42" s="2"/>
      <c r="O42" s="8">
        <f t="shared" si="0"/>
        <v>1647</v>
      </c>
      <c r="P42" s="2"/>
      <c r="Q42" s="2"/>
      <c r="R42" s="18"/>
      <c r="S42" s="18"/>
      <c r="T42" s="2"/>
      <c r="U42" s="2"/>
      <c r="V42" s="18"/>
      <c r="W42" s="18"/>
      <c r="X42" s="18"/>
      <c r="Y42" s="35"/>
      <c r="Z42" s="2"/>
      <c r="AA42" s="7">
        <f t="shared" si="1"/>
        <v>0</v>
      </c>
      <c r="AB42" s="8" t="s">
        <v>150</v>
      </c>
      <c r="AC42" s="8">
        <v>300</v>
      </c>
      <c r="AD42" s="8" t="s">
        <v>152</v>
      </c>
      <c r="AE42" s="8">
        <f t="shared" si="3"/>
        <v>5.49</v>
      </c>
      <c r="AF42"/>
    </row>
    <row r="43" spans="1:32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2">
        <v>1500</v>
      </c>
      <c r="J43" s="2">
        <f>IFERROR(VLOOKUP(D43,'[3]Programa produccion Transferenc'!$C:$D,2,0),0)</f>
        <v>247</v>
      </c>
      <c r="K43" s="2"/>
      <c r="L43" s="2"/>
      <c r="M43" s="2"/>
      <c r="N43" s="2"/>
      <c r="O43" s="8">
        <f t="shared" si="0"/>
        <v>1747</v>
      </c>
      <c r="P43" s="2"/>
      <c r="Q43" s="2"/>
      <c r="R43" s="18"/>
      <c r="S43" s="18"/>
      <c r="T43" s="2"/>
      <c r="U43" s="2"/>
      <c r="V43" s="18"/>
      <c r="W43" s="18"/>
      <c r="X43" s="18"/>
      <c r="Y43" s="35"/>
      <c r="Z43" s="2"/>
      <c r="AA43" s="7">
        <f t="shared" si="1"/>
        <v>0</v>
      </c>
      <c r="AB43" s="8" t="s">
        <v>150</v>
      </c>
      <c r="AC43" s="8">
        <v>300</v>
      </c>
      <c r="AD43" s="8" t="s">
        <v>152</v>
      </c>
      <c r="AE43" s="8">
        <f t="shared" si="3"/>
        <v>5.8233333333333333</v>
      </c>
      <c r="AF43"/>
    </row>
    <row r="44" spans="1:32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2">
        <v>1000</v>
      </c>
      <c r="J44" s="2">
        <f>IFERROR(VLOOKUP(D44,'[3]Programa produccion Transferenc'!$C:$D,2,0),0)</f>
        <v>100</v>
      </c>
      <c r="K44" s="2"/>
      <c r="L44" s="2"/>
      <c r="M44" s="2"/>
      <c r="N44" s="2"/>
      <c r="O44" s="8">
        <f t="shared" si="0"/>
        <v>1100</v>
      </c>
      <c r="P44" s="2"/>
      <c r="Q44" s="2"/>
      <c r="R44" s="18"/>
      <c r="S44" s="18"/>
      <c r="T44" s="2"/>
      <c r="U44" s="2"/>
      <c r="V44" s="18"/>
      <c r="W44" s="18"/>
      <c r="X44" s="18"/>
      <c r="Y44" s="35"/>
      <c r="Z44" s="2"/>
      <c r="AA44" s="7">
        <f t="shared" si="1"/>
        <v>0</v>
      </c>
      <c r="AB44" s="8" t="s">
        <v>150</v>
      </c>
      <c r="AC44" s="8">
        <v>2000</v>
      </c>
      <c r="AD44" s="8" t="s">
        <v>152</v>
      </c>
      <c r="AE44" s="8">
        <f t="shared" si="3"/>
        <v>0.55000000000000004</v>
      </c>
      <c r="AF44"/>
    </row>
    <row r="45" spans="1:32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2">
        <v>1400</v>
      </c>
      <c r="J45" s="2">
        <f>IFERROR(VLOOKUP(D45,'[3]Programa produccion Transferenc'!$C:$D,2,0),0)</f>
        <v>150</v>
      </c>
      <c r="K45" s="2"/>
      <c r="L45" s="2"/>
      <c r="M45" s="2"/>
      <c r="N45" s="2"/>
      <c r="O45" s="8">
        <f t="shared" si="0"/>
        <v>1550</v>
      </c>
      <c r="P45" s="2"/>
      <c r="Q45" s="2"/>
      <c r="R45" s="18"/>
      <c r="S45" s="18"/>
      <c r="T45" s="2"/>
      <c r="U45" s="2"/>
      <c r="V45" s="18"/>
      <c r="W45" s="18"/>
      <c r="X45" s="18"/>
      <c r="Y45" s="35"/>
      <c r="Z45" s="2"/>
      <c r="AA45" s="7">
        <f t="shared" si="1"/>
        <v>0</v>
      </c>
      <c r="AB45" s="8" t="s">
        <v>150</v>
      </c>
      <c r="AC45" s="8">
        <v>1000</v>
      </c>
      <c r="AD45" s="8" t="s">
        <v>152</v>
      </c>
      <c r="AE45" s="8">
        <f t="shared" si="3"/>
        <v>1.55</v>
      </c>
      <c r="AF45"/>
    </row>
    <row r="46" spans="1:32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2"/>
      <c r="J46" s="2">
        <f>IFERROR(VLOOKUP(D46,'[3]Programa produccion Transferenc'!$C:$D,2,0),0)</f>
        <v>0</v>
      </c>
      <c r="K46" s="2"/>
      <c r="L46" s="2"/>
      <c r="M46" s="2"/>
      <c r="N46" s="2"/>
      <c r="O46" s="8">
        <f t="shared" si="0"/>
        <v>0</v>
      </c>
      <c r="P46" s="2"/>
      <c r="Q46" s="2"/>
      <c r="R46" s="18"/>
      <c r="S46" s="18"/>
      <c r="T46" s="2"/>
      <c r="U46" s="2"/>
      <c r="V46" s="18"/>
      <c r="W46" s="18"/>
      <c r="X46" s="18"/>
      <c r="Y46" s="35"/>
      <c r="Z46" s="2"/>
      <c r="AA46" s="7">
        <f t="shared" si="1"/>
        <v>0</v>
      </c>
      <c r="AB46" s="8">
        <v>0</v>
      </c>
      <c r="AC46" s="8">
        <v>0</v>
      </c>
      <c r="AD46" s="8" t="s">
        <v>152</v>
      </c>
      <c r="AE46" s="8">
        <v>0</v>
      </c>
      <c r="AF46"/>
    </row>
    <row r="47" spans="1:32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2"/>
      <c r="J47" s="2">
        <f>IFERROR(VLOOKUP(D47,'[3]Programa produccion Transferenc'!$C:$D,2,0),0)</f>
        <v>0</v>
      </c>
      <c r="K47" s="2"/>
      <c r="L47" s="2"/>
      <c r="M47" s="2"/>
      <c r="N47" s="2"/>
      <c r="O47" s="8">
        <f t="shared" si="0"/>
        <v>0</v>
      </c>
      <c r="P47" s="2"/>
      <c r="Q47" s="2"/>
      <c r="R47" s="18"/>
      <c r="S47" s="18"/>
      <c r="T47" s="2"/>
      <c r="U47" s="2"/>
      <c r="V47" s="18"/>
      <c r="W47" s="18"/>
      <c r="X47" s="18"/>
      <c r="Y47" s="35"/>
      <c r="Z47" s="2"/>
      <c r="AA47" s="7">
        <f t="shared" si="1"/>
        <v>0</v>
      </c>
      <c r="AB47" s="8">
        <v>0</v>
      </c>
      <c r="AC47" s="8">
        <v>0</v>
      </c>
      <c r="AD47" s="8" t="s">
        <v>152</v>
      </c>
      <c r="AE47" s="8">
        <v>0</v>
      </c>
      <c r="AF47"/>
    </row>
    <row r="48" spans="1:32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2"/>
      <c r="J48" s="2">
        <f>IFERROR(VLOOKUP(D48,'[3]Programa produccion Transferenc'!$C:$D,2,0),0)</f>
        <v>0</v>
      </c>
      <c r="K48" s="2"/>
      <c r="L48" s="2"/>
      <c r="M48" s="2"/>
      <c r="N48" s="2"/>
      <c r="O48" s="8">
        <f t="shared" si="0"/>
        <v>0</v>
      </c>
      <c r="P48" s="2"/>
      <c r="Q48" s="2"/>
      <c r="R48" s="18"/>
      <c r="S48" s="18"/>
      <c r="T48" s="2"/>
      <c r="U48" s="2"/>
      <c r="V48" s="18"/>
      <c r="W48" s="18"/>
      <c r="X48" s="18"/>
      <c r="Y48" s="35"/>
      <c r="Z48" s="2"/>
      <c r="AA48" s="7">
        <f t="shared" si="1"/>
        <v>0</v>
      </c>
      <c r="AB48" s="8">
        <v>0</v>
      </c>
      <c r="AC48" s="8">
        <v>0</v>
      </c>
      <c r="AD48" s="8" t="s">
        <v>152</v>
      </c>
      <c r="AE48" s="8">
        <v>0</v>
      </c>
      <c r="AF48"/>
    </row>
    <row r="49" spans="1:32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2"/>
      <c r="J49" s="2">
        <f>IFERROR(VLOOKUP(D49,'[3]Programa produccion Transferenc'!$C:$D,2,0),0)</f>
        <v>0</v>
      </c>
      <c r="K49" s="2"/>
      <c r="L49" s="2"/>
      <c r="M49" s="2"/>
      <c r="N49" s="2"/>
      <c r="O49" s="8">
        <f t="shared" si="0"/>
        <v>0</v>
      </c>
      <c r="P49" s="2"/>
      <c r="Q49" s="2"/>
      <c r="R49" s="18"/>
      <c r="S49" s="18"/>
      <c r="T49" s="2"/>
      <c r="U49" s="2"/>
      <c r="V49" s="18"/>
      <c r="W49" s="18"/>
      <c r="X49" s="18"/>
      <c r="Y49" s="35"/>
      <c r="Z49" s="2"/>
      <c r="AA49" s="7">
        <f t="shared" si="1"/>
        <v>0</v>
      </c>
      <c r="AB49" s="8">
        <v>0</v>
      </c>
      <c r="AC49" s="8">
        <v>0</v>
      </c>
      <c r="AD49" s="8" t="s">
        <v>152</v>
      </c>
      <c r="AE49" s="8">
        <v>0</v>
      </c>
      <c r="AF49"/>
    </row>
    <row r="50" spans="1:32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2"/>
      <c r="J50" s="2">
        <f>IFERROR(VLOOKUP(D50,'[3]Programa produccion Transferenc'!$C:$D,2,0),0)</f>
        <v>0</v>
      </c>
      <c r="K50" s="2"/>
      <c r="L50" s="2"/>
      <c r="M50" s="2"/>
      <c r="N50" s="2"/>
      <c r="O50" s="8">
        <f t="shared" si="0"/>
        <v>0</v>
      </c>
      <c r="P50" s="2"/>
      <c r="Q50" s="2"/>
      <c r="R50" s="18"/>
      <c r="S50" s="18"/>
      <c r="T50" s="2"/>
      <c r="U50" s="2"/>
      <c r="V50" s="18"/>
      <c r="W50" s="18"/>
      <c r="X50" s="18"/>
      <c r="Y50" s="35"/>
      <c r="Z50" s="2"/>
      <c r="AA50" s="7">
        <f t="shared" si="1"/>
        <v>0</v>
      </c>
      <c r="AB50" s="8">
        <v>0</v>
      </c>
      <c r="AC50" s="8">
        <v>0</v>
      </c>
      <c r="AD50" s="8" t="s">
        <v>152</v>
      </c>
      <c r="AE50" s="8">
        <v>0</v>
      </c>
      <c r="AF50"/>
    </row>
    <row r="51" spans="1:32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2"/>
      <c r="J51" s="2">
        <f>IFERROR(VLOOKUP(D51,'[3]Programa produccion Transferenc'!$C:$D,2,0),0)</f>
        <v>0</v>
      </c>
      <c r="K51" s="2"/>
      <c r="L51" s="2"/>
      <c r="M51" s="2"/>
      <c r="N51" s="2"/>
      <c r="O51" s="8">
        <f t="shared" si="0"/>
        <v>0</v>
      </c>
      <c r="P51" s="2"/>
      <c r="Q51" s="2"/>
      <c r="R51" s="18"/>
      <c r="S51" s="18"/>
      <c r="T51" s="2"/>
      <c r="U51" s="2"/>
      <c r="V51" s="18"/>
      <c r="W51" s="18"/>
      <c r="X51" s="18"/>
      <c r="Y51" s="35"/>
      <c r="Z51" s="2"/>
      <c r="AA51" s="7">
        <f t="shared" si="1"/>
        <v>0</v>
      </c>
      <c r="AB51" s="8">
        <v>0</v>
      </c>
      <c r="AC51" s="8">
        <v>0</v>
      </c>
      <c r="AD51" s="8" t="s">
        <v>152</v>
      </c>
      <c r="AE51" s="8">
        <v>0</v>
      </c>
      <c r="AF51"/>
    </row>
    <row r="52" spans="1:32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2"/>
      <c r="J52" s="2">
        <f>IFERROR(VLOOKUP(D52,'[3]Programa produccion Transferenc'!$C:$D,2,0),0)</f>
        <v>0</v>
      </c>
      <c r="K52" s="2"/>
      <c r="L52" s="2"/>
      <c r="M52" s="2"/>
      <c r="N52" s="2"/>
      <c r="O52" s="8">
        <f t="shared" si="0"/>
        <v>0</v>
      </c>
      <c r="P52" s="2"/>
      <c r="Q52" s="2"/>
      <c r="R52" s="18"/>
      <c r="S52" s="18"/>
      <c r="T52" s="2"/>
      <c r="U52" s="2"/>
      <c r="V52" s="18"/>
      <c r="W52" s="18"/>
      <c r="X52" s="18"/>
      <c r="Y52" s="35"/>
      <c r="Z52" s="2"/>
      <c r="AA52" s="7">
        <f t="shared" si="1"/>
        <v>0</v>
      </c>
      <c r="AB52" s="8">
        <v>0</v>
      </c>
      <c r="AC52" s="8">
        <v>0</v>
      </c>
      <c r="AD52" s="8" t="s">
        <v>152</v>
      </c>
      <c r="AE52" s="8">
        <v>0</v>
      </c>
      <c r="AF52"/>
    </row>
    <row r="53" spans="1:32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2"/>
      <c r="J53" s="2">
        <f>IFERROR(VLOOKUP(D53,'[3]Programa produccion Transferenc'!$C:$D,2,0),0)</f>
        <v>0</v>
      </c>
      <c r="K53" s="2"/>
      <c r="L53" s="2"/>
      <c r="M53" s="2"/>
      <c r="N53" s="2"/>
      <c r="O53" s="8">
        <f t="shared" si="0"/>
        <v>0</v>
      </c>
      <c r="P53" s="2"/>
      <c r="Q53" s="2"/>
      <c r="R53" s="18"/>
      <c r="S53" s="18"/>
      <c r="T53" s="2"/>
      <c r="U53" s="2"/>
      <c r="V53" s="18"/>
      <c r="W53" s="18"/>
      <c r="X53" s="18"/>
      <c r="Y53" s="35"/>
      <c r="Z53" s="2"/>
      <c r="AA53" s="7">
        <f t="shared" si="1"/>
        <v>0</v>
      </c>
      <c r="AB53" s="8">
        <v>0</v>
      </c>
      <c r="AC53" s="8">
        <v>0</v>
      </c>
      <c r="AD53" s="8" t="s">
        <v>152</v>
      </c>
      <c r="AE53" s="8">
        <v>0</v>
      </c>
      <c r="AF53"/>
    </row>
    <row r="54" spans="1:32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2"/>
      <c r="J54" s="2">
        <f>IFERROR(VLOOKUP(D54,'[3]Programa produccion Transferenc'!$C:$D,2,0),0)</f>
        <v>0</v>
      </c>
      <c r="K54" s="2"/>
      <c r="L54" s="2"/>
      <c r="M54" s="2"/>
      <c r="N54" s="2"/>
      <c r="O54" s="8">
        <f t="shared" si="0"/>
        <v>0</v>
      </c>
      <c r="P54" s="2"/>
      <c r="Q54" s="2"/>
      <c r="R54" s="18"/>
      <c r="S54" s="18"/>
      <c r="T54" s="2"/>
      <c r="U54" s="2"/>
      <c r="V54" s="18"/>
      <c r="W54" s="18"/>
      <c r="X54" s="18"/>
      <c r="Y54" s="35"/>
      <c r="Z54" s="2"/>
      <c r="AA54" s="7">
        <f t="shared" si="1"/>
        <v>0</v>
      </c>
      <c r="AB54" s="8">
        <v>0</v>
      </c>
      <c r="AC54" s="8">
        <v>0</v>
      </c>
      <c r="AD54" s="8" t="s">
        <v>152</v>
      </c>
      <c r="AE54" s="8">
        <v>0</v>
      </c>
      <c r="AF54"/>
    </row>
    <row r="55" spans="1:32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2"/>
      <c r="J55" s="2">
        <f>IFERROR(VLOOKUP(D55,'[3]Programa produccion Transferenc'!$C:$D,2,0),0)</f>
        <v>0</v>
      </c>
      <c r="K55" s="2"/>
      <c r="L55" s="2"/>
      <c r="M55" s="2"/>
      <c r="N55" s="2"/>
      <c r="O55" s="8">
        <f t="shared" si="0"/>
        <v>0</v>
      </c>
      <c r="P55" s="2"/>
      <c r="Q55" s="2"/>
      <c r="R55" s="18"/>
      <c r="S55" s="18"/>
      <c r="T55" s="2"/>
      <c r="U55" s="2"/>
      <c r="V55" s="18"/>
      <c r="W55" s="18"/>
      <c r="X55" s="18"/>
      <c r="Y55" s="35"/>
      <c r="Z55" s="2"/>
      <c r="AA55" s="7">
        <f t="shared" si="1"/>
        <v>0</v>
      </c>
      <c r="AB55" s="8">
        <v>0</v>
      </c>
      <c r="AC55" s="8">
        <v>0</v>
      </c>
      <c r="AD55" s="8" t="s">
        <v>152</v>
      </c>
      <c r="AE55" s="8">
        <v>0</v>
      </c>
      <c r="AF55"/>
    </row>
    <row r="56" spans="1:32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2"/>
      <c r="J56" s="2">
        <f>IFERROR(VLOOKUP(D56,'[3]Programa produccion Transferenc'!$C:$D,2,0),0)</f>
        <v>0</v>
      </c>
      <c r="K56" s="2"/>
      <c r="L56" s="2"/>
      <c r="M56" s="2"/>
      <c r="N56" s="2"/>
      <c r="O56" s="8">
        <f t="shared" si="0"/>
        <v>0</v>
      </c>
      <c r="P56" s="2"/>
      <c r="Q56" s="2"/>
      <c r="R56" s="18"/>
      <c r="S56" s="18"/>
      <c r="T56" s="2"/>
      <c r="U56" s="2"/>
      <c r="V56" s="18"/>
      <c r="W56" s="18"/>
      <c r="X56" s="18"/>
      <c r="Y56" s="35"/>
      <c r="Z56" s="2"/>
      <c r="AA56" s="7">
        <f t="shared" si="1"/>
        <v>0</v>
      </c>
      <c r="AB56" s="8">
        <v>0</v>
      </c>
      <c r="AC56" s="8">
        <v>0</v>
      </c>
      <c r="AD56" s="8" t="s">
        <v>152</v>
      </c>
      <c r="AE56" s="8">
        <v>0</v>
      </c>
      <c r="AF56"/>
    </row>
    <row r="57" spans="1:32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2"/>
      <c r="J57" s="2">
        <f>IFERROR(VLOOKUP(D57,'[3]Programa produccion Transferenc'!$C:$D,2,0),0)</f>
        <v>800</v>
      </c>
      <c r="K57" s="2"/>
      <c r="L57" s="2"/>
      <c r="M57" s="2"/>
      <c r="N57" s="2"/>
      <c r="O57" s="8">
        <f t="shared" si="0"/>
        <v>100</v>
      </c>
      <c r="P57" s="2"/>
      <c r="Q57" s="2"/>
      <c r="R57" s="18"/>
      <c r="S57" s="18"/>
      <c r="T57" s="2"/>
      <c r="U57" s="2"/>
      <c r="V57" s="18"/>
      <c r="W57" s="18"/>
      <c r="X57" s="18">
        <v>700</v>
      </c>
      <c r="Y57" s="35"/>
      <c r="Z57" s="2"/>
      <c r="AA57" s="7">
        <f t="shared" si="1"/>
        <v>0</v>
      </c>
      <c r="AB57" s="8" t="s">
        <v>150</v>
      </c>
      <c r="AC57" s="8">
        <v>1000</v>
      </c>
      <c r="AD57" s="8" t="s">
        <v>152</v>
      </c>
      <c r="AE57" s="8">
        <f t="shared" ref="AE57:AE63" si="4">+SUM(I57:N57)/AC57</f>
        <v>0.8</v>
      </c>
      <c r="AF57"/>
    </row>
    <row r="58" spans="1:32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2"/>
      <c r="J58" s="2">
        <f>IFERROR(VLOOKUP(D58,'[3]Programa produccion Transferenc'!$C:$D,2,0),0)</f>
        <v>950</v>
      </c>
      <c r="K58" s="2"/>
      <c r="L58" s="2"/>
      <c r="M58" s="2"/>
      <c r="N58" s="2"/>
      <c r="O58" s="8">
        <f t="shared" si="0"/>
        <v>69</v>
      </c>
      <c r="P58" s="2"/>
      <c r="Q58" s="2"/>
      <c r="R58" s="18"/>
      <c r="S58" s="18"/>
      <c r="T58" s="2"/>
      <c r="U58" s="2"/>
      <c r="V58" s="18"/>
      <c r="W58" s="18"/>
      <c r="X58" s="18">
        <v>881</v>
      </c>
      <c r="Y58" s="35"/>
      <c r="Z58" s="2"/>
      <c r="AA58" s="7">
        <f t="shared" si="1"/>
        <v>0</v>
      </c>
      <c r="AB58" s="8" t="s">
        <v>151</v>
      </c>
      <c r="AC58" s="8">
        <v>200</v>
      </c>
      <c r="AD58" s="8" t="s">
        <v>152</v>
      </c>
      <c r="AE58" s="8">
        <f t="shared" si="4"/>
        <v>4.75</v>
      </c>
      <c r="AF58"/>
    </row>
    <row r="59" spans="1:32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2"/>
      <c r="J59" s="2">
        <f>IFERROR(VLOOKUP(D59,'[3]Programa produccion Transferenc'!$C:$D,2,0),0)</f>
        <v>300</v>
      </c>
      <c r="K59" s="2"/>
      <c r="L59" s="2"/>
      <c r="M59" s="2"/>
      <c r="N59" s="2"/>
      <c r="O59" s="8">
        <f t="shared" si="0"/>
        <v>300</v>
      </c>
      <c r="P59" s="2"/>
      <c r="Q59" s="2"/>
      <c r="R59" s="18"/>
      <c r="S59" s="18"/>
      <c r="T59" s="2"/>
      <c r="U59" s="2"/>
      <c r="V59" s="18"/>
      <c r="W59" s="18"/>
      <c r="X59" s="18"/>
      <c r="Y59" s="35"/>
      <c r="Z59" s="2"/>
      <c r="AA59" s="7">
        <f t="shared" si="1"/>
        <v>0</v>
      </c>
      <c r="AB59" s="8" t="s">
        <v>150</v>
      </c>
      <c r="AC59" s="8">
        <v>1000</v>
      </c>
      <c r="AD59" s="8" t="s">
        <v>152</v>
      </c>
      <c r="AE59" s="8">
        <f t="shared" si="4"/>
        <v>0.3</v>
      </c>
      <c r="AF59"/>
    </row>
    <row r="60" spans="1:32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2">
        <v>100</v>
      </c>
      <c r="J60" s="2">
        <f>IFERROR(VLOOKUP(D60,'[3]Programa produccion Transferenc'!$C:$D,2,0),0)</f>
        <v>0</v>
      </c>
      <c r="K60" s="2"/>
      <c r="L60" s="2"/>
      <c r="M60" s="2"/>
      <c r="N60" s="2"/>
      <c r="O60" s="8">
        <f t="shared" si="0"/>
        <v>100</v>
      </c>
      <c r="P60" s="2"/>
      <c r="Q60" s="2"/>
      <c r="R60" s="18"/>
      <c r="S60" s="18"/>
      <c r="T60" s="2"/>
      <c r="U60" s="2"/>
      <c r="V60" s="18"/>
      <c r="W60" s="18"/>
      <c r="X60" s="18"/>
      <c r="Y60" s="35"/>
      <c r="Z60" s="2"/>
      <c r="AA60" s="7">
        <f t="shared" si="1"/>
        <v>0</v>
      </c>
      <c r="AB60" s="8" t="s">
        <v>151</v>
      </c>
      <c r="AC60" s="8">
        <v>500</v>
      </c>
      <c r="AD60" s="8" t="s">
        <v>152</v>
      </c>
      <c r="AE60" s="8">
        <f t="shared" si="4"/>
        <v>0.2</v>
      </c>
      <c r="AF60"/>
    </row>
    <row r="61" spans="1:32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2"/>
      <c r="J61" s="2">
        <f>IFERROR(VLOOKUP(D61,'[3]Programa produccion Transferenc'!$C:$D,2,0),0)</f>
        <v>500</v>
      </c>
      <c r="K61" s="2"/>
      <c r="L61" s="2"/>
      <c r="M61" s="2"/>
      <c r="N61" s="2"/>
      <c r="O61" s="8">
        <f t="shared" si="0"/>
        <v>500</v>
      </c>
      <c r="P61" s="2"/>
      <c r="Q61" s="2"/>
      <c r="R61" s="18"/>
      <c r="S61" s="18"/>
      <c r="T61" s="2"/>
      <c r="U61" s="2"/>
      <c r="V61" s="18"/>
      <c r="W61" s="18"/>
      <c r="X61" s="18"/>
      <c r="Y61" s="35"/>
      <c r="Z61" s="2"/>
      <c r="AA61" s="7">
        <f t="shared" si="1"/>
        <v>0</v>
      </c>
      <c r="AB61" s="8" t="s">
        <v>150</v>
      </c>
      <c r="AC61" s="8">
        <v>1000</v>
      </c>
      <c r="AD61" s="8" t="s">
        <v>152</v>
      </c>
      <c r="AE61" s="8">
        <f t="shared" si="4"/>
        <v>0.5</v>
      </c>
      <c r="AF61"/>
    </row>
    <row r="62" spans="1:32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2"/>
      <c r="J62" s="2">
        <f>IFERROR(VLOOKUP(D62,'[3]Programa produccion Transferenc'!$C:$D,2,0),0)</f>
        <v>550</v>
      </c>
      <c r="K62" s="2"/>
      <c r="L62" s="2"/>
      <c r="M62" s="2"/>
      <c r="N62" s="2"/>
      <c r="O62" s="8">
        <f t="shared" si="0"/>
        <v>17</v>
      </c>
      <c r="P62" s="2"/>
      <c r="Q62" s="2"/>
      <c r="R62" s="18"/>
      <c r="S62" s="18"/>
      <c r="T62" s="2"/>
      <c r="U62" s="2"/>
      <c r="V62" s="18"/>
      <c r="W62" s="18"/>
      <c r="X62" s="18"/>
      <c r="Y62" s="35">
        <v>533</v>
      </c>
      <c r="Z62" s="2"/>
      <c r="AA62" s="7">
        <f t="shared" si="1"/>
        <v>0</v>
      </c>
      <c r="AB62" s="8" t="s">
        <v>151</v>
      </c>
      <c r="AC62" s="8">
        <v>200</v>
      </c>
      <c r="AD62" s="8" t="s">
        <v>152</v>
      </c>
      <c r="AE62" s="8">
        <f t="shared" si="4"/>
        <v>2.75</v>
      </c>
      <c r="AF62"/>
    </row>
    <row r="63" spans="1:32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2"/>
      <c r="J63" s="2">
        <f>IFERROR(VLOOKUP(D63,'[3]Programa produccion Transferenc'!$C:$D,2,0),0)</f>
        <v>518</v>
      </c>
      <c r="K63" s="2"/>
      <c r="L63" s="2"/>
      <c r="M63" s="2"/>
      <c r="N63" s="2"/>
      <c r="O63" s="8">
        <f t="shared" si="0"/>
        <v>518</v>
      </c>
      <c r="P63" s="2"/>
      <c r="Q63" s="2"/>
      <c r="R63" s="18"/>
      <c r="S63" s="18"/>
      <c r="T63" s="2"/>
      <c r="U63" s="2"/>
      <c r="V63" s="18"/>
      <c r="W63" s="18"/>
      <c r="X63" s="18"/>
      <c r="Y63" s="35"/>
      <c r="Z63" s="2"/>
      <c r="AA63" s="7">
        <f t="shared" si="1"/>
        <v>0</v>
      </c>
      <c r="AB63" s="8" t="s">
        <v>151</v>
      </c>
      <c r="AC63" s="8">
        <v>500</v>
      </c>
      <c r="AD63" s="8" t="s">
        <v>152</v>
      </c>
      <c r="AE63" s="8">
        <f t="shared" si="4"/>
        <v>1.036</v>
      </c>
      <c r="AF63"/>
    </row>
    <row r="64" spans="1:32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2"/>
      <c r="J64" s="2">
        <f>IFERROR(VLOOKUP(D64,'[3]Programa produccion Transferenc'!$C:$D,2,0),0)</f>
        <v>0</v>
      </c>
      <c r="K64" s="2"/>
      <c r="L64" s="2"/>
      <c r="M64" s="2"/>
      <c r="N64" s="2"/>
      <c r="O64" s="8">
        <f t="shared" si="0"/>
        <v>0</v>
      </c>
      <c r="P64" s="2"/>
      <c r="Q64" s="2"/>
      <c r="R64" s="18"/>
      <c r="S64" s="18"/>
      <c r="T64" s="2"/>
      <c r="U64" s="2"/>
      <c r="V64" s="18"/>
      <c r="W64" s="18"/>
      <c r="X64" s="18"/>
      <c r="Y64" s="35"/>
      <c r="Z64" s="2"/>
      <c r="AA64" s="7">
        <f t="shared" si="1"/>
        <v>0</v>
      </c>
      <c r="AB64" s="8">
        <v>0</v>
      </c>
      <c r="AC64" s="8">
        <v>0</v>
      </c>
      <c r="AD64" s="8" t="s">
        <v>152</v>
      </c>
      <c r="AE64" s="8">
        <v>0</v>
      </c>
      <c r="AF64"/>
    </row>
    <row r="65" spans="1:32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2"/>
      <c r="J65" s="2">
        <f>IFERROR(VLOOKUP(D65,'[3]Programa produccion Transferenc'!$C:$D,2,0),0)</f>
        <v>0</v>
      </c>
      <c r="K65" s="2"/>
      <c r="L65" s="2"/>
      <c r="M65" s="2"/>
      <c r="N65" s="2"/>
      <c r="O65" s="8">
        <f t="shared" si="0"/>
        <v>0</v>
      </c>
      <c r="P65" s="2"/>
      <c r="Q65" s="2"/>
      <c r="R65" s="18"/>
      <c r="S65" s="18"/>
      <c r="T65" s="2"/>
      <c r="U65" s="2"/>
      <c r="V65" s="18"/>
      <c r="W65" s="18"/>
      <c r="X65" s="18"/>
      <c r="Y65" s="35"/>
      <c r="Z65" s="2"/>
      <c r="AA65" s="7">
        <f t="shared" si="1"/>
        <v>0</v>
      </c>
      <c r="AB65" s="8">
        <v>0</v>
      </c>
      <c r="AC65" s="8">
        <v>0</v>
      </c>
      <c r="AD65" s="8" t="s">
        <v>152</v>
      </c>
      <c r="AE65" s="8">
        <v>0</v>
      </c>
      <c r="AF65"/>
    </row>
    <row r="66" spans="1:32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2"/>
      <c r="J66" s="2">
        <f>IFERROR(VLOOKUP(D66,'[3]Programa produccion Transferenc'!$C:$D,2,0),0)</f>
        <v>0</v>
      </c>
      <c r="K66" s="2"/>
      <c r="L66" s="2"/>
      <c r="M66" s="2"/>
      <c r="N66" s="2"/>
      <c r="O66" s="8">
        <f t="shared" si="0"/>
        <v>0</v>
      </c>
      <c r="P66" s="2"/>
      <c r="Q66" s="2"/>
      <c r="R66" s="18"/>
      <c r="S66" s="18"/>
      <c r="T66" s="2"/>
      <c r="U66" s="2"/>
      <c r="V66" s="18"/>
      <c r="W66" s="18"/>
      <c r="X66" s="18"/>
      <c r="Y66" s="35"/>
      <c r="Z66" s="2"/>
      <c r="AA66" s="7">
        <f t="shared" si="1"/>
        <v>0</v>
      </c>
      <c r="AB66" s="8">
        <v>0</v>
      </c>
      <c r="AC66" s="8">
        <v>0</v>
      </c>
      <c r="AD66" s="8" t="s">
        <v>152</v>
      </c>
      <c r="AE66" s="8">
        <v>0</v>
      </c>
      <c r="AF66"/>
    </row>
    <row r="67" spans="1:32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2"/>
      <c r="J67" s="2">
        <f>IFERROR(VLOOKUP(D67,'[3]Programa produccion Transferenc'!$C:$D,2,0),0)</f>
        <v>0</v>
      </c>
      <c r="K67" s="2"/>
      <c r="L67" s="2"/>
      <c r="M67" s="2"/>
      <c r="N67" s="2"/>
      <c r="O67" s="8">
        <f t="shared" si="0"/>
        <v>0</v>
      </c>
      <c r="P67" s="2"/>
      <c r="Q67" s="2"/>
      <c r="R67" s="18"/>
      <c r="S67" s="18"/>
      <c r="T67" s="2"/>
      <c r="U67" s="2"/>
      <c r="V67" s="18"/>
      <c r="W67" s="18"/>
      <c r="X67" s="18"/>
      <c r="Y67" s="35"/>
      <c r="Z67" s="2"/>
      <c r="AA67" s="7">
        <f t="shared" si="1"/>
        <v>0</v>
      </c>
      <c r="AB67" s="8" t="s">
        <v>151</v>
      </c>
      <c r="AC67" s="8">
        <v>200</v>
      </c>
      <c r="AD67" s="8" t="s">
        <v>152</v>
      </c>
      <c r="AE67" s="8">
        <f>+SUM(I67:N67)/AC67</f>
        <v>0</v>
      </c>
      <c r="AF67"/>
    </row>
    <row r="68" spans="1:32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2"/>
      <c r="J68" s="2">
        <f>IFERROR(VLOOKUP(D68,'[3]Programa produccion Transferenc'!$C:$D,2,0),0)</f>
        <v>0</v>
      </c>
      <c r="K68" s="2"/>
      <c r="L68" s="2"/>
      <c r="M68" s="2"/>
      <c r="N68" s="2"/>
      <c r="O68" s="8">
        <f t="shared" si="0"/>
        <v>0</v>
      </c>
      <c r="P68" s="2"/>
      <c r="Q68" s="2"/>
      <c r="R68" s="18"/>
      <c r="S68" s="18"/>
      <c r="T68" s="2"/>
      <c r="U68" s="2"/>
      <c r="V68" s="18"/>
      <c r="W68" s="18"/>
      <c r="X68" s="18"/>
      <c r="Y68" s="35"/>
      <c r="Z68" s="2"/>
      <c r="AA68" s="7">
        <f t="shared" si="1"/>
        <v>0</v>
      </c>
      <c r="AB68" s="8">
        <v>0</v>
      </c>
      <c r="AC68" s="8">
        <v>0</v>
      </c>
      <c r="AD68" s="8" t="s">
        <v>152</v>
      </c>
      <c r="AE68" s="8">
        <v>0</v>
      </c>
      <c r="AF68"/>
    </row>
    <row r="69" spans="1:32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2">
        <v>600</v>
      </c>
      <c r="J69" s="2">
        <f>IFERROR(VLOOKUP(D69,'[3]Programa produccion Transferenc'!$C:$D,2,0),0)</f>
        <v>0</v>
      </c>
      <c r="K69" s="2"/>
      <c r="L69" s="2"/>
      <c r="M69" s="2"/>
      <c r="N69" s="2"/>
      <c r="O69" s="8">
        <f t="shared" si="0"/>
        <v>0</v>
      </c>
      <c r="P69" s="2"/>
      <c r="Q69" s="2"/>
      <c r="R69" s="18"/>
      <c r="S69" s="18"/>
      <c r="T69" s="2"/>
      <c r="U69" s="2"/>
      <c r="V69" s="18"/>
      <c r="W69" s="18"/>
      <c r="X69" s="18"/>
      <c r="Y69" s="35"/>
      <c r="Z69" s="2">
        <v>600</v>
      </c>
      <c r="AA69" s="7">
        <f t="shared" si="1"/>
        <v>0</v>
      </c>
      <c r="AB69" s="8">
        <v>0</v>
      </c>
      <c r="AC69" s="8">
        <v>0</v>
      </c>
      <c r="AD69" s="8" t="s">
        <v>152</v>
      </c>
      <c r="AE69" s="8">
        <v>0</v>
      </c>
      <c r="AF69"/>
    </row>
    <row r="70" spans="1:32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2"/>
      <c r="J70" s="2">
        <f>IFERROR(VLOOKUP(D70,'[3]Programa produccion Transferenc'!$C:$D,2,0),0)</f>
        <v>0</v>
      </c>
      <c r="K70" s="2"/>
      <c r="L70" s="2"/>
      <c r="M70" s="2"/>
      <c r="N70" s="2"/>
      <c r="O70" s="8">
        <f t="shared" ref="O70:O133" si="5">+I70+J70+K70+L70+M70+N70-SUM(P70:Z70)</f>
        <v>0</v>
      </c>
      <c r="P70" s="2"/>
      <c r="Q70" s="2"/>
      <c r="R70" s="18"/>
      <c r="S70" s="18"/>
      <c r="T70" s="2"/>
      <c r="U70" s="2"/>
      <c r="V70" s="18"/>
      <c r="W70" s="18"/>
      <c r="X70" s="18"/>
      <c r="Y70" s="35"/>
      <c r="Z70" s="2"/>
      <c r="AA70" s="7">
        <f t="shared" ref="AA70:AA133" si="6">+G70*SUM(I70:N70)</f>
        <v>0</v>
      </c>
      <c r="AB70" s="8" t="s">
        <v>151</v>
      </c>
      <c r="AC70" s="8">
        <v>200</v>
      </c>
      <c r="AD70" s="8" t="s">
        <v>152</v>
      </c>
      <c r="AE70" s="8">
        <f>+SUM(I70:N70)/AC70</f>
        <v>0</v>
      </c>
      <c r="AF70"/>
    </row>
    <row r="71" spans="1:32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2"/>
      <c r="J71" s="2">
        <f>IFERROR(VLOOKUP(D71,'[3]Programa produccion Transferenc'!$C:$D,2,0),0)</f>
        <v>0</v>
      </c>
      <c r="K71" s="2"/>
      <c r="L71" s="2"/>
      <c r="M71" s="2"/>
      <c r="N71" s="2"/>
      <c r="O71" s="8">
        <f t="shared" si="5"/>
        <v>0</v>
      </c>
      <c r="P71" s="2"/>
      <c r="Q71" s="2"/>
      <c r="R71" s="18"/>
      <c r="S71" s="18"/>
      <c r="T71" s="2"/>
      <c r="U71" s="2"/>
      <c r="V71" s="18"/>
      <c r="W71" s="18"/>
      <c r="X71" s="18"/>
      <c r="Y71" s="35"/>
      <c r="Z71" s="2"/>
      <c r="AA71" s="7">
        <f t="shared" si="6"/>
        <v>0</v>
      </c>
      <c r="AB71" s="8" t="s">
        <v>151</v>
      </c>
      <c r="AC71" s="8">
        <v>500</v>
      </c>
      <c r="AD71" s="8" t="s">
        <v>152</v>
      </c>
      <c r="AE71" s="8">
        <f>+SUM(I71:N71)/AC71</f>
        <v>0</v>
      </c>
      <c r="AF71"/>
    </row>
    <row r="72" spans="1:32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2"/>
      <c r="J72" s="2">
        <f>IFERROR(VLOOKUP(D72,'[3]Programa produccion Transferenc'!$C:$D,2,0),0)</f>
        <v>0</v>
      </c>
      <c r="K72" s="2"/>
      <c r="L72" s="2"/>
      <c r="M72" s="2"/>
      <c r="N72" s="2"/>
      <c r="O72" s="8">
        <f t="shared" si="5"/>
        <v>0</v>
      </c>
      <c r="P72" s="2"/>
      <c r="Q72" s="2"/>
      <c r="R72" s="18"/>
      <c r="S72" s="18"/>
      <c r="T72" s="2"/>
      <c r="U72" s="2"/>
      <c r="V72" s="18"/>
      <c r="W72" s="18"/>
      <c r="X72" s="18"/>
      <c r="Y72" s="35"/>
      <c r="Z72" s="2"/>
      <c r="AA72" s="7">
        <f t="shared" si="6"/>
        <v>0</v>
      </c>
      <c r="AB72" s="8" t="s">
        <v>151</v>
      </c>
      <c r="AC72" s="8">
        <v>200</v>
      </c>
      <c r="AD72" s="8" t="s">
        <v>152</v>
      </c>
      <c r="AE72" s="8">
        <f>+SUM(I72:N72)/AC72</f>
        <v>0</v>
      </c>
      <c r="AF72"/>
    </row>
    <row r="73" spans="1:32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2"/>
      <c r="J73" s="2">
        <f>IFERROR(VLOOKUP(D73,'[3]Programa produccion Transferenc'!$C:$D,2,0),0)</f>
        <v>0</v>
      </c>
      <c r="K73" s="2"/>
      <c r="L73" s="2"/>
      <c r="M73" s="2"/>
      <c r="N73" s="2"/>
      <c r="O73" s="8">
        <f t="shared" si="5"/>
        <v>0</v>
      </c>
      <c r="P73" s="2"/>
      <c r="Q73" s="2"/>
      <c r="R73" s="18"/>
      <c r="S73" s="18"/>
      <c r="T73" s="2"/>
      <c r="U73" s="2"/>
      <c r="V73" s="18"/>
      <c r="W73" s="18"/>
      <c r="X73" s="18"/>
      <c r="Y73" s="35"/>
      <c r="Z73" s="2"/>
      <c r="AA73" s="7">
        <f t="shared" si="6"/>
        <v>0</v>
      </c>
      <c r="AB73" s="8">
        <v>0</v>
      </c>
      <c r="AC73" s="8">
        <v>0</v>
      </c>
      <c r="AD73" s="8" t="s">
        <v>152</v>
      </c>
      <c r="AE73" s="8">
        <v>0</v>
      </c>
      <c r="AF73"/>
    </row>
    <row r="74" spans="1:32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2"/>
      <c r="J74" s="2">
        <f>IFERROR(VLOOKUP(D74,'[3]Programa produccion Transferenc'!$C:$D,2,0),0)</f>
        <v>0</v>
      </c>
      <c r="K74" s="2"/>
      <c r="L74" s="2"/>
      <c r="M74" s="2"/>
      <c r="N74" s="2"/>
      <c r="O74" s="8">
        <f t="shared" si="5"/>
        <v>0</v>
      </c>
      <c r="P74" s="2"/>
      <c r="Q74" s="2"/>
      <c r="R74" s="18"/>
      <c r="S74" s="18"/>
      <c r="T74" s="2"/>
      <c r="U74" s="2"/>
      <c r="V74" s="18"/>
      <c r="W74" s="18"/>
      <c r="X74" s="18"/>
      <c r="Y74" s="35"/>
      <c r="Z74" s="2"/>
      <c r="AA74" s="7">
        <f t="shared" si="6"/>
        <v>0</v>
      </c>
      <c r="AB74" s="8">
        <v>0</v>
      </c>
      <c r="AC74" s="8">
        <v>0</v>
      </c>
      <c r="AD74" s="8" t="s">
        <v>152</v>
      </c>
      <c r="AE74" s="8">
        <v>0</v>
      </c>
      <c r="AF74"/>
    </row>
    <row r="75" spans="1:32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2">
        <v>100</v>
      </c>
      <c r="J75" s="2">
        <f>IFERROR(VLOOKUP(D75,'[3]Programa produccion Transferenc'!$C:$D,2,0),0)</f>
        <v>0</v>
      </c>
      <c r="K75" s="2"/>
      <c r="L75" s="2"/>
      <c r="M75" s="2"/>
      <c r="N75" s="2"/>
      <c r="O75" s="8">
        <f t="shared" si="5"/>
        <v>0</v>
      </c>
      <c r="P75" s="2"/>
      <c r="Q75" s="2"/>
      <c r="R75" s="18"/>
      <c r="S75" s="18"/>
      <c r="T75" s="2"/>
      <c r="U75" s="2"/>
      <c r="V75" s="18"/>
      <c r="W75" s="18"/>
      <c r="X75" s="18"/>
      <c r="Y75" s="35"/>
      <c r="Z75" s="2">
        <v>100</v>
      </c>
      <c r="AA75" s="7">
        <f t="shared" si="6"/>
        <v>0</v>
      </c>
      <c r="AB75" s="8">
        <v>0</v>
      </c>
      <c r="AC75" s="8">
        <v>0</v>
      </c>
      <c r="AD75" s="8" t="s">
        <v>152</v>
      </c>
      <c r="AE75" s="8">
        <v>0</v>
      </c>
      <c r="AF75"/>
    </row>
    <row r="76" spans="1:32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2"/>
      <c r="J76" s="2">
        <f>IFERROR(VLOOKUP(D76,'[3]Programa produccion Transferenc'!$C:$D,2,0),0)</f>
        <v>0</v>
      </c>
      <c r="K76" s="2"/>
      <c r="L76" s="2"/>
      <c r="M76" s="2"/>
      <c r="N76" s="2"/>
      <c r="O76" s="8">
        <f t="shared" si="5"/>
        <v>0</v>
      </c>
      <c r="P76" s="2"/>
      <c r="Q76" s="2"/>
      <c r="R76" s="18"/>
      <c r="S76" s="18"/>
      <c r="T76" s="2"/>
      <c r="U76" s="2"/>
      <c r="V76" s="18"/>
      <c r="W76" s="18"/>
      <c r="X76" s="18"/>
      <c r="Y76" s="35"/>
      <c r="Z76" s="2"/>
      <c r="AA76" s="7">
        <f t="shared" si="6"/>
        <v>0</v>
      </c>
      <c r="AB76" s="8">
        <v>0</v>
      </c>
      <c r="AC76" s="8">
        <v>0</v>
      </c>
      <c r="AD76" s="8" t="s">
        <v>152</v>
      </c>
      <c r="AE76" s="8">
        <v>0</v>
      </c>
      <c r="AF76"/>
    </row>
    <row r="77" spans="1:32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2"/>
      <c r="J77" s="2">
        <f>IFERROR(VLOOKUP(D77,'[3]Programa produccion Transferenc'!$C:$D,2,0),0)</f>
        <v>0</v>
      </c>
      <c r="K77" s="2"/>
      <c r="L77" s="2"/>
      <c r="M77" s="2"/>
      <c r="N77" s="2"/>
      <c r="O77" s="8">
        <f t="shared" si="5"/>
        <v>0</v>
      </c>
      <c r="P77" s="2"/>
      <c r="Q77" s="2"/>
      <c r="R77" s="18"/>
      <c r="S77" s="18"/>
      <c r="T77" s="2"/>
      <c r="U77" s="2"/>
      <c r="V77" s="18"/>
      <c r="W77" s="18"/>
      <c r="X77" s="18"/>
      <c r="Y77" s="35"/>
      <c r="Z77" s="2"/>
      <c r="AA77" s="7">
        <f t="shared" si="6"/>
        <v>0</v>
      </c>
      <c r="AB77" s="8">
        <v>0</v>
      </c>
      <c r="AC77" s="8">
        <v>0</v>
      </c>
      <c r="AD77" s="8" t="s">
        <v>152</v>
      </c>
      <c r="AE77" s="8">
        <v>0</v>
      </c>
      <c r="AF77"/>
    </row>
    <row r="78" spans="1:32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2"/>
      <c r="J78" s="2">
        <f>IFERROR(VLOOKUP(D78,'[3]Programa produccion Transferenc'!$C:$D,2,0),0)</f>
        <v>0</v>
      </c>
      <c r="K78" s="2"/>
      <c r="L78" s="2"/>
      <c r="M78" s="2"/>
      <c r="N78" s="2"/>
      <c r="O78" s="8">
        <f t="shared" si="5"/>
        <v>0</v>
      </c>
      <c r="P78" s="2"/>
      <c r="Q78" s="2"/>
      <c r="R78" s="18"/>
      <c r="S78" s="18"/>
      <c r="T78" s="2"/>
      <c r="U78" s="2"/>
      <c r="V78" s="18"/>
      <c r="W78" s="18"/>
      <c r="X78" s="18"/>
      <c r="Y78" s="35"/>
      <c r="Z78" s="2"/>
      <c r="AA78" s="7">
        <f t="shared" si="6"/>
        <v>0</v>
      </c>
      <c r="AB78" s="8">
        <v>0</v>
      </c>
      <c r="AC78" s="8">
        <v>0</v>
      </c>
      <c r="AD78" s="8" t="s">
        <v>152</v>
      </c>
      <c r="AE78" s="8">
        <v>0</v>
      </c>
      <c r="AF78"/>
    </row>
    <row r="79" spans="1:32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2"/>
      <c r="J79" s="2">
        <f>IFERROR(VLOOKUP(D79,'[3]Programa produccion Transferenc'!$C:$D,2,0),0)</f>
        <v>0</v>
      </c>
      <c r="K79" s="2"/>
      <c r="L79" s="2"/>
      <c r="M79" s="2"/>
      <c r="N79" s="2"/>
      <c r="O79" s="8">
        <f t="shared" si="5"/>
        <v>0</v>
      </c>
      <c r="P79" s="2"/>
      <c r="Q79" s="2"/>
      <c r="R79" s="18"/>
      <c r="S79" s="18"/>
      <c r="T79" s="2"/>
      <c r="U79" s="2"/>
      <c r="V79" s="18"/>
      <c r="W79" s="18"/>
      <c r="X79" s="18"/>
      <c r="Y79" s="35"/>
      <c r="Z79" s="2"/>
      <c r="AA79" s="7">
        <f t="shared" si="6"/>
        <v>0</v>
      </c>
      <c r="AB79" s="8">
        <v>0</v>
      </c>
      <c r="AC79" s="8">
        <v>0</v>
      </c>
      <c r="AD79" s="8" t="s">
        <v>152</v>
      </c>
      <c r="AE79" s="8">
        <v>0</v>
      </c>
      <c r="AF79"/>
    </row>
    <row r="80" spans="1:32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2"/>
      <c r="J80" s="2">
        <f>IFERROR(VLOOKUP(D80,'[3]Programa produccion Transferenc'!$C:$D,2,0),0)</f>
        <v>0</v>
      </c>
      <c r="K80" s="2"/>
      <c r="L80" s="2"/>
      <c r="M80" s="2"/>
      <c r="N80" s="2"/>
      <c r="O80" s="8">
        <f t="shared" si="5"/>
        <v>0</v>
      </c>
      <c r="P80" s="2"/>
      <c r="Q80" s="2"/>
      <c r="R80" s="18"/>
      <c r="S80" s="18"/>
      <c r="T80" s="2"/>
      <c r="U80" s="2"/>
      <c r="V80" s="18"/>
      <c r="W80" s="18"/>
      <c r="X80" s="18"/>
      <c r="Y80" s="35"/>
      <c r="Z80" s="2"/>
      <c r="AA80" s="7">
        <f t="shared" si="6"/>
        <v>0</v>
      </c>
      <c r="AB80" s="8">
        <v>0</v>
      </c>
      <c r="AC80" s="8">
        <v>0</v>
      </c>
      <c r="AD80" s="8" t="s">
        <v>152</v>
      </c>
      <c r="AE80" s="8">
        <v>0</v>
      </c>
      <c r="AF80"/>
    </row>
    <row r="81" spans="1:32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2"/>
      <c r="J81" s="2">
        <f>IFERROR(VLOOKUP(D81,'[3]Programa produccion Transferenc'!$C:$D,2,0),0)</f>
        <v>0</v>
      </c>
      <c r="K81" s="2"/>
      <c r="L81" s="2"/>
      <c r="M81" s="2"/>
      <c r="N81" s="2"/>
      <c r="O81" s="8">
        <f t="shared" si="5"/>
        <v>0</v>
      </c>
      <c r="P81" s="2"/>
      <c r="Q81" s="2"/>
      <c r="R81" s="18"/>
      <c r="S81" s="18"/>
      <c r="T81" s="2"/>
      <c r="U81" s="2"/>
      <c r="V81" s="18"/>
      <c r="W81" s="18"/>
      <c r="X81" s="18"/>
      <c r="Y81" s="35"/>
      <c r="Z81" s="2"/>
      <c r="AA81" s="7">
        <f t="shared" si="6"/>
        <v>0</v>
      </c>
      <c r="AB81" s="8">
        <v>0</v>
      </c>
      <c r="AC81" s="8">
        <v>0</v>
      </c>
      <c r="AD81" s="8" t="s">
        <v>152</v>
      </c>
      <c r="AE81" s="8">
        <v>0</v>
      </c>
      <c r="AF81"/>
    </row>
    <row r="82" spans="1:32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2"/>
      <c r="J82" s="2">
        <f>IFERROR(VLOOKUP(D82,'[3]Programa produccion Transferenc'!$C:$D,2,0),0)</f>
        <v>0</v>
      </c>
      <c r="K82" s="2"/>
      <c r="L82" s="2"/>
      <c r="M82" s="2"/>
      <c r="N82" s="2"/>
      <c r="O82" s="8">
        <f t="shared" si="5"/>
        <v>0</v>
      </c>
      <c r="P82" s="2"/>
      <c r="Q82" s="2"/>
      <c r="R82" s="18"/>
      <c r="S82" s="18"/>
      <c r="T82" s="2"/>
      <c r="U82" s="2"/>
      <c r="V82" s="18"/>
      <c r="W82" s="18"/>
      <c r="X82" s="18"/>
      <c r="Y82" s="35"/>
      <c r="Z82" s="2"/>
      <c r="AA82" s="7">
        <f t="shared" si="6"/>
        <v>0</v>
      </c>
      <c r="AB82" s="8">
        <v>0</v>
      </c>
      <c r="AC82" s="8">
        <v>0</v>
      </c>
      <c r="AD82" s="8" t="s">
        <v>152</v>
      </c>
      <c r="AE82" s="8">
        <v>0</v>
      </c>
      <c r="AF82"/>
    </row>
    <row r="83" spans="1:32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2"/>
      <c r="J83" s="2">
        <f>IFERROR(VLOOKUP(D83,'[3]Programa produccion Transferenc'!$C:$D,2,0),0)</f>
        <v>0</v>
      </c>
      <c r="K83" s="2"/>
      <c r="L83" s="2"/>
      <c r="M83" s="2"/>
      <c r="N83" s="2"/>
      <c r="O83" s="8">
        <f t="shared" si="5"/>
        <v>0</v>
      </c>
      <c r="P83" s="2"/>
      <c r="Q83" s="2"/>
      <c r="R83" s="18"/>
      <c r="S83" s="18"/>
      <c r="T83" s="2"/>
      <c r="U83" s="2"/>
      <c r="V83" s="18"/>
      <c r="W83" s="18"/>
      <c r="X83" s="18"/>
      <c r="Y83" s="35"/>
      <c r="Z83" s="2"/>
      <c r="AA83" s="7">
        <f t="shared" si="6"/>
        <v>0</v>
      </c>
      <c r="AB83" s="8">
        <v>0</v>
      </c>
      <c r="AC83" s="8">
        <v>0</v>
      </c>
      <c r="AD83" s="8" t="s">
        <v>152</v>
      </c>
      <c r="AE83" s="8">
        <v>0</v>
      </c>
      <c r="AF83"/>
    </row>
    <row r="84" spans="1:32" x14ac:dyDescent="0.25">
      <c r="A84" s="2">
        <v>79</v>
      </c>
      <c r="B84" s="2" t="s">
        <v>128</v>
      </c>
      <c r="C84" s="2" t="s">
        <v>129</v>
      </c>
      <c r="D84" s="35" t="s">
        <v>103</v>
      </c>
      <c r="E84" s="13">
        <v>0.25</v>
      </c>
      <c r="F84" s="2"/>
      <c r="G84" s="3"/>
      <c r="H84" s="3"/>
      <c r="I84" s="18"/>
      <c r="J84" s="2">
        <f>IFERROR(VLOOKUP(D84,'[3]Programa produccion Transferenc'!$C:$D,2,0),0)</f>
        <v>0</v>
      </c>
      <c r="K84" s="2"/>
      <c r="L84" s="2"/>
      <c r="M84" s="2"/>
      <c r="N84" s="2"/>
      <c r="O84" s="8">
        <f t="shared" si="5"/>
        <v>-630</v>
      </c>
      <c r="P84" s="35">
        <v>630</v>
      </c>
      <c r="Q84" s="2"/>
      <c r="R84" s="18"/>
      <c r="S84" s="18"/>
      <c r="T84" s="2"/>
      <c r="U84" s="2"/>
      <c r="V84" s="18"/>
      <c r="W84" s="18"/>
      <c r="X84" s="18"/>
      <c r="Y84" s="35"/>
      <c r="Z84" s="2"/>
      <c r="AA84" s="7">
        <f t="shared" si="6"/>
        <v>0</v>
      </c>
      <c r="AB84" s="8" t="s">
        <v>146</v>
      </c>
      <c r="AC84" s="8">
        <v>200</v>
      </c>
      <c r="AD84" s="8" t="s">
        <v>153</v>
      </c>
      <c r="AE84" s="8">
        <f>+SUM(I84:N84)/AC84</f>
        <v>0</v>
      </c>
      <c r="AF84"/>
    </row>
    <row r="85" spans="1:32" x14ac:dyDescent="0.25">
      <c r="A85" s="2">
        <v>80</v>
      </c>
      <c r="B85" s="2" t="s">
        <v>128</v>
      </c>
      <c r="C85" s="2" t="s">
        <v>129</v>
      </c>
      <c r="D85" s="35" t="s">
        <v>104</v>
      </c>
      <c r="E85" s="13">
        <v>0.25</v>
      </c>
      <c r="F85" s="2"/>
      <c r="G85" s="3"/>
      <c r="H85" s="3"/>
      <c r="I85" s="18"/>
      <c r="J85" s="2">
        <f>IFERROR(VLOOKUP(D85,'[3]Programa produccion Transferenc'!$C:$D,2,0),0)</f>
        <v>0</v>
      </c>
      <c r="K85" s="2"/>
      <c r="L85" s="2"/>
      <c r="M85" s="2"/>
      <c r="N85" s="2"/>
      <c r="O85" s="8">
        <f t="shared" si="5"/>
        <v>-1300</v>
      </c>
      <c r="P85" s="35">
        <v>1300</v>
      </c>
      <c r="Q85" s="2"/>
      <c r="R85" s="18"/>
      <c r="S85" s="18"/>
      <c r="T85" s="2"/>
      <c r="U85" s="2"/>
      <c r="V85" s="18"/>
      <c r="W85" s="18"/>
      <c r="X85" s="18"/>
      <c r="Y85" s="35"/>
      <c r="Z85" s="2"/>
      <c r="AA85" s="7">
        <f t="shared" si="6"/>
        <v>0</v>
      </c>
      <c r="AB85" s="8" t="s">
        <v>146</v>
      </c>
      <c r="AC85" s="8">
        <v>200</v>
      </c>
      <c r="AD85" s="8" t="s">
        <v>153</v>
      </c>
      <c r="AE85" s="8">
        <f>+SUM(I85:N85)/AC85</f>
        <v>0</v>
      </c>
      <c r="AF85"/>
    </row>
    <row r="86" spans="1:32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18"/>
      <c r="J86" s="2">
        <f>IFERROR(VLOOKUP(D86,'[3]Programa produccion Transferenc'!$C:$D,2,0),0)</f>
        <v>0</v>
      </c>
      <c r="K86" s="2"/>
      <c r="L86" s="2"/>
      <c r="M86" s="2"/>
      <c r="N86" s="2"/>
      <c r="O86" s="8">
        <f t="shared" si="5"/>
        <v>0</v>
      </c>
      <c r="P86" s="2"/>
      <c r="Q86" s="2"/>
      <c r="R86" s="18"/>
      <c r="S86" s="18"/>
      <c r="T86" s="2"/>
      <c r="U86" s="2"/>
      <c r="V86" s="18"/>
      <c r="W86" s="18"/>
      <c r="X86" s="18"/>
      <c r="Y86" s="35"/>
      <c r="Z86" s="2"/>
      <c r="AA86" s="7">
        <f t="shared" si="6"/>
        <v>0</v>
      </c>
      <c r="AB86" s="8" t="s">
        <v>146</v>
      </c>
      <c r="AC86" s="8">
        <v>200</v>
      </c>
      <c r="AD86" s="8" t="s">
        <v>153</v>
      </c>
      <c r="AE86" s="8">
        <f>+SUM(I86:N86)/AC86</f>
        <v>0</v>
      </c>
      <c r="AF86"/>
    </row>
    <row r="87" spans="1:32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18"/>
      <c r="J87" s="2">
        <f>IFERROR(VLOOKUP(D87,'[3]Programa produccion Transferenc'!$C:$D,2,0),0)</f>
        <v>0</v>
      </c>
      <c r="K87" s="2"/>
      <c r="L87" s="2"/>
      <c r="M87" s="2"/>
      <c r="N87" s="2"/>
      <c r="O87" s="8">
        <f t="shared" si="5"/>
        <v>0</v>
      </c>
      <c r="P87" s="2"/>
      <c r="Q87" s="2"/>
      <c r="R87" s="18"/>
      <c r="S87" s="18"/>
      <c r="T87" s="2"/>
      <c r="U87" s="2"/>
      <c r="V87" s="18"/>
      <c r="W87" s="18"/>
      <c r="X87" s="18"/>
      <c r="Y87" s="35"/>
      <c r="Z87" s="2"/>
      <c r="AA87" s="7">
        <f t="shared" si="6"/>
        <v>0</v>
      </c>
      <c r="AB87" s="8">
        <v>0</v>
      </c>
      <c r="AC87" s="8">
        <v>0</v>
      </c>
      <c r="AD87" s="8" t="s">
        <v>153</v>
      </c>
      <c r="AE87" s="8">
        <v>0</v>
      </c>
      <c r="AF87"/>
    </row>
    <row r="88" spans="1:32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18"/>
      <c r="J88" s="2">
        <f>IFERROR(VLOOKUP(D88,'[3]Programa produccion Transferenc'!$C:$D,2,0),0)</f>
        <v>0</v>
      </c>
      <c r="K88" s="2"/>
      <c r="L88" s="2"/>
      <c r="M88" s="2"/>
      <c r="N88" s="2"/>
      <c r="O88" s="8">
        <f t="shared" si="5"/>
        <v>0</v>
      </c>
      <c r="P88" s="2"/>
      <c r="Q88" s="2"/>
      <c r="R88" s="18"/>
      <c r="S88" s="18"/>
      <c r="T88" s="2"/>
      <c r="U88" s="2"/>
      <c r="V88" s="18"/>
      <c r="W88" s="18"/>
      <c r="X88" s="18"/>
      <c r="Y88" s="35"/>
      <c r="Z88" s="2"/>
      <c r="AA88" s="7">
        <f t="shared" si="6"/>
        <v>0</v>
      </c>
      <c r="AB88" s="8">
        <v>0</v>
      </c>
      <c r="AC88" s="8">
        <v>0</v>
      </c>
      <c r="AD88" s="8" t="s">
        <v>153</v>
      </c>
      <c r="AE88" s="8">
        <v>0</v>
      </c>
      <c r="AF88"/>
    </row>
    <row r="89" spans="1:32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18"/>
      <c r="J89" s="2">
        <f>IFERROR(VLOOKUP(D89,'[3]Programa produccion Transferenc'!$C:$D,2,0),0)</f>
        <v>0</v>
      </c>
      <c r="K89" s="2"/>
      <c r="L89" s="2"/>
      <c r="M89" s="2"/>
      <c r="N89" s="2"/>
      <c r="O89" s="8">
        <f t="shared" si="5"/>
        <v>0</v>
      </c>
      <c r="P89" s="2"/>
      <c r="Q89" s="2"/>
      <c r="R89" s="18"/>
      <c r="S89" s="18"/>
      <c r="T89" s="2"/>
      <c r="U89" s="2"/>
      <c r="V89" s="18"/>
      <c r="W89" s="18"/>
      <c r="X89" s="18"/>
      <c r="Y89" s="35"/>
      <c r="Z89" s="2"/>
      <c r="AA89" s="7">
        <f t="shared" si="6"/>
        <v>0</v>
      </c>
      <c r="AB89" s="8">
        <v>0</v>
      </c>
      <c r="AC89" s="8">
        <v>0</v>
      </c>
      <c r="AD89" s="8" t="s">
        <v>153</v>
      </c>
      <c r="AE89" s="8">
        <v>0</v>
      </c>
      <c r="AF89"/>
    </row>
    <row r="90" spans="1:32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18"/>
      <c r="J90" s="2">
        <f>IFERROR(VLOOKUP(D90,'[3]Programa produccion Transferenc'!$C:$D,2,0),0)</f>
        <v>0</v>
      </c>
      <c r="K90" s="2"/>
      <c r="L90" s="2"/>
      <c r="M90" s="2"/>
      <c r="N90" s="2"/>
      <c r="O90" s="8">
        <f t="shared" si="5"/>
        <v>0</v>
      </c>
      <c r="P90" s="2"/>
      <c r="Q90" s="2"/>
      <c r="R90" s="18"/>
      <c r="S90" s="18"/>
      <c r="T90" s="2"/>
      <c r="U90" s="2"/>
      <c r="V90" s="18"/>
      <c r="W90" s="18"/>
      <c r="X90" s="18"/>
      <c r="Y90" s="35"/>
      <c r="Z90" s="2"/>
      <c r="AA90" s="7">
        <f t="shared" si="6"/>
        <v>0</v>
      </c>
      <c r="AB90" s="8">
        <v>0</v>
      </c>
      <c r="AC90" s="8">
        <v>0</v>
      </c>
      <c r="AD90" s="8" t="s">
        <v>153</v>
      </c>
      <c r="AE90" s="8">
        <v>0</v>
      </c>
      <c r="AF90"/>
    </row>
    <row r="91" spans="1:32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18"/>
      <c r="J91" s="2">
        <f>IFERROR(VLOOKUP(D91,'[3]Programa produccion Transferenc'!$C:$D,2,0),0)</f>
        <v>0</v>
      </c>
      <c r="K91" s="2"/>
      <c r="L91" s="2"/>
      <c r="M91" s="2"/>
      <c r="N91" s="2"/>
      <c r="O91" s="8">
        <f t="shared" si="5"/>
        <v>0</v>
      </c>
      <c r="P91" s="2"/>
      <c r="Q91" s="2"/>
      <c r="R91" s="18"/>
      <c r="S91" s="18"/>
      <c r="T91" s="2"/>
      <c r="U91" s="2"/>
      <c r="V91" s="18"/>
      <c r="W91" s="18"/>
      <c r="X91" s="18"/>
      <c r="Y91" s="35"/>
      <c r="Z91" s="2"/>
      <c r="AA91" s="7">
        <f t="shared" si="6"/>
        <v>0</v>
      </c>
      <c r="AB91" s="8" t="s">
        <v>147</v>
      </c>
      <c r="AC91" s="8">
        <v>100</v>
      </c>
      <c r="AD91" s="8" t="s">
        <v>153</v>
      </c>
      <c r="AE91" s="8">
        <f t="shared" ref="AE91:AE122" si="7">+SUM(I91:N91)/AC91</f>
        <v>0</v>
      </c>
      <c r="AF91"/>
    </row>
    <row r="92" spans="1:32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18"/>
      <c r="J92" s="2">
        <f>IFERROR(VLOOKUP(D92,'[3]Programa produccion Transferenc'!$C:$D,2,0),0)</f>
        <v>0</v>
      </c>
      <c r="K92" s="2"/>
      <c r="L92" s="2"/>
      <c r="M92" s="2"/>
      <c r="N92" s="2"/>
      <c r="O92" s="8">
        <f t="shared" si="5"/>
        <v>0</v>
      </c>
      <c r="P92" s="2"/>
      <c r="Q92" s="2"/>
      <c r="R92" s="18"/>
      <c r="S92" s="18"/>
      <c r="T92" s="2"/>
      <c r="U92" s="2"/>
      <c r="V92" s="18"/>
      <c r="W92" s="18"/>
      <c r="X92" s="18"/>
      <c r="Y92" s="35"/>
      <c r="Z92" s="2"/>
      <c r="AA92" s="7">
        <f t="shared" si="6"/>
        <v>0</v>
      </c>
      <c r="AB92" s="8" t="s">
        <v>147</v>
      </c>
      <c r="AC92" s="8">
        <v>200</v>
      </c>
      <c r="AD92" s="8" t="s">
        <v>153</v>
      </c>
      <c r="AE92" s="8">
        <f t="shared" si="7"/>
        <v>0</v>
      </c>
      <c r="AF92"/>
    </row>
    <row r="93" spans="1:32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18"/>
      <c r="J93" s="2">
        <f>IFERROR(VLOOKUP(D93,'[3]Programa produccion Transferenc'!$C:$D,2,0),0)</f>
        <v>0</v>
      </c>
      <c r="K93" s="2"/>
      <c r="L93" s="2"/>
      <c r="M93" s="2"/>
      <c r="N93" s="2"/>
      <c r="O93" s="8">
        <f t="shared" si="5"/>
        <v>0</v>
      </c>
      <c r="P93" s="2"/>
      <c r="Q93" s="2"/>
      <c r="R93" s="18"/>
      <c r="S93" s="18"/>
      <c r="T93" s="2"/>
      <c r="U93" s="2"/>
      <c r="V93" s="18"/>
      <c r="W93" s="18"/>
      <c r="X93" s="18"/>
      <c r="Y93" s="35"/>
      <c r="Z93" s="2"/>
      <c r="AA93" s="7">
        <f t="shared" si="6"/>
        <v>0</v>
      </c>
      <c r="AB93" s="8" t="s">
        <v>147</v>
      </c>
      <c r="AC93" s="8">
        <v>200</v>
      </c>
      <c r="AD93" s="8" t="s">
        <v>153</v>
      </c>
      <c r="AE93" s="8">
        <f t="shared" si="7"/>
        <v>0</v>
      </c>
      <c r="AF93"/>
    </row>
    <row r="94" spans="1:32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18"/>
      <c r="J94" s="2">
        <f>IFERROR(VLOOKUP(D94,'[3]Programa produccion Transferenc'!$C:$D,2,0),0)</f>
        <v>0</v>
      </c>
      <c r="K94" s="2"/>
      <c r="L94" s="2"/>
      <c r="M94" s="2"/>
      <c r="N94" s="2"/>
      <c r="O94" s="8">
        <f t="shared" si="5"/>
        <v>0</v>
      </c>
      <c r="P94" s="2"/>
      <c r="Q94" s="2"/>
      <c r="R94" s="18"/>
      <c r="S94" s="18"/>
      <c r="T94" s="2"/>
      <c r="U94" s="2"/>
      <c r="V94" s="18"/>
      <c r="W94" s="18"/>
      <c r="X94" s="18"/>
      <c r="Y94" s="35"/>
      <c r="Z94" s="2"/>
      <c r="AA94" s="7">
        <f t="shared" si="6"/>
        <v>0</v>
      </c>
      <c r="AB94" s="8" t="s">
        <v>147</v>
      </c>
      <c r="AC94" s="8">
        <v>200</v>
      </c>
      <c r="AD94" s="8" t="s">
        <v>153</v>
      </c>
      <c r="AE94" s="8">
        <f t="shared" si="7"/>
        <v>0</v>
      </c>
      <c r="AF94"/>
    </row>
    <row r="95" spans="1:32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18"/>
      <c r="J95" s="2">
        <f>IFERROR(VLOOKUP(D95,'[3]Programa produccion Transferenc'!$C:$D,2,0),0)</f>
        <v>0</v>
      </c>
      <c r="K95" s="2"/>
      <c r="L95" s="2"/>
      <c r="M95" s="2"/>
      <c r="N95" s="2"/>
      <c r="O95" s="8">
        <f t="shared" si="5"/>
        <v>0</v>
      </c>
      <c r="P95" s="2"/>
      <c r="Q95" s="2"/>
      <c r="R95" s="18"/>
      <c r="S95" s="18"/>
      <c r="T95" s="2"/>
      <c r="U95" s="2"/>
      <c r="V95" s="18"/>
      <c r="W95" s="18"/>
      <c r="X95" s="18"/>
      <c r="Y95" s="35"/>
      <c r="Z95" s="2"/>
      <c r="AA95" s="7">
        <f t="shared" si="6"/>
        <v>0</v>
      </c>
      <c r="AB95" s="8" t="s">
        <v>147</v>
      </c>
      <c r="AC95" s="8">
        <v>200</v>
      </c>
      <c r="AD95" s="8" t="s">
        <v>153</v>
      </c>
      <c r="AE95" s="8">
        <f t="shared" si="7"/>
        <v>0</v>
      </c>
      <c r="AF95"/>
    </row>
    <row r="96" spans="1:32" x14ac:dyDescent="0.25">
      <c r="A96" s="2">
        <v>91</v>
      </c>
      <c r="B96" s="2" t="s">
        <v>128</v>
      </c>
      <c r="C96" s="2" t="s">
        <v>129</v>
      </c>
      <c r="D96" s="71" t="s">
        <v>115</v>
      </c>
      <c r="E96" s="13">
        <v>0.5</v>
      </c>
      <c r="F96" s="2"/>
      <c r="G96" s="3"/>
      <c r="H96" s="3"/>
      <c r="I96" s="18">
        <v>400</v>
      </c>
      <c r="J96" s="2">
        <f>IFERROR(VLOOKUP(D96,'[3]Programa produccion Transferenc'!$C:$D,2,0),0)</f>
        <v>0</v>
      </c>
      <c r="K96" s="2"/>
      <c r="L96" s="2"/>
      <c r="M96" s="2"/>
      <c r="N96" s="2"/>
      <c r="O96" s="71">
        <f t="shared" si="5"/>
        <v>-40</v>
      </c>
      <c r="P96" s="2"/>
      <c r="Q96" s="2"/>
      <c r="R96" s="18"/>
      <c r="S96" s="18"/>
      <c r="T96" s="2"/>
      <c r="U96" s="2"/>
      <c r="V96" s="18">
        <v>440</v>
      </c>
      <c r="W96" s="18"/>
      <c r="X96" s="18"/>
      <c r="Y96" s="35"/>
      <c r="Z96" s="2"/>
      <c r="AA96" s="7">
        <f t="shared" si="6"/>
        <v>0</v>
      </c>
      <c r="AB96" s="8" t="s">
        <v>147</v>
      </c>
      <c r="AC96" s="8">
        <v>200</v>
      </c>
      <c r="AD96" s="8" t="s">
        <v>153</v>
      </c>
      <c r="AE96" s="8">
        <f t="shared" si="7"/>
        <v>2</v>
      </c>
      <c r="AF96"/>
    </row>
    <row r="97" spans="1:32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18"/>
      <c r="J97" s="2">
        <f>IFERROR(VLOOKUP(D97,'[3]Programa produccion Transferenc'!$C:$D,2,0),0)</f>
        <v>0</v>
      </c>
      <c r="K97" s="2"/>
      <c r="L97" s="2"/>
      <c r="M97" s="2"/>
      <c r="N97" s="2"/>
      <c r="O97" s="8">
        <f t="shared" si="5"/>
        <v>0</v>
      </c>
      <c r="P97" s="2"/>
      <c r="Q97" s="2"/>
      <c r="R97" s="18"/>
      <c r="S97" s="18"/>
      <c r="T97" s="2"/>
      <c r="U97" s="2"/>
      <c r="V97" s="18"/>
      <c r="W97" s="18"/>
      <c r="X97" s="18"/>
      <c r="Y97" s="35"/>
      <c r="Z97" s="2"/>
      <c r="AA97" s="7">
        <f t="shared" si="6"/>
        <v>0</v>
      </c>
      <c r="AB97" s="8" t="s">
        <v>147</v>
      </c>
      <c r="AC97" s="8">
        <v>200</v>
      </c>
      <c r="AD97" s="8" t="s">
        <v>153</v>
      </c>
      <c r="AE97" s="8">
        <f t="shared" si="7"/>
        <v>0</v>
      </c>
      <c r="AF97"/>
    </row>
    <row r="98" spans="1:32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18"/>
      <c r="J98" s="2">
        <f>IFERROR(VLOOKUP(D98,'[3]Programa produccion Transferenc'!$C:$D,2,0),0)</f>
        <v>0</v>
      </c>
      <c r="K98" s="2"/>
      <c r="L98" s="2"/>
      <c r="M98" s="2"/>
      <c r="N98" s="2"/>
      <c r="O98" s="8">
        <f t="shared" si="5"/>
        <v>0</v>
      </c>
      <c r="P98" s="2"/>
      <c r="Q98" s="2"/>
      <c r="R98" s="18"/>
      <c r="S98" s="18"/>
      <c r="T98" s="2"/>
      <c r="U98" s="2"/>
      <c r="V98" s="18"/>
      <c r="W98" s="18"/>
      <c r="X98" s="18"/>
      <c r="Y98" s="35"/>
      <c r="Z98" s="2"/>
      <c r="AA98" s="7">
        <f t="shared" si="6"/>
        <v>0</v>
      </c>
      <c r="AB98" s="8" t="s">
        <v>147</v>
      </c>
      <c r="AC98" s="8">
        <v>150</v>
      </c>
      <c r="AD98" s="8" t="s">
        <v>153</v>
      </c>
      <c r="AE98" s="8">
        <f t="shared" si="7"/>
        <v>0</v>
      </c>
    </row>
    <row r="99" spans="1:32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18"/>
      <c r="J99" s="2">
        <f>IFERROR(VLOOKUP(D99,'[3]Programa produccion Transferenc'!$C:$D,2,0),0)</f>
        <v>0</v>
      </c>
      <c r="K99" s="2"/>
      <c r="L99" s="2"/>
      <c r="M99" s="2"/>
      <c r="N99" s="2"/>
      <c r="O99" s="8">
        <f t="shared" si="5"/>
        <v>0</v>
      </c>
      <c r="P99" s="2"/>
      <c r="Q99" s="2"/>
      <c r="R99" s="18"/>
      <c r="S99" s="18"/>
      <c r="T99" s="2"/>
      <c r="U99" s="2"/>
      <c r="V99" s="18"/>
      <c r="W99" s="18"/>
      <c r="X99" s="18"/>
      <c r="Y99" s="35"/>
      <c r="Z99" s="2"/>
      <c r="AA99" s="7">
        <f t="shared" si="6"/>
        <v>0</v>
      </c>
      <c r="AB99" s="8" t="s">
        <v>147</v>
      </c>
      <c r="AC99" s="8">
        <v>150</v>
      </c>
      <c r="AD99" s="8" t="s">
        <v>153</v>
      </c>
      <c r="AE99" s="8">
        <f t="shared" si="7"/>
        <v>0</v>
      </c>
    </row>
    <row r="100" spans="1:32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18"/>
      <c r="J100" s="2">
        <f>IFERROR(VLOOKUP(D100,'[3]Programa produccion Transferenc'!$C:$D,2,0),0)</f>
        <v>0</v>
      </c>
      <c r="K100" s="2"/>
      <c r="L100" s="2"/>
      <c r="M100" s="2"/>
      <c r="N100" s="2"/>
      <c r="O100" s="8">
        <f t="shared" si="5"/>
        <v>0</v>
      </c>
      <c r="P100" s="2"/>
      <c r="Q100" s="2"/>
      <c r="R100" s="18"/>
      <c r="S100" s="18"/>
      <c r="T100" s="2"/>
      <c r="U100" s="2"/>
      <c r="V100" s="18"/>
      <c r="W100" s="18"/>
      <c r="X100" s="18"/>
      <c r="Y100" s="35"/>
      <c r="Z100" s="2"/>
      <c r="AA100" s="7">
        <f t="shared" si="6"/>
        <v>0</v>
      </c>
      <c r="AB100" s="8" t="s">
        <v>147</v>
      </c>
      <c r="AC100" s="8">
        <v>150</v>
      </c>
      <c r="AD100" s="8" t="s">
        <v>153</v>
      </c>
      <c r="AE100" s="8">
        <f t="shared" si="7"/>
        <v>0</v>
      </c>
    </row>
    <row r="101" spans="1:32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18"/>
      <c r="J101" s="2">
        <f>IFERROR(VLOOKUP(D101,'[3]Programa produccion Transferenc'!$C:$D,2,0),0)</f>
        <v>0</v>
      </c>
      <c r="K101" s="2"/>
      <c r="L101" s="2"/>
      <c r="M101" s="2"/>
      <c r="N101" s="2"/>
      <c r="O101" s="8">
        <f t="shared" si="5"/>
        <v>0</v>
      </c>
      <c r="P101" s="2"/>
      <c r="Q101" s="2"/>
      <c r="R101" s="18"/>
      <c r="S101" s="18"/>
      <c r="T101" s="2"/>
      <c r="U101" s="2"/>
      <c r="V101" s="18"/>
      <c r="W101" s="18"/>
      <c r="X101" s="18"/>
      <c r="Y101" s="35"/>
      <c r="Z101" s="2"/>
      <c r="AA101" s="7">
        <f t="shared" si="6"/>
        <v>0</v>
      </c>
      <c r="AB101" s="8" t="s">
        <v>147</v>
      </c>
      <c r="AC101" s="8">
        <v>150</v>
      </c>
      <c r="AD101" s="8" t="s">
        <v>153</v>
      </c>
      <c r="AE101" s="8">
        <f t="shared" si="7"/>
        <v>0</v>
      </c>
    </row>
    <row r="102" spans="1:32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18"/>
      <c r="J102" s="2">
        <f>IFERROR(VLOOKUP(D102,'[3]Programa produccion Transferenc'!$C:$D,2,0),0)</f>
        <v>0</v>
      </c>
      <c r="K102" s="2"/>
      <c r="L102" s="2"/>
      <c r="M102" s="2"/>
      <c r="N102" s="2"/>
      <c r="O102" s="8">
        <f t="shared" si="5"/>
        <v>0</v>
      </c>
      <c r="P102" s="2"/>
      <c r="Q102" s="2"/>
      <c r="R102" s="18"/>
      <c r="S102" s="18"/>
      <c r="T102" s="2"/>
      <c r="U102" s="2"/>
      <c r="V102" s="18"/>
      <c r="W102" s="18"/>
      <c r="X102" s="18"/>
      <c r="Y102" s="35"/>
      <c r="Z102" s="2"/>
      <c r="AA102" s="7">
        <f t="shared" si="6"/>
        <v>0</v>
      </c>
      <c r="AB102" s="8" t="s">
        <v>147</v>
      </c>
      <c r="AC102" s="8">
        <v>80</v>
      </c>
      <c r="AD102" s="8" t="s">
        <v>153</v>
      </c>
      <c r="AE102" s="8">
        <f t="shared" si="7"/>
        <v>0</v>
      </c>
    </row>
    <row r="103" spans="1:32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18"/>
      <c r="J103" s="2">
        <f>IFERROR(VLOOKUP(D103,'[3]Programa produccion Transferenc'!$C:$D,2,0),0)</f>
        <v>0</v>
      </c>
      <c r="K103" s="2"/>
      <c r="L103" s="2"/>
      <c r="M103" s="2"/>
      <c r="N103" s="2"/>
      <c r="O103" s="8">
        <f t="shared" si="5"/>
        <v>0</v>
      </c>
      <c r="P103" s="2"/>
      <c r="Q103" s="2"/>
      <c r="R103" s="18"/>
      <c r="S103" s="18"/>
      <c r="T103" s="2"/>
      <c r="U103" s="2"/>
      <c r="V103" s="18"/>
      <c r="W103" s="18"/>
      <c r="X103" s="18"/>
      <c r="Y103" s="35"/>
      <c r="Z103" s="2"/>
      <c r="AA103" s="7">
        <f t="shared" si="6"/>
        <v>0</v>
      </c>
      <c r="AB103" s="8" t="s">
        <v>147</v>
      </c>
      <c r="AC103" s="8">
        <v>80</v>
      </c>
      <c r="AD103" s="8" t="s">
        <v>153</v>
      </c>
      <c r="AE103" s="8">
        <f t="shared" si="7"/>
        <v>0</v>
      </c>
    </row>
    <row r="104" spans="1:32" x14ac:dyDescent="0.25">
      <c r="A104" s="2">
        <v>99</v>
      </c>
      <c r="B104" s="2" t="s">
        <v>128</v>
      </c>
      <c r="C104" s="2" t="s">
        <v>129</v>
      </c>
      <c r="D104" s="71" t="s">
        <v>123</v>
      </c>
      <c r="E104" s="13">
        <v>0.75</v>
      </c>
      <c r="F104" s="2"/>
      <c r="G104" s="3"/>
      <c r="H104" s="3"/>
      <c r="I104" s="18">
        <v>280</v>
      </c>
      <c r="J104" s="2">
        <f>IFERROR(VLOOKUP(D104,'[3]Programa produccion Transferenc'!$C:$D,2,0),0)</f>
        <v>0</v>
      </c>
      <c r="K104" s="2"/>
      <c r="L104" s="2"/>
      <c r="M104" s="2"/>
      <c r="N104" s="2"/>
      <c r="O104" s="71">
        <f t="shared" si="5"/>
        <v>0</v>
      </c>
      <c r="P104" s="2"/>
      <c r="Q104" s="2"/>
      <c r="R104" s="18"/>
      <c r="S104" s="18"/>
      <c r="T104" s="2"/>
      <c r="U104" s="2">
        <v>240</v>
      </c>
      <c r="V104" s="18">
        <v>40</v>
      </c>
      <c r="W104" s="18"/>
      <c r="X104" s="18"/>
      <c r="Y104" s="35"/>
      <c r="Z104" s="2"/>
      <c r="AA104" s="7">
        <f t="shared" si="6"/>
        <v>0</v>
      </c>
      <c r="AB104" s="8" t="s">
        <v>147</v>
      </c>
      <c r="AC104" s="8">
        <v>80</v>
      </c>
      <c r="AD104" s="8" t="s">
        <v>153</v>
      </c>
      <c r="AE104" s="8">
        <f t="shared" si="7"/>
        <v>3.5</v>
      </c>
    </row>
    <row r="105" spans="1:32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18"/>
      <c r="J105" s="2">
        <f>IFERROR(VLOOKUP(D105,'[3]Programa produccion Transferenc'!$C:$D,2,0),0)</f>
        <v>0</v>
      </c>
      <c r="K105" s="2"/>
      <c r="L105" s="2"/>
      <c r="M105" s="2"/>
      <c r="N105" s="2"/>
      <c r="O105" s="8">
        <f t="shared" si="5"/>
        <v>0</v>
      </c>
      <c r="P105" s="2"/>
      <c r="Q105" s="2"/>
      <c r="R105" s="18"/>
      <c r="S105" s="18"/>
      <c r="T105" s="2"/>
      <c r="U105" s="2"/>
      <c r="V105" s="18"/>
      <c r="W105" s="18"/>
      <c r="X105" s="18"/>
      <c r="Y105" s="35"/>
      <c r="Z105" s="2"/>
      <c r="AA105" s="7">
        <f t="shared" si="6"/>
        <v>0</v>
      </c>
      <c r="AB105" s="8" t="s">
        <v>147</v>
      </c>
      <c r="AC105" s="8">
        <v>80</v>
      </c>
      <c r="AD105" s="8" t="s">
        <v>153</v>
      </c>
      <c r="AE105" s="8">
        <f t="shared" si="7"/>
        <v>0</v>
      </c>
    </row>
    <row r="106" spans="1:32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18"/>
      <c r="J106" s="2">
        <f>IFERROR(VLOOKUP(D106,'[3]Programa produccion Transferenc'!$C:$D,2,0),0)</f>
        <v>0</v>
      </c>
      <c r="K106" s="2"/>
      <c r="L106" s="2"/>
      <c r="M106" s="2"/>
      <c r="N106" s="2"/>
      <c r="O106" s="8">
        <f t="shared" si="5"/>
        <v>0</v>
      </c>
      <c r="P106" s="2"/>
      <c r="Q106" s="2"/>
      <c r="R106" s="18"/>
      <c r="S106" s="18"/>
      <c r="T106" s="2"/>
      <c r="U106" s="2"/>
      <c r="V106" s="18"/>
      <c r="W106" s="18"/>
      <c r="X106" s="18"/>
      <c r="Y106" s="35"/>
      <c r="Z106" s="2"/>
      <c r="AA106" s="7">
        <f t="shared" si="6"/>
        <v>0</v>
      </c>
      <c r="AB106" s="8" t="s">
        <v>147</v>
      </c>
      <c r="AC106" s="8">
        <v>50</v>
      </c>
      <c r="AD106" s="8" t="s">
        <v>153</v>
      </c>
      <c r="AE106" s="8">
        <f t="shared" si="7"/>
        <v>0</v>
      </c>
    </row>
    <row r="107" spans="1:32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18"/>
      <c r="J107" s="2">
        <f>IFERROR(VLOOKUP(D107,'[3]Programa produccion Transferenc'!$C:$D,2,0),0)</f>
        <v>0</v>
      </c>
      <c r="K107" s="2"/>
      <c r="L107" s="2"/>
      <c r="M107" s="2"/>
      <c r="N107" s="2"/>
      <c r="O107" s="8">
        <f t="shared" si="5"/>
        <v>0</v>
      </c>
      <c r="P107" s="2"/>
      <c r="Q107" s="2"/>
      <c r="R107" s="18"/>
      <c r="S107" s="18"/>
      <c r="T107" s="2"/>
      <c r="U107" s="2"/>
      <c r="V107" s="18"/>
      <c r="W107" s="18"/>
      <c r="X107" s="18"/>
      <c r="Y107" s="35"/>
      <c r="Z107" s="2"/>
      <c r="AA107" s="7">
        <f t="shared" si="6"/>
        <v>0</v>
      </c>
      <c r="AB107" s="8" t="s">
        <v>155</v>
      </c>
      <c r="AC107" s="8">
        <v>50</v>
      </c>
      <c r="AD107" s="8" t="s">
        <v>153</v>
      </c>
      <c r="AE107" s="8">
        <f t="shared" si="7"/>
        <v>0</v>
      </c>
    </row>
    <row r="108" spans="1:32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18"/>
      <c r="J108" s="2">
        <f>IFERROR(VLOOKUP(D108,'[3]Programa produccion Transferenc'!$C:$D,2,0),0)</f>
        <v>0</v>
      </c>
      <c r="K108" s="2"/>
      <c r="L108" s="2"/>
      <c r="M108" s="2"/>
      <c r="N108" s="2"/>
      <c r="O108" s="8">
        <f t="shared" si="5"/>
        <v>0</v>
      </c>
      <c r="P108" s="2"/>
      <c r="Q108" s="2"/>
      <c r="R108" s="18"/>
      <c r="S108" s="18"/>
      <c r="T108" s="2"/>
      <c r="U108" s="2"/>
      <c r="V108" s="18"/>
      <c r="W108" s="18"/>
      <c r="X108" s="18"/>
      <c r="Y108" s="35"/>
      <c r="Z108" s="2"/>
      <c r="AA108" s="7">
        <f t="shared" si="6"/>
        <v>0</v>
      </c>
      <c r="AB108" s="8" t="s">
        <v>155</v>
      </c>
      <c r="AC108" s="8">
        <v>50</v>
      </c>
      <c r="AD108" s="8" t="s">
        <v>153</v>
      </c>
      <c r="AE108" s="8">
        <f t="shared" si="7"/>
        <v>0</v>
      </c>
    </row>
    <row r="109" spans="1:32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2"/>
      <c r="J109" s="2">
        <f>IFERROR(VLOOKUP(D109,'[3]Programa produccion Transferenc'!$C:$D,2,0),0)</f>
        <v>0</v>
      </c>
      <c r="K109" s="2"/>
      <c r="L109" s="2"/>
      <c r="M109" s="2"/>
      <c r="N109" s="2"/>
      <c r="O109" s="8">
        <f t="shared" si="5"/>
        <v>0</v>
      </c>
      <c r="P109" s="2"/>
      <c r="Q109" s="2"/>
      <c r="R109" s="18"/>
      <c r="S109" s="18"/>
      <c r="T109" s="2"/>
      <c r="U109" s="2"/>
      <c r="V109" s="18"/>
      <c r="W109" s="18"/>
      <c r="X109" s="18"/>
      <c r="Y109" s="35"/>
      <c r="Z109" s="2"/>
      <c r="AA109" s="7">
        <f t="shared" si="6"/>
        <v>0</v>
      </c>
      <c r="AB109" s="8" t="s">
        <v>148</v>
      </c>
      <c r="AC109" s="8">
        <v>250</v>
      </c>
      <c r="AD109" s="8" t="s">
        <v>154</v>
      </c>
      <c r="AE109" s="8">
        <f t="shared" si="7"/>
        <v>0</v>
      </c>
    </row>
    <row r="110" spans="1:32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2"/>
      <c r="J110" s="2">
        <f>IFERROR(VLOOKUP(D110,'[3]Programa produccion Transferenc'!$C:$D,2,0),0)</f>
        <v>0</v>
      </c>
      <c r="K110" s="2"/>
      <c r="L110" s="2"/>
      <c r="M110" s="2"/>
      <c r="N110" s="2"/>
      <c r="O110" s="8">
        <f t="shared" si="5"/>
        <v>0</v>
      </c>
      <c r="P110" s="2"/>
      <c r="Q110" s="2"/>
      <c r="R110" s="18"/>
      <c r="S110" s="18"/>
      <c r="T110" s="2"/>
      <c r="U110" s="2"/>
      <c r="V110" s="18"/>
      <c r="W110" s="18"/>
      <c r="X110" s="18"/>
      <c r="Y110" s="35"/>
      <c r="Z110" s="2"/>
      <c r="AA110" s="7">
        <f t="shared" si="6"/>
        <v>0</v>
      </c>
      <c r="AB110" s="8" t="s">
        <v>148</v>
      </c>
      <c r="AC110" s="8">
        <v>250</v>
      </c>
      <c r="AD110" s="8" t="s">
        <v>154</v>
      </c>
      <c r="AE110" s="8">
        <f t="shared" si="7"/>
        <v>0</v>
      </c>
    </row>
    <row r="111" spans="1:32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2"/>
      <c r="J111" s="2">
        <f>IFERROR(VLOOKUP(D111,'[3]Programa produccion Transferenc'!$C:$D,2,0),0)</f>
        <v>0</v>
      </c>
      <c r="K111" s="2"/>
      <c r="L111" s="2"/>
      <c r="M111" s="2"/>
      <c r="N111" s="2"/>
      <c r="O111" s="8">
        <f t="shared" si="5"/>
        <v>0</v>
      </c>
      <c r="P111" s="2"/>
      <c r="Q111" s="2"/>
      <c r="R111" s="18"/>
      <c r="S111" s="18"/>
      <c r="T111" s="2"/>
      <c r="U111" s="2"/>
      <c r="V111" s="18"/>
      <c r="W111" s="18"/>
      <c r="X111" s="18"/>
      <c r="Y111" s="35"/>
      <c r="Z111" s="2"/>
      <c r="AA111" s="7">
        <f t="shared" si="6"/>
        <v>0</v>
      </c>
      <c r="AB111" s="8" t="s">
        <v>148</v>
      </c>
      <c r="AC111" s="8">
        <v>250</v>
      </c>
      <c r="AD111" s="8" t="s">
        <v>154</v>
      </c>
      <c r="AE111" s="8">
        <f t="shared" si="7"/>
        <v>0</v>
      </c>
    </row>
    <row r="112" spans="1:32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2"/>
      <c r="J112" s="2">
        <f>IFERROR(VLOOKUP(D112,'[3]Programa produccion Transferenc'!$C:$D,2,0),0)</f>
        <v>0</v>
      </c>
      <c r="K112" s="2"/>
      <c r="L112" s="2"/>
      <c r="M112" s="2"/>
      <c r="N112" s="2"/>
      <c r="O112" s="8">
        <f t="shared" si="5"/>
        <v>0</v>
      </c>
      <c r="P112" s="2"/>
      <c r="Q112" s="2"/>
      <c r="R112" s="18"/>
      <c r="S112" s="18"/>
      <c r="T112" s="2"/>
      <c r="U112" s="2"/>
      <c r="V112" s="18"/>
      <c r="W112" s="18"/>
      <c r="X112" s="18"/>
      <c r="Y112" s="35"/>
      <c r="Z112" s="2"/>
      <c r="AA112" s="7">
        <f t="shared" si="6"/>
        <v>0</v>
      </c>
      <c r="AB112" s="8" t="s">
        <v>150</v>
      </c>
      <c r="AC112" s="8">
        <v>200</v>
      </c>
      <c r="AD112" s="8" t="s">
        <v>154</v>
      </c>
      <c r="AE112" s="8">
        <f t="shared" si="7"/>
        <v>0</v>
      </c>
    </row>
    <row r="113" spans="1:31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2"/>
      <c r="J113" s="2">
        <f>IFERROR(VLOOKUP(D113,'[3]Programa produccion Transferenc'!$C:$D,2,0),0)</f>
        <v>0</v>
      </c>
      <c r="K113" s="2"/>
      <c r="L113" s="2"/>
      <c r="M113" s="2"/>
      <c r="N113" s="2"/>
      <c r="O113" s="8">
        <f t="shared" si="5"/>
        <v>0</v>
      </c>
      <c r="P113" s="2"/>
      <c r="Q113" s="2"/>
      <c r="R113" s="18"/>
      <c r="S113" s="18"/>
      <c r="T113" s="2"/>
      <c r="U113" s="2"/>
      <c r="V113" s="18"/>
      <c r="W113" s="18"/>
      <c r="X113" s="18"/>
      <c r="Y113" s="35"/>
      <c r="Z113" s="2"/>
      <c r="AA113" s="7">
        <f t="shared" si="6"/>
        <v>0</v>
      </c>
      <c r="AB113" s="8" t="s">
        <v>150</v>
      </c>
      <c r="AC113" s="8">
        <v>200</v>
      </c>
      <c r="AD113" s="8" t="s">
        <v>154</v>
      </c>
      <c r="AE113" s="8">
        <f t="shared" si="7"/>
        <v>0</v>
      </c>
    </row>
    <row r="114" spans="1:31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2"/>
      <c r="J114" s="2">
        <f>IFERROR(VLOOKUP(D114,'[3]Programa produccion Transferenc'!$C:$D,2,0),0)</f>
        <v>0</v>
      </c>
      <c r="K114" s="2"/>
      <c r="L114" s="2"/>
      <c r="M114" s="2"/>
      <c r="N114" s="2"/>
      <c r="O114" s="8">
        <f t="shared" si="5"/>
        <v>0</v>
      </c>
      <c r="P114" s="2"/>
      <c r="Q114" s="2"/>
      <c r="R114" s="18"/>
      <c r="S114" s="18"/>
      <c r="T114" s="2"/>
      <c r="U114" s="2"/>
      <c r="V114" s="18"/>
      <c r="W114" s="18"/>
      <c r="X114" s="18"/>
      <c r="Y114" s="35"/>
      <c r="Z114" s="2"/>
      <c r="AA114" s="7">
        <f t="shared" si="6"/>
        <v>0</v>
      </c>
      <c r="AB114" s="8" t="s">
        <v>150</v>
      </c>
      <c r="AC114" s="8">
        <v>200</v>
      </c>
      <c r="AD114" s="8" t="s">
        <v>154</v>
      </c>
      <c r="AE114" s="8">
        <f t="shared" si="7"/>
        <v>0</v>
      </c>
    </row>
    <row r="115" spans="1:31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2"/>
      <c r="J115" s="2">
        <f>IFERROR(VLOOKUP(D115,'[3]Programa produccion Transferenc'!$C:$D,2,0),0)</f>
        <v>0</v>
      </c>
      <c r="K115" s="2"/>
      <c r="L115" s="2"/>
      <c r="M115" s="2"/>
      <c r="N115" s="2"/>
      <c r="O115" s="8">
        <f t="shared" si="5"/>
        <v>0</v>
      </c>
      <c r="P115" s="2"/>
      <c r="Q115" s="2"/>
      <c r="R115" s="18"/>
      <c r="S115" s="18"/>
      <c r="T115" s="2"/>
      <c r="U115" s="2"/>
      <c r="V115" s="18"/>
      <c r="W115" s="18"/>
      <c r="X115" s="18"/>
      <c r="Y115" s="35"/>
      <c r="Z115" s="2"/>
      <c r="AA115" s="7">
        <f t="shared" si="6"/>
        <v>0</v>
      </c>
      <c r="AB115" s="8" t="s">
        <v>150</v>
      </c>
      <c r="AC115" s="8">
        <v>200</v>
      </c>
      <c r="AD115" s="8" t="s">
        <v>154</v>
      </c>
      <c r="AE115" s="8">
        <f t="shared" si="7"/>
        <v>0</v>
      </c>
    </row>
    <row r="116" spans="1:31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2"/>
      <c r="J116" s="2">
        <f>IFERROR(VLOOKUP(D116,'[3]Programa produccion Transferenc'!$C:$D,2,0),0)</f>
        <v>0</v>
      </c>
      <c r="K116" s="2"/>
      <c r="L116" s="2"/>
      <c r="M116" s="2"/>
      <c r="N116" s="2"/>
      <c r="O116" s="8">
        <f t="shared" si="5"/>
        <v>0</v>
      </c>
      <c r="P116" s="2"/>
      <c r="Q116" s="2"/>
      <c r="R116" s="18"/>
      <c r="S116" s="18"/>
      <c r="T116" s="2"/>
      <c r="U116" s="2"/>
      <c r="V116" s="18"/>
      <c r="W116" s="18"/>
      <c r="X116" s="18"/>
      <c r="Y116" s="35"/>
      <c r="Z116" s="2"/>
      <c r="AA116" s="7">
        <f t="shared" si="6"/>
        <v>0</v>
      </c>
      <c r="AB116" s="8" t="s">
        <v>150</v>
      </c>
      <c r="AC116" s="8">
        <v>200</v>
      </c>
      <c r="AD116" s="8" t="s">
        <v>154</v>
      </c>
      <c r="AE116" s="8">
        <f t="shared" si="7"/>
        <v>0</v>
      </c>
    </row>
    <row r="117" spans="1:31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2"/>
      <c r="J117" s="2">
        <f>IFERROR(VLOOKUP(D117,'[3]Programa produccion Transferenc'!$C:$D,2,0),0)</f>
        <v>0</v>
      </c>
      <c r="K117" s="2"/>
      <c r="L117" s="2"/>
      <c r="M117" s="2"/>
      <c r="N117" s="2"/>
      <c r="O117" s="8">
        <f t="shared" si="5"/>
        <v>0</v>
      </c>
      <c r="P117" s="2"/>
      <c r="Q117" s="2"/>
      <c r="R117" s="18"/>
      <c r="S117" s="18"/>
      <c r="T117" s="2"/>
      <c r="U117" s="2"/>
      <c r="V117" s="18"/>
      <c r="W117" s="18"/>
      <c r="X117" s="18"/>
      <c r="Y117" s="35"/>
      <c r="Z117" s="2"/>
      <c r="AA117" s="7">
        <f t="shared" si="6"/>
        <v>0</v>
      </c>
      <c r="AB117" s="8" t="s">
        <v>150</v>
      </c>
      <c r="AC117" s="8">
        <v>200</v>
      </c>
      <c r="AD117" s="8" t="s">
        <v>154</v>
      </c>
      <c r="AE117" s="8">
        <f t="shared" si="7"/>
        <v>0</v>
      </c>
    </row>
    <row r="118" spans="1:31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2"/>
      <c r="J118" s="2">
        <f>IFERROR(VLOOKUP(D118,'[3]Programa produccion Transferenc'!$C:$D,2,0),0)</f>
        <v>0</v>
      </c>
      <c r="K118" s="2"/>
      <c r="L118" s="2"/>
      <c r="M118" s="2"/>
      <c r="N118" s="2"/>
      <c r="O118" s="8">
        <f t="shared" si="5"/>
        <v>0</v>
      </c>
      <c r="P118" s="2"/>
      <c r="Q118" s="2"/>
      <c r="R118" s="18"/>
      <c r="S118" s="18"/>
      <c r="T118" s="2"/>
      <c r="U118" s="2"/>
      <c r="V118" s="18"/>
      <c r="W118" s="18"/>
      <c r="X118" s="18"/>
      <c r="Y118" s="35"/>
      <c r="Z118" s="2"/>
      <c r="AA118" s="7">
        <f t="shared" si="6"/>
        <v>0</v>
      </c>
      <c r="AB118" s="8" t="s">
        <v>150</v>
      </c>
      <c r="AC118" s="8">
        <v>200</v>
      </c>
      <c r="AD118" s="8" t="s">
        <v>154</v>
      </c>
      <c r="AE118" s="8">
        <f t="shared" si="7"/>
        <v>0</v>
      </c>
    </row>
    <row r="119" spans="1:31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2"/>
      <c r="J119" s="2">
        <f>IFERROR(VLOOKUP(D119,'[3]Programa produccion Transferenc'!$C:$D,2,0),0)</f>
        <v>0</v>
      </c>
      <c r="K119" s="2"/>
      <c r="L119" s="2"/>
      <c r="M119" s="2"/>
      <c r="N119" s="2"/>
      <c r="O119" s="8">
        <f t="shared" si="5"/>
        <v>0</v>
      </c>
      <c r="P119" s="2"/>
      <c r="Q119" s="2"/>
      <c r="R119" s="18"/>
      <c r="S119" s="18"/>
      <c r="T119" s="2"/>
      <c r="U119" s="2"/>
      <c r="V119" s="18"/>
      <c r="W119" s="18"/>
      <c r="X119" s="18"/>
      <c r="Y119" s="35"/>
      <c r="Z119" s="2"/>
      <c r="AA119" s="7">
        <f t="shared" si="6"/>
        <v>0</v>
      </c>
      <c r="AB119" s="8" t="s">
        <v>150</v>
      </c>
      <c r="AC119" s="8">
        <v>200</v>
      </c>
      <c r="AD119" s="8" t="s">
        <v>154</v>
      </c>
      <c r="AE119" s="8">
        <f t="shared" si="7"/>
        <v>0</v>
      </c>
    </row>
    <row r="120" spans="1:31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2"/>
      <c r="J120" s="2">
        <f>IFERROR(VLOOKUP(D120,'[3]Programa produccion Transferenc'!$C:$D,2,0),0)</f>
        <v>0</v>
      </c>
      <c r="K120" s="2"/>
      <c r="L120" s="2"/>
      <c r="M120" s="2"/>
      <c r="N120" s="2"/>
      <c r="O120" s="8">
        <f t="shared" si="5"/>
        <v>0</v>
      </c>
      <c r="P120" s="2"/>
      <c r="Q120" s="2"/>
      <c r="R120" s="18"/>
      <c r="S120" s="18"/>
      <c r="T120" s="2"/>
      <c r="U120" s="2"/>
      <c r="V120" s="18"/>
      <c r="W120" s="18"/>
      <c r="X120" s="18"/>
      <c r="Y120" s="35"/>
      <c r="Z120" s="2"/>
      <c r="AA120" s="7">
        <f t="shared" si="6"/>
        <v>0</v>
      </c>
      <c r="AB120" s="8" t="s">
        <v>150</v>
      </c>
      <c r="AC120" s="8">
        <v>200</v>
      </c>
      <c r="AD120" s="8" t="s">
        <v>154</v>
      </c>
      <c r="AE120" s="8">
        <f t="shared" si="7"/>
        <v>0</v>
      </c>
    </row>
    <row r="121" spans="1:31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2"/>
      <c r="J121" s="2">
        <f>IFERROR(VLOOKUP(D121,'[3]Programa produccion Transferenc'!$C:$D,2,0),0)</f>
        <v>0</v>
      </c>
      <c r="K121" s="2"/>
      <c r="L121" s="2"/>
      <c r="M121" s="2"/>
      <c r="N121" s="2"/>
      <c r="O121" s="8">
        <f t="shared" si="5"/>
        <v>0</v>
      </c>
      <c r="P121" s="2"/>
      <c r="Q121" s="2"/>
      <c r="R121" s="18"/>
      <c r="S121" s="18"/>
      <c r="T121" s="2"/>
      <c r="U121" s="2"/>
      <c r="V121" s="18"/>
      <c r="W121" s="18"/>
      <c r="X121" s="18"/>
      <c r="Y121" s="35"/>
      <c r="Z121" s="2"/>
      <c r="AA121" s="7">
        <f t="shared" si="6"/>
        <v>0</v>
      </c>
      <c r="AB121" s="8" t="s">
        <v>150</v>
      </c>
      <c r="AC121" s="8">
        <v>200</v>
      </c>
      <c r="AD121" s="8" t="s">
        <v>154</v>
      </c>
      <c r="AE121" s="8">
        <f t="shared" si="7"/>
        <v>0</v>
      </c>
    </row>
    <row r="122" spans="1:31" x14ac:dyDescent="0.25">
      <c r="A122" s="2">
        <v>117</v>
      </c>
      <c r="B122" s="2" t="s">
        <v>130</v>
      </c>
      <c r="C122" s="2" t="s">
        <v>0</v>
      </c>
      <c r="D122" s="2" t="s">
        <v>144</v>
      </c>
      <c r="E122" s="13">
        <v>0.875</v>
      </c>
      <c r="F122" s="2"/>
      <c r="G122" s="3"/>
      <c r="H122" s="3"/>
      <c r="I122" s="2"/>
      <c r="J122" s="2">
        <f>IFERROR(VLOOKUP(D122,'[3]Programa produccion Transferenc'!$C:$D,2,0),0)</f>
        <v>0</v>
      </c>
      <c r="K122" s="2"/>
      <c r="L122" s="2"/>
      <c r="M122" s="2"/>
      <c r="N122" s="2"/>
      <c r="O122" s="8">
        <f t="shared" si="5"/>
        <v>0</v>
      </c>
      <c r="P122" s="2"/>
      <c r="Q122" s="2"/>
      <c r="R122" s="18"/>
      <c r="S122" s="18"/>
      <c r="T122" s="2"/>
      <c r="U122" s="2"/>
      <c r="V122" s="18"/>
      <c r="W122" s="18"/>
      <c r="X122" s="18"/>
      <c r="Y122" s="35"/>
      <c r="Z122" s="2"/>
      <c r="AA122" s="7">
        <f t="shared" si="6"/>
        <v>0</v>
      </c>
      <c r="AB122" s="8" t="s">
        <v>150</v>
      </c>
      <c r="AC122" s="8">
        <v>200</v>
      </c>
      <c r="AD122" s="8" t="s">
        <v>154</v>
      </c>
      <c r="AE122" s="8">
        <f t="shared" si="7"/>
        <v>0</v>
      </c>
    </row>
    <row r="123" spans="1:31" x14ac:dyDescent="0.25">
      <c r="A123" s="2">
        <v>118</v>
      </c>
      <c r="B123" s="2" t="s">
        <v>188</v>
      </c>
      <c r="C123" s="2" t="s">
        <v>129</v>
      </c>
      <c r="D123" s="2" t="s">
        <v>160</v>
      </c>
      <c r="E123" s="13">
        <v>0.3125</v>
      </c>
      <c r="F123" s="2"/>
      <c r="G123" s="3"/>
      <c r="H123" s="3">
        <v>0.2</v>
      </c>
      <c r="I123" s="2"/>
      <c r="J123" s="2">
        <f>IFERROR(VLOOKUP(D123,'[3]Programa produccion Transferenc'!$C:$D,2,0),0)</f>
        <v>0</v>
      </c>
      <c r="K123" s="2"/>
      <c r="L123" s="2"/>
      <c r="M123" s="2"/>
      <c r="N123" s="2"/>
      <c r="O123" s="8">
        <f t="shared" si="5"/>
        <v>0</v>
      </c>
      <c r="P123" s="2"/>
      <c r="Q123" s="2"/>
      <c r="R123" s="18"/>
      <c r="S123" s="18"/>
      <c r="T123" s="2"/>
      <c r="U123" s="2"/>
      <c r="V123" s="18"/>
      <c r="W123" s="18"/>
      <c r="X123" s="18"/>
      <c r="Y123" s="35"/>
      <c r="Z123" s="2"/>
      <c r="AA123" s="7">
        <f t="shared" si="6"/>
        <v>0</v>
      </c>
      <c r="AB123" s="8" t="s">
        <v>148</v>
      </c>
      <c r="AC123" s="12">
        <v>500</v>
      </c>
      <c r="AD123" s="8" t="s">
        <v>189</v>
      </c>
      <c r="AE123" s="8">
        <f t="shared" ref="AE123:AE149" si="8">+SUM(I123:N123)/AC123</f>
        <v>0</v>
      </c>
    </row>
    <row r="124" spans="1:31" x14ac:dyDescent="0.25">
      <c r="A124" s="2">
        <v>119</v>
      </c>
      <c r="B124" s="2" t="s">
        <v>188</v>
      </c>
      <c r="C124" s="2" t="s">
        <v>129</v>
      </c>
      <c r="D124" s="2" t="s">
        <v>161</v>
      </c>
      <c r="E124" s="13">
        <v>0.3125</v>
      </c>
      <c r="F124" s="2"/>
      <c r="G124" s="3"/>
      <c r="H124" s="3">
        <v>0.2</v>
      </c>
      <c r="I124" s="2"/>
      <c r="J124" s="2">
        <f>IFERROR(VLOOKUP(D124,'[3]Programa produccion Transferenc'!$C:$D,2,0),0)</f>
        <v>0</v>
      </c>
      <c r="K124" s="2"/>
      <c r="L124" s="2"/>
      <c r="M124" s="2"/>
      <c r="N124" s="2"/>
      <c r="O124" s="8">
        <f t="shared" si="5"/>
        <v>0</v>
      </c>
      <c r="P124" s="2"/>
      <c r="Q124" s="2"/>
      <c r="R124" s="18"/>
      <c r="S124" s="18"/>
      <c r="T124" s="2"/>
      <c r="U124" s="2"/>
      <c r="V124" s="18"/>
      <c r="W124" s="18"/>
      <c r="X124" s="18"/>
      <c r="Y124" s="35"/>
      <c r="Z124" s="2"/>
      <c r="AA124" s="7">
        <f t="shared" si="6"/>
        <v>0</v>
      </c>
      <c r="AB124" s="8" t="s">
        <v>148</v>
      </c>
      <c r="AC124" s="12">
        <v>500</v>
      </c>
      <c r="AD124" s="8" t="s">
        <v>189</v>
      </c>
      <c r="AE124" s="8">
        <f t="shared" si="8"/>
        <v>0</v>
      </c>
    </row>
    <row r="125" spans="1:31" x14ac:dyDescent="0.25">
      <c r="A125" s="2">
        <v>120</v>
      </c>
      <c r="B125" s="2" t="s">
        <v>188</v>
      </c>
      <c r="C125" s="2" t="s">
        <v>129</v>
      </c>
      <c r="D125" s="2" t="s">
        <v>162</v>
      </c>
      <c r="E125" s="13">
        <v>0.3125</v>
      </c>
      <c r="F125" s="2"/>
      <c r="G125" s="3"/>
      <c r="H125" s="3">
        <v>0.2</v>
      </c>
      <c r="I125" s="2"/>
      <c r="J125" s="2">
        <f>IFERROR(VLOOKUP(D125,'[3]Programa produccion Transferenc'!$C:$D,2,0),0)</f>
        <v>0</v>
      </c>
      <c r="K125" s="2"/>
      <c r="L125" s="2"/>
      <c r="M125" s="2"/>
      <c r="N125" s="2"/>
      <c r="O125" s="8">
        <f t="shared" si="5"/>
        <v>0</v>
      </c>
      <c r="P125" s="2"/>
      <c r="Q125" s="2"/>
      <c r="R125" s="18"/>
      <c r="S125" s="18"/>
      <c r="T125" s="2"/>
      <c r="U125" s="2"/>
      <c r="V125" s="18"/>
      <c r="W125" s="18"/>
      <c r="X125" s="18"/>
      <c r="Y125" s="35"/>
      <c r="Z125" s="2"/>
      <c r="AA125" s="7">
        <f t="shared" si="6"/>
        <v>0</v>
      </c>
      <c r="AB125" s="8" t="s">
        <v>148</v>
      </c>
      <c r="AC125" s="12">
        <v>500</v>
      </c>
      <c r="AD125" s="8" t="s">
        <v>189</v>
      </c>
      <c r="AE125" s="8">
        <f t="shared" si="8"/>
        <v>0</v>
      </c>
    </row>
    <row r="126" spans="1:31" x14ac:dyDescent="0.25">
      <c r="A126" s="2">
        <v>121</v>
      </c>
      <c r="B126" s="2" t="s">
        <v>188</v>
      </c>
      <c r="C126" s="2" t="s">
        <v>129</v>
      </c>
      <c r="D126" s="2" t="s">
        <v>163</v>
      </c>
      <c r="E126" s="13">
        <v>0.3125</v>
      </c>
      <c r="F126" s="2"/>
      <c r="G126" s="3"/>
      <c r="H126" s="3">
        <v>0.2</v>
      </c>
      <c r="I126" s="2"/>
      <c r="J126" s="2">
        <f>IFERROR(VLOOKUP(D126,'[3]Programa produccion Transferenc'!$C:$D,2,0),0)</f>
        <v>0</v>
      </c>
      <c r="K126" s="2"/>
      <c r="L126" s="2"/>
      <c r="M126" s="2"/>
      <c r="N126" s="2"/>
      <c r="O126" s="8">
        <f t="shared" si="5"/>
        <v>0</v>
      </c>
      <c r="P126" s="2"/>
      <c r="Q126" s="2"/>
      <c r="R126" s="18"/>
      <c r="S126" s="18"/>
      <c r="T126" s="2"/>
      <c r="U126" s="2"/>
      <c r="V126" s="18"/>
      <c r="W126" s="18"/>
      <c r="X126" s="18"/>
      <c r="Y126" s="35"/>
      <c r="Z126" s="2"/>
      <c r="AA126" s="7">
        <f t="shared" si="6"/>
        <v>0</v>
      </c>
      <c r="AB126" s="8" t="s">
        <v>148</v>
      </c>
      <c r="AC126" s="12">
        <v>500</v>
      </c>
      <c r="AD126" s="8" t="s">
        <v>189</v>
      </c>
      <c r="AE126" s="8">
        <f t="shared" si="8"/>
        <v>0</v>
      </c>
    </row>
    <row r="127" spans="1:31" x14ac:dyDescent="0.25">
      <c r="A127" s="2">
        <v>122</v>
      </c>
      <c r="B127" s="2" t="s">
        <v>188</v>
      </c>
      <c r="C127" s="2" t="s">
        <v>129</v>
      </c>
      <c r="D127" s="2" t="s">
        <v>164</v>
      </c>
      <c r="E127" s="13">
        <v>0.3125</v>
      </c>
      <c r="F127" s="2"/>
      <c r="G127" s="3"/>
      <c r="H127" s="3">
        <v>0.2</v>
      </c>
      <c r="I127" s="2"/>
      <c r="J127" s="2">
        <f>IFERROR(VLOOKUP(D127,'[3]Programa produccion Transferenc'!$C:$D,2,0),0)</f>
        <v>0</v>
      </c>
      <c r="K127" s="2"/>
      <c r="L127" s="2"/>
      <c r="M127" s="2"/>
      <c r="N127" s="2"/>
      <c r="O127" s="8">
        <f t="shared" si="5"/>
        <v>0</v>
      </c>
      <c r="P127" s="2"/>
      <c r="Q127" s="2"/>
      <c r="R127" s="18"/>
      <c r="S127" s="18"/>
      <c r="T127" s="2"/>
      <c r="U127" s="2"/>
      <c r="V127" s="18"/>
      <c r="W127" s="18"/>
      <c r="X127" s="18"/>
      <c r="Y127" s="35"/>
      <c r="Z127" s="2"/>
      <c r="AA127" s="7">
        <f t="shared" si="6"/>
        <v>0</v>
      </c>
      <c r="AB127" s="8" t="s">
        <v>148</v>
      </c>
      <c r="AC127" s="12">
        <v>500</v>
      </c>
      <c r="AD127" s="8" t="s">
        <v>189</v>
      </c>
      <c r="AE127" s="8">
        <f t="shared" si="8"/>
        <v>0</v>
      </c>
    </row>
    <row r="128" spans="1:31" x14ac:dyDescent="0.25">
      <c r="A128" s="2">
        <v>123</v>
      </c>
      <c r="B128" s="2" t="s">
        <v>188</v>
      </c>
      <c r="C128" s="2" t="s">
        <v>129</v>
      </c>
      <c r="D128" s="2" t="s">
        <v>165</v>
      </c>
      <c r="E128" s="13">
        <v>0.3125</v>
      </c>
      <c r="F128" s="2"/>
      <c r="G128" s="3"/>
      <c r="H128" s="3">
        <v>0.2</v>
      </c>
      <c r="I128" s="2"/>
      <c r="J128" s="2">
        <f>IFERROR(VLOOKUP(D128,'[3]Programa produccion Transferenc'!$C:$D,2,0),0)</f>
        <v>0</v>
      </c>
      <c r="K128" s="2"/>
      <c r="L128" s="2"/>
      <c r="M128" s="2"/>
      <c r="N128" s="2"/>
      <c r="O128" s="8">
        <f t="shared" si="5"/>
        <v>0</v>
      </c>
      <c r="P128" s="2"/>
      <c r="Q128" s="2"/>
      <c r="R128" s="18"/>
      <c r="S128" s="18"/>
      <c r="T128" s="2"/>
      <c r="U128" s="2"/>
      <c r="V128" s="18"/>
      <c r="W128" s="18"/>
      <c r="X128" s="18"/>
      <c r="Y128" s="35"/>
      <c r="Z128" s="2"/>
      <c r="AA128" s="7">
        <f t="shared" si="6"/>
        <v>0</v>
      </c>
      <c r="AB128" s="8" t="s">
        <v>148</v>
      </c>
      <c r="AC128" s="12">
        <v>500</v>
      </c>
      <c r="AD128" s="8" t="s">
        <v>189</v>
      </c>
      <c r="AE128" s="8">
        <f t="shared" si="8"/>
        <v>0</v>
      </c>
    </row>
    <row r="129" spans="1:31" x14ac:dyDescent="0.25">
      <c r="A129" s="2">
        <v>124</v>
      </c>
      <c r="B129" s="2" t="s">
        <v>188</v>
      </c>
      <c r="C129" s="2" t="s">
        <v>129</v>
      </c>
      <c r="D129" s="2" t="s">
        <v>166</v>
      </c>
      <c r="E129" s="13">
        <v>0.3125</v>
      </c>
      <c r="F129" s="2"/>
      <c r="G129" s="3"/>
      <c r="H129" s="3">
        <v>0.16</v>
      </c>
      <c r="I129" s="2"/>
      <c r="J129" s="2">
        <f>IFERROR(VLOOKUP(D129,'[3]Programa produccion Transferenc'!$C:$D,2,0),0)</f>
        <v>0</v>
      </c>
      <c r="K129" s="2"/>
      <c r="L129" s="2"/>
      <c r="M129" s="2"/>
      <c r="N129" s="2"/>
      <c r="O129" s="8">
        <f t="shared" si="5"/>
        <v>0</v>
      </c>
      <c r="P129" s="2"/>
      <c r="Q129" s="2"/>
      <c r="R129" s="18"/>
      <c r="S129" s="18"/>
      <c r="T129" s="2"/>
      <c r="U129" s="2"/>
      <c r="V129" s="18"/>
      <c r="W129" s="18"/>
      <c r="X129" s="18"/>
      <c r="Y129" s="35"/>
      <c r="Z129" s="2"/>
      <c r="AA129" s="7">
        <f t="shared" si="6"/>
        <v>0</v>
      </c>
      <c r="AB129" s="8" t="s">
        <v>148</v>
      </c>
      <c r="AC129" s="12">
        <v>500</v>
      </c>
      <c r="AD129" s="8" t="s">
        <v>189</v>
      </c>
      <c r="AE129" s="8">
        <f t="shared" si="8"/>
        <v>0</v>
      </c>
    </row>
    <row r="130" spans="1:31" x14ac:dyDescent="0.25">
      <c r="A130" s="2">
        <v>125</v>
      </c>
      <c r="B130" s="2" t="s">
        <v>188</v>
      </c>
      <c r="C130" s="2" t="s">
        <v>129</v>
      </c>
      <c r="D130" s="2" t="s">
        <v>167</v>
      </c>
      <c r="E130" s="13">
        <v>0.3125</v>
      </c>
      <c r="F130" s="2"/>
      <c r="G130" s="3"/>
      <c r="H130" s="3">
        <v>0.16</v>
      </c>
      <c r="I130" s="2"/>
      <c r="J130" s="2">
        <f>IFERROR(VLOOKUP(D130,'[3]Programa produccion Transferenc'!$C:$D,2,0),0)</f>
        <v>0</v>
      </c>
      <c r="K130" s="2"/>
      <c r="L130" s="2"/>
      <c r="M130" s="2"/>
      <c r="N130" s="2"/>
      <c r="O130" s="8">
        <f t="shared" si="5"/>
        <v>0</v>
      </c>
      <c r="P130" s="2"/>
      <c r="Q130" s="2"/>
      <c r="R130" s="18"/>
      <c r="S130" s="18"/>
      <c r="T130" s="2"/>
      <c r="U130" s="2"/>
      <c r="V130" s="18"/>
      <c r="W130" s="18"/>
      <c r="X130" s="18"/>
      <c r="Y130" s="35"/>
      <c r="Z130" s="2"/>
      <c r="AA130" s="7">
        <f t="shared" si="6"/>
        <v>0</v>
      </c>
      <c r="AB130" s="8" t="s">
        <v>148</v>
      </c>
      <c r="AC130" s="12">
        <v>500</v>
      </c>
      <c r="AD130" s="8" t="s">
        <v>189</v>
      </c>
      <c r="AE130" s="8">
        <f t="shared" si="8"/>
        <v>0</v>
      </c>
    </row>
    <row r="131" spans="1:31" x14ac:dyDescent="0.25">
      <c r="A131" s="2">
        <v>126</v>
      </c>
      <c r="B131" s="2" t="s">
        <v>188</v>
      </c>
      <c r="C131" s="2" t="s">
        <v>129</v>
      </c>
      <c r="D131" s="2" t="s">
        <v>168</v>
      </c>
      <c r="E131" s="13">
        <v>0.3125</v>
      </c>
      <c r="F131" s="2"/>
      <c r="G131" s="3"/>
      <c r="H131" s="3">
        <v>0.21</v>
      </c>
      <c r="I131" s="2"/>
      <c r="J131" s="2">
        <f>IFERROR(VLOOKUP(D131,'[3]Programa produccion Transferenc'!$C:$D,2,0),0)</f>
        <v>0</v>
      </c>
      <c r="K131" s="2"/>
      <c r="L131" s="2"/>
      <c r="M131" s="2"/>
      <c r="N131" s="2"/>
      <c r="O131" s="8">
        <f t="shared" si="5"/>
        <v>0</v>
      </c>
      <c r="P131" s="2"/>
      <c r="Q131" s="2"/>
      <c r="R131" s="18"/>
      <c r="S131" s="18"/>
      <c r="T131" s="2"/>
      <c r="U131" s="2"/>
      <c r="V131" s="18"/>
      <c r="W131" s="18"/>
      <c r="X131" s="18"/>
      <c r="Y131" s="35"/>
      <c r="Z131" s="2"/>
      <c r="AA131" s="7">
        <f t="shared" si="6"/>
        <v>0</v>
      </c>
      <c r="AB131" s="8" t="s">
        <v>148</v>
      </c>
      <c r="AC131" s="12">
        <v>500</v>
      </c>
      <c r="AD131" s="8" t="s">
        <v>189</v>
      </c>
      <c r="AE131" s="8">
        <f t="shared" si="8"/>
        <v>0</v>
      </c>
    </row>
    <row r="132" spans="1:31" x14ac:dyDescent="0.25">
      <c r="A132" s="2">
        <v>127</v>
      </c>
      <c r="B132" s="2" t="s">
        <v>188</v>
      </c>
      <c r="C132" s="2" t="s">
        <v>129</v>
      </c>
      <c r="D132" s="2" t="s">
        <v>169</v>
      </c>
      <c r="E132" s="13">
        <v>0.3125</v>
      </c>
      <c r="F132" s="2"/>
      <c r="G132" s="3"/>
      <c r="H132" s="3">
        <v>0.21</v>
      </c>
      <c r="I132" s="2"/>
      <c r="J132" s="2">
        <f>IFERROR(VLOOKUP(D132,'[3]Programa produccion Transferenc'!$C:$D,2,0),0)</f>
        <v>0</v>
      </c>
      <c r="K132" s="2"/>
      <c r="L132" s="2"/>
      <c r="M132" s="2"/>
      <c r="N132" s="2"/>
      <c r="O132" s="8">
        <f t="shared" si="5"/>
        <v>0</v>
      </c>
      <c r="P132" s="2"/>
      <c r="Q132" s="2"/>
      <c r="R132" s="18"/>
      <c r="S132" s="18"/>
      <c r="T132" s="2"/>
      <c r="U132" s="2"/>
      <c r="V132" s="18"/>
      <c r="W132" s="18"/>
      <c r="X132" s="18"/>
      <c r="Y132" s="35"/>
      <c r="Z132" s="2"/>
      <c r="AA132" s="7">
        <f t="shared" si="6"/>
        <v>0</v>
      </c>
      <c r="AB132" s="8" t="s">
        <v>148</v>
      </c>
      <c r="AC132" s="12">
        <v>500</v>
      </c>
      <c r="AD132" s="8" t="s">
        <v>189</v>
      </c>
      <c r="AE132" s="8">
        <f t="shared" si="8"/>
        <v>0</v>
      </c>
    </row>
    <row r="133" spans="1:31" x14ac:dyDescent="0.25">
      <c r="A133" s="2">
        <v>128</v>
      </c>
      <c r="B133" s="2" t="s">
        <v>188</v>
      </c>
      <c r="C133" s="2" t="s">
        <v>129</v>
      </c>
      <c r="D133" s="2" t="s">
        <v>170</v>
      </c>
      <c r="E133" s="13">
        <v>0.3125</v>
      </c>
      <c r="F133" s="2"/>
      <c r="G133" s="3"/>
      <c r="H133" s="3">
        <v>0.25</v>
      </c>
      <c r="I133" s="2"/>
      <c r="J133" s="2">
        <f>IFERROR(VLOOKUP(D133,'[3]Programa produccion Transferenc'!$C:$D,2,0),0)</f>
        <v>0</v>
      </c>
      <c r="K133" s="2"/>
      <c r="L133" s="2"/>
      <c r="M133" s="2"/>
      <c r="N133" s="2"/>
      <c r="O133" s="8">
        <f t="shared" si="5"/>
        <v>0</v>
      </c>
      <c r="P133" s="2"/>
      <c r="Q133" s="2"/>
      <c r="R133" s="18"/>
      <c r="S133" s="18"/>
      <c r="T133" s="2"/>
      <c r="U133" s="2"/>
      <c r="V133" s="18"/>
      <c r="W133" s="18"/>
      <c r="X133" s="18"/>
      <c r="Y133" s="35"/>
      <c r="Z133" s="2"/>
      <c r="AA133" s="7">
        <f t="shared" si="6"/>
        <v>0</v>
      </c>
      <c r="AB133" s="8" t="s">
        <v>148</v>
      </c>
      <c r="AC133" s="12">
        <v>500</v>
      </c>
      <c r="AD133" s="8" t="s">
        <v>189</v>
      </c>
      <c r="AE133" s="8">
        <f t="shared" si="8"/>
        <v>0</v>
      </c>
    </row>
    <row r="134" spans="1:31" x14ac:dyDescent="0.25">
      <c r="A134" s="2">
        <v>129</v>
      </c>
      <c r="B134" s="2" t="s">
        <v>188</v>
      </c>
      <c r="C134" s="2" t="s">
        <v>129</v>
      </c>
      <c r="D134" s="2" t="s">
        <v>171</v>
      </c>
      <c r="E134" s="13">
        <v>0.3125</v>
      </c>
      <c r="F134" s="2"/>
      <c r="G134" s="3"/>
      <c r="H134" s="3">
        <v>0.25</v>
      </c>
      <c r="I134" s="2"/>
      <c r="J134" s="2">
        <f>IFERROR(VLOOKUP(D134,'[3]Programa produccion Transferenc'!$C:$D,2,0),0)</f>
        <v>0</v>
      </c>
      <c r="K134" s="2"/>
      <c r="L134" s="2"/>
      <c r="M134" s="2"/>
      <c r="N134" s="2"/>
      <c r="O134" s="8">
        <f t="shared" ref="O134:O149" si="9">+I134+J134+K134+L134+M134+N134-SUM(P134:Z134)</f>
        <v>0</v>
      </c>
      <c r="P134" s="2"/>
      <c r="Q134" s="2"/>
      <c r="R134" s="18"/>
      <c r="S134" s="18"/>
      <c r="T134" s="2"/>
      <c r="U134" s="2"/>
      <c r="V134" s="18"/>
      <c r="W134" s="18"/>
      <c r="X134" s="18"/>
      <c r="Y134" s="35"/>
      <c r="Z134" s="2"/>
      <c r="AA134" s="7">
        <f t="shared" ref="AA134:AA149" si="10">+G134*SUM(I134:N134)</f>
        <v>0</v>
      </c>
      <c r="AB134" s="8" t="s">
        <v>148</v>
      </c>
      <c r="AC134" s="12">
        <v>500</v>
      </c>
      <c r="AD134" s="8" t="s">
        <v>189</v>
      </c>
      <c r="AE134" s="8">
        <f t="shared" si="8"/>
        <v>0</v>
      </c>
    </row>
    <row r="135" spans="1:31" x14ac:dyDescent="0.25">
      <c r="A135" s="2">
        <v>130</v>
      </c>
      <c r="B135" s="2" t="s">
        <v>188</v>
      </c>
      <c r="C135" s="2" t="s">
        <v>129</v>
      </c>
      <c r="D135" s="2" t="s">
        <v>172</v>
      </c>
      <c r="E135" s="13">
        <v>0.3125</v>
      </c>
      <c r="F135" s="2"/>
      <c r="G135" s="3"/>
      <c r="H135" s="3">
        <v>0.21</v>
      </c>
      <c r="I135" s="2"/>
      <c r="J135" s="2">
        <f>IFERROR(VLOOKUP(D135,'[3]Programa produccion Transferenc'!$C:$D,2,0),0)</f>
        <v>0</v>
      </c>
      <c r="K135" s="2"/>
      <c r="L135" s="2"/>
      <c r="M135" s="2"/>
      <c r="N135" s="2"/>
      <c r="O135" s="8">
        <f t="shared" si="9"/>
        <v>0</v>
      </c>
      <c r="P135" s="2"/>
      <c r="Q135" s="2"/>
      <c r="R135" s="18"/>
      <c r="S135" s="18"/>
      <c r="T135" s="2"/>
      <c r="U135" s="2"/>
      <c r="V135" s="18"/>
      <c r="W135" s="18"/>
      <c r="X135" s="18"/>
      <c r="Y135" s="35"/>
      <c r="Z135" s="2"/>
      <c r="AA135" s="7">
        <f t="shared" si="10"/>
        <v>0</v>
      </c>
      <c r="AB135" s="8" t="s">
        <v>148</v>
      </c>
      <c r="AC135" s="12">
        <v>500</v>
      </c>
      <c r="AD135" s="8" t="s">
        <v>189</v>
      </c>
      <c r="AE135" s="8">
        <f t="shared" si="8"/>
        <v>0</v>
      </c>
    </row>
    <row r="136" spans="1:31" x14ac:dyDescent="0.25">
      <c r="A136" s="2">
        <v>131</v>
      </c>
      <c r="B136" s="2" t="s">
        <v>188</v>
      </c>
      <c r="C136" s="2" t="s">
        <v>129</v>
      </c>
      <c r="D136" s="2" t="s">
        <v>173</v>
      </c>
      <c r="E136" s="13">
        <v>0.3125</v>
      </c>
      <c r="F136" s="2"/>
      <c r="G136" s="3"/>
      <c r="H136" s="3">
        <v>0.21</v>
      </c>
      <c r="I136" s="2"/>
      <c r="J136" s="2">
        <f>IFERROR(VLOOKUP(D136,'[3]Programa produccion Transferenc'!$C:$D,2,0),0)</f>
        <v>0</v>
      </c>
      <c r="K136" s="2"/>
      <c r="L136" s="2"/>
      <c r="M136" s="2"/>
      <c r="N136" s="2"/>
      <c r="O136" s="8">
        <f t="shared" si="9"/>
        <v>0</v>
      </c>
      <c r="P136" s="2"/>
      <c r="Q136" s="2"/>
      <c r="R136" s="18"/>
      <c r="S136" s="18"/>
      <c r="T136" s="2"/>
      <c r="U136" s="2"/>
      <c r="V136" s="18"/>
      <c r="W136" s="18"/>
      <c r="X136" s="18"/>
      <c r="Y136" s="35"/>
      <c r="Z136" s="2"/>
      <c r="AA136" s="7">
        <f t="shared" si="10"/>
        <v>0</v>
      </c>
      <c r="AB136" s="8" t="s">
        <v>148</v>
      </c>
      <c r="AC136" s="12">
        <v>500</v>
      </c>
      <c r="AD136" s="8" t="s">
        <v>189</v>
      </c>
      <c r="AE136" s="8">
        <f t="shared" si="8"/>
        <v>0</v>
      </c>
    </row>
    <row r="137" spans="1:31" x14ac:dyDescent="0.25">
      <c r="A137" s="2">
        <v>132</v>
      </c>
      <c r="B137" s="2" t="s">
        <v>188</v>
      </c>
      <c r="C137" s="2" t="s">
        <v>129</v>
      </c>
      <c r="D137" s="2" t="s">
        <v>174</v>
      </c>
      <c r="E137" s="13">
        <v>0.3125</v>
      </c>
      <c r="F137" s="2"/>
      <c r="G137" s="3"/>
      <c r="H137" s="3">
        <v>0.21</v>
      </c>
      <c r="I137" s="2"/>
      <c r="J137" s="2">
        <f>IFERROR(VLOOKUP(D137,'[3]Programa produccion Transferenc'!$C:$D,2,0),0)</f>
        <v>0</v>
      </c>
      <c r="K137" s="2"/>
      <c r="L137" s="2"/>
      <c r="M137" s="2"/>
      <c r="N137" s="2"/>
      <c r="O137" s="8">
        <f t="shared" si="9"/>
        <v>0</v>
      </c>
      <c r="P137" s="2"/>
      <c r="Q137" s="2"/>
      <c r="R137" s="18"/>
      <c r="S137" s="18"/>
      <c r="T137" s="2"/>
      <c r="U137" s="2"/>
      <c r="V137" s="18"/>
      <c r="W137" s="18"/>
      <c r="X137" s="18"/>
      <c r="Y137" s="35"/>
      <c r="Z137" s="2"/>
      <c r="AA137" s="7">
        <f t="shared" si="10"/>
        <v>0</v>
      </c>
      <c r="AB137" s="8" t="s">
        <v>148</v>
      </c>
      <c r="AC137" s="12">
        <v>500</v>
      </c>
      <c r="AD137" s="8" t="s">
        <v>189</v>
      </c>
      <c r="AE137" s="8">
        <f t="shared" si="8"/>
        <v>0</v>
      </c>
    </row>
    <row r="138" spans="1:31" x14ac:dyDescent="0.25">
      <c r="A138" s="2">
        <v>133</v>
      </c>
      <c r="B138" s="2" t="s">
        <v>188</v>
      </c>
      <c r="C138" s="2" t="s">
        <v>129</v>
      </c>
      <c r="D138" s="2" t="s">
        <v>175</v>
      </c>
      <c r="E138" s="13">
        <v>0.3125</v>
      </c>
      <c r="F138" s="2"/>
      <c r="G138" s="3"/>
      <c r="H138" s="3">
        <v>0.21</v>
      </c>
      <c r="I138" s="2"/>
      <c r="J138" s="2">
        <f>IFERROR(VLOOKUP(D138,'[3]Programa produccion Transferenc'!$C:$D,2,0),0)</f>
        <v>0</v>
      </c>
      <c r="K138" s="2"/>
      <c r="L138" s="2"/>
      <c r="M138" s="2"/>
      <c r="N138" s="2"/>
      <c r="O138" s="8">
        <f t="shared" si="9"/>
        <v>0</v>
      </c>
      <c r="P138" s="2"/>
      <c r="Q138" s="2"/>
      <c r="R138" s="18"/>
      <c r="S138" s="18"/>
      <c r="T138" s="2"/>
      <c r="U138" s="2"/>
      <c r="V138" s="18"/>
      <c r="W138" s="18"/>
      <c r="X138" s="18"/>
      <c r="Y138" s="35"/>
      <c r="Z138" s="2"/>
      <c r="AA138" s="7">
        <f t="shared" si="10"/>
        <v>0</v>
      </c>
      <c r="AB138" s="8" t="s">
        <v>148</v>
      </c>
      <c r="AC138" s="12">
        <v>500</v>
      </c>
      <c r="AD138" s="8" t="s">
        <v>189</v>
      </c>
      <c r="AE138" s="8">
        <f t="shared" si="8"/>
        <v>0</v>
      </c>
    </row>
    <row r="139" spans="1:31" x14ac:dyDescent="0.25">
      <c r="A139" s="2">
        <v>134</v>
      </c>
      <c r="B139" s="2" t="s">
        <v>188</v>
      </c>
      <c r="C139" s="2" t="s">
        <v>129</v>
      </c>
      <c r="D139" s="2" t="s">
        <v>176</v>
      </c>
      <c r="E139" s="13">
        <v>0.3125</v>
      </c>
      <c r="F139" s="2"/>
      <c r="G139" s="3"/>
      <c r="H139" s="3">
        <v>0.16</v>
      </c>
      <c r="I139" s="2"/>
      <c r="J139" s="2">
        <f>IFERROR(VLOOKUP(D139,'[3]Programa produccion Transferenc'!$C:$D,2,0),0)</f>
        <v>0</v>
      </c>
      <c r="K139" s="2"/>
      <c r="L139" s="2"/>
      <c r="M139" s="2"/>
      <c r="N139" s="2"/>
      <c r="O139" s="8">
        <f t="shared" si="9"/>
        <v>0</v>
      </c>
      <c r="P139" s="2"/>
      <c r="Q139" s="2"/>
      <c r="R139" s="18"/>
      <c r="S139" s="18"/>
      <c r="T139" s="2"/>
      <c r="U139" s="2"/>
      <c r="V139" s="18"/>
      <c r="W139" s="18"/>
      <c r="X139" s="18"/>
      <c r="Y139" s="35"/>
      <c r="Z139" s="2"/>
      <c r="AA139" s="7">
        <f t="shared" si="10"/>
        <v>0</v>
      </c>
      <c r="AB139" s="8" t="s">
        <v>148</v>
      </c>
      <c r="AC139" s="12">
        <v>500</v>
      </c>
      <c r="AD139" s="8" t="s">
        <v>189</v>
      </c>
      <c r="AE139" s="8">
        <f t="shared" si="8"/>
        <v>0</v>
      </c>
    </row>
    <row r="140" spans="1:31" x14ac:dyDescent="0.25">
      <c r="A140" s="2">
        <v>135</v>
      </c>
      <c r="B140" s="2" t="s">
        <v>188</v>
      </c>
      <c r="C140" s="2" t="s">
        <v>129</v>
      </c>
      <c r="D140" s="2" t="s">
        <v>177</v>
      </c>
      <c r="E140" s="13">
        <v>0.3125</v>
      </c>
      <c r="F140" s="2"/>
      <c r="G140" s="3"/>
      <c r="H140" s="3">
        <v>0.16</v>
      </c>
      <c r="I140" s="2"/>
      <c r="J140" s="2">
        <f>IFERROR(VLOOKUP(D140,'[3]Programa produccion Transferenc'!$C:$D,2,0),0)</f>
        <v>0</v>
      </c>
      <c r="K140" s="2"/>
      <c r="L140" s="2"/>
      <c r="M140" s="2"/>
      <c r="N140" s="2"/>
      <c r="O140" s="8">
        <f t="shared" si="9"/>
        <v>0</v>
      </c>
      <c r="P140" s="2"/>
      <c r="Q140" s="2"/>
      <c r="R140" s="18"/>
      <c r="S140" s="18"/>
      <c r="T140" s="2"/>
      <c r="U140" s="2"/>
      <c r="V140" s="18"/>
      <c r="W140" s="18"/>
      <c r="X140" s="18"/>
      <c r="Y140" s="35"/>
      <c r="Z140" s="2"/>
      <c r="AA140" s="7">
        <f t="shared" si="10"/>
        <v>0</v>
      </c>
      <c r="AB140" s="8" t="s">
        <v>148</v>
      </c>
      <c r="AC140" s="12">
        <v>500</v>
      </c>
      <c r="AD140" s="8" t="s">
        <v>189</v>
      </c>
      <c r="AE140" s="8">
        <f t="shared" si="8"/>
        <v>0</v>
      </c>
    </row>
    <row r="141" spans="1:31" x14ac:dyDescent="0.25">
      <c r="A141" s="2">
        <v>136</v>
      </c>
      <c r="B141" s="2" t="s">
        <v>188</v>
      </c>
      <c r="C141" s="2" t="s">
        <v>129</v>
      </c>
      <c r="D141" s="2" t="s">
        <v>178</v>
      </c>
      <c r="E141" s="13">
        <v>0.3125</v>
      </c>
      <c r="F141" s="2"/>
      <c r="G141" s="3"/>
      <c r="H141" s="3">
        <v>0.21</v>
      </c>
      <c r="I141" s="2"/>
      <c r="J141" s="2">
        <f>IFERROR(VLOOKUP(D141,'[3]Programa produccion Transferenc'!$C:$D,2,0),0)</f>
        <v>0</v>
      </c>
      <c r="K141" s="2"/>
      <c r="L141" s="2"/>
      <c r="M141" s="2"/>
      <c r="N141" s="2"/>
      <c r="O141" s="8">
        <f t="shared" si="9"/>
        <v>0</v>
      </c>
      <c r="P141" s="2"/>
      <c r="Q141" s="2"/>
      <c r="R141" s="18"/>
      <c r="S141" s="18"/>
      <c r="T141" s="2"/>
      <c r="U141" s="2"/>
      <c r="V141" s="18"/>
      <c r="W141" s="18"/>
      <c r="X141" s="18"/>
      <c r="Y141" s="35"/>
      <c r="Z141" s="2"/>
      <c r="AA141" s="7">
        <f t="shared" si="10"/>
        <v>0</v>
      </c>
      <c r="AB141" s="8" t="s">
        <v>148</v>
      </c>
      <c r="AC141" s="12">
        <v>500</v>
      </c>
      <c r="AD141" s="8" t="s">
        <v>189</v>
      </c>
      <c r="AE141" s="8">
        <f t="shared" si="8"/>
        <v>0</v>
      </c>
    </row>
    <row r="142" spans="1:31" x14ac:dyDescent="0.25">
      <c r="A142" s="2">
        <v>137</v>
      </c>
      <c r="B142" s="2" t="s">
        <v>188</v>
      </c>
      <c r="C142" s="2" t="s">
        <v>129</v>
      </c>
      <c r="D142" s="2" t="s">
        <v>179</v>
      </c>
      <c r="E142" s="13">
        <v>0.3125</v>
      </c>
      <c r="F142" s="2"/>
      <c r="G142" s="3"/>
      <c r="H142" s="3">
        <v>0.16</v>
      </c>
      <c r="I142" s="2"/>
      <c r="J142" s="2">
        <f>IFERROR(VLOOKUP(D142,'[3]Programa produccion Transferenc'!$C:$D,2,0),0)</f>
        <v>0</v>
      </c>
      <c r="K142" s="2"/>
      <c r="L142" s="2"/>
      <c r="M142" s="2"/>
      <c r="N142" s="2"/>
      <c r="O142" s="8">
        <f t="shared" si="9"/>
        <v>0</v>
      </c>
      <c r="P142" s="2"/>
      <c r="Q142" s="2"/>
      <c r="R142" s="18"/>
      <c r="S142" s="18"/>
      <c r="T142" s="2"/>
      <c r="U142" s="2"/>
      <c r="V142" s="18"/>
      <c r="W142" s="18"/>
      <c r="X142" s="18"/>
      <c r="Y142" s="35"/>
      <c r="Z142" s="2"/>
      <c r="AA142" s="7">
        <f t="shared" si="10"/>
        <v>0</v>
      </c>
      <c r="AB142" s="8" t="s">
        <v>148</v>
      </c>
      <c r="AC142" s="12">
        <v>500</v>
      </c>
      <c r="AD142" s="8" t="s">
        <v>189</v>
      </c>
      <c r="AE142" s="8">
        <f t="shared" si="8"/>
        <v>0</v>
      </c>
    </row>
    <row r="143" spans="1:31" x14ac:dyDescent="0.25">
      <c r="A143" s="2">
        <v>138</v>
      </c>
      <c r="B143" s="2" t="s">
        <v>188</v>
      </c>
      <c r="C143" s="2" t="s">
        <v>129</v>
      </c>
      <c r="D143" s="2" t="s">
        <v>180</v>
      </c>
      <c r="E143" s="13">
        <v>0.3125</v>
      </c>
      <c r="F143" s="2"/>
      <c r="G143" s="3"/>
      <c r="H143" s="3">
        <v>0.16</v>
      </c>
      <c r="I143" s="2"/>
      <c r="J143" s="2">
        <f>IFERROR(VLOOKUP(D143,'[3]Programa produccion Transferenc'!$C:$D,2,0),0)</f>
        <v>0</v>
      </c>
      <c r="K143" s="2"/>
      <c r="L143" s="2"/>
      <c r="M143" s="2"/>
      <c r="N143" s="2"/>
      <c r="O143" s="8">
        <f t="shared" si="9"/>
        <v>0</v>
      </c>
      <c r="P143" s="2"/>
      <c r="Q143" s="2"/>
      <c r="R143" s="18"/>
      <c r="S143" s="18"/>
      <c r="T143" s="2"/>
      <c r="U143" s="2"/>
      <c r="V143" s="18"/>
      <c r="W143" s="18"/>
      <c r="X143" s="18"/>
      <c r="Y143" s="35"/>
      <c r="Z143" s="2"/>
      <c r="AA143" s="7">
        <f t="shared" si="10"/>
        <v>0</v>
      </c>
      <c r="AB143" s="8" t="s">
        <v>148</v>
      </c>
      <c r="AC143" s="12">
        <v>500</v>
      </c>
      <c r="AD143" s="8" t="s">
        <v>189</v>
      </c>
      <c r="AE143" s="8">
        <f t="shared" si="8"/>
        <v>0</v>
      </c>
    </row>
    <row r="144" spans="1:31" x14ac:dyDescent="0.25">
      <c r="A144" s="2">
        <v>139</v>
      </c>
      <c r="B144" s="2" t="s">
        <v>188</v>
      </c>
      <c r="C144" s="2" t="s">
        <v>129</v>
      </c>
      <c r="D144" s="2" t="s">
        <v>181</v>
      </c>
      <c r="E144" s="13">
        <v>0.3125</v>
      </c>
      <c r="F144" s="2"/>
      <c r="G144" s="3"/>
      <c r="H144" s="3">
        <v>0.21</v>
      </c>
      <c r="I144" s="2"/>
      <c r="J144" s="2">
        <f>IFERROR(VLOOKUP(D144,'[3]Programa produccion Transferenc'!$C:$D,2,0),0)</f>
        <v>0</v>
      </c>
      <c r="K144" s="2"/>
      <c r="L144" s="2"/>
      <c r="M144" s="2"/>
      <c r="N144" s="2"/>
      <c r="O144" s="8">
        <f t="shared" si="9"/>
        <v>0</v>
      </c>
      <c r="P144" s="2"/>
      <c r="Q144" s="2"/>
      <c r="R144" s="18"/>
      <c r="S144" s="18"/>
      <c r="T144" s="2"/>
      <c r="U144" s="2"/>
      <c r="V144" s="18"/>
      <c r="W144" s="18"/>
      <c r="X144" s="18"/>
      <c r="Y144" s="35"/>
      <c r="Z144" s="2"/>
      <c r="AA144" s="7">
        <f t="shared" si="10"/>
        <v>0</v>
      </c>
      <c r="AB144" s="8" t="s">
        <v>148</v>
      </c>
      <c r="AC144" s="12">
        <v>500</v>
      </c>
      <c r="AD144" s="8" t="s">
        <v>189</v>
      </c>
      <c r="AE144" s="8">
        <f t="shared" si="8"/>
        <v>0</v>
      </c>
    </row>
    <row r="145" spans="1:31" x14ac:dyDescent="0.25">
      <c r="A145" s="2">
        <v>140</v>
      </c>
      <c r="B145" s="2" t="s">
        <v>188</v>
      </c>
      <c r="C145" s="2" t="s">
        <v>129</v>
      </c>
      <c r="D145" s="2" t="s">
        <v>182</v>
      </c>
      <c r="E145" s="13">
        <v>0.3125</v>
      </c>
      <c r="F145" s="2"/>
      <c r="G145" s="3"/>
      <c r="H145" s="3">
        <v>0.21</v>
      </c>
      <c r="I145" s="2"/>
      <c r="J145" s="2">
        <f>IFERROR(VLOOKUP(D145,'[3]Programa produccion Transferenc'!$C:$D,2,0),0)</f>
        <v>0</v>
      </c>
      <c r="K145" s="2"/>
      <c r="L145" s="2"/>
      <c r="M145" s="2"/>
      <c r="N145" s="2"/>
      <c r="O145" s="8">
        <f t="shared" si="9"/>
        <v>0</v>
      </c>
      <c r="P145" s="2"/>
      <c r="Q145" s="2"/>
      <c r="R145" s="18"/>
      <c r="S145" s="18"/>
      <c r="T145" s="2"/>
      <c r="U145" s="2"/>
      <c r="V145" s="18"/>
      <c r="W145" s="18"/>
      <c r="X145" s="18"/>
      <c r="Y145" s="35"/>
      <c r="Z145" s="2"/>
      <c r="AA145" s="7">
        <f t="shared" si="10"/>
        <v>0</v>
      </c>
      <c r="AB145" s="8" t="s">
        <v>148</v>
      </c>
      <c r="AC145" s="12">
        <v>500</v>
      </c>
      <c r="AD145" s="8" t="s">
        <v>189</v>
      </c>
      <c r="AE145" s="8">
        <f t="shared" si="8"/>
        <v>0</v>
      </c>
    </row>
    <row r="146" spans="1:31" x14ac:dyDescent="0.25">
      <c r="A146" s="2">
        <v>141</v>
      </c>
      <c r="B146" s="2" t="s">
        <v>188</v>
      </c>
      <c r="C146" s="2" t="s">
        <v>129</v>
      </c>
      <c r="D146" s="2" t="s">
        <v>183</v>
      </c>
      <c r="E146" s="13">
        <v>0.3125</v>
      </c>
      <c r="F146" s="2"/>
      <c r="G146" s="3"/>
      <c r="H146" s="3">
        <v>0.21</v>
      </c>
      <c r="I146" s="2"/>
      <c r="J146" s="2">
        <f>IFERROR(VLOOKUP(D146,'[3]Programa produccion Transferenc'!$C:$D,2,0),0)</f>
        <v>0</v>
      </c>
      <c r="K146" s="2"/>
      <c r="L146" s="2"/>
      <c r="M146" s="2"/>
      <c r="N146" s="2"/>
      <c r="O146" s="8">
        <f t="shared" si="9"/>
        <v>0</v>
      </c>
      <c r="P146" s="2"/>
      <c r="Q146" s="2"/>
      <c r="R146" s="18"/>
      <c r="S146" s="18"/>
      <c r="T146" s="2"/>
      <c r="U146" s="2"/>
      <c r="V146" s="18"/>
      <c r="W146" s="18"/>
      <c r="X146" s="18"/>
      <c r="Y146" s="35"/>
      <c r="Z146" s="2"/>
      <c r="AA146" s="7">
        <f t="shared" si="10"/>
        <v>0</v>
      </c>
      <c r="AB146" s="8" t="s">
        <v>148</v>
      </c>
      <c r="AC146" s="12">
        <v>500</v>
      </c>
      <c r="AD146" s="8" t="s">
        <v>189</v>
      </c>
      <c r="AE146" s="8">
        <f t="shared" si="8"/>
        <v>0</v>
      </c>
    </row>
    <row r="147" spans="1:31" x14ac:dyDescent="0.25">
      <c r="A147" s="2">
        <v>142</v>
      </c>
      <c r="B147" s="2" t="s">
        <v>188</v>
      </c>
      <c r="C147" s="2" t="s">
        <v>129</v>
      </c>
      <c r="D147" s="2" t="s">
        <v>184</v>
      </c>
      <c r="E147" s="13">
        <v>0.3125</v>
      </c>
      <c r="F147" s="2"/>
      <c r="G147" s="3"/>
      <c r="H147" s="3">
        <v>0.21</v>
      </c>
      <c r="I147" s="2"/>
      <c r="J147" s="2">
        <f>IFERROR(VLOOKUP(D147,'[3]Programa produccion Transferenc'!$C:$D,2,0),0)</f>
        <v>0</v>
      </c>
      <c r="K147" s="2"/>
      <c r="L147" s="2"/>
      <c r="M147" s="2"/>
      <c r="N147" s="2"/>
      <c r="O147" s="8">
        <f t="shared" si="9"/>
        <v>0</v>
      </c>
      <c r="P147" s="2"/>
      <c r="Q147" s="2"/>
      <c r="R147" s="18"/>
      <c r="S147" s="18"/>
      <c r="T147" s="2"/>
      <c r="U147" s="2"/>
      <c r="V147" s="18"/>
      <c r="W147" s="18"/>
      <c r="X147" s="18"/>
      <c r="Y147" s="35"/>
      <c r="Z147" s="2"/>
      <c r="AA147" s="7">
        <f t="shared" si="10"/>
        <v>0</v>
      </c>
      <c r="AB147" s="8" t="s">
        <v>148</v>
      </c>
      <c r="AC147" s="12">
        <v>500</v>
      </c>
      <c r="AD147" s="8" t="s">
        <v>189</v>
      </c>
      <c r="AE147" s="8">
        <f t="shared" si="8"/>
        <v>0</v>
      </c>
    </row>
    <row r="148" spans="1:31" x14ac:dyDescent="0.25">
      <c r="A148" s="2">
        <v>143</v>
      </c>
      <c r="B148" s="2" t="s">
        <v>188</v>
      </c>
      <c r="C148" s="2" t="s">
        <v>129</v>
      </c>
      <c r="D148" s="2" t="s">
        <v>185</v>
      </c>
      <c r="E148" s="13">
        <v>0.3125</v>
      </c>
      <c r="F148" s="2"/>
      <c r="G148" s="3"/>
      <c r="H148" s="3">
        <v>0.19</v>
      </c>
      <c r="I148" s="2"/>
      <c r="J148" s="2">
        <f>IFERROR(VLOOKUP(D148,'[3]Programa produccion Transferenc'!$C:$D,2,0),0)</f>
        <v>0</v>
      </c>
      <c r="K148" s="2"/>
      <c r="L148" s="2"/>
      <c r="M148" s="2"/>
      <c r="N148" s="2"/>
      <c r="O148" s="8">
        <f t="shared" si="9"/>
        <v>0</v>
      </c>
      <c r="P148" s="2"/>
      <c r="Q148" s="2"/>
      <c r="R148" s="18"/>
      <c r="S148" s="18"/>
      <c r="T148" s="2"/>
      <c r="U148" s="2"/>
      <c r="V148" s="18"/>
      <c r="W148" s="18"/>
      <c r="X148" s="18"/>
      <c r="Y148" s="35"/>
      <c r="Z148" s="2"/>
      <c r="AA148" s="7">
        <f t="shared" si="10"/>
        <v>0</v>
      </c>
      <c r="AB148" s="8" t="s">
        <v>148</v>
      </c>
      <c r="AC148" s="12">
        <v>500</v>
      </c>
      <c r="AD148" s="8" t="s">
        <v>189</v>
      </c>
      <c r="AE148" s="8">
        <f t="shared" si="8"/>
        <v>0</v>
      </c>
    </row>
    <row r="149" spans="1:31" x14ac:dyDescent="0.25">
      <c r="A149" s="2">
        <v>144</v>
      </c>
      <c r="B149" s="2" t="s">
        <v>188</v>
      </c>
      <c r="C149" s="2" t="s">
        <v>129</v>
      </c>
      <c r="D149" s="2" t="s">
        <v>186</v>
      </c>
      <c r="E149" s="13">
        <v>0.3125</v>
      </c>
      <c r="F149" s="2"/>
      <c r="G149" s="3"/>
      <c r="H149" s="3">
        <v>0.19</v>
      </c>
      <c r="I149" s="2"/>
      <c r="J149" s="2">
        <f>IFERROR(VLOOKUP(D149,'[3]Programa produccion Transferenc'!$C:$D,2,0),0)</f>
        <v>0</v>
      </c>
      <c r="K149" s="2"/>
      <c r="L149" s="2"/>
      <c r="M149" s="2"/>
      <c r="N149" s="2"/>
      <c r="O149" s="8">
        <f t="shared" si="9"/>
        <v>0</v>
      </c>
      <c r="P149" s="2"/>
      <c r="Q149" s="2"/>
      <c r="R149" s="18"/>
      <c r="S149" s="18"/>
      <c r="T149" s="2"/>
      <c r="U149" s="2"/>
      <c r="V149" s="18"/>
      <c r="W149" s="18"/>
      <c r="X149" s="18"/>
      <c r="Y149" s="35"/>
      <c r="Z149" s="2"/>
      <c r="AA149" s="7">
        <f t="shared" si="10"/>
        <v>0</v>
      </c>
      <c r="AB149" s="8" t="s">
        <v>148</v>
      </c>
      <c r="AC149" s="12">
        <v>500</v>
      </c>
      <c r="AD149" s="8" t="s">
        <v>189</v>
      </c>
      <c r="AE149" s="8">
        <f t="shared" si="8"/>
        <v>0</v>
      </c>
    </row>
    <row r="150" spans="1:31" x14ac:dyDescent="0.25">
      <c r="H150" s="4" t="s">
        <v>19</v>
      </c>
      <c r="I150" s="9">
        <f>SUM(I6:I122)</f>
        <v>10190</v>
      </c>
      <c r="J150" s="2">
        <f>IFERROR(VLOOKUP(D150,'[3]Programa produccion Transferenc'!$C:$D,2,0),0)</f>
        <v>0</v>
      </c>
      <c r="K150" s="9">
        <f t="shared" ref="K150:AA150" si="11">SUM(K6:K122)</f>
        <v>0</v>
      </c>
      <c r="L150" s="9">
        <f t="shared" si="11"/>
        <v>0</v>
      </c>
      <c r="M150" s="9">
        <f t="shared" si="11"/>
        <v>0</v>
      </c>
      <c r="N150" s="9">
        <f t="shared" si="11"/>
        <v>0</v>
      </c>
      <c r="O150" s="11">
        <f t="shared" si="11"/>
        <v>5227</v>
      </c>
      <c r="P150" s="9">
        <f t="shared" si="11"/>
        <v>7756</v>
      </c>
      <c r="Q150" s="9">
        <f t="shared" si="11"/>
        <v>0</v>
      </c>
      <c r="R150" s="19">
        <f t="shared" si="11"/>
        <v>5674</v>
      </c>
      <c r="S150" s="19">
        <f t="shared" si="11"/>
        <v>310</v>
      </c>
      <c r="T150" s="19">
        <f t="shared" si="11"/>
        <v>912</v>
      </c>
      <c r="U150" s="19">
        <f t="shared" si="11"/>
        <v>911</v>
      </c>
      <c r="V150" s="9">
        <f t="shared" si="11"/>
        <v>1419</v>
      </c>
      <c r="W150" s="9">
        <f t="shared" si="11"/>
        <v>0</v>
      </c>
      <c r="X150" s="19">
        <f t="shared" si="11"/>
        <v>4646</v>
      </c>
      <c r="Y150" s="74">
        <f t="shared" si="11"/>
        <v>2343</v>
      </c>
      <c r="Z150" s="9">
        <f t="shared" si="11"/>
        <v>1460</v>
      </c>
      <c r="AA150" s="9">
        <f t="shared" si="11"/>
        <v>0</v>
      </c>
      <c r="AE150" s="12">
        <f>SUM(AE6:AE122)</f>
        <v>203.49266666666668</v>
      </c>
    </row>
    <row r="151" spans="1:31" x14ac:dyDescent="0.25">
      <c r="H151" s="4" t="s">
        <v>21</v>
      </c>
      <c r="I151" s="99">
        <f>+I150+J150+K150+L150+M150+N150</f>
        <v>10190</v>
      </c>
      <c r="J151" s="99"/>
      <c r="K151" s="99"/>
      <c r="L151" s="99"/>
      <c r="M151" s="99"/>
      <c r="N151" s="99"/>
      <c r="P151" s="123">
        <f>+P150+Q150</f>
        <v>7756</v>
      </c>
      <c r="Q151" s="124"/>
      <c r="R151" s="123">
        <f>+R150+S150</f>
        <v>5984</v>
      </c>
      <c r="S151" s="124"/>
      <c r="T151" s="123">
        <f>+T150+U150</f>
        <v>1823</v>
      </c>
      <c r="U151" s="124"/>
      <c r="V151" s="123">
        <f t="shared" ref="V151" si="12">+V150+W150</f>
        <v>1419</v>
      </c>
      <c r="W151" s="124"/>
      <c r="X151" s="123">
        <f t="shared" ref="X151" si="13">+X150+Y150</f>
        <v>6989</v>
      </c>
      <c r="Y151" s="124"/>
      <c r="Z151" s="10">
        <f>+Z150</f>
        <v>1460</v>
      </c>
    </row>
    <row r="152" spans="1:31" x14ac:dyDescent="0.25">
      <c r="I152" s="33"/>
      <c r="J152" s="33">
        <f>SUM(J7:J63)</f>
        <v>20468</v>
      </c>
      <c r="K152" s="33">
        <f t="shared" ref="K152:N152" si="14">+K150</f>
        <v>0</v>
      </c>
      <c r="L152" s="33">
        <f t="shared" si="14"/>
        <v>0</v>
      </c>
      <c r="M152" s="33">
        <f t="shared" si="14"/>
        <v>0</v>
      </c>
      <c r="N152" s="33">
        <f t="shared" si="14"/>
        <v>0</v>
      </c>
    </row>
    <row r="153" spans="1:31" x14ac:dyDescent="0.25">
      <c r="P153" s="40" t="s">
        <v>15</v>
      </c>
      <c r="Q153" s="63" t="s">
        <v>16</v>
      </c>
      <c r="R153" s="18" t="s">
        <v>15</v>
      </c>
      <c r="S153" s="18" t="s">
        <v>16</v>
      </c>
      <c r="T153" s="18" t="s">
        <v>15</v>
      </c>
      <c r="U153" s="18" t="s">
        <v>16</v>
      </c>
      <c r="V153" s="40" t="s">
        <v>15</v>
      </c>
      <c r="W153" s="63" t="s">
        <v>16</v>
      </c>
      <c r="X153" s="18" t="s">
        <v>15</v>
      </c>
      <c r="Y153" s="35" t="s">
        <v>16</v>
      </c>
      <c r="Z153" s="64"/>
    </row>
    <row r="154" spans="1:31" x14ac:dyDescent="0.25">
      <c r="C154" s="2" t="s">
        <v>217</v>
      </c>
      <c r="D154" s="2" t="s">
        <v>218</v>
      </c>
      <c r="E154" s="2" t="s">
        <v>219</v>
      </c>
      <c r="P154" s="39">
        <f t="shared" ref="P154:Y154" si="15">P150/$E$155</f>
        <v>3.2622502628811776</v>
      </c>
      <c r="Q154" s="39">
        <f t="shared" si="15"/>
        <v>0</v>
      </c>
      <c r="R154" s="39">
        <f t="shared" si="15"/>
        <v>2.3865404837013671</v>
      </c>
      <c r="S154" s="39">
        <f t="shared" si="15"/>
        <v>0.13038906414300735</v>
      </c>
      <c r="T154" s="39">
        <f t="shared" si="15"/>
        <v>0.38359621451104103</v>
      </c>
      <c r="U154" s="39">
        <f t="shared" si="15"/>
        <v>0.38317560462670874</v>
      </c>
      <c r="V154" s="39">
        <f t="shared" si="15"/>
        <v>0.59684542586750788</v>
      </c>
      <c r="W154" s="39">
        <f t="shared" si="15"/>
        <v>0</v>
      </c>
      <c r="X154" s="39">
        <f t="shared" si="15"/>
        <v>1.9541535226077813</v>
      </c>
      <c r="Y154" s="75">
        <f t="shared" si="15"/>
        <v>0.98548895899053623</v>
      </c>
      <c r="Z154" s="65"/>
    </row>
    <row r="155" spans="1:31" x14ac:dyDescent="0.25">
      <c r="B155" s="31" t="s">
        <v>212</v>
      </c>
      <c r="C155" s="66">
        <v>9510</v>
      </c>
      <c r="D155" s="2">
        <f>+C155/2</f>
        <v>4755</v>
      </c>
      <c r="E155" s="2">
        <f>+D155/2</f>
        <v>2377.5</v>
      </c>
      <c r="H155" s="22"/>
      <c r="P155" s="100">
        <v>46251</v>
      </c>
      <c r="Q155" s="98"/>
      <c r="R155" s="100">
        <v>46252</v>
      </c>
      <c r="S155" s="98"/>
      <c r="T155" s="100">
        <v>46253</v>
      </c>
      <c r="U155" s="98"/>
      <c r="V155" s="100">
        <v>46254</v>
      </c>
      <c r="W155" s="98"/>
      <c r="X155" s="100">
        <v>46255</v>
      </c>
      <c r="Y155" s="98"/>
    </row>
    <row r="156" spans="1:31" x14ac:dyDescent="0.25">
      <c r="B156" s="31" t="s">
        <v>213</v>
      </c>
      <c r="C156" s="8">
        <v>7510</v>
      </c>
      <c r="D156" s="2">
        <f>+C156/5</f>
        <v>1502</v>
      </c>
      <c r="E156" s="2">
        <f>+D156/2</f>
        <v>751</v>
      </c>
    </row>
    <row r="157" spans="1:31" x14ac:dyDescent="0.25">
      <c r="B157" s="31" t="s">
        <v>214</v>
      </c>
      <c r="C157" s="67">
        <f>C155-C156</f>
        <v>2000</v>
      </c>
      <c r="D157" s="2"/>
      <c r="E157" s="2"/>
    </row>
    <row r="158" spans="1:31" x14ac:dyDescent="0.25">
      <c r="B158" s="31" t="s">
        <v>215</v>
      </c>
      <c r="C158" s="32">
        <f>+C157/C155</f>
        <v>0.2103049421661409</v>
      </c>
      <c r="D158" s="2"/>
      <c r="E158" s="2"/>
    </row>
    <row r="159" spans="1:31" x14ac:dyDescent="0.25">
      <c r="B159" s="31" t="s">
        <v>216</v>
      </c>
      <c r="C159" s="32">
        <f>+C156/C155</f>
        <v>0.78969505783385907</v>
      </c>
      <c r="D159" s="2"/>
      <c r="E159" s="2"/>
    </row>
    <row r="162" spans="2:9" x14ac:dyDescent="0.25">
      <c r="B162" s="129" t="s">
        <v>227</v>
      </c>
      <c r="C162" s="42">
        <v>46244</v>
      </c>
      <c r="D162" s="42">
        <v>46245</v>
      </c>
      <c r="E162" s="42">
        <v>46246</v>
      </c>
      <c r="F162" s="43">
        <v>46247</v>
      </c>
      <c r="G162" s="43">
        <v>46248</v>
      </c>
      <c r="H162" s="43">
        <v>46249</v>
      </c>
      <c r="I162" s="42">
        <v>46248</v>
      </c>
    </row>
    <row r="163" spans="2:9" x14ac:dyDescent="0.25">
      <c r="B163" s="129"/>
      <c r="C163" s="44" t="s">
        <v>222</v>
      </c>
      <c r="D163" s="44" t="s">
        <v>223</v>
      </c>
      <c r="E163" s="44" t="s">
        <v>224</v>
      </c>
      <c r="F163" s="44" t="s">
        <v>225</v>
      </c>
      <c r="G163" s="44" t="s">
        <v>226</v>
      </c>
      <c r="I163" s="44" t="s">
        <v>229</v>
      </c>
    </row>
    <row r="164" spans="2:9" x14ac:dyDescent="0.25">
      <c r="B164" s="40" t="s">
        <v>220</v>
      </c>
      <c r="C164" s="39">
        <v>0.21</v>
      </c>
      <c r="D164" s="39"/>
      <c r="E164" s="39"/>
      <c r="F164" s="45"/>
      <c r="G164" s="45">
        <v>0.74</v>
      </c>
      <c r="I164" s="39"/>
    </row>
    <row r="165" spans="2:9" x14ac:dyDescent="0.25">
      <c r="B165" s="41" t="s">
        <v>221</v>
      </c>
      <c r="C165" s="39">
        <v>0.79</v>
      </c>
      <c r="D165" s="39"/>
      <c r="E165" s="39"/>
      <c r="F165" s="45"/>
      <c r="G165" s="45">
        <v>0.26</v>
      </c>
      <c r="I165" s="39"/>
    </row>
  </sheetData>
  <autoFilter ref="B5:AE151" xr:uid="{00000000-0009-0000-0000-000008000000}"/>
  <mergeCells count="20">
    <mergeCell ref="B162:B163"/>
    <mergeCell ref="V4:W4"/>
    <mergeCell ref="X4:Y4"/>
    <mergeCell ref="I151:N151"/>
    <mergeCell ref="P151:Q151"/>
    <mergeCell ref="R151:S151"/>
    <mergeCell ref="T151:U151"/>
    <mergeCell ref="V151:W151"/>
    <mergeCell ref="X151:Y151"/>
    <mergeCell ref="T4:U4"/>
    <mergeCell ref="P155:Q155"/>
    <mergeCell ref="R155:S155"/>
    <mergeCell ref="T155:U155"/>
    <mergeCell ref="V155:W155"/>
    <mergeCell ref="X155:Y155"/>
    <mergeCell ref="C2:D2"/>
    <mergeCell ref="B3:B4"/>
    <mergeCell ref="J4:N4"/>
    <mergeCell ref="P4:Q4"/>
    <mergeCell ref="R4:S4"/>
  </mergeCells>
  <conditionalFormatting sqref="P154:Y154">
    <cfRule type="cellIs" dxfId="17" priority="1" operator="between">
      <formula>1</formula>
      <formula>5</formula>
    </cfRule>
    <cfRule type="cellIs" dxfId="16" priority="2" operator="between">
      <formula>0.85</formula>
      <formula>0.99</formula>
    </cfRule>
    <cfRule type="cellIs" dxfId="15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21" orientation="landscape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A1:AI169"/>
  <sheetViews>
    <sheetView topLeftCell="A106" zoomScaleNormal="100" zoomScaleSheetLayoutView="130" workbookViewId="0">
      <pane xSplit="15" topLeftCell="P1" activePane="topRight" state="frozen"/>
      <selection activeCell="J1" sqref="J1:N1048576"/>
      <selection pane="topRight" activeCell="J136" sqref="J136"/>
    </sheetView>
  </sheetViews>
  <sheetFormatPr baseColWidth="10" defaultColWidth="8.7109375" defaultRowHeight="15" x14ac:dyDescent="0.25"/>
  <cols>
    <col min="1" max="1" width="8.7109375" style="1"/>
    <col min="2" max="2" width="22.28515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hidden="1" customWidth="1"/>
    <col min="8" max="8" width="15.42578125" style="1" hidden="1" customWidth="1"/>
    <col min="9" max="9" width="11.7109375" style="1" bestFit="1" customWidth="1"/>
    <col min="10" max="14" width="6.140625" style="1" customWidth="1"/>
    <col min="15" max="15" width="10.140625" style="1" customWidth="1"/>
    <col min="16" max="17" width="9.140625" style="1" customWidth="1"/>
    <col min="18" max="18" width="8.85546875" style="16" customWidth="1"/>
    <col min="19" max="21" width="8.7109375" style="16" customWidth="1"/>
    <col min="22" max="23" width="8.7109375" style="1" customWidth="1"/>
    <col min="24" max="24" width="8.7109375" style="16" customWidth="1"/>
    <col min="25" max="25" width="8.7109375" style="72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x14ac:dyDescent="0.25">
      <c r="V1" s="16"/>
      <c r="W1" s="16"/>
    </row>
    <row r="2" spans="1:35" x14ac:dyDescent="0.25">
      <c r="B2" s="4" t="s">
        <v>17</v>
      </c>
      <c r="C2" s="92" t="s">
        <v>18</v>
      </c>
      <c r="D2" s="92"/>
      <c r="V2" s="16"/>
      <c r="W2" s="16"/>
    </row>
    <row r="3" spans="1:35" x14ac:dyDescent="0.25">
      <c r="B3" s="93">
        <f ca="1">TODAY()</f>
        <v>46308</v>
      </c>
      <c r="C3" s="4" t="s">
        <v>15</v>
      </c>
      <c r="D3" s="2" t="s">
        <v>209</v>
      </c>
      <c r="I3" s="4" t="s">
        <v>4</v>
      </c>
      <c r="V3" s="16"/>
      <c r="W3" s="16"/>
    </row>
    <row r="4" spans="1:35" x14ac:dyDescent="0.25">
      <c r="B4" s="93"/>
      <c r="C4" s="4" t="s">
        <v>16</v>
      </c>
      <c r="D4" s="2"/>
      <c r="I4" s="4" t="s">
        <v>5</v>
      </c>
      <c r="J4" s="98" t="s">
        <v>211</v>
      </c>
      <c r="K4" s="98"/>
      <c r="L4" s="98"/>
      <c r="M4" s="98"/>
      <c r="N4" s="98"/>
      <c r="P4" s="122">
        <v>46251</v>
      </c>
      <c r="Q4" s="122"/>
      <c r="R4" s="122">
        <v>46252</v>
      </c>
      <c r="S4" s="122"/>
      <c r="T4" s="122">
        <v>46253</v>
      </c>
      <c r="U4" s="122"/>
      <c r="V4" s="122">
        <v>46254</v>
      </c>
      <c r="W4" s="122"/>
      <c r="X4" s="122">
        <v>46255</v>
      </c>
      <c r="Y4" s="122"/>
      <c r="Z4" s="6" t="s">
        <v>10</v>
      </c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 t="s">
        <v>231</v>
      </c>
      <c r="J5" s="4" t="s">
        <v>232</v>
      </c>
      <c r="K5" s="4" t="s">
        <v>9</v>
      </c>
      <c r="L5" s="4" t="s">
        <v>11</v>
      </c>
      <c r="M5" s="4" t="s">
        <v>12</v>
      </c>
      <c r="N5" s="4"/>
      <c r="O5" s="4" t="s">
        <v>14</v>
      </c>
      <c r="P5" s="4" t="s">
        <v>15</v>
      </c>
      <c r="Q5" s="4" t="s">
        <v>16</v>
      </c>
      <c r="R5" s="17" t="s">
        <v>15</v>
      </c>
      <c r="S5" s="17" t="s">
        <v>16</v>
      </c>
      <c r="T5" s="17" t="s">
        <v>15</v>
      </c>
      <c r="U5" s="17" t="s">
        <v>16</v>
      </c>
      <c r="V5" s="17" t="s">
        <v>15</v>
      </c>
      <c r="W5" s="17" t="s">
        <v>16</v>
      </c>
      <c r="X5" s="17" t="s">
        <v>15</v>
      </c>
      <c r="Y5" s="73" t="s">
        <v>16</v>
      </c>
      <c r="Z5" s="4" t="s">
        <v>20</v>
      </c>
      <c r="AA5" s="4" t="s">
        <v>8</v>
      </c>
      <c r="AB5" s="4" t="s">
        <v>22</v>
      </c>
      <c r="AC5" s="4" t="s">
        <v>145</v>
      </c>
      <c r="AD5" s="4" t="s">
        <v>23</v>
      </c>
      <c r="AE5" s="4" t="s">
        <v>156</v>
      </c>
      <c r="AF5"/>
      <c r="AG5" t="s">
        <v>157</v>
      </c>
      <c r="AH5" t="s">
        <v>159</v>
      </c>
      <c r="AI5"/>
    </row>
    <row r="6" spans="1:35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2">
        <v>0</v>
      </c>
      <c r="J6" s="2"/>
      <c r="K6" s="2"/>
      <c r="L6" s="2"/>
      <c r="M6" s="2"/>
      <c r="N6" s="2"/>
      <c r="O6" s="8">
        <f t="shared" ref="O6:O69" si="0">+I6+J6+K6+L6+M6+N6-SUM(P6:Z6)</f>
        <v>0</v>
      </c>
      <c r="P6" s="2"/>
      <c r="Q6" s="2"/>
      <c r="R6" s="18"/>
      <c r="S6" s="18"/>
      <c r="T6" s="2"/>
      <c r="U6" s="2"/>
      <c r="V6" s="18"/>
      <c r="W6" s="18"/>
      <c r="X6" s="18"/>
      <c r="Y6" s="35"/>
      <c r="Z6" s="2"/>
      <c r="AA6" s="7">
        <f t="shared" ref="AA6:AA69" si="1">+G6*SUM(I6:N6)</f>
        <v>0</v>
      </c>
      <c r="AB6" s="8" t="s">
        <v>146</v>
      </c>
      <c r="AC6" s="8">
        <v>150</v>
      </c>
      <c r="AD6" s="8" t="s">
        <v>152</v>
      </c>
      <c r="AE6" s="8">
        <f t="shared" ref="AE6:AE21" si="2">+SUM(I6:N6)/AC6</f>
        <v>0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2" t="s">
        <v>24</v>
      </c>
      <c r="C7" s="2" t="s">
        <v>129</v>
      </c>
      <c r="D7" s="35" t="s">
        <v>26</v>
      </c>
      <c r="E7" s="13">
        <v>0.25</v>
      </c>
      <c r="F7" s="2">
        <v>2.8000000000000001E-2</v>
      </c>
      <c r="G7" s="3"/>
      <c r="H7" s="3"/>
      <c r="I7" s="2">
        <v>950</v>
      </c>
      <c r="J7" s="2"/>
      <c r="K7" s="2"/>
      <c r="L7" s="2"/>
      <c r="M7" s="2"/>
      <c r="N7" s="2"/>
      <c r="O7" s="8">
        <f t="shared" si="0"/>
        <v>-50</v>
      </c>
      <c r="P7" s="35">
        <v>1000</v>
      </c>
      <c r="Q7" s="2"/>
      <c r="R7" s="18"/>
      <c r="S7" s="18"/>
      <c r="T7" s="2"/>
      <c r="U7" s="2"/>
      <c r="V7" s="18"/>
      <c r="W7" s="18"/>
      <c r="X7" s="18"/>
      <c r="Y7" s="35"/>
      <c r="Z7" s="2"/>
      <c r="AA7" s="7">
        <f t="shared" si="1"/>
        <v>0</v>
      </c>
      <c r="AB7" s="8" t="s">
        <v>146</v>
      </c>
      <c r="AC7" s="8">
        <v>200</v>
      </c>
      <c r="AD7" s="8" t="s">
        <v>152</v>
      </c>
      <c r="AE7" s="8">
        <f t="shared" si="2"/>
        <v>4.75</v>
      </c>
      <c r="AF7"/>
      <c r="AG7" s="15" t="s">
        <v>146</v>
      </c>
      <c r="AH7">
        <v>52</v>
      </c>
      <c r="AI7"/>
    </row>
    <row r="8" spans="1:35" x14ac:dyDescent="0.25">
      <c r="A8" s="2">
        <v>3</v>
      </c>
      <c r="B8" s="2" t="s">
        <v>24</v>
      </c>
      <c r="C8" s="2" t="s">
        <v>129</v>
      </c>
      <c r="D8" s="35" t="s">
        <v>27</v>
      </c>
      <c r="E8" s="13">
        <v>0.25</v>
      </c>
      <c r="F8" s="2">
        <v>2.8000000000000001E-2</v>
      </c>
      <c r="G8" s="3"/>
      <c r="H8" s="3"/>
      <c r="I8" s="2">
        <v>1500</v>
      </c>
      <c r="J8" s="2"/>
      <c r="K8" s="2"/>
      <c r="L8" s="2"/>
      <c r="M8" s="2"/>
      <c r="N8" s="2"/>
      <c r="O8" s="8">
        <f t="shared" si="0"/>
        <v>-50</v>
      </c>
      <c r="P8" s="35">
        <v>1550</v>
      </c>
      <c r="Q8" s="2"/>
      <c r="R8" s="18"/>
      <c r="S8" s="18"/>
      <c r="T8" s="2"/>
      <c r="U8" s="2"/>
      <c r="V8" s="18"/>
      <c r="W8" s="18"/>
      <c r="X8" s="18"/>
      <c r="Y8" s="35"/>
      <c r="Z8" s="2"/>
      <c r="AA8" s="7">
        <f t="shared" si="1"/>
        <v>0</v>
      </c>
      <c r="AB8" s="8" t="s">
        <v>146</v>
      </c>
      <c r="AC8" s="8">
        <v>200</v>
      </c>
      <c r="AD8" s="8" t="s">
        <v>152</v>
      </c>
      <c r="AE8" s="8">
        <f t="shared" si="2"/>
        <v>7.5</v>
      </c>
      <c r="AF8"/>
      <c r="AG8" s="15" t="s">
        <v>155</v>
      </c>
      <c r="AH8">
        <v>0</v>
      </c>
      <c r="AI8"/>
    </row>
    <row r="9" spans="1:35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2">
        <v>247</v>
      </c>
      <c r="J9" s="2">
        <v>300</v>
      </c>
      <c r="K9" s="2"/>
      <c r="L9" s="2"/>
      <c r="M9" s="2"/>
      <c r="N9" s="2"/>
      <c r="O9" s="8">
        <f>+I9+J9+K9+L9+M9+N9-SUM(P9:Z9)</f>
        <v>-774</v>
      </c>
      <c r="P9" s="2">
        <v>300</v>
      </c>
      <c r="Q9" s="2"/>
      <c r="R9" s="18"/>
      <c r="S9" s="18"/>
      <c r="T9" s="2">
        <v>350</v>
      </c>
      <c r="U9" s="2">
        <v>671</v>
      </c>
      <c r="V9" s="18"/>
      <c r="W9" s="18"/>
      <c r="X9" s="18"/>
      <c r="Y9" s="35"/>
      <c r="Z9" s="2"/>
      <c r="AA9" s="7">
        <f t="shared" si="1"/>
        <v>0</v>
      </c>
      <c r="AB9" s="8" t="s">
        <v>146</v>
      </c>
      <c r="AC9" s="8">
        <v>100</v>
      </c>
      <c r="AD9" s="8" t="s">
        <v>152</v>
      </c>
      <c r="AE9" s="8">
        <f t="shared" si="2"/>
        <v>5.47</v>
      </c>
      <c r="AF9"/>
      <c r="AG9" s="15" t="s">
        <v>147</v>
      </c>
      <c r="AH9">
        <v>116</v>
      </c>
      <c r="AI9"/>
    </row>
    <row r="10" spans="1:35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2">
        <v>800</v>
      </c>
      <c r="J10" s="2"/>
      <c r="K10" s="2"/>
      <c r="L10" s="2"/>
      <c r="M10" s="2"/>
      <c r="N10" s="2"/>
      <c r="O10" s="8">
        <f>+I10+J10+K10+L10+M10+N10-SUM(P10:Z10)</f>
        <v>55</v>
      </c>
      <c r="P10" s="2"/>
      <c r="Q10" s="2"/>
      <c r="R10" s="35">
        <v>300</v>
      </c>
      <c r="S10" s="35">
        <v>130</v>
      </c>
      <c r="T10" s="2">
        <v>315</v>
      </c>
      <c r="U10" s="2"/>
      <c r="V10" s="18"/>
      <c r="W10" s="18"/>
      <c r="X10" s="18"/>
      <c r="Y10" s="35"/>
      <c r="Z10" s="2"/>
      <c r="AA10" s="7">
        <f t="shared" si="1"/>
        <v>0</v>
      </c>
      <c r="AB10" s="8" t="s">
        <v>146</v>
      </c>
      <c r="AC10" s="8">
        <v>150</v>
      </c>
      <c r="AD10" s="8" t="s">
        <v>152</v>
      </c>
      <c r="AE10" s="8">
        <f t="shared" si="2"/>
        <v>5.333333333333333</v>
      </c>
      <c r="AF10"/>
      <c r="AG10" s="15" t="s">
        <v>150</v>
      </c>
      <c r="AH10">
        <v>2</v>
      </c>
      <c r="AI10"/>
    </row>
    <row r="11" spans="1:35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2">
        <v>1300</v>
      </c>
      <c r="J11" s="2"/>
      <c r="K11" s="2"/>
      <c r="L11" s="2"/>
      <c r="M11" s="2"/>
      <c r="N11" s="2"/>
      <c r="O11" s="8">
        <f t="shared" si="0"/>
        <v>-165</v>
      </c>
      <c r="P11" s="2"/>
      <c r="Q11" s="2"/>
      <c r="R11" s="35">
        <v>1300</v>
      </c>
      <c r="S11" s="35"/>
      <c r="T11" s="2"/>
      <c r="U11" s="2"/>
      <c r="V11" s="18"/>
      <c r="W11" s="18"/>
      <c r="X11" s="18">
        <v>165</v>
      </c>
      <c r="Y11" s="35"/>
      <c r="Z11" s="2"/>
      <c r="AA11" s="7">
        <f t="shared" si="1"/>
        <v>0</v>
      </c>
      <c r="AB11" s="8" t="s">
        <v>146</v>
      </c>
      <c r="AC11" s="8">
        <v>150</v>
      </c>
      <c r="AD11" s="8" t="s">
        <v>152</v>
      </c>
      <c r="AE11" s="8">
        <f t="shared" si="2"/>
        <v>8.6666666666666661</v>
      </c>
      <c r="AF11"/>
      <c r="AG11" s="15" t="s">
        <v>149</v>
      </c>
      <c r="AH11">
        <v>10</v>
      </c>
      <c r="AI11"/>
    </row>
    <row r="12" spans="1:35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2">
        <v>1300</v>
      </c>
      <c r="J12" s="2"/>
      <c r="K12" s="2"/>
      <c r="L12" s="2"/>
      <c r="M12" s="2"/>
      <c r="N12" s="2"/>
      <c r="O12" s="8">
        <f t="shared" si="0"/>
        <v>-2230</v>
      </c>
      <c r="P12" s="2"/>
      <c r="Q12" s="2"/>
      <c r="R12" s="35">
        <v>1200</v>
      </c>
      <c r="S12" s="35">
        <v>180</v>
      </c>
      <c r="T12" s="2"/>
      <c r="U12" s="2"/>
      <c r="V12" s="18"/>
      <c r="W12" s="18"/>
      <c r="X12" s="18">
        <v>1600</v>
      </c>
      <c r="Y12" s="35">
        <v>550</v>
      </c>
      <c r="Z12" s="2"/>
      <c r="AA12" s="7">
        <f t="shared" si="1"/>
        <v>0</v>
      </c>
      <c r="AB12" s="8" t="s">
        <v>146</v>
      </c>
      <c r="AC12" s="8">
        <v>50</v>
      </c>
      <c r="AD12" s="8" t="s">
        <v>152</v>
      </c>
      <c r="AE12" s="8">
        <f t="shared" si="2"/>
        <v>26</v>
      </c>
      <c r="AF12"/>
      <c r="AG12" s="15" t="s">
        <v>158</v>
      </c>
      <c r="AH12">
        <v>180</v>
      </c>
      <c r="AI12"/>
    </row>
    <row r="13" spans="1:35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2">
        <v>247</v>
      </c>
      <c r="J13" s="2">
        <v>500</v>
      </c>
      <c r="K13" s="2"/>
      <c r="L13" s="2"/>
      <c r="M13" s="2"/>
      <c r="N13" s="2"/>
      <c r="O13" s="8">
        <f t="shared" si="0"/>
        <v>0</v>
      </c>
      <c r="P13" s="2">
        <v>500</v>
      </c>
      <c r="Q13" s="2"/>
      <c r="R13" s="18"/>
      <c r="S13" s="18"/>
      <c r="T13" s="2">
        <v>247</v>
      </c>
      <c r="U13" s="2"/>
      <c r="V13" s="18"/>
      <c r="W13" s="18"/>
      <c r="X13" s="18"/>
      <c r="Y13" s="35"/>
      <c r="Z13" s="2"/>
      <c r="AA13" s="7">
        <f t="shared" si="1"/>
        <v>0</v>
      </c>
      <c r="AB13" s="8" t="s">
        <v>146</v>
      </c>
      <c r="AC13" s="8">
        <v>100</v>
      </c>
      <c r="AD13" s="8" t="s">
        <v>152</v>
      </c>
      <c r="AE13" s="8">
        <f t="shared" si="2"/>
        <v>7.47</v>
      </c>
      <c r="AF13"/>
      <c r="AG13"/>
      <c r="AH13"/>
      <c r="AI13"/>
    </row>
    <row r="14" spans="1:35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2">
        <v>100</v>
      </c>
      <c r="J14" s="2">
        <v>1000</v>
      </c>
      <c r="K14" s="2"/>
      <c r="L14" s="2"/>
      <c r="M14" s="2"/>
      <c r="N14" s="2"/>
      <c r="O14" s="8">
        <f t="shared" si="0"/>
        <v>-6</v>
      </c>
      <c r="P14" s="68">
        <v>1106</v>
      </c>
      <c r="Q14" s="2"/>
      <c r="R14" s="18"/>
      <c r="S14" s="18"/>
      <c r="T14" s="2"/>
      <c r="U14" s="2"/>
      <c r="V14" s="18"/>
      <c r="W14" s="18"/>
      <c r="X14" s="18"/>
      <c r="Y14" s="35"/>
      <c r="Z14" s="2"/>
      <c r="AA14" s="7">
        <f t="shared" si="1"/>
        <v>0</v>
      </c>
      <c r="AB14" s="8" t="s">
        <v>146</v>
      </c>
      <c r="AC14" s="8">
        <v>50</v>
      </c>
      <c r="AD14" s="8" t="s">
        <v>152</v>
      </c>
      <c r="AE14" s="8">
        <f t="shared" si="2"/>
        <v>22</v>
      </c>
      <c r="AF14"/>
      <c r="AG14"/>
      <c r="AH14"/>
      <c r="AI14"/>
    </row>
    <row r="15" spans="1:35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2">
        <v>500</v>
      </c>
      <c r="J15" s="2"/>
      <c r="K15" s="2"/>
      <c r="L15" s="2"/>
      <c r="M15" s="2"/>
      <c r="N15" s="2"/>
      <c r="O15" s="8">
        <f t="shared" si="0"/>
        <v>0</v>
      </c>
      <c r="P15" s="2"/>
      <c r="Q15" s="2"/>
      <c r="R15" s="35">
        <v>500</v>
      </c>
      <c r="S15" s="18"/>
      <c r="T15" s="2"/>
      <c r="U15" s="2"/>
      <c r="V15" s="18"/>
      <c r="W15" s="18"/>
      <c r="X15" s="18"/>
      <c r="Y15" s="35"/>
      <c r="Z15" s="2"/>
      <c r="AA15" s="7">
        <f t="shared" si="1"/>
        <v>0</v>
      </c>
      <c r="AB15" s="8" t="s">
        <v>147</v>
      </c>
      <c r="AC15" s="8">
        <v>60</v>
      </c>
      <c r="AD15" s="8" t="s">
        <v>152</v>
      </c>
      <c r="AE15" s="8">
        <f t="shared" si="2"/>
        <v>8.3333333333333339</v>
      </c>
      <c r="AF15"/>
      <c r="AG15"/>
      <c r="AH15"/>
      <c r="AI15"/>
    </row>
    <row r="16" spans="1:35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2">
        <v>3487</v>
      </c>
      <c r="J16" s="2"/>
      <c r="K16" s="2"/>
      <c r="L16" s="2"/>
      <c r="M16" s="2"/>
      <c r="N16" s="2"/>
      <c r="O16" s="8">
        <f t="shared" si="0"/>
        <v>3487</v>
      </c>
      <c r="P16" s="2"/>
      <c r="Q16" s="2"/>
      <c r="R16" s="18"/>
      <c r="S16" s="18"/>
      <c r="T16" s="2"/>
      <c r="U16" s="2"/>
      <c r="V16" s="18"/>
      <c r="W16" s="18"/>
      <c r="X16" s="18"/>
      <c r="Y16" s="35"/>
      <c r="Z16" s="2"/>
      <c r="AA16" s="7">
        <f t="shared" si="1"/>
        <v>0</v>
      </c>
      <c r="AB16" s="8" t="s">
        <v>148</v>
      </c>
      <c r="AC16" s="8">
        <v>100</v>
      </c>
      <c r="AD16" s="8" t="s">
        <v>152</v>
      </c>
      <c r="AE16" s="8">
        <f t="shared" si="2"/>
        <v>34.869999999999997</v>
      </c>
      <c r="AF16"/>
      <c r="AG16"/>
      <c r="AH16"/>
      <c r="AI16"/>
    </row>
    <row r="17" spans="1:35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2">
        <v>125</v>
      </c>
      <c r="J17" s="2"/>
      <c r="K17" s="2"/>
      <c r="L17" s="2"/>
      <c r="M17" s="2"/>
      <c r="N17" s="2"/>
      <c r="O17" s="8">
        <f t="shared" si="0"/>
        <v>-14</v>
      </c>
      <c r="P17" s="2"/>
      <c r="Q17" s="2"/>
      <c r="R17" s="18"/>
      <c r="S17" s="18"/>
      <c r="T17" s="2"/>
      <c r="U17" s="2"/>
      <c r="V17" s="18">
        <v>139</v>
      </c>
      <c r="W17" s="18"/>
      <c r="X17" s="18"/>
      <c r="Y17" s="35"/>
      <c r="Z17" s="2"/>
      <c r="AA17" s="7">
        <f t="shared" si="1"/>
        <v>0</v>
      </c>
      <c r="AB17" s="8" t="s">
        <v>149</v>
      </c>
      <c r="AC17" s="8">
        <v>100</v>
      </c>
      <c r="AD17" s="8" t="s">
        <v>152</v>
      </c>
      <c r="AE17" s="8">
        <f t="shared" si="2"/>
        <v>1.25</v>
      </c>
      <c r="AF17"/>
      <c r="AG17"/>
      <c r="AH17"/>
      <c r="AI17"/>
    </row>
    <row r="18" spans="1:35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2">
        <v>0</v>
      </c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18"/>
      <c r="S18" s="18"/>
      <c r="T18" s="2"/>
      <c r="U18" s="2"/>
      <c r="V18" s="18"/>
      <c r="W18" s="18"/>
      <c r="X18" s="18"/>
      <c r="Y18" s="35"/>
      <c r="Z18" s="2"/>
      <c r="AA18" s="7">
        <f t="shared" si="1"/>
        <v>0</v>
      </c>
      <c r="AB18" s="8" t="s">
        <v>149</v>
      </c>
      <c r="AC18" s="8">
        <v>100</v>
      </c>
      <c r="AD18" s="8" t="s">
        <v>152</v>
      </c>
      <c r="AE18" s="8">
        <f t="shared" si="2"/>
        <v>0</v>
      </c>
      <c r="AF18"/>
      <c r="AG18"/>
      <c r="AH18"/>
      <c r="AI18"/>
    </row>
    <row r="19" spans="1:35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2">
        <v>150</v>
      </c>
      <c r="J19" s="2">
        <v>650</v>
      </c>
      <c r="K19" s="2"/>
      <c r="L19" s="2"/>
      <c r="M19" s="2"/>
      <c r="N19" s="2"/>
      <c r="O19" s="8">
        <f t="shared" si="0"/>
        <v>0</v>
      </c>
      <c r="P19" s="2"/>
      <c r="Q19" s="2"/>
      <c r="R19" s="18"/>
      <c r="S19" s="18"/>
      <c r="T19" s="2"/>
      <c r="U19" s="2"/>
      <c r="V19" s="18">
        <v>800</v>
      </c>
      <c r="W19" s="18"/>
      <c r="X19" s="18"/>
      <c r="Y19" s="35"/>
      <c r="Z19" s="2"/>
      <c r="AA19" s="7">
        <f t="shared" si="1"/>
        <v>0</v>
      </c>
      <c r="AB19" s="8" t="s">
        <v>149</v>
      </c>
      <c r="AC19" s="8">
        <v>100</v>
      </c>
      <c r="AD19" s="8" t="s">
        <v>152</v>
      </c>
      <c r="AE19" s="8">
        <f t="shared" si="2"/>
        <v>8</v>
      </c>
      <c r="AF19"/>
      <c r="AG19"/>
      <c r="AH19"/>
      <c r="AI19"/>
    </row>
    <row r="20" spans="1:35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2">
        <v>0</v>
      </c>
      <c r="J20" s="2"/>
      <c r="K20" s="2"/>
      <c r="L20" s="2"/>
      <c r="M20" s="2"/>
      <c r="N20" s="2"/>
      <c r="O20" s="8">
        <f t="shared" si="0"/>
        <v>0</v>
      </c>
      <c r="P20" s="2"/>
      <c r="Q20" s="2"/>
      <c r="R20" s="18"/>
      <c r="S20" s="18"/>
      <c r="T20" s="2"/>
      <c r="U20" s="2"/>
      <c r="V20" s="18"/>
      <c r="W20" s="18"/>
      <c r="X20" s="17"/>
      <c r="Y20" s="35"/>
      <c r="Z20" s="2"/>
      <c r="AA20" s="7">
        <f t="shared" si="1"/>
        <v>0</v>
      </c>
      <c r="AB20" s="8" t="s">
        <v>149</v>
      </c>
      <c r="AC20" s="8">
        <v>80</v>
      </c>
      <c r="AD20" s="8" t="s">
        <v>152</v>
      </c>
      <c r="AE20" s="8">
        <f t="shared" si="2"/>
        <v>0</v>
      </c>
      <c r="AF20"/>
      <c r="AG20"/>
      <c r="AH20"/>
      <c r="AI20"/>
    </row>
    <row r="21" spans="1:35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2">
        <v>0</v>
      </c>
      <c r="J21" s="2"/>
      <c r="K21" s="2"/>
      <c r="L21" s="2"/>
      <c r="M21" s="2"/>
      <c r="N21" s="2"/>
      <c r="O21" s="8">
        <f t="shared" si="0"/>
        <v>0</v>
      </c>
      <c r="P21" s="2"/>
      <c r="Q21" s="2"/>
      <c r="R21" s="18"/>
      <c r="S21" s="18"/>
      <c r="T21" s="2"/>
      <c r="U21" s="2"/>
      <c r="V21" s="18"/>
      <c r="W21" s="18"/>
      <c r="X21" s="18"/>
      <c r="Y21" s="35"/>
      <c r="Z21" s="2"/>
      <c r="AA21" s="7">
        <f t="shared" si="1"/>
        <v>0</v>
      </c>
      <c r="AB21" s="8" t="s">
        <v>149</v>
      </c>
      <c r="AC21" s="8">
        <v>100</v>
      </c>
      <c r="AD21" s="8" t="s">
        <v>152</v>
      </c>
      <c r="AE21" s="8">
        <f t="shared" si="2"/>
        <v>0</v>
      </c>
      <c r="AF21"/>
      <c r="AG21"/>
      <c r="AH21"/>
      <c r="AI21"/>
    </row>
    <row r="22" spans="1:35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2">
        <v>0</v>
      </c>
      <c r="J22" s="2">
        <v>180</v>
      </c>
      <c r="K22" s="2"/>
      <c r="L22" s="2"/>
      <c r="M22" s="2"/>
      <c r="N22" s="2"/>
      <c r="O22" s="8">
        <f t="shared" si="0"/>
        <v>0</v>
      </c>
      <c r="P22" s="2"/>
      <c r="Q22" s="2"/>
      <c r="R22" s="18"/>
      <c r="S22" s="18"/>
      <c r="T22" s="2"/>
      <c r="U22" s="2"/>
      <c r="V22" s="18"/>
      <c r="W22" s="18"/>
      <c r="X22" s="18"/>
      <c r="Y22" s="35"/>
      <c r="Z22" s="2">
        <v>180</v>
      </c>
      <c r="AA22" s="7">
        <f t="shared" si="1"/>
        <v>0</v>
      </c>
      <c r="AB22" s="8">
        <v>0</v>
      </c>
      <c r="AC22" s="8">
        <v>0</v>
      </c>
      <c r="AD22" s="8" t="s">
        <v>152</v>
      </c>
      <c r="AE22" s="8">
        <v>0</v>
      </c>
      <c r="AF22"/>
      <c r="AG22"/>
      <c r="AH22"/>
      <c r="AI22"/>
    </row>
    <row r="23" spans="1:35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2">
        <v>0</v>
      </c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18"/>
      <c r="S23" s="18"/>
      <c r="T23" s="2"/>
      <c r="U23" s="2"/>
      <c r="V23" s="18"/>
      <c r="W23" s="18"/>
      <c r="X23" s="18"/>
      <c r="Y23" s="35"/>
      <c r="Z23" s="2"/>
      <c r="AA23" s="7">
        <f t="shared" si="1"/>
        <v>0</v>
      </c>
      <c r="AB23" s="8">
        <v>0</v>
      </c>
      <c r="AC23" s="8">
        <v>0</v>
      </c>
      <c r="AD23" s="8" t="s">
        <v>152</v>
      </c>
      <c r="AE23" s="8">
        <v>0</v>
      </c>
      <c r="AF23"/>
    </row>
    <row r="24" spans="1:35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2">
        <v>0</v>
      </c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18"/>
      <c r="S24" s="18"/>
      <c r="T24" s="2"/>
      <c r="U24" s="2"/>
      <c r="V24" s="18"/>
      <c r="W24" s="18"/>
      <c r="X24" s="18"/>
      <c r="Y24" s="35"/>
      <c r="Z24" s="2"/>
      <c r="AA24" s="7">
        <f t="shared" si="1"/>
        <v>0</v>
      </c>
      <c r="AB24" s="8">
        <v>0</v>
      </c>
      <c r="AC24" s="8">
        <v>0</v>
      </c>
      <c r="AD24" s="8" t="s">
        <v>152</v>
      </c>
      <c r="AE24" s="8">
        <v>0</v>
      </c>
      <c r="AF24"/>
    </row>
    <row r="25" spans="1:35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2">
        <v>0</v>
      </c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18"/>
      <c r="S25" s="18"/>
      <c r="T25" s="2"/>
      <c r="U25" s="2"/>
      <c r="V25" s="18"/>
      <c r="W25" s="18"/>
      <c r="X25" s="18"/>
      <c r="Y25" s="35"/>
      <c r="Z25" s="2"/>
      <c r="AA25" s="7">
        <f t="shared" si="1"/>
        <v>0</v>
      </c>
      <c r="AB25" s="8">
        <v>0</v>
      </c>
      <c r="AC25" s="8">
        <v>0</v>
      </c>
      <c r="AD25" s="8" t="s">
        <v>152</v>
      </c>
      <c r="AE25" s="8">
        <v>0</v>
      </c>
      <c r="AF25"/>
    </row>
    <row r="26" spans="1:35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2">
        <v>0</v>
      </c>
      <c r="J26" s="2">
        <v>100</v>
      </c>
      <c r="K26" s="2"/>
      <c r="L26" s="2"/>
      <c r="M26" s="2"/>
      <c r="N26" s="2"/>
      <c r="O26" s="8">
        <f t="shared" si="0"/>
        <v>0</v>
      </c>
      <c r="P26" s="2"/>
      <c r="Q26" s="2"/>
      <c r="R26" s="18"/>
      <c r="S26" s="18"/>
      <c r="T26" s="2"/>
      <c r="U26" s="2"/>
      <c r="V26" s="18"/>
      <c r="W26" s="18"/>
      <c r="X26" s="18"/>
      <c r="Y26" s="35"/>
      <c r="Z26" s="2">
        <v>100</v>
      </c>
      <c r="AA26" s="7">
        <f t="shared" si="1"/>
        <v>0</v>
      </c>
      <c r="AB26" s="8">
        <v>0</v>
      </c>
      <c r="AC26" s="8">
        <v>0</v>
      </c>
      <c r="AD26" s="8" t="s">
        <v>152</v>
      </c>
      <c r="AE26" s="8">
        <v>0</v>
      </c>
      <c r="AF26"/>
    </row>
    <row r="27" spans="1:35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2">
        <v>0</v>
      </c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18"/>
      <c r="S27" s="18"/>
      <c r="T27" s="2"/>
      <c r="U27" s="2"/>
      <c r="V27" s="18"/>
      <c r="W27" s="18"/>
      <c r="X27" s="18"/>
      <c r="Y27" s="35"/>
      <c r="Z27" s="2"/>
      <c r="AA27" s="7">
        <f t="shared" si="1"/>
        <v>0</v>
      </c>
      <c r="AB27" s="8">
        <v>0</v>
      </c>
      <c r="AC27" s="8">
        <v>0</v>
      </c>
      <c r="AD27" s="8" t="s">
        <v>152</v>
      </c>
      <c r="AE27" s="8">
        <v>0</v>
      </c>
      <c r="AF27"/>
    </row>
    <row r="28" spans="1:35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2">
        <v>0</v>
      </c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18"/>
      <c r="S28" s="18"/>
      <c r="T28" s="2"/>
      <c r="U28" s="2"/>
      <c r="V28" s="18"/>
      <c r="W28" s="18"/>
      <c r="X28" s="18"/>
      <c r="Y28" s="35"/>
      <c r="Z28" s="2"/>
      <c r="AA28" s="7">
        <f t="shared" si="1"/>
        <v>0</v>
      </c>
      <c r="AB28" s="8">
        <v>0</v>
      </c>
      <c r="AC28" s="8">
        <v>0</v>
      </c>
      <c r="AD28" s="8" t="s">
        <v>152</v>
      </c>
      <c r="AE28" s="8">
        <v>0</v>
      </c>
      <c r="AF28"/>
    </row>
    <row r="29" spans="1:35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2">
        <v>0</v>
      </c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18"/>
      <c r="S29" s="18"/>
      <c r="T29" s="2"/>
      <c r="U29" s="2"/>
      <c r="V29" s="18"/>
      <c r="W29" s="18"/>
      <c r="X29" s="18"/>
      <c r="Y29" s="35"/>
      <c r="Z29" s="2"/>
      <c r="AA29" s="7">
        <f t="shared" si="1"/>
        <v>0</v>
      </c>
      <c r="AB29" s="8">
        <v>0</v>
      </c>
      <c r="AC29" s="8">
        <v>0</v>
      </c>
      <c r="AD29" s="8" t="s">
        <v>152</v>
      </c>
      <c r="AE29" s="8">
        <v>0</v>
      </c>
      <c r="AF29"/>
    </row>
    <row r="30" spans="1:35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2">
        <v>0</v>
      </c>
      <c r="J30" s="2">
        <v>180</v>
      </c>
      <c r="K30" s="2"/>
      <c r="L30" s="2"/>
      <c r="M30" s="2"/>
      <c r="N30" s="2"/>
      <c r="O30" s="8">
        <f t="shared" si="0"/>
        <v>0</v>
      </c>
      <c r="P30" s="2"/>
      <c r="Q30" s="2"/>
      <c r="R30" s="18"/>
      <c r="S30" s="18"/>
      <c r="T30" s="2"/>
      <c r="U30" s="2"/>
      <c r="V30" s="18"/>
      <c r="W30" s="18"/>
      <c r="X30" s="18"/>
      <c r="Y30" s="35"/>
      <c r="Z30" s="2">
        <v>180</v>
      </c>
      <c r="AA30" s="7">
        <f t="shared" si="1"/>
        <v>0</v>
      </c>
      <c r="AB30" s="8">
        <v>0</v>
      </c>
      <c r="AC30" s="8">
        <v>0</v>
      </c>
      <c r="AD30" s="8" t="s">
        <v>152</v>
      </c>
      <c r="AE30" s="8">
        <v>0</v>
      </c>
      <c r="AF30"/>
    </row>
    <row r="31" spans="1:35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2">
        <v>0</v>
      </c>
      <c r="J31" s="2">
        <v>100</v>
      </c>
      <c r="K31" s="2"/>
      <c r="L31" s="2"/>
      <c r="M31" s="2"/>
      <c r="N31" s="2"/>
      <c r="O31" s="8">
        <f t="shared" si="0"/>
        <v>0</v>
      </c>
      <c r="P31" s="2"/>
      <c r="Q31" s="2"/>
      <c r="R31" s="18"/>
      <c r="S31" s="18"/>
      <c r="T31" s="2"/>
      <c r="U31" s="2"/>
      <c r="V31" s="18"/>
      <c r="W31" s="18"/>
      <c r="X31" s="18"/>
      <c r="Y31" s="35"/>
      <c r="Z31" s="2">
        <v>100</v>
      </c>
      <c r="AA31" s="7">
        <f t="shared" si="1"/>
        <v>0</v>
      </c>
      <c r="AB31" s="8">
        <v>0</v>
      </c>
      <c r="AC31" s="8">
        <v>0</v>
      </c>
      <c r="AD31" s="8" t="s">
        <v>152</v>
      </c>
      <c r="AE31" s="8">
        <v>0</v>
      </c>
      <c r="AF31"/>
    </row>
    <row r="32" spans="1:35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2">
        <v>0</v>
      </c>
      <c r="J32" s="2">
        <v>100</v>
      </c>
      <c r="K32" s="2"/>
      <c r="L32" s="2"/>
      <c r="M32" s="2"/>
      <c r="N32" s="2"/>
      <c r="O32" s="8">
        <f t="shared" si="0"/>
        <v>0</v>
      </c>
      <c r="P32" s="2"/>
      <c r="Q32" s="2"/>
      <c r="R32" s="18"/>
      <c r="S32" s="18"/>
      <c r="T32" s="2"/>
      <c r="U32" s="2"/>
      <c r="V32" s="18"/>
      <c r="W32" s="18"/>
      <c r="X32" s="18"/>
      <c r="Y32" s="35"/>
      <c r="Z32" s="2">
        <v>100</v>
      </c>
      <c r="AA32" s="7">
        <f t="shared" si="1"/>
        <v>0</v>
      </c>
      <c r="AB32" s="8">
        <v>0</v>
      </c>
      <c r="AC32" s="8">
        <v>0</v>
      </c>
      <c r="AD32" s="8" t="s">
        <v>152</v>
      </c>
      <c r="AE32" s="8">
        <v>0</v>
      </c>
      <c r="AF32"/>
    </row>
    <row r="33" spans="1:32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2">
        <v>0</v>
      </c>
      <c r="J33" s="2"/>
      <c r="K33" s="2"/>
      <c r="L33" s="2"/>
      <c r="M33" s="2"/>
      <c r="N33" s="2"/>
      <c r="O33" s="8">
        <f>+I33+J33+K33+L33+M33+N33-SUM(P33:Z33)</f>
        <v>0</v>
      </c>
      <c r="P33" s="2"/>
      <c r="Q33" s="2"/>
      <c r="R33" s="18"/>
      <c r="S33" s="18"/>
      <c r="T33" s="2"/>
      <c r="U33" s="2"/>
      <c r="V33" s="18"/>
      <c r="W33" s="18"/>
      <c r="X33" s="18"/>
      <c r="Y33" s="35"/>
      <c r="Z33" s="2"/>
      <c r="AA33" s="7">
        <f t="shared" si="1"/>
        <v>0</v>
      </c>
      <c r="AB33" s="8">
        <v>0</v>
      </c>
      <c r="AC33" s="8">
        <v>0</v>
      </c>
      <c r="AD33" s="8" t="s">
        <v>152</v>
      </c>
      <c r="AE33" s="8">
        <v>0</v>
      </c>
      <c r="AF33"/>
    </row>
    <row r="34" spans="1:32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2">
        <v>0</v>
      </c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18"/>
      <c r="S34" s="18"/>
      <c r="T34" s="2"/>
      <c r="U34" s="2"/>
      <c r="V34" s="18"/>
      <c r="W34" s="18"/>
      <c r="X34" s="18"/>
      <c r="Y34" s="35"/>
      <c r="Z34" s="2"/>
      <c r="AA34" s="7">
        <f t="shared" si="1"/>
        <v>0</v>
      </c>
      <c r="AB34" s="8">
        <v>0</v>
      </c>
      <c r="AC34" s="8">
        <v>0</v>
      </c>
      <c r="AD34" s="8" t="s">
        <v>152</v>
      </c>
      <c r="AE34" s="8">
        <v>0</v>
      </c>
      <c r="AF34"/>
    </row>
    <row r="35" spans="1:32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2">
        <v>0</v>
      </c>
      <c r="J35" s="2">
        <v>100</v>
      </c>
      <c r="K35" s="2"/>
      <c r="L35" s="2"/>
      <c r="M35" s="2"/>
      <c r="N35" s="2"/>
      <c r="O35" s="8">
        <f t="shared" si="0"/>
        <v>0</v>
      </c>
      <c r="P35" s="2"/>
      <c r="Q35" s="2"/>
      <c r="R35" s="18"/>
      <c r="S35" s="18"/>
      <c r="T35" s="2"/>
      <c r="U35" s="2"/>
      <c r="V35" s="18"/>
      <c r="W35" s="18"/>
      <c r="X35" s="18"/>
      <c r="Y35" s="35"/>
      <c r="Z35" s="2">
        <v>100</v>
      </c>
      <c r="AA35" s="7">
        <f t="shared" si="1"/>
        <v>0</v>
      </c>
      <c r="AB35" s="8">
        <v>0</v>
      </c>
      <c r="AC35" s="8">
        <v>0</v>
      </c>
      <c r="AD35" s="8" t="s">
        <v>152</v>
      </c>
      <c r="AE35" s="8">
        <v>0</v>
      </c>
      <c r="AF35"/>
    </row>
    <row r="36" spans="1:32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2">
        <v>1250</v>
      </c>
      <c r="J36" s="2"/>
      <c r="K36" s="2"/>
      <c r="L36" s="2"/>
      <c r="M36" s="2"/>
      <c r="N36" s="2"/>
      <c r="O36" s="8">
        <f t="shared" si="0"/>
        <v>-2412</v>
      </c>
      <c r="P36" s="2"/>
      <c r="Q36" s="2"/>
      <c r="R36" s="35">
        <v>1250</v>
      </c>
      <c r="S36" s="18"/>
      <c r="T36" s="2"/>
      <c r="U36" s="2"/>
      <c r="V36" s="18"/>
      <c r="W36" s="18"/>
      <c r="X36" s="18">
        <v>1300</v>
      </c>
      <c r="Y36" s="35">
        <v>1112</v>
      </c>
      <c r="Z36" s="2"/>
      <c r="AA36" s="7">
        <f t="shared" si="1"/>
        <v>0</v>
      </c>
      <c r="AB36" s="8" t="s">
        <v>149</v>
      </c>
      <c r="AC36" s="8">
        <v>200</v>
      </c>
      <c r="AD36" s="8" t="s">
        <v>152</v>
      </c>
      <c r="AE36" s="8">
        <f t="shared" ref="AE36:AE45" si="3">+SUM(I36:N36)/AC36</f>
        <v>6.25</v>
      </c>
      <c r="AF36"/>
    </row>
    <row r="37" spans="1:32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2">
        <v>1300</v>
      </c>
      <c r="J37" s="2">
        <v>200</v>
      </c>
      <c r="K37" s="2"/>
      <c r="L37" s="2"/>
      <c r="M37" s="2"/>
      <c r="N37" s="2"/>
      <c r="O37" s="8">
        <f t="shared" si="0"/>
        <v>130</v>
      </c>
      <c r="P37" s="68">
        <v>1370</v>
      </c>
      <c r="Q37" s="2"/>
      <c r="R37" s="18"/>
      <c r="S37" s="18"/>
      <c r="T37" s="2"/>
      <c r="U37" s="2"/>
      <c r="V37" s="18"/>
      <c r="W37" s="18"/>
      <c r="X37" s="18"/>
      <c r="Y37" s="35"/>
      <c r="Z37" s="2"/>
      <c r="AA37" s="7">
        <f t="shared" si="1"/>
        <v>0</v>
      </c>
      <c r="AB37" s="8" t="s">
        <v>149</v>
      </c>
      <c r="AC37" s="8">
        <v>100</v>
      </c>
      <c r="AD37" s="8" t="s">
        <v>152</v>
      </c>
      <c r="AE37" s="8">
        <f t="shared" si="3"/>
        <v>15</v>
      </c>
      <c r="AF37"/>
    </row>
    <row r="38" spans="1:32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2">
        <v>1200</v>
      </c>
      <c r="J38" s="2"/>
      <c r="K38" s="2"/>
      <c r="L38" s="2"/>
      <c r="M38" s="2"/>
      <c r="N38" s="2"/>
      <c r="O38" s="8">
        <f t="shared" si="0"/>
        <v>-72</v>
      </c>
      <c r="P38" s="2"/>
      <c r="Q38" s="2"/>
      <c r="R38" s="35">
        <v>1124</v>
      </c>
      <c r="S38" s="18"/>
      <c r="T38" s="2"/>
      <c r="U38" s="2"/>
      <c r="V38" s="18"/>
      <c r="W38" s="18"/>
      <c r="X38" s="18"/>
      <c r="Y38" s="35">
        <v>148</v>
      </c>
      <c r="Z38" s="2"/>
      <c r="AA38" s="7">
        <f t="shared" si="1"/>
        <v>0</v>
      </c>
      <c r="AB38" s="8" t="s">
        <v>149</v>
      </c>
      <c r="AC38" s="8">
        <v>100</v>
      </c>
      <c r="AD38" s="8" t="s">
        <v>152</v>
      </c>
      <c r="AE38" s="8">
        <f t="shared" si="3"/>
        <v>12</v>
      </c>
      <c r="AF38"/>
    </row>
    <row r="39" spans="1:32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2">
        <v>1300</v>
      </c>
      <c r="J39" s="2"/>
      <c r="K39" s="2"/>
      <c r="L39" s="2"/>
      <c r="M39" s="2"/>
      <c r="N39" s="2"/>
      <c r="O39" s="8">
        <f t="shared" si="0"/>
        <v>1300</v>
      </c>
      <c r="P39" s="2"/>
      <c r="Q39" s="2"/>
      <c r="R39" s="18"/>
      <c r="S39" s="18"/>
      <c r="T39" s="2"/>
      <c r="U39" s="2"/>
      <c r="V39" s="18"/>
      <c r="W39" s="18"/>
      <c r="X39" s="18"/>
      <c r="Y39" s="35"/>
      <c r="Z39" s="2"/>
      <c r="AA39" s="7">
        <f t="shared" si="1"/>
        <v>0</v>
      </c>
      <c r="AB39" s="8" t="s">
        <v>150</v>
      </c>
      <c r="AC39" s="8">
        <v>2000</v>
      </c>
      <c r="AD39" s="8" t="s">
        <v>152</v>
      </c>
      <c r="AE39" s="8">
        <f t="shared" si="3"/>
        <v>0.65</v>
      </c>
      <c r="AF39"/>
    </row>
    <row r="40" spans="1:32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2">
        <v>350</v>
      </c>
      <c r="J40" s="2"/>
      <c r="K40" s="2"/>
      <c r="L40" s="2"/>
      <c r="M40" s="2"/>
      <c r="N40" s="2"/>
      <c r="O40" s="8">
        <f t="shared" si="0"/>
        <v>350</v>
      </c>
      <c r="P40" s="2"/>
      <c r="Q40" s="2"/>
      <c r="R40" s="18"/>
      <c r="S40" s="18"/>
      <c r="T40" s="2"/>
      <c r="U40" s="2"/>
      <c r="V40" s="18"/>
      <c r="W40" s="18"/>
      <c r="X40" s="18"/>
      <c r="Y40" s="35"/>
      <c r="Z40" s="2"/>
      <c r="AA40" s="7">
        <f t="shared" si="1"/>
        <v>0</v>
      </c>
      <c r="AB40" s="8" t="s">
        <v>150</v>
      </c>
      <c r="AC40" s="8">
        <v>500</v>
      </c>
      <c r="AD40" s="8" t="s">
        <v>152</v>
      </c>
      <c r="AE40" s="8">
        <f t="shared" si="3"/>
        <v>0.7</v>
      </c>
      <c r="AF40"/>
    </row>
    <row r="41" spans="1:32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2">
        <v>0</v>
      </c>
      <c r="J41" s="2"/>
      <c r="K41" s="2"/>
      <c r="L41" s="2"/>
      <c r="M41" s="2"/>
      <c r="N41" s="2"/>
      <c r="O41" s="8">
        <f t="shared" si="0"/>
        <v>0</v>
      </c>
      <c r="P41" s="2"/>
      <c r="Q41" s="2"/>
      <c r="R41" s="18"/>
      <c r="S41" s="18"/>
      <c r="T41" s="2"/>
      <c r="U41" s="2"/>
      <c r="V41" s="18"/>
      <c r="W41" s="18"/>
      <c r="X41" s="18"/>
      <c r="Y41" s="35"/>
      <c r="Z41" s="2"/>
      <c r="AA41" s="7">
        <f t="shared" si="1"/>
        <v>0</v>
      </c>
      <c r="AB41" s="8" t="s">
        <v>150</v>
      </c>
      <c r="AC41" s="8">
        <v>250</v>
      </c>
      <c r="AD41" s="8" t="s">
        <v>152</v>
      </c>
      <c r="AE41" s="8">
        <f t="shared" si="3"/>
        <v>0</v>
      </c>
      <c r="AF41"/>
    </row>
    <row r="42" spans="1:32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2">
        <v>247</v>
      </c>
      <c r="J42" s="2">
        <v>1400</v>
      </c>
      <c r="K42" s="2"/>
      <c r="L42" s="2"/>
      <c r="M42" s="2"/>
      <c r="N42" s="2"/>
      <c r="O42" s="8">
        <f t="shared" si="0"/>
        <v>1647</v>
      </c>
      <c r="P42" s="2"/>
      <c r="Q42" s="2"/>
      <c r="R42" s="18"/>
      <c r="S42" s="18"/>
      <c r="T42" s="2"/>
      <c r="U42" s="2"/>
      <c r="V42" s="18"/>
      <c r="W42" s="18"/>
      <c r="X42" s="18"/>
      <c r="Y42" s="35"/>
      <c r="Z42" s="2"/>
      <c r="AA42" s="7">
        <f t="shared" si="1"/>
        <v>0</v>
      </c>
      <c r="AB42" s="8" t="s">
        <v>150</v>
      </c>
      <c r="AC42" s="8">
        <v>300</v>
      </c>
      <c r="AD42" s="8" t="s">
        <v>152</v>
      </c>
      <c r="AE42" s="8">
        <f t="shared" si="3"/>
        <v>5.49</v>
      </c>
      <c r="AF42"/>
    </row>
    <row r="43" spans="1:32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2">
        <v>247</v>
      </c>
      <c r="J43" s="2">
        <v>1500</v>
      </c>
      <c r="K43" s="2"/>
      <c r="L43" s="2"/>
      <c r="M43" s="2"/>
      <c r="N43" s="2"/>
      <c r="O43" s="8">
        <f t="shared" si="0"/>
        <v>1747</v>
      </c>
      <c r="P43" s="2"/>
      <c r="Q43" s="2"/>
      <c r="R43" s="18"/>
      <c r="S43" s="18"/>
      <c r="T43" s="2"/>
      <c r="U43" s="2"/>
      <c r="V43" s="18"/>
      <c r="W43" s="18"/>
      <c r="X43" s="18"/>
      <c r="Y43" s="35"/>
      <c r="Z43" s="2"/>
      <c r="AA43" s="7">
        <f t="shared" si="1"/>
        <v>0</v>
      </c>
      <c r="AB43" s="8" t="s">
        <v>150</v>
      </c>
      <c r="AC43" s="8">
        <v>300</v>
      </c>
      <c r="AD43" s="8" t="s">
        <v>152</v>
      </c>
      <c r="AE43" s="8">
        <f t="shared" si="3"/>
        <v>5.8233333333333333</v>
      </c>
      <c r="AF43"/>
    </row>
    <row r="44" spans="1:32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2">
        <v>100</v>
      </c>
      <c r="J44" s="2">
        <v>1000</v>
      </c>
      <c r="K44" s="2"/>
      <c r="L44" s="2"/>
      <c r="M44" s="2"/>
      <c r="N44" s="2"/>
      <c r="O44" s="8">
        <f t="shared" si="0"/>
        <v>1100</v>
      </c>
      <c r="P44" s="2"/>
      <c r="Q44" s="2"/>
      <c r="R44" s="18"/>
      <c r="S44" s="18"/>
      <c r="T44" s="2"/>
      <c r="U44" s="2"/>
      <c r="V44" s="18"/>
      <c r="W44" s="18"/>
      <c r="X44" s="18"/>
      <c r="Y44" s="35"/>
      <c r="Z44" s="2"/>
      <c r="AA44" s="7">
        <f t="shared" si="1"/>
        <v>0</v>
      </c>
      <c r="AB44" s="8" t="s">
        <v>150</v>
      </c>
      <c r="AC44" s="8">
        <v>2000</v>
      </c>
      <c r="AD44" s="8" t="s">
        <v>152</v>
      </c>
      <c r="AE44" s="8">
        <f t="shared" si="3"/>
        <v>0.55000000000000004</v>
      </c>
      <c r="AF44"/>
    </row>
    <row r="45" spans="1:32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2">
        <v>150</v>
      </c>
      <c r="J45" s="2">
        <v>1400</v>
      </c>
      <c r="K45" s="2"/>
      <c r="L45" s="2"/>
      <c r="M45" s="2"/>
      <c r="N45" s="2"/>
      <c r="O45" s="8">
        <f t="shared" si="0"/>
        <v>1550</v>
      </c>
      <c r="P45" s="2"/>
      <c r="Q45" s="2"/>
      <c r="R45" s="18"/>
      <c r="S45" s="18"/>
      <c r="T45" s="2"/>
      <c r="U45" s="2"/>
      <c r="V45" s="18"/>
      <c r="W45" s="18"/>
      <c r="X45" s="18"/>
      <c r="Y45" s="35"/>
      <c r="Z45" s="2"/>
      <c r="AA45" s="7">
        <f t="shared" si="1"/>
        <v>0</v>
      </c>
      <c r="AB45" s="8" t="s">
        <v>150</v>
      </c>
      <c r="AC45" s="8">
        <v>1000</v>
      </c>
      <c r="AD45" s="8" t="s">
        <v>152</v>
      </c>
      <c r="AE45" s="8">
        <f t="shared" si="3"/>
        <v>1.55</v>
      </c>
      <c r="AF45"/>
    </row>
    <row r="46" spans="1:32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2">
        <v>0</v>
      </c>
      <c r="J46" s="2"/>
      <c r="K46" s="2"/>
      <c r="L46" s="2"/>
      <c r="M46" s="2"/>
      <c r="N46" s="2"/>
      <c r="O46" s="8">
        <f t="shared" si="0"/>
        <v>0</v>
      </c>
      <c r="P46" s="2"/>
      <c r="Q46" s="2"/>
      <c r="R46" s="18"/>
      <c r="S46" s="18"/>
      <c r="T46" s="2"/>
      <c r="U46" s="2"/>
      <c r="V46" s="18"/>
      <c r="W46" s="18"/>
      <c r="X46" s="18"/>
      <c r="Y46" s="35"/>
      <c r="Z46" s="2"/>
      <c r="AA46" s="7">
        <f t="shared" si="1"/>
        <v>0</v>
      </c>
      <c r="AB46" s="8">
        <v>0</v>
      </c>
      <c r="AC46" s="8">
        <v>0</v>
      </c>
      <c r="AD46" s="8" t="s">
        <v>152</v>
      </c>
      <c r="AE46" s="8">
        <v>0</v>
      </c>
      <c r="AF46"/>
    </row>
    <row r="47" spans="1:32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2">
        <v>0</v>
      </c>
      <c r="J47" s="2"/>
      <c r="K47" s="2"/>
      <c r="L47" s="2"/>
      <c r="M47" s="2"/>
      <c r="N47" s="2"/>
      <c r="O47" s="8">
        <f t="shared" si="0"/>
        <v>0</v>
      </c>
      <c r="P47" s="2"/>
      <c r="Q47" s="2"/>
      <c r="R47" s="18"/>
      <c r="S47" s="18"/>
      <c r="T47" s="2"/>
      <c r="U47" s="2"/>
      <c r="V47" s="18"/>
      <c r="W47" s="18"/>
      <c r="X47" s="18"/>
      <c r="Y47" s="35"/>
      <c r="Z47" s="2"/>
      <c r="AA47" s="7">
        <f t="shared" si="1"/>
        <v>0</v>
      </c>
      <c r="AB47" s="8">
        <v>0</v>
      </c>
      <c r="AC47" s="8">
        <v>0</v>
      </c>
      <c r="AD47" s="8" t="s">
        <v>152</v>
      </c>
      <c r="AE47" s="8">
        <v>0</v>
      </c>
      <c r="AF47"/>
    </row>
    <row r="48" spans="1:32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2">
        <v>0</v>
      </c>
      <c r="J48" s="2"/>
      <c r="K48" s="2"/>
      <c r="L48" s="2"/>
      <c r="M48" s="2"/>
      <c r="N48" s="2"/>
      <c r="O48" s="8">
        <f t="shared" si="0"/>
        <v>0</v>
      </c>
      <c r="P48" s="2"/>
      <c r="Q48" s="2"/>
      <c r="R48" s="18"/>
      <c r="S48" s="18"/>
      <c r="T48" s="2"/>
      <c r="U48" s="2"/>
      <c r="V48" s="18"/>
      <c r="W48" s="18"/>
      <c r="X48" s="18"/>
      <c r="Y48" s="35"/>
      <c r="Z48" s="2"/>
      <c r="AA48" s="7">
        <f t="shared" si="1"/>
        <v>0</v>
      </c>
      <c r="AB48" s="8">
        <v>0</v>
      </c>
      <c r="AC48" s="8">
        <v>0</v>
      </c>
      <c r="AD48" s="8" t="s">
        <v>152</v>
      </c>
      <c r="AE48" s="8">
        <v>0</v>
      </c>
      <c r="AF48"/>
    </row>
    <row r="49" spans="1:32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2">
        <v>0</v>
      </c>
      <c r="J49" s="2"/>
      <c r="K49" s="2"/>
      <c r="L49" s="2"/>
      <c r="M49" s="2"/>
      <c r="N49" s="2"/>
      <c r="O49" s="8">
        <f t="shared" si="0"/>
        <v>0</v>
      </c>
      <c r="P49" s="2"/>
      <c r="Q49" s="2"/>
      <c r="R49" s="18"/>
      <c r="S49" s="18"/>
      <c r="T49" s="2"/>
      <c r="U49" s="2"/>
      <c r="V49" s="18"/>
      <c r="W49" s="18"/>
      <c r="X49" s="18"/>
      <c r="Y49" s="35"/>
      <c r="Z49" s="2"/>
      <c r="AA49" s="7">
        <f t="shared" si="1"/>
        <v>0</v>
      </c>
      <c r="AB49" s="8">
        <v>0</v>
      </c>
      <c r="AC49" s="8">
        <v>0</v>
      </c>
      <c r="AD49" s="8" t="s">
        <v>152</v>
      </c>
      <c r="AE49" s="8">
        <v>0</v>
      </c>
      <c r="AF49"/>
    </row>
    <row r="50" spans="1:32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2">
        <v>0</v>
      </c>
      <c r="J50" s="2"/>
      <c r="K50" s="2"/>
      <c r="L50" s="2"/>
      <c r="M50" s="2"/>
      <c r="N50" s="2"/>
      <c r="O50" s="8">
        <f t="shared" si="0"/>
        <v>0</v>
      </c>
      <c r="P50" s="2"/>
      <c r="Q50" s="2"/>
      <c r="R50" s="18"/>
      <c r="S50" s="18"/>
      <c r="T50" s="2"/>
      <c r="U50" s="2"/>
      <c r="V50" s="18"/>
      <c r="W50" s="18"/>
      <c r="X50" s="18"/>
      <c r="Y50" s="35"/>
      <c r="Z50" s="2"/>
      <c r="AA50" s="7">
        <f t="shared" si="1"/>
        <v>0</v>
      </c>
      <c r="AB50" s="8">
        <v>0</v>
      </c>
      <c r="AC50" s="8">
        <v>0</v>
      </c>
      <c r="AD50" s="8" t="s">
        <v>152</v>
      </c>
      <c r="AE50" s="8">
        <v>0</v>
      </c>
      <c r="AF50"/>
    </row>
    <row r="51" spans="1:32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2">
        <v>0</v>
      </c>
      <c r="J51" s="2"/>
      <c r="K51" s="2"/>
      <c r="L51" s="2"/>
      <c r="M51" s="2"/>
      <c r="N51" s="2"/>
      <c r="O51" s="8">
        <f t="shared" si="0"/>
        <v>0</v>
      </c>
      <c r="P51" s="2"/>
      <c r="Q51" s="2"/>
      <c r="R51" s="18"/>
      <c r="S51" s="18"/>
      <c r="T51" s="2"/>
      <c r="U51" s="2"/>
      <c r="V51" s="18"/>
      <c r="W51" s="18"/>
      <c r="X51" s="18"/>
      <c r="Y51" s="35"/>
      <c r="Z51" s="2"/>
      <c r="AA51" s="7">
        <f t="shared" si="1"/>
        <v>0</v>
      </c>
      <c r="AB51" s="8">
        <v>0</v>
      </c>
      <c r="AC51" s="8">
        <v>0</v>
      </c>
      <c r="AD51" s="8" t="s">
        <v>152</v>
      </c>
      <c r="AE51" s="8">
        <v>0</v>
      </c>
      <c r="AF51"/>
    </row>
    <row r="52" spans="1:32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2">
        <v>0</v>
      </c>
      <c r="J52" s="2"/>
      <c r="K52" s="2"/>
      <c r="L52" s="2"/>
      <c r="M52" s="2"/>
      <c r="N52" s="2"/>
      <c r="O52" s="8">
        <f t="shared" si="0"/>
        <v>0</v>
      </c>
      <c r="P52" s="2"/>
      <c r="Q52" s="2"/>
      <c r="R52" s="18"/>
      <c r="S52" s="18"/>
      <c r="T52" s="2"/>
      <c r="U52" s="2"/>
      <c r="V52" s="18"/>
      <c r="W52" s="18"/>
      <c r="X52" s="18"/>
      <c r="Y52" s="35"/>
      <c r="Z52" s="2"/>
      <c r="AA52" s="7">
        <f t="shared" si="1"/>
        <v>0</v>
      </c>
      <c r="AB52" s="8">
        <v>0</v>
      </c>
      <c r="AC52" s="8">
        <v>0</v>
      </c>
      <c r="AD52" s="8" t="s">
        <v>152</v>
      </c>
      <c r="AE52" s="8">
        <v>0</v>
      </c>
      <c r="AF52"/>
    </row>
    <row r="53" spans="1:32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2">
        <v>0</v>
      </c>
      <c r="J53" s="2"/>
      <c r="K53" s="2"/>
      <c r="L53" s="2"/>
      <c r="M53" s="2"/>
      <c r="N53" s="2"/>
      <c r="O53" s="8">
        <f t="shared" si="0"/>
        <v>0</v>
      </c>
      <c r="P53" s="2"/>
      <c r="Q53" s="2"/>
      <c r="R53" s="18"/>
      <c r="S53" s="18"/>
      <c r="T53" s="2"/>
      <c r="U53" s="2"/>
      <c r="V53" s="18"/>
      <c r="W53" s="18"/>
      <c r="X53" s="18"/>
      <c r="Y53" s="35"/>
      <c r="Z53" s="2"/>
      <c r="AA53" s="7">
        <f t="shared" si="1"/>
        <v>0</v>
      </c>
      <c r="AB53" s="8">
        <v>0</v>
      </c>
      <c r="AC53" s="8">
        <v>0</v>
      </c>
      <c r="AD53" s="8" t="s">
        <v>152</v>
      </c>
      <c r="AE53" s="8">
        <v>0</v>
      </c>
      <c r="AF53"/>
    </row>
    <row r="54" spans="1:32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2">
        <v>0</v>
      </c>
      <c r="J54" s="2"/>
      <c r="K54" s="2"/>
      <c r="L54" s="2"/>
      <c r="M54" s="2"/>
      <c r="N54" s="2"/>
      <c r="O54" s="8">
        <f t="shared" si="0"/>
        <v>0</v>
      </c>
      <c r="P54" s="2"/>
      <c r="Q54" s="2"/>
      <c r="R54" s="18"/>
      <c r="S54" s="18"/>
      <c r="T54" s="2"/>
      <c r="U54" s="2"/>
      <c r="V54" s="18"/>
      <c r="W54" s="18"/>
      <c r="X54" s="18"/>
      <c r="Y54" s="35"/>
      <c r="Z54" s="2"/>
      <c r="AA54" s="7">
        <f t="shared" si="1"/>
        <v>0</v>
      </c>
      <c r="AB54" s="8">
        <v>0</v>
      </c>
      <c r="AC54" s="8">
        <v>0</v>
      </c>
      <c r="AD54" s="8" t="s">
        <v>152</v>
      </c>
      <c r="AE54" s="8">
        <v>0</v>
      </c>
      <c r="AF54"/>
    </row>
    <row r="55" spans="1:32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2">
        <v>0</v>
      </c>
      <c r="J55" s="2"/>
      <c r="K55" s="2"/>
      <c r="L55" s="2"/>
      <c r="M55" s="2"/>
      <c r="N55" s="2"/>
      <c r="O55" s="8">
        <f t="shared" si="0"/>
        <v>0</v>
      </c>
      <c r="P55" s="2"/>
      <c r="Q55" s="2"/>
      <c r="R55" s="18"/>
      <c r="S55" s="18"/>
      <c r="T55" s="2"/>
      <c r="U55" s="2"/>
      <c r="V55" s="18"/>
      <c r="W55" s="18"/>
      <c r="X55" s="18"/>
      <c r="Y55" s="35"/>
      <c r="Z55" s="2"/>
      <c r="AA55" s="7">
        <f t="shared" si="1"/>
        <v>0</v>
      </c>
      <c r="AB55" s="8">
        <v>0</v>
      </c>
      <c r="AC55" s="8">
        <v>0</v>
      </c>
      <c r="AD55" s="8" t="s">
        <v>152</v>
      </c>
      <c r="AE55" s="8">
        <v>0</v>
      </c>
      <c r="AF55"/>
    </row>
    <row r="56" spans="1:32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2">
        <v>0</v>
      </c>
      <c r="J56" s="2"/>
      <c r="K56" s="2"/>
      <c r="L56" s="2"/>
      <c r="M56" s="2"/>
      <c r="N56" s="2"/>
      <c r="O56" s="8">
        <f t="shared" si="0"/>
        <v>0</v>
      </c>
      <c r="P56" s="2"/>
      <c r="Q56" s="2"/>
      <c r="R56" s="18"/>
      <c r="S56" s="18"/>
      <c r="T56" s="2"/>
      <c r="U56" s="2"/>
      <c r="V56" s="18"/>
      <c r="W56" s="18"/>
      <c r="X56" s="18"/>
      <c r="Y56" s="35"/>
      <c r="Z56" s="2"/>
      <c r="AA56" s="7">
        <f t="shared" si="1"/>
        <v>0</v>
      </c>
      <c r="AB56" s="8">
        <v>0</v>
      </c>
      <c r="AC56" s="8">
        <v>0</v>
      </c>
      <c r="AD56" s="8" t="s">
        <v>152</v>
      </c>
      <c r="AE56" s="8">
        <v>0</v>
      </c>
      <c r="AF56"/>
    </row>
    <row r="57" spans="1:32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2">
        <v>800</v>
      </c>
      <c r="J57" s="2"/>
      <c r="K57" s="2"/>
      <c r="L57" s="2"/>
      <c r="M57" s="2"/>
      <c r="N57" s="2"/>
      <c r="O57" s="8">
        <f t="shared" si="0"/>
        <v>100</v>
      </c>
      <c r="P57" s="2"/>
      <c r="Q57" s="2"/>
      <c r="R57" s="18"/>
      <c r="S57" s="18"/>
      <c r="T57" s="2"/>
      <c r="U57" s="2"/>
      <c r="V57" s="18"/>
      <c r="W57" s="18"/>
      <c r="X57" s="18">
        <v>700</v>
      </c>
      <c r="Y57" s="35"/>
      <c r="Z57" s="2"/>
      <c r="AA57" s="7">
        <f t="shared" si="1"/>
        <v>0</v>
      </c>
      <c r="AB57" s="8" t="s">
        <v>150</v>
      </c>
      <c r="AC57" s="8">
        <v>1000</v>
      </c>
      <c r="AD57" s="8" t="s">
        <v>152</v>
      </c>
      <c r="AE57" s="8">
        <f t="shared" ref="AE57:AE63" si="4">+SUM(I57:N57)/AC57</f>
        <v>0.8</v>
      </c>
      <c r="AF57"/>
    </row>
    <row r="58" spans="1:32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2">
        <v>950</v>
      </c>
      <c r="J58" s="2"/>
      <c r="K58" s="2"/>
      <c r="L58" s="2"/>
      <c r="M58" s="2"/>
      <c r="N58" s="2"/>
      <c r="O58" s="8">
        <f t="shared" si="0"/>
        <v>69</v>
      </c>
      <c r="P58" s="2"/>
      <c r="Q58" s="2"/>
      <c r="R58" s="18"/>
      <c r="S58" s="18"/>
      <c r="T58" s="2"/>
      <c r="U58" s="2"/>
      <c r="V58" s="18"/>
      <c r="W58" s="18"/>
      <c r="X58" s="18">
        <v>881</v>
      </c>
      <c r="Y58" s="35"/>
      <c r="Z58" s="2"/>
      <c r="AA58" s="7">
        <f t="shared" si="1"/>
        <v>0</v>
      </c>
      <c r="AB58" s="8" t="s">
        <v>151</v>
      </c>
      <c r="AC58" s="8">
        <v>200</v>
      </c>
      <c r="AD58" s="8" t="s">
        <v>152</v>
      </c>
      <c r="AE58" s="8">
        <f t="shared" si="4"/>
        <v>4.75</v>
      </c>
      <c r="AF58"/>
    </row>
    <row r="59" spans="1:32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2">
        <v>300</v>
      </c>
      <c r="J59" s="2"/>
      <c r="K59" s="2"/>
      <c r="L59" s="2"/>
      <c r="M59" s="2"/>
      <c r="N59" s="2"/>
      <c r="O59" s="8">
        <f t="shared" si="0"/>
        <v>300</v>
      </c>
      <c r="P59" s="2"/>
      <c r="Q59" s="2"/>
      <c r="R59" s="18"/>
      <c r="S59" s="18"/>
      <c r="T59" s="2"/>
      <c r="U59" s="2"/>
      <c r="V59" s="18"/>
      <c r="W59" s="18"/>
      <c r="X59" s="18"/>
      <c r="Y59" s="35"/>
      <c r="Z59" s="2"/>
      <c r="AA59" s="7">
        <f t="shared" si="1"/>
        <v>0</v>
      </c>
      <c r="AB59" s="8" t="s">
        <v>150</v>
      </c>
      <c r="AC59" s="8">
        <v>1000</v>
      </c>
      <c r="AD59" s="8" t="s">
        <v>152</v>
      </c>
      <c r="AE59" s="8">
        <f t="shared" si="4"/>
        <v>0.3</v>
      </c>
      <c r="AF59"/>
    </row>
    <row r="60" spans="1:32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2">
        <v>0</v>
      </c>
      <c r="J60" s="2">
        <v>100</v>
      </c>
      <c r="K60" s="2"/>
      <c r="L60" s="2"/>
      <c r="M60" s="2"/>
      <c r="N60" s="2"/>
      <c r="O60" s="8">
        <f t="shared" si="0"/>
        <v>100</v>
      </c>
      <c r="P60" s="2"/>
      <c r="Q60" s="2"/>
      <c r="R60" s="18"/>
      <c r="S60" s="18"/>
      <c r="T60" s="2"/>
      <c r="U60" s="2"/>
      <c r="V60" s="18"/>
      <c r="W60" s="18"/>
      <c r="X60" s="18"/>
      <c r="Y60" s="35"/>
      <c r="Z60" s="2"/>
      <c r="AA60" s="7">
        <f t="shared" si="1"/>
        <v>0</v>
      </c>
      <c r="AB60" s="8" t="s">
        <v>151</v>
      </c>
      <c r="AC60" s="8">
        <v>500</v>
      </c>
      <c r="AD60" s="8" t="s">
        <v>152</v>
      </c>
      <c r="AE60" s="8">
        <f t="shared" si="4"/>
        <v>0.2</v>
      </c>
      <c r="AF60"/>
    </row>
    <row r="61" spans="1:32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2">
        <v>500</v>
      </c>
      <c r="J61" s="2"/>
      <c r="K61" s="2"/>
      <c r="L61" s="2"/>
      <c r="M61" s="2"/>
      <c r="N61" s="2"/>
      <c r="O61" s="8">
        <f t="shared" si="0"/>
        <v>500</v>
      </c>
      <c r="P61" s="2"/>
      <c r="Q61" s="2"/>
      <c r="R61" s="18"/>
      <c r="S61" s="18"/>
      <c r="T61" s="2"/>
      <c r="U61" s="2"/>
      <c r="V61" s="18"/>
      <c r="W61" s="18"/>
      <c r="X61" s="18"/>
      <c r="Y61" s="35"/>
      <c r="Z61" s="2"/>
      <c r="AA61" s="7">
        <f t="shared" si="1"/>
        <v>0</v>
      </c>
      <c r="AB61" s="8" t="s">
        <v>150</v>
      </c>
      <c r="AC61" s="8">
        <v>1000</v>
      </c>
      <c r="AD61" s="8" t="s">
        <v>152</v>
      </c>
      <c r="AE61" s="8">
        <f t="shared" si="4"/>
        <v>0.5</v>
      </c>
      <c r="AF61"/>
    </row>
    <row r="62" spans="1:32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2">
        <v>550</v>
      </c>
      <c r="J62" s="2"/>
      <c r="K62" s="2"/>
      <c r="L62" s="2"/>
      <c r="M62" s="2"/>
      <c r="N62" s="2"/>
      <c r="O62" s="8">
        <f t="shared" si="0"/>
        <v>17</v>
      </c>
      <c r="P62" s="2"/>
      <c r="Q62" s="2"/>
      <c r="R62" s="18"/>
      <c r="S62" s="18"/>
      <c r="T62" s="2"/>
      <c r="U62" s="2"/>
      <c r="V62" s="18"/>
      <c r="W62" s="18"/>
      <c r="X62" s="18"/>
      <c r="Y62" s="35">
        <v>533</v>
      </c>
      <c r="Z62" s="2"/>
      <c r="AA62" s="7">
        <f t="shared" si="1"/>
        <v>0</v>
      </c>
      <c r="AB62" s="8" t="s">
        <v>151</v>
      </c>
      <c r="AC62" s="8">
        <v>200</v>
      </c>
      <c r="AD62" s="8" t="s">
        <v>152</v>
      </c>
      <c r="AE62" s="8">
        <f t="shared" si="4"/>
        <v>2.75</v>
      </c>
      <c r="AF62"/>
    </row>
    <row r="63" spans="1:32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2">
        <v>518</v>
      </c>
      <c r="J63" s="2"/>
      <c r="K63" s="2"/>
      <c r="L63" s="2"/>
      <c r="M63" s="2"/>
      <c r="N63" s="2"/>
      <c r="O63" s="8">
        <f t="shared" si="0"/>
        <v>518</v>
      </c>
      <c r="P63" s="2"/>
      <c r="Q63" s="2"/>
      <c r="R63" s="18"/>
      <c r="S63" s="18"/>
      <c r="T63" s="2"/>
      <c r="U63" s="2"/>
      <c r="V63" s="18"/>
      <c r="W63" s="18"/>
      <c r="X63" s="18"/>
      <c r="Y63" s="35"/>
      <c r="Z63" s="2"/>
      <c r="AA63" s="7">
        <f t="shared" si="1"/>
        <v>0</v>
      </c>
      <c r="AB63" s="8" t="s">
        <v>151</v>
      </c>
      <c r="AC63" s="8">
        <v>500</v>
      </c>
      <c r="AD63" s="8" t="s">
        <v>152</v>
      </c>
      <c r="AE63" s="8">
        <f t="shared" si="4"/>
        <v>1.036</v>
      </c>
      <c r="AF63"/>
    </row>
    <row r="64" spans="1:32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2">
        <v>0</v>
      </c>
      <c r="J64" s="2"/>
      <c r="K64" s="2"/>
      <c r="L64" s="2"/>
      <c r="M64" s="2"/>
      <c r="N64" s="2"/>
      <c r="O64" s="8">
        <f t="shared" si="0"/>
        <v>0</v>
      </c>
      <c r="P64" s="2"/>
      <c r="Q64" s="2"/>
      <c r="R64" s="18"/>
      <c r="S64" s="18"/>
      <c r="T64" s="2"/>
      <c r="U64" s="2"/>
      <c r="V64" s="18"/>
      <c r="W64" s="18"/>
      <c r="X64" s="18"/>
      <c r="Y64" s="35"/>
      <c r="Z64" s="2"/>
      <c r="AA64" s="7">
        <f t="shared" si="1"/>
        <v>0</v>
      </c>
      <c r="AB64" s="8">
        <v>0</v>
      </c>
      <c r="AC64" s="8">
        <v>0</v>
      </c>
      <c r="AD64" s="8" t="s">
        <v>152</v>
      </c>
      <c r="AE64" s="8">
        <v>0</v>
      </c>
      <c r="AF64"/>
    </row>
    <row r="65" spans="1:32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2">
        <v>0</v>
      </c>
      <c r="J65" s="2"/>
      <c r="K65" s="2"/>
      <c r="L65" s="2"/>
      <c r="M65" s="2"/>
      <c r="N65" s="2"/>
      <c r="O65" s="8">
        <f t="shared" si="0"/>
        <v>0</v>
      </c>
      <c r="P65" s="2"/>
      <c r="Q65" s="2"/>
      <c r="R65" s="18"/>
      <c r="S65" s="18"/>
      <c r="T65" s="2"/>
      <c r="U65" s="2"/>
      <c r="V65" s="18"/>
      <c r="W65" s="18"/>
      <c r="X65" s="18"/>
      <c r="Y65" s="35"/>
      <c r="Z65" s="2"/>
      <c r="AA65" s="7">
        <f t="shared" si="1"/>
        <v>0</v>
      </c>
      <c r="AB65" s="8">
        <v>0</v>
      </c>
      <c r="AC65" s="8">
        <v>0</v>
      </c>
      <c r="AD65" s="8" t="s">
        <v>152</v>
      </c>
      <c r="AE65" s="8">
        <v>0</v>
      </c>
      <c r="AF65"/>
    </row>
    <row r="66" spans="1:32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2">
        <v>0</v>
      </c>
      <c r="J66" s="2"/>
      <c r="K66" s="2"/>
      <c r="L66" s="2"/>
      <c r="M66" s="2"/>
      <c r="N66" s="2"/>
      <c r="O66" s="8">
        <f t="shared" si="0"/>
        <v>0</v>
      </c>
      <c r="P66" s="2"/>
      <c r="Q66" s="2"/>
      <c r="R66" s="18"/>
      <c r="S66" s="18"/>
      <c r="T66" s="2"/>
      <c r="U66" s="2"/>
      <c r="V66" s="18"/>
      <c r="W66" s="18"/>
      <c r="X66" s="18"/>
      <c r="Y66" s="35"/>
      <c r="Z66" s="2"/>
      <c r="AA66" s="7">
        <f t="shared" si="1"/>
        <v>0</v>
      </c>
      <c r="AB66" s="8">
        <v>0</v>
      </c>
      <c r="AC66" s="8">
        <v>0</v>
      </c>
      <c r="AD66" s="8" t="s">
        <v>152</v>
      </c>
      <c r="AE66" s="8">
        <v>0</v>
      </c>
      <c r="AF66"/>
    </row>
    <row r="67" spans="1:32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2">
        <v>0</v>
      </c>
      <c r="J67" s="2"/>
      <c r="K67" s="2"/>
      <c r="L67" s="2"/>
      <c r="M67" s="2"/>
      <c r="N67" s="2"/>
      <c r="O67" s="8">
        <f t="shared" si="0"/>
        <v>0</v>
      </c>
      <c r="P67" s="2"/>
      <c r="Q67" s="2"/>
      <c r="R67" s="18"/>
      <c r="S67" s="18"/>
      <c r="T67" s="2"/>
      <c r="U67" s="2"/>
      <c r="V67" s="18"/>
      <c r="W67" s="18"/>
      <c r="X67" s="18"/>
      <c r="Y67" s="35"/>
      <c r="Z67" s="2"/>
      <c r="AA67" s="7">
        <f t="shared" si="1"/>
        <v>0</v>
      </c>
      <c r="AB67" s="8" t="s">
        <v>151</v>
      </c>
      <c r="AC67" s="8">
        <v>200</v>
      </c>
      <c r="AD67" s="8" t="s">
        <v>152</v>
      </c>
      <c r="AE67" s="8">
        <f>+SUM(I67:N67)/AC67</f>
        <v>0</v>
      </c>
      <c r="AF67"/>
    </row>
    <row r="68" spans="1:32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2">
        <v>0</v>
      </c>
      <c r="J68" s="2"/>
      <c r="K68" s="2"/>
      <c r="L68" s="2"/>
      <c r="M68" s="2"/>
      <c r="N68" s="2"/>
      <c r="O68" s="8">
        <f t="shared" si="0"/>
        <v>0</v>
      </c>
      <c r="P68" s="2"/>
      <c r="Q68" s="2"/>
      <c r="R68" s="18"/>
      <c r="S68" s="18"/>
      <c r="T68" s="2"/>
      <c r="U68" s="2"/>
      <c r="V68" s="18"/>
      <c r="W68" s="18"/>
      <c r="X68" s="18"/>
      <c r="Y68" s="35"/>
      <c r="Z68" s="2"/>
      <c r="AA68" s="7">
        <f t="shared" si="1"/>
        <v>0</v>
      </c>
      <c r="AB68" s="8">
        <v>0</v>
      </c>
      <c r="AC68" s="8">
        <v>0</v>
      </c>
      <c r="AD68" s="8" t="s">
        <v>152</v>
      </c>
      <c r="AE68" s="8">
        <v>0</v>
      </c>
      <c r="AF68"/>
    </row>
    <row r="69" spans="1:32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2">
        <v>0</v>
      </c>
      <c r="J69" s="2">
        <v>600</v>
      </c>
      <c r="K69" s="2"/>
      <c r="L69" s="2"/>
      <c r="M69" s="2"/>
      <c r="N69" s="2"/>
      <c r="O69" s="8">
        <f t="shared" si="0"/>
        <v>0</v>
      </c>
      <c r="P69" s="2"/>
      <c r="Q69" s="2"/>
      <c r="R69" s="18"/>
      <c r="S69" s="18"/>
      <c r="T69" s="2"/>
      <c r="U69" s="2"/>
      <c r="V69" s="18"/>
      <c r="W69" s="18"/>
      <c r="X69" s="18"/>
      <c r="Y69" s="35"/>
      <c r="Z69" s="2">
        <v>600</v>
      </c>
      <c r="AA69" s="7">
        <f t="shared" si="1"/>
        <v>0</v>
      </c>
      <c r="AB69" s="8">
        <v>0</v>
      </c>
      <c r="AC69" s="8">
        <v>0</v>
      </c>
      <c r="AD69" s="8" t="s">
        <v>152</v>
      </c>
      <c r="AE69" s="8">
        <v>0</v>
      </c>
      <c r="AF69"/>
    </row>
    <row r="70" spans="1:32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2">
        <v>0</v>
      </c>
      <c r="J70" s="2"/>
      <c r="K70" s="2"/>
      <c r="L70" s="2"/>
      <c r="M70" s="2"/>
      <c r="N70" s="2"/>
      <c r="O70" s="8">
        <f t="shared" ref="O70:O137" si="5">+I70+J70+K70+L70+M70+N70-SUM(P70:Z70)</f>
        <v>0</v>
      </c>
      <c r="P70" s="2"/>
      <c r="Q70" s="2"/>
      <c r="R70" s="18"/>
      <c r="S70" s="18"/>
      <c r="T70" s="2"/>
      <c r="U70" s="2"/>
      <c r="V70" s="18"/>
      <c r="W70" s="18"/>
      <c r="X70" s="18"/>
      <c r="Y70" s="35"/>
      <c r="Z70" s="2"/>
      <c r="AA70" s="7">
        <f t="shared" ref="AA70:AA137" si="6">+G70*SUM(I70:N70)</f>
        <v>0</v>
      </c>
      <c r="AB70" s="8" t="s">
        <v>151</v>
      </c>
      <c r="AC70" s="8">
        <v>200</v>
      </c>
      <c r="AD70" s="8" t="s">
        <v>152</v>
      </c>
      <c r="AE70" s="8">
        <f>+SUM(I70:N70)/AC70</f>
        <v>0</v>
      </c>
      <c r="AF70"/>
    </row>
    <row r="71" spans="1:32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2">
        <v>0</v>
      </c>
      <c r="J71" s="2"/>
      <c r="K71" s="2"/>
      <c r="L71" s="2"/>
      <c r="M71" s="2"/>
      <c r="N71" s="2"/>
      <c r="O71" s="8">
        <f t="shared" si="5"/>
        <v>0</v>
      </c>
      <c r="P71" s="2"/>
      <c r="Q71" s="2"/>
      <c r="R71" s="18"/>
      <c r="S71" s="18"/>
      <c r="T71" s="2"/>
      <c r="U71" s="2"/>
      <c r="V71" s="18"/>
      <c r="W71" s="18"/>
      <c r="X71" s="18"/>
      <c r="Y71" s="35"/>
      <c r="Z71" s="2"/>
      <c r="AA71" s="7">
        <f t="shared" si="6"/>
        <v>0</v>
      </c>
      <c r="AB71" s="8" t="s">
        <v>151</v>
      </c>
      <c r="AC71" s="8">
        <v>500</v>
      </c>
      <c r="AD71" s="8" t="s">
        <v>152</v>
      </c>
      <c r="AE71" s="8">
        <f>+SUM(I71:N71)/AC71</f>
        <v>0</v>
      </c>
      <c r="AF71"/>
    </row>
    <row r="72" spans="1:32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2">
        <v>0</v>
      </c>
      <c r="J72" s="2"/>
      <c r="K72" s="2"/>
      <c r="L72" s="2"/>
      <c r="M72" s="2"/>
      <c r="N72" s="2"/>
      <c r="O72" s="8">
        <f t="shared" si="5"/>
        <v>0</v>
      </c>
      <c r="P72" s="2"/>
      <c r="Q72" s="2"/>
      <c r="R72" s="18"/>
      <c r="S72" s="18"/>
      <c r="T72" s="2"/>
      <c r="U72" s="2"/>
      <c r="V72" s="18"/>
      <c r="W72" s="18"/>
      <c r="X72" s="18"/>
      <c r="Y72" s="35"/>
      <c r="Z72" s="2"/>
      <c r="AA72" s="7">
        <f t="shared" si="6"/>
        <v>0</v>
      </c>
      <c r="AB72" s="8" t="s">
        <v>151</v>
      </c>
      <c r="AC72" s="8">
        <v>200</v>
      </c>
      <c r="AD72" s="8" t="s">
        <v>152</v>
      </c>
      <c r="AE72" s="8">
        <f>+SUM(I72:N72)/AC72</f>
        <v>0</v>
      </c>
      <c r="AF72"/>
    </row>
    <row r="73" spans="1:32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2">
        <v>0</v>
      </c>
      <c r="J73" s="2"/>
      <c r="K73" s="2"/>
      <c r="L73" s="2"/>
      <c r="M73" s="2"/>
      <c r="N73" s="2"/>
      <c r="O73" s="8">
        <f t="shared" si="5"/>
        <v>0</v>
      </c>
      <c r="P73" s="2"/>
      <c r="Q73" s="2"/>
      <c r="R73" s="18"/>
      <c r="S73" s="18"/>
      <c r="T73" s="2"/>
      <c r="U73" s="2"/>
      <c r="V73" s="18"/>
      <c r="W73" s="18"/>
      <c r="X73" s="18"/>
      <c r="Y73" s="35"/>
      <c r="Z73" s="2"/>
      <c r="AA73" s="7">
        <f t="shared" si="6"/>
        <v>0</v>
      </c>
      <c r="AB73" s="8">
        <v>0</v>
      </c>
      <c r="AC73" s="8">
        <v>0</v>
      </c>
      <c r="AD73" s="8" t="s">
        <v>152</v>
      </c>
      <c r="AE73" s="8">
        <v>0</v>
      </c>
      <c r="AF73"/>
    </row>
    <row r="74" spans="1:32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2">
        <v>0</v>
      </c>
      <c r="J74" s="2"/>
      <c r="K74" s="2"/>
      <c r="L74" s="2"/>
      <c r="M74" s="2"/>
      <c r="N74" s="2"/>
      <c r="O74" s="8">
        <f t="shared" si="5"/>
        <v>0</v>
      </c>
      <c r="P74" s="2"/>
      <c r="Q74" s="2"/>
      <c r="R74" s="18"/>
      <c r="S74" s="18"/>
      <c r="T74" s="2"/>
      <c r="U74" s="2"/>
      <c r="V74" s="18"/>
      <c r="W74" s="18"/>
      <c r="X74" s="18"/>
      <c r="Y74" s="35"/>
      <c r="Z74" s="2"/>
      <c r="AA74" s="7">
        <f t="shared" si="6"/>
        <v>0</v>
      </c>
      <c r="AB74" s="8">
        <v>0</v>
      </c>
      <c r="AC74" s="8">
        <v>0</v>
      </c>
      <c r="AD74" s="8" t="s">
        <v>152</v>
      </c>
      <c r="AE74" s="8">
        <v>0</v>
      </c>
      <c r="AF74"/>
    </row>
    <row r="75" spans="1:32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2">
        <v>0</v>
      </c>
      <c r="J75" s="2">
        <v>100</v>
      </c>
      <c r="K75" s="2"/>
      <c r="L75" s="2"/>
      <c r="M75" s="2"/>
      <c r="N75" s="2"/>
      <c r="O75" s="8">
        <f t="shared" si="5"/>
        <v>0</v>
      </c>
      <c r="P75" s="2"/>
      <c r="Q75" s="2"/>
      <c r="R75" s="18"/>
      <c r="S75" s="18"/>
      <c r="T75" s="2"/>
      <c r="U75" s="2"/>
      <c r="V75" s="18"/>
      <c r="W75" s="18"/>
      <c r="X75" s="18"/>
      <c r="Y75" s="35"/>
      <c r="Z75" s="2">
        <v>100</v>
      </c>
      <c r="AA75" s="7">
        <f t="shared" si="6"/>
        <v>0</v>
      </c>
      <c r="AB75" s="8">
        <v>0</v>
      </c>
      <c r="AC75" s="8">
        <v>0</v>
      </c>
      <c r="AD75" s="8" t="s">
        <v>152</v>
      </c>
      <c r="AE75" s="8">
        <v>0</v>
      </c>
      <c r="AF75"/>
    </row>
    <row r="76" spans="1:32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2">
        <v>0</v>
      </c>
      <c r="J76" s="2"/>
      <c r="K76" s="2"/>
      <c r="L76" s="2"/>
      <c r="M76" s="2"/>
      <c r="N76" s="2"/>
      <c r="O76" s="8">
        <f t="shared" si="5"/>
        <v>0</v>
      </c>
      <c r="P76" s="2"/>
      <c r="Q76" s="2"/>
      <c r="R76" s="18"/>
      <c r="S76" s="18"/>
      <c r="T76" s="2"/>
      <c r="U76" s="2"/>
      <c r="V76" s="18"/>
      <c r="W76" s="18"/>
      <c r="X76" s="18"/>
      <c r="Y76" s="35"/>
      <c r="Z76" s="2"/>
      <c r="AA76" s="7">
        <f t="shared" si="6"/>
        <v>0</v>
      </c>
      <c r="AB76" s="8">
        <v>0</v>
      </c>
      <c r="AC76" s="8">
        <v>0</v>
      </c>
      <c r="AD76" s="8" t="s">
        <v>152</v>
      </c>
      <c r="AE76" s="8">
        <v>0</v>
      </c>
      <c r="AF76"/>
    </row>
    <row r="77" spans="1:32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2">
        <v>0</v>
      </c>
      <c r="J77" s="2"/>
      <c r="K77" s="2"/>
      <c r="L77" s="2"/>
      <c r="M77" s="2"/>
      <c r="N77" s="2"/>
      <c r="O77" s="8">
        <f t="shared" si="5"/>
        <v>0</v>
      </c>
      <c r="P77" s="2"/>
      <c r="Q77" s="2"/>
      <c r="R77" s="18"/>
      <c r="S77" s="18"/>
      <c r="T77" s="2"/>
      <c r="U77" s="2"/>
      <c r="V77" s="18"/>
      <c r="W77" s="18"/>
      <c r="X77" s="18"/>
      <c r="Y77" s="35"/>
      <c r="Z77" s="2"/>
      <c r="AA77" s="7">
        <f t="shared" si="6"/>
        <v>0</v>
      </c>
      <c r="AB77" s="8">
        <v>0</v>
      </c>
      <c r="AC77" s="8">
        <v>0</v>
      </c>
      <c r="AD77" s="8" t="s">
        <v>152</v>
      </c>
      <c r="AE77" s="8">
        <v>0</v>
      </c>
      <c r="AF77"/>
    </row>
    <row r="78" spans="1:32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2">
        <v>0</v>
      </c>
      <c r="J78" s="2"/>
      <c r="K78" s="2"/>
      <c r="L78" s="2"/>
      <c r="M78" s="2"/>
      <c r="N78" s="2"/>
      <c r="O78" s="8">
        <f t="shared" si="5"/>
        <v>0</v>
      </c>
      <c r="P78" s="2"/>
      <c r="Q78" s="2"/>
      <c r="R78" s="18"/>
      <c r="S78" s="18"/>
      <c r="T78" s="2"/>
      <c r="U78" s="2"/>
      <c r="V78" s="18"/>
      <c r="W78" s="18"/>
      <c r="X78" s="18"/>
      <c r="Y78" s="35"/>
      <c r="Z78" s="2"/>
      <c r="AA78" s="7">
        <f t="shared" si="6"/>
        <v>0</v>
      </c>
      <c r="AB78" s="8">
        <v>0</v>
      </c>
      <c r="AC78" s="8">
        <v>0</v>
      </c>
      <c r="AD78" s="8" t="s">
        <v>152</v>
      </c>
      <c r="AE78" s="8">
        <v>0</v>
      </c>
      <c r="AF78"/>
    </row>
    <row r="79" spans="1:32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2">
        <v>0</v>
      </c>
      <c r="J79" s="2"/>
      <c r="K79" s="2"/>
      <c r="L79" s="2"/>
      <c r="M79" s="2"/>
      <c r="N79" s="2"/>
      <c r="O79" s="8">
        <f t="shared" si="5"/>
        <v>0</v>
      </c>
      <c r="P79" s="2"/>
      <c r="Q79" s="2"/>
      <c r="R79" s="18"/>
      <c r="S79" s="18"/>
      <c r="T79" s="2"/>
      <c r="U79" s="2"/>
      <c r="V79" s="18"/>
      <c r="W79" s="18"/>
      <c r="X79" s="18"/>
      <c r="Y79" s="35"/>
      <c r="Z79" s="2"/>
      <c r="AA79" s="7">
        <f t="shared" si="6"/>
        <v>0</v>
      </c>
      <c r="AB79" s="8">
        <v>0</v>
      </c>
      <c r="AC79" s="8">
        <v>0</v>
      </c>
      <c r="AD79" s="8" t="s">
        <v>152</v>
      </c>
      <c r="AE79" s="8">
        <v>0</v>
      </c>
      <c r="AF79"/>
    </row>
    <row r="80" spans="1:32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2">
        <v>0</v>
      </c>
      <c r="J80" s="2"/>
      <c r="K80" s="2"/>
      <c r="L80" s="2"/>
      <c r="M80" s="2"/>
      <c r="N80" s="2"/>
      <c r="O80" s="8">
        <f t="shared" si="5"/>
        <v>0</v>
      </c>
      <c r="P80" s="2"/>
      <c r="Q80" s="2"/>
      <c r="R80" s="18"/>
      <c r="S80" s="18"/>
      <c r="T80" s="2"/>
      <c r="U80" s="2"/>
      <c r="V80" s="18"/>
      <c r="W80" s="18"/>
      <c r="X80" s="18"/>
      <c r="Y80" s="35"/>
      <c r="Z80" s="2"/>
      <c r="AA80" s="7">
        <f t="shared" si="6"/>
        <v>0</v>
      </c>
      <c r="AB80" s="8">
        <v>0</v>
      </c>
      <c r="AC80" s="8">
        <v>0</v>
      </c>
      <c r="AD80" s="8" t="s">
        <v>152</v>
      </c>
      <c r="AE80" s="8">
        <v>0</v>
      </c>
      <c r="AF80"/>
    </row>
    <row r="81" spans="1:32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2">
        <v>0</v>
      </c>
      <c r="J81" s="2"/>
      <c r="K81" s="2"/>
      <c r="L81" s="2"/>
      <c r="M81" s="2"/>
      <c r="N81" s="2"/>
      <c r="O81" s="8">
        <f t="shared" si="5"/>
        <v>0</v>
      </c>
      <c r="P81" s="2"/>
      <c r="Q81" s="2"/>
      <c r="R81" s="18"/>
      <c r="S81" s="18"/>
      <c r="T81" s="2"/>
      <c r="U81" s="2"/>
      <c r="V81" s="18"/>
      <c r="W81" s="18"/>
      <c r="X81" s="18"/>
      <c r="Y81" s="35"/>
      <c r="Z81" s="2"/>
      <c r="AA81" s="7">
        <f t="shared" si="6"/>
        <v>0</v>
      </c>
      <c r="AB81" s="8">
        <v>0</v>
      </c>
      <c r="AC81" s="8">
        <v>0</v>
      </c>
      <c r="AD81" s="8" t="s">
        <v>152</v>
      </c>
      <c r="AE81" s="8">
        <v>0</v>
      </c>
      <c r="AF81"/>
    </row>
    <row r="82" spans="1:32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2">
        <v>0</v>
      </c>
      <c r="J82" s="2"/>
      <c r="K82" s="2"/>
      <c r="L82" s="2"/>
      <c r="M82" s="2"/>
      <c r="N82" s="2"/>
      <c r="O82" s="8">
        <f t="shared" si="5"/>
        <v>0</v>
      </c>
      <c r="P82" s="2"/>
      <c r="Q82" s="2"/>
      <c r="R82" s="18"/>
      <c r="S82" s="18"/>
      <c r="T82" s="2"/>
      <c r="U82" s="2"/>
      <c r="V82" s="18"/>
      <c r="W82" s="18"/>
      <c r="X82" s="18"/>
      <c r="Y82" s="35"/>
      <c r="Z82" s="2"/>
      <c r="AA82" s="7">
        <f t="shared" si="6"/>
        <v>0</v>
      </c>
      <c r="AB82" s="8">
        <v>0</v>
      </c>
      <c r="AC82" s="8">
        <v>0</v>
      </c>
      <c r="AD82" s="8" t="s">
        <v>152</v>
      </c>
      <c r="AE82" s="8">
        <v>0</v>
      </c>
      <c r="AF82"/>
    </row>
    <row r="83" spans="1:32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2">
        <v>0</v>
      </c>
      <c r="J83" s="2"/>
      <c r="K83" s="2"/>
      <c r="L83" s="2"/>
      <c r="M83" s="2"/>
      <c r="N83" s="2"/>
      <c r="O83" s="8">
        <f t="shared" si="5"/>
        <v>0</v>
      </c>
      <c r="P83" s="2"/>
      <c r="Q83" s="2"/>
      <c r="R83" s="18"/>
      <c r="S83" s="18"/>
      <c r="T83" s="2"/>
      <c r="U83" s="2"/>
      <c r="V83" s="18"/>
      <c r="W83" s="18"/>
      <c r="X83" s="18"/>
      <c r="Y83" s="35"/>
      <c r="Z83" s="2"/>
      <c r="AA83" s="7">
        <f t="shared" si="6"/>
        <v>0</v>
      </c>
      <c r="AB83" s="8">
        <v>0</v>
      </c>
      <c r="AC83" s="8">
        <v>0</v>
      </c>
      <c r="AD83" s="8" t="s">
        <v>152</v>
      </c>
      <c r="AE83" s="8">
        <v>0</v>
      </c>
      <c r="AF83"/>
    </row>
    <row r="84" spans="1:32" x14ac:dyDescent="0.25">
      <c r="A84" s="2">
        <v>79</v>
      </c>
      <c r="B84" s="2" t="s">
        <v>128</v>
      </c>
      <c r="C84" s="2" t="s">
        <v>129</v>
      </c>
      <c r="D84" s="35" t="s">
        <v>103</v>
      </c>
      <c r="E84" s="13">
        <v>0.25</v>
      </c>
      <c r="F84" s="2"/>
      <c r="G84" s="3"/>
      <c r="H84" s="3"/>
      <c r="I84" s="2">
        <v>0</v>
      </c>
      <c r="J84" s="2"/>
      <c r="K84" s="2"/>
      <c r="L84" s="2"/>
      <c r="M84" s="2"/>
      <c r="N84" s="2"/>
      <c r="O84" s="8">
        <f t="shared" si="5"/>
        <v>-630</v>
      </c>
      <c r="P84" s="35">
        <v>630</v>
      </c>
      <c r="Q84" s="2"/>
      <c r="R84" s="18"/>
      <c r="S84" s="18"/>
      <c r="T84" s="2"/>
      <c r="U84" s="2"/>
      <c r="V84" s="18"/>
      <c r="W84" s="18"/>
      <c r="X84" s="18"/>
      <c r="Y84" s="35"/>
      <c r="Z84" s="2"/>
      <c r="AA84" s="7">
        <f t="shared" si="6"/>
        <v>0</v>
      </c>
      <c r="AB84" s="8" t="s">
        <v>146</v>
      </c>
      <c r="AC84" s="8">
        <v>200</v>
      </c>
      <c r="AD84" s="8" t="s">
        <v>153</v>
      </c>
      <c r="AE84" s="8">
        <f>+SUM(I84:N84)/AC84</f>
        <v>0</v>
      </c>
      <c r="AF84"/>
    </row>
    <row r="85" spans="1:32" x14ac:dyDescent="0.25">
      <c r="A85" s="2">
        <v>80</v>
      </c>
      <c r="B85" s="2" t="s">
        <v>128</v>
      </c>
      <c r="C85" s="2" t="s">
        <v>129</v>
      </c>
      <c r="D85" s="35" t="s">
        <v>104</v>
      </c>
      <c r="E85" s="13">
        <v>0.25</v>
      </c>
      <c r="F85" s="2"/>
      <c r="G85" s="3"/>
      <c r="H85" s="3"/>
      <c r="I85" s="2">
        <v>0</v>
      </c>
      <c r="J85" s="2"/>
      <c r="K85" s="2"/>
      <c r="L85" s="2"/>
      <c r="M85" s="2"/>
      <c r="N85" s="2"/>
      <c r="O85" s="8">
        <f t="shared" si="5"/>
        <v>-1300</v>
      </c>
      <c r="P85" s="35">
        <v>1300</v>
      </c>
      <c r="Q85" s="2"/>
      <c r="R85" s="18"/>
      <c r="S85" s="18"/>
      <c r="T85" s="2"/>
      <c r="U85" s="2"/>
      <c r="V85" s="18"/>
      <c r="W85" s="18"/>
      <c r="X85" s="18"/>
      <c r="Y85" s="35"/>
      <c r="Z85" s="2"/>
      <c r="AA85" s="7">
        <f t="shared" si="6"/>
        <v>0</v>
      </c>
      <c r="AB85" s="8" t="s">
        <v>146</v>
      </c>
      <c r="AC85" s="8">
        <v>200</v>
      </c>
      <c r="AD85" s="8" t="s">
        <v>153</v>
      </c>
      <c r="AE85" s="8">
        <f>+SUM(I85:N85)/AC85</f>
        <v>0</v>
      </c>
      <c r="AF85"/>
    </row>
    <row r="86" spans="1:32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2">
        <v>0</v>
      </c>
      <c r="J86" s="2"/>
      <c r="K86" s="2"/>
      <c r="L86" s="2"/>
      <c r="M86" s="2"/>
      <c r="N86" s="2"/>
      <c r="O86" s="8">
        <f t="shared" si="5"/>
        <v>0</v>
      </c>
      <c r="P86" s="2"/>
      <c r="Q86" s="2"/>
      <c r="R86" s="18"/>
      <c r="S86" s="18"/>
      <c r="T86" s="2"/>
      <c r="U86" s="2"/>
      <c r="V86" s="18"/>
      <c r="W86" s="18"/>
      <c r="X86" s="18"/>
      <c r="Y86" s="35"/>
      <c r="Z86" s="2"/>
      <c r="AA86" s="7">
        <f t="shared" si="6"/>
        <v>0</v>
      </c>
      <c r="AB86" s="8" t="s">
        <v>146</v>
      </c>
      <c r="AC86" s="8">
        <v>200</v>
      </c>
      <c r="AD86" s="8" t="s">
        <v>153</v>
      </c>
      <c r="AE86" s="8">
        <f>+SUM(I86:N86)/AC86</f>
        <v>0</v>
      </c>
      <c r="AF86"/>
    </row>
    <row r="87" spans="1:32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2">
        <v>0</v>
      </c>
      <c r="J87" s="2"/>
      <c r="K87" s="2"/>
      <c r="L87" s="2"/>
      <c r="M87" s="2"/>
      <c r="N87" s="2"/>
      <c r="O87" s="8">
        <f t="shared" si="5"/>
        <v>0</v>
      </c>
      <c r="P87" s="2"/>
      <c r="Q87" s="2"/>
      <c r="R87" s="18"/>
      <c r="S87" s="18"/>
      <c r="T87" s="2"/>
      <c r="U87" s="2"/>
      <c r="V87" s="18"/>
      <c r="W87" s="18"/>
      <c r="X87" s="18"/>
      <c r="Y87" s="35"/>
      <c r="Z87" s="2"/>
      <c r="AA87" s="7">
        <f t="shared" si="6"/>
        <v>0</v>
      </c>
      <c r="AB87" s="8">
        <v>0</v>
      </c>
      <c r="AC87" s="8">
        <v>0</v>
      </c>
      <c r="AD87" s="8" t="s">
        <v>153</v>
      </c>
      <c r="AE87" s="8">
        <v>0</v>
      </c>
      <c r="AF87"/>
    </row>
    <row r="88" spans="1:32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2">
        <v>0</v>
      </c>
      <c r="J88" s="2"/>
      <c r="K88" s="2"/>
      <c r="L88" s="2"/>
      <c r="M88" s="2"/>
      <c r="N88" s="2"/>
      <c r="O88" s="8">
        <f t="shared" si="5"/>
        <v>0</v>
      </c>
      <c r="P88" s="2"/>
      <c r="Q88" s="2"/>
      <c r="R88" s="18"/>
      <c r="S88" s="18"/>
      <c r="T88" s="2"/>
      <c r="U88" s="2"/>
      <c r="V88" s="18"/>
      <c r="W88" s="18"/>
      <c r="X88" s="18"/>
      <c r="Y88" s="35"/>
      <c r="Z88" s="2"/>
      <c r="AA88" s="7">
        <f t="shared" si="6"/>
        <v>0</v>
      </c>
      <c r="AB88" s="8">
        <v>0</v>
      </c>
      <c r="AC88" s="8">
        <v>0</v>
      </c>
      <c r="AD88" s="8" t="s">
        <v>153</v>
      </c>
      <c r="AE88" s="8">
        <v>0</v>
      </c>
      <c r="AF88"/>
    </row>
    <row r="89" spans="1:32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2">
        <v>0</v>
      </c>
      <c r="J89" s="2"/>
      <c r="K89" s="2"/>
      <c r="L89" s="2"/>
      <c r="M89" s="2"/>
      <c r="N89" s="2"/>
      <c r="O89" s="8">
        <f t="shared" si="5"/>
        <v>0</v>
      </c>
      <c r="P89" s="2"/>
      <c r="Q89" s="2"/>
      <c r="R89" s="18"/>
      <c r="S89" s="18"/>
      <c r="T89" s="2"/>
      <c r="U89" s="2"/>
      <c r="V89" s="18"/>
      <c r="W89" s="18"/>
      <c r="X89" s="18"/>
      <c r="Y89" s="35"/>
      <c r="Z89" s="2"/>
      <c r="AA89" s="7">
        <f t="shared" si="6"/>
        <v>0</v>
      </c>
      <c r="AB89" s="8">
        <v>0</v>
      </c>
      <c r="AC89" s="8">
        <v>0</v>
      </c>
      <c r="AD89" s="8" t="s">
        <v>153</v>
      </c>
      <c r="AE89" s="8">
        <v>0</v>
      </c>
      <c r="AF89"/>
    </row>
    <row r="90" spans="1:32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2">
        <v>0</v>
      </c>
      <c r="J90" s="2"/>
      <c r="K90" s="2"/>
      <c r="L90" s="2"/>
      <c r="M90" s="2"/>
      <c r="N90" s="2"/>
      <c r="O90" s="8">
        <f t="shared" si="5"/>
        <v>0</v>
      </c>
      <c r="P90" s="2"/>
      <c r="Q90" s="2"/>
      <c r="R90" s="18"/>
      <c r="S90" s="18"/>
      <c r="T90" s="2"/>
      <c r="U90" s="2"/>
      <c r="V90" s="18"/>
      <c r="W90" s="18"/>
      <c r="X90" s="18"/>
      <c r="Y90" s="35"/>
      <c r="Z90" s="2"/>
      <c r="AA90" s="7">
        <f t="shared" si="6"/>
        <v>0</v>
      </c>
      <c r="AB90" s="8">
        <v>0</v>
      </c>
      <c r="AC90" s="8">
        <v>0</v>
      </c>
      <c r="AD90" s="8" t="s">
        <v>153</v>
      </c>
      <c r="AE90" s="8">
        <v>0</v>
      </c>
      <c r="AF90"/>
    </row>
    <row r="91" spans="1:32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2">
        <v>0</v>
      </c>
      <c r="J91" s="2"/>
      <c r="K91" s="2"/>
      <c r="L91" s="2"/>
      <c r="M91" s="2"/>
      <c r="N91" s="2"/>
      <c r="O91" s="8">
        <f t="shared" si="5"/>
        <v>0</v>
      </c>
      <c r="P91" s="2"/>
      <c r="Q91" s="2"/>
      <c r="R91" s="18"/>
      <c r="S91" s="18"/>
      <c r="T91" s="2"/>
      <c r="U91" s="2"/>
      <c r="V91" s="18"/>
      <c r="W91" s="18"/>
      <c r="X91" s="18"/>
      <c r="Y91" s="35"/>
      <c r="Z91" s="2"/>
      <c r="AA91" s="7">
        <f t="shared" si="6"/>
        <v>0</v>
      </c>
      <c r="AB91" s="8" t="s">
        <v>147</v>
      </c>
      <c r="AC91" s="8">
        <v>100</v>
      </c>
      <c r="AD91" s="8" t="s">
        <v>153</v>
      </c>
      <c r="AE91" s="8">
        <f t="shared" ref="AE91:AE153" si="7">+SUM(I91:N91)/AC91</f>
        <v>0</v>
      </c>
      <c r="AF91"/>
    </row>
    <row r="92" spans="1:32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2">
        <v>0</v>
      </c>
      <c r="J92" s="2"/>
      <c r="K92" s="2"/>
      <c r="L92" s="2"/>
      <c r="M92" s="2"/>
      <c r="N92" s="2"/>
      <c r="O92" s="8">
        <f t="shared" si="5"/>
        <v>0</v>
      </c>
      <c r="P92" s="2"/>
      <c r="Q92" s="2"/>
      <c r="R92" s="18"/>
      <c r="S92" s="18"/>
      <c r="T92" s="2"/>
      <c r="U92" s="2"/>
      <c r="V92" s="18"/>
      <c r="W92" s="18"/>
      <c r="X92" s="18"/>
      <c r="Y92" s="35"/>
      <c r="Z92" s="2"/>
      <c r="AA92" s="7">
        <f t="shared" si="6"/>
        <v>0</v>
      </c>
      <c r="AB92" s="8" t="s">
        <v>147</v>
      </c>
      <c r="AC92" s="8">
        <v>200</v>
      </c>
      <c r="AD92" s="8" t="s">
        <v>153</v>
      </c>
      <c r="AE92" s="8">
        <f t="shared" si="7"/>
        <v>0</v>
      </c>
      <c r="AF92"/>
    </row>
    <row r="93" spans="1:32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2">
        <v>0</v>
      </c>
      <c r="J93" s="2"/>
      <c r="K93" s="2"/>
      <c r="L93" s="2"/>
      <c r="M93" s="2"/>
      <c r="N93" s="2"/>
      <c r="O93" s="8">
        <f t="shared" si="5"/>
        <v>0</v>
      </c>
      <c r="P93" s="2"/>
      <c r="Q93" s="2"/>
      <c r="R93" s="18"/>
      <c r="S93" s="18"/>
      <c r="T93" s="2"/>
      <c r="U93" s="2"/>
      <c r="V93" s="18"/>
      <c r="W93" s="18"/>
      <c r="X93" s="18"/>
      <c r="Y93" s="35"/>
      <c r="Z93" s="2"/>
      <c r="AA93" s="7">
        <f t="shared" si="6"/>
        <v>0</v>
      </c>
      <c r="AB93" s="8" t="s">
        <v>147</v>
      </c>
      <c r="AC93" s="8">
        <v>200</v>
      </c>
      <c r="AD93" s="8" t="s">
        <v>153</v>
      </c>
      <c r="AE93" s="8">
        <f t="shared" si="7"/>
        <v>0</v>
      </c>
      <c r="AF93"/>
    </row>
    <row r="94" spans="1:32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2">
        <v>0</v>
      </c>
      <c r="J94" s="2"/>
      <c r="K94" s="2"/>
      <c r="L94" s="2"/>
      <c r="M94" s="2"/>
      <c r="N94" s="2"/>
      <c r="O94" s="8">
        <f t="shared" si="5"/>
        <v>0</v>
      </c>
      <c r="P94" s="2"/>
      <c r="Q94" s="2"/>
      <c r="R94" s="18"/>
      <c r="S94" s="18"/>
      <c r="T94" s="2"/>
      <c r="U94" s="2"/>
      <c r="V94" s="18"/>
      <c r="W94" s="18"/>
      <c r="X94" s="18"/>
      <c r="Y94" s="35"/>
      <c r="Z94" s="2"/>
      <c r="AA94" s="7">
        <f t="shared" si="6"/>
        <v>0</v>
      </c>
      <c r="AB94" s="8" t="s">
        <v>147</v>
      </c>
      <c r="AC94" s="8">
        <v>200</v>
      </c>
      <c r="AD94" s="8" t="s">
        <v>153</v>
      </c>
      <c r="AE94" s="8">
        <f t="shared" si="7"/>
        <v>0</v>
      </c>
      <c r="AF94"/>
    </row>
    <row r="95" spans="1:32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2">
        <v>0</v>
      </c>
      <c r="J95" s="2"/>
      <c r="K95" s="2"/>
      <c r="L95" s="2"/>
      <c r="M95" s="2"/>
      <c r="N95" s="2"/>
      <c r="O95" s="8">
        <f t="shared" si="5"/>
        <v>0</v>
      </c>
      <c r="P95" s="2"/>
      <c r="Q95" s="2"/>
      <c r="R95" s="18"/>
      <c r="S95" s="18"/>
      <c r="T95" s="2"/>
      <c r="U95" s="2"/>
      <c r="V95" s="18"/>
      <c r="W95" s="18"/>
      <c r="X95" s="18"/>
      <c r="Y95" s="35"/>
      <c r="Z95" s="2"/>
      <c r="AA95" s="7">
        <f t="shared" si="6"/>
        <v>0</v>
      </c>
      <c r="AB95" s="8" t="s">
        <v>147</v>
      </c>
      <c r="AC95" s="8">
        <v>200</v>
      </c>
      <c r="AD95" s="8" t="s">
        <v>153</v>
      </c>
      <c r="AE95" s="8">
        <f t="shared" si="7"/>
        <v>0</v>
      </c>
      <c r="AF95"/>
    </row>
    <row r="96" spans="1:32" x14ac:dyDescent="0.25">
      <c r="A96" s="2">
        <v>91</v>
      </c>
      <c r="B96" s="2" t="s">
        <v>128</v>
      </c>
      <c r="C96" s="2" t="s">
        <v>129</v>
      </c>
      <c r="D96" s="71" t="s">
        <v>115</v>
      </c>
      <c r="E96" s="13">
        <v>0.5</v>
      </c>
      <c r="F96" s="2"/>
      <c r="G96" s="3"/>
      <c r="H96" s="3"/>
      <c r="I96" s="2">
        <v>0</v>
      </c>
      <c r="J96" s="2">
        <v>400</v>
      </c>
      <c r="K96" s="2"/>
      <c r="L96" s="2"/>
      <c r="M96" s="2"/>
      <c r="N96" s="2"/>
      <c r="O96" s="71">
        <f t="shared" si="5"/>
        <v>-40</v>
      </c>
      <c r="P96" s="2"/>
      <c r="Q96" s="2"/>
      <c r="R96" s="18"/>
      <c r="S96" s="18"/>
      <c r="T96" s="2"/>
      <c r="U96" s="2"/>
      <c r="V96" s="18">
        <v>440</v>
      </c>
      <c r="W96" s="18"/>
      <c r="X96" s="18"/>
      <c r="Y96" s="35"/>
      <c r="Z96" s="2"/>
      <c r="AA96" s="7">
        <f t="shared" si="6"/>
        <v>0</v>
      </c>
      <c r="AB96" s="8" t="s">
        <v>147</v>
      </c>
      <c r="AC96" s="8">
        <v>200</v>
      </c>
      <c r="AD96" s="8" t="s">
        <v>153</v>
      </c>
      <c r="AE96" s="8">
        <f t="shared" si="7"/>
        <v>2</v>
      </c>
      <c r="AF96"/>
    </row>
    <row r="97" spans="1:32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2">
        <v>0</v>
      </c>
      <c r="J97" s="2"/>
      <c r="K97" s="2"/>
      <c r="L97" s="2"/>
      <c r="M97" s="2"/>
      <c r="N97" s="2"/>
      <c r="O97" s="8">
        <f t="shared" si="5"/>
        <v>0</v>
      </c>
      <c r="P97" s="2"/>
      <c r="Q97" s="2"/>
      <c r="R97" s="18"/>
      <c r="S97" s="18"/>
      <c r="T97" s="2"/>
      <c r="U97" s="2"/>
      <c r="V97" s="18"/>
      <c r="W97" s="18"/>
      <c r="X97" s="18"/>
      <c r="Y97" s="35"/>
      <c r="Z97" s="2"/>
      <c r="AA97" s="7">
        <f t="shared" si="6"/>
        <v>0</v>
      </c>
      <c r="AB97" s="8" t="s">
        <v>147</v>
      </c>
      <c r="AC97" s="8">
        <v>200</v>
      </c>
      <c r="AD97" s="8" t="s">
        <v>153</v>
      </c>
      <c r="AE97" s="8">
        <f t="shared" si="7"/>
        <v>0</v>
      </c>
      <c r="AF97"/>
    </row>
    <row r="98" spans="1:32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2">
        <v>0</v>
      </c>
      <c r="J98" s="2"/>
      <c r="K98" s="2"/>
      <c r="L98" s="2"/>
      <c r="M98" s="2"/>
      <c r="N98" s="2"/>
      <c r="O98" s="8">
        <f t="shared" si="5"/>
        <v>0</v>
      </c>
      <c r="P98" s="2"/>
      <c r="Q98" s="2"/>
      <c r="R98" s="18"/>
      <c r="S98" s="18"/>
      <c r="T98" s="2"/>
      <c r="U98" s="2"/>
      <c r="V98" s="18"/>
      <c r="W98" s="18"/>
      <c r="X98" s="18"/>
      <c r="Y98" s="35"/>
      <c r="Z98" s="2"/>
      <c r="AA98" s="7">
        <f t="shared" si="6"/>
        <v>0</v>
      </c>
      <c r="AB98" s="8" t="s">
        <v>147</v>
      </c>
      <c r="AC98" s="8">
        <v>150</v>
      </c>
      <c r="AD98" s="8" t="s">
        <v>153</v>
      </c>
      <c r="AE98" s="8">
        <f t="shared" si="7"/>
        <v>0</v>
      </c>
    </row>
    <row r="99" spans="1:32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2">
        <v>0</v>
      </c>
      <c r="J99" s="2"/>
      <c r="K99" s="2"/>
      <c r="L99" s="2"/>
      <c r="M99" s="2"/>
      <c r="N99" s="2"/>
      <c r="O99" s="8">
        <f t="shared" si="5"/>
        <v>0</v>
      </c>
      <c r="P99" s="2"/>
      <c r="Q99" s="2"/>
      <c r="R99" s="18"/>
      <c r="S99" s="18"/>
      <c r="T99" s="2"/>
      <c r="U99" s="2"/>
      <c r="V99" s="18"/>
      <c r="W99" s="18"/>
      <c r="X99" s="18"/>
      <c r="Y99" s="35"/>
      <c r="Z99" s="2"/>
      <c r="AA99" s="7">
        <f t="shared" si="6"/>
        <v>0</v>
      </c>
      <c r="AB99" s="8" t="s">
        <v>147</v>
      </c>
      <c r="AC99" s="8">
        <v>150</v>
      </c>
      <c r="AD99" s="8" t="s">
        <v>153</v>
      </c>
      <c r="AE99" s="8">
        <f t="shared" si="7"/>
        <v>0</v>
      </c>
    </row>
    <row r="100" spans="1:32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2">
        <v>0</v>
      </c>
      <c r="J100" s="2"/>
      <c r="K100" s="2"/>
      <c r="L100" s="2"/>
      <c r="M100" s="2"/>
      <c r="N100" s="2"/>
      <c r="O100" s="8">
        <f t="shared" si="5"/>
        <v>0</v>
      </c>
      <c r="P100" s="2"/>
      <c r="Q100" s="2"/>
      <c r="R100" s="18"/>
      <c r="S100" s="18"/>
      <c r="T100" s="2"/>
      <c r="U100" s="2"/>
      <c r="V100" s="18"/>
      <c r="W100" s="18"/>
      <c r="X100" s="18"/>
      <c r="Y100" s="35"/>
      <c r="Z100" s="2"/>
      <c r="AA100" s="7">
        <f t="shared" si="6"/>
        <v>0</v>
      </c>
      <c r="AB100" s="8" t="s">
        <v>147</v>
      </c>
      <c r="AC100" s="8">
        <v>150</v>
      </c>
      <c r="AD100" s="8" t="s">
        <v>153</v>
      </c>
      <c r="AE100" s="8">
        <f t="shared" si="7"/>
        <v>0</v>
      </c>
    </row>
    <row r="101" spans="1:32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2">
        <v>0</v>
      </c>
      <c r="J101" s="2"/>
      <c r="K101" s="2"/>
      <c r="L101" s="2"/>
      <c r="M101" s="2"/>
      <c r="N101" s="2"/>
      <c r="O101" s="8">
        <f t="shared" si="5"/>
        <v>0</v>
      </c>
      <c r="P101" s="2"/>
      <c r="Q101" s="2"/>
      <c r="R101" s="18"/>
      <c r="S101" s="18"/>
      <c r="T101" s="2"/>
      <c r="U101" s="2"/>
      <c r="V101" s="18"/>
      <c r="W101" s="18"/>
      <c r="X101" s="18"/>
      <c r="Y101" s="35"/>
      <c r="Z101" s="2"/>
      <c r="AA101" s="7">
        <f t="shared" si="6"/>
        <v>0</v>
      </c>
      <c r="AB101" s="8" t="s">
        <v>147</v>
      </c>
      <c r="AC101" s="8">
        <v>150</v>
      </c>
      <c r="AD101" s="8" t="s">
        <v>153</v>
      </c>
      <c r="AE101" s="8">
        <f t="shared" si="7"/>
        <v>0</v>
      </c>
    </row>
    <row r="102" spans="1:32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2">
        <v>0</v>
      </c>
      <c r="J102" s="2"/>
      <c r="K102" s="2"/>
      <c r="L102" s="2"/>
      <c r="M102" s="2"/>
      <c r="N102" s="2"/>
      <c r="O102" s="8">
        <f t="shared" si="5"/>
        <v>0</v>
      </c>
      <c r="P102" s="2"/>
      <c r="Q102" s="2"/>
      <c r="R102" s="18"/>
      <c r="S102" s="18"/>
      <c r="T102" s="2"/>
      <c r="U102" s="2"/>
      <c r="V102" s="18"/>
      <c r="W102" s="18"/>
      <c r="X102" s="18"/>
      <c r="Y102" s="35"/>
      <c r="Z102" s="2"/>
      <c r="AA102" s="7">
        <f t="shared" si="6"/>
        <v>0</v>
      </c>
      <c r="AB102" s="8" t="s">
        <v>147</v>
      </c>
      <c r="AC102" s="8">
        <v>80</v>
      </c>
      <c r="AD102" s="8" t="s">
        <v>153</v>
      </c>
      <c r="AE102" s="8">
        <f t="shared" si="7"/>
        <v>0</v>
      </c>
    </row>
    <row r="103" spans="1:32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2">
        <v>0</v>
      </c>
      <c r="J103" s="2"/>
      <c r="K103" s="2"/>
      <c r="L103" s="2"/>
      <c r="M103" s="2"/>
      <c r="N103" s="2"/>
      <c r="O103" s="8">
        <f t="shared" si="5"/>
        <v>0</v>
      </c>
      <c r="P103" s="2"/>
      <c r="Q103" s="2"/>
      <c r="R103" s="18"/>
      <c r="S103" s="18"/>
      <c r="T103" s="2"/>
      <c r="U103" s="2"/>
      <c r="V103" s="18"/>
      <c r="W103" s="18"/>
      <c r="X103" s="18"/>
      <c r="Y103" s="35"/>
      <c r="Z103" s="2"/>
      <c r="AA103" s="7">
        <f t="shared" si="6"/>
        <v>0</v>
      </c>
      <c r="AB103" s="8" t="s">
        <v>147</v>
      </c>
      <c r="AC103" s="8">
        <v>80</v>
      </c>
      <c r="AD103" s="8" t="s">
        <v>153</v>
      </c>
      <c r="AE103" s="8">
        <f t="shared" si="7"/>
        <v>0</v>
      </c>
    </row>
    <row r="104" spans="1:32" x14ac:dyDescent="0.25">
      <c r="A104" s="2">
        <v>99</v>
      </c>
      <c r="B104" s="2" t="s">
        <v>128</v>
      </c>
      <c r="C104" s="2" t="s">
        <v>129</v>
      </c>
      <c r="D104" s="71" t="s">
        <v>123</v>
      </c>
      <c r="E104" s="13">
        <v>0.75</v>
      </c>
      <c r="F104" s="2"/>
      <c r="G104" s="3"/>
      <c r="H104" s="3"/>
      <c r="I104" s="2">
        <v>0</v>
      </c>
      <c r="J104" s="2">
        <v>280</v>
      </c>
      <c r="K104" s="2"/>
      <c r="L104" s="2"/>
      <c r="M104" s="2"/>
      <c r="N104" s="2"/>
      <c r="O104" s="71">
        <f t="shared" si="5"/>
        <v>0</v>
      </c>
      <c r="P104" s="2"/>
      <c r="Q104" s="2"/>
      <c r="R104" s="18"/>
      <c r="S104" s="18"/>
      <c r="T104" s="2"/>
      <c r="U104" s="2">
        <v>240</v>
      </c>
      <c r="V104" s="18">
        <v>40</v>
      </c>
      <c r="W104" s="18"/>
      <c r="X104" s="18"/>
      <c r="Y104" s="35"/>
      <c r="Z104" s="2"/>
      <c r="AA104" s="7">
        <f t="shared" si="6"/>
        <v>0</v>
      </c>
      <c r="AB104" s="8" t="s">
        <v>147</v>
      </c>
      <c r="AC104" s="8">
        <v>80</v>
      </c>
      <c r="AD104" s="8" t="s">
        <v>153</v>
      </c>
      <c r="AE104" s="8">
        <f t="shared" si="7"/>
        <v>3.5</v>
      </c>
    </row>
    <row r="105" spans="1:32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2">
        <v>0</v>
      </c>
      <c r="J105" s="2"/>
      <c r="K105" s="2"/>
      <c r="L105" s="2"/>
      <c r="M105" s="2"/>
      <c r="N105" s="2"/>
      <c r="O105" s="8">
        <f t="shared" si="5"/>
        <v>0</v>
      </c>
      <c r="P105" s="2"/>
      <c r="Q105" s="2"/>
      <c r="R105" s="18"/>
      <c r="S105" s="18"/>
      <c r="T105" s="2"/>
      <c r="U105" s="2"/>
      <c r="V105" s="18"/>
      <c r="W105" s="18"/>
      <c r="X105" s="18"/>
      <c r="Y105" s="35"/>
      <c r="Z105" s="2"/>
      <c r="AA105" s="7">
        <f t="shared" si="6"/>
        <v>0</v>
      </c>
      <c r="AB105" s="8" t="s">
        <v>147</v>
      </c>
      <c r="AC105" s="8">
        <v>80</v>
      </c>
      <c r="AD105" s="8" t="s">
        <v>153</v>
      </c>
      <c r="AE105" s="8">
        <f t="shared" si="7"/>
        <v>0</v>
      </c>
    </row>
    <row r="106" spans="1:32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2">
        <v>0</v>
      </c>
      <c r="J106" s="2"/>
      <c r="K106" s="2"/>
      <c r="L106" s="2"/>
      <c r="M106" s="2"/>
      <c r="N106" s="2"/>
      <c r="O106" s="8">
        <f t="shared" si="5"/>
        <v>0</v>
      </c>
      <c r="P106" s="2"/>
      <c r="Q106" s="2"/>
      <c r="R106" s="18"/>
      <c r="S106" s="18"/>
      <c r="T106" s="2"/>
      <c r="U106" s="2"/>
      <c r="V106" s="18"/>
      <c r="W106" s="18"/>
      <c r="X106" s="18"/>
      <c r="Y106" s="35"/>
      <c r="Z106" s="2"/>
      <c r="AA106" s="7">
        <f t="shared" si="6"/>
        <v>0</v>
      </c>
      <c r="AB106" s="8" t="s">
        <v>147</v>
      </c>
      <c r="AC106" s="8">
        <v>50</v>
      </c>
      <c r="AD106" s="8" t="s">
        <v>153</v>
      </c>
      <c r="AE106" s="8">
        <f t="shared" si="7"/>
        <v>0</v>
      </c>
    </row>
    <row r="107" spans="1:32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2">
        <v>0</v>
      </c>
      <c r="J107" s="2"/>
      <c r="K107" s="2"/>
      <c r="L107" s="2"/>
      <c r="M107" s="2"/>
      <c r="N107" s="2"/>
      <c r="O107" s="8">
        <f t="shared" si="5"/>
        <v>0</v>
      </c>
      <c r="P107" s="2"/>
      <c r="Q107" s="2"/>
      <c r="R107" s="18"/>
      <c r="S107" s="18"/>
      <c r="T107" s="2"/>
      <c r="U107" s="2"/>
      <c r="V107" s="18"/>
      <c r="W107" s="18"/>
      <c r="X107" s="18"/>
      <c r="Y107" s="35"/>
      <c r="Z107" s="2"/>
      <c r="AA107" s="7">
        <f t="shared" si="6"/>
        <v>0</v>
      </c>
      <c r="AB107" s="8" t="s">
        <v>155</v>
      </c>
      <c r="AC107" s="8">
        <v>50</v>
      </c>
      <c r="AD107" s="8" t="s">
        <v>153</v>
      </c>
      <c r="AE107" s="8">
        <f t="shared" si="7"/>
        <v>0</v>
      </c>
    </row>
    <row r="108" spans="1:32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2">
        <v>0</v>
      </c>
      <c r="J108" s="2"/>
      <c r="K108" s="2"/>
      <c r="L108" s="2"/>
      <c r="M108" s="2"/>
      <c r="N108" s="2"/>
      <c r="O108" s="8">
        <f t="shared" si="5"/>
        <v>0</v>
      </c>
      <c r="P108" s="2"/>
      <c r="Q108" s="2"/>
      <c r="R108" s="18"/>
      <c r="S108" s="18"/>
      <c r="T108" s="2"/>
      <c r="U108" s="2"/>
      <c r="V108" s="18"/>
      <c r="W108" s="18"/>
      <c r="X108" s="18"/>
      <c r="Y108" s="35"/>
      <c r="Z108" s="2"/>
      <c r="AA108" s="7">
        <f t="shared" si="6"/>
        <v>0</v>
      </c>
      <c r="AB108" s="8" t="s">
        <v>155</v>
      </c>
      <c r="AC108" s="8">
        <v>50</v>
      </c>
      <c r="AD108" s="8" t="s">
        <v>153</v>
      </c>
      <c r="AE108" s="8">
        <f t="shared" si="7"/>
        <v>0</v>
      </c>
    </row>
    <row r="109" spans="1:32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2">
        <f>VLOOKUP(D109,'[4]CIP W35'!$A$2:$D$20,4,0)</f>
        <v>0</v>
      </c>
      <c r="J109" s="2"/>
      <c r="K109" s="2"/>
      <c r="L109" s="2"/>
      <c r="M109" s="2"/>
      <c r="N109" s="2"/>
      <c r="O109" s="8">
        <f t="shared" si="5"/>
        <v>0</v>
      </c>
      <c r="P109" s="2"/>
      <c r="Q109" s="2"/>
      <c r="R109" s="18"/>
      <c r="S109" s="18"/>
      <c r="T109" s="2"/>
      <c r="U109" s="2"/>
      <c r="V109" s="18"/>
      <c r="W109" s="18"/>
      <c r="X109" s="18"/>
      <c r="Y109" s="35"/>
      <c r="Z109" s="2"/>
      <c r="AA109" s="7">
        <f t="shared" si="6"/>
        <v>0</v>
      </c>
      <c r="AB109" s="8" t="s">
        <v>148</v>
      </c>
      <c r="AC109" s="8">
        <v>250</v>
      </c>
      <c r="AD109" s="8" t="s">
        <v>154</v>
      </c>
      <c r="AE109" s="8">
        <f t="shared" si="7"/>
        <v>0</v>
      </c>
    </row>
    <row r="110" spans="1:32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2">
        <f>VLOOKUP(D110,'[4]CIP W35'!$A$2:$D$20,4,0)</f>
        <v>0</v>
      </c>
      <c r="J110" s="2"/>
      <c r="K110" s="2"/>
      <c r="L110" s="2"/>
      <c r="M110" s="2"/>
      <c r="N110" s="2"/>
      <c r="O110" s="8">
        <f t="shared" si="5"/>
        <v>0</v>
      </c>
      <c r="P110" s="2"/>
      <c r="Q110" s="2"/>
      <c r="R110" s="18"/>
      <c r="S110" s="18"/>
      <c r="T110" s="2"/>
      <c r="U110" s="2"/>
      <c r="V110" s="18"/>
      <c r="W110" s="18"/>
      <c r="X110" s="18"/>
      <c r="Y110" s="35"/>
      <c r="Z110" s="2"/>
      <c r="AA110" s="7">
        <f t="shared" si="6"/>
        <v>0</v>
      </c>
      <c r="AB110" s="8" t="s">
        <v>148</v>
      </c>
      <c r="AC110" s="8">
        <v>250</v>
      </c>
      <c r="AD110" s="8" t="s">
        <v>154</v>
      </c>
      <c r="AE110" s="8">
        <f t="shared" si="7"/>
        <v>0</v>
      </c>
    </row>
    <row r="111" spans="1:32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2">
        <f>VLOOKUP(D111,'[4]CIP W35'!$A$2:$D$20,4,0)</f>
        <v>320</v>
      </c>
      <c r="J111" s="2"/>
      <c r="K111" s="2"/>
      <c r="L111" s="2"/>
      <c r="M111" s="2"/>
      <c r="N111" s="2"/>
      <c r="O111" s="8">
        <f t="shared" si="5"/>
        <v>320</v>
      </c>
      <c r="P111" s="2"/>
      <c r="Q111" s="2"/>
      <c r="R111" s="18"/>
      <c r="S111" s="18"/>
      <c r="T111" s="2"/>
      <c r="U111" s="2"/>
      <c r="V111" s="18"/>
      <c r="W111" s="18"/>
      <c r="X111" s="18"/>
      <c r="Y111" s="35"/>
      <c r="Z111" s="2"/>
      <c r="AA111" s="7">
        <f t="shared" si="6"/>
        <v>0</v>
      </c>
      <c r="AB111" s="8" t="s">
        <v>148</v>
      </c>
      <c r="AC111" s="8">
        <v>250</v>
      </c>
      <c r="AD111" s="8" t="s">
        <v>154</v>
      </c>
      <c r="AE111" s="8">
        <f t="shared" si="7"/>
        <v>1.28</v>
      </c>
    </row>
    <row r="112" spans="1:32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2">
        <f>VLOOKUP(D112,'[4]CIP W35'!$A$2:$D$20,4,0)</f>
        <v>320</v>
      </c>
      <c r="J112" s="2"/>
      <c r="K112" s="2"/>
      <c r="L112" s="2"/>
      <c r="M112" s="2"/>
      <c r="N112" s="2"/>
      <c r="O112" s="8">
        <f t="shared" si="5"/>
        <v>320</v>
      </c>
      <c r="P112" s="2"/>
      <c r="Q112" s="2"/>
      <c r="R112" s="18"/>
      <c r="S112" s="18"/>
      <c r="T112" s="2"/>
      <c r="U112" s="2"/>
      <c r="V112" s="18"/>
      <c r="W112" s="18"/>
      <c r="X112" s="18"/>
      <c r="Y112" s="35"/>
      <c r="Z112" s="2"/>
      <c r="AA112" s="7">
        <f t="shared" si="6"/>
        <v>0</v>
      </c>
      <c r="AB112" s="8" t="s">
        <v>150</v>
      </c>
      <c r="AC112" s="8">
        <v>200</v>
      </c>
      <c r="AD112" s="8" t="s">
        <v>154</v>
      </c>
      <c r="AE112" s="8">
        <f t="shared" si="7"/>
        <v>1.6</v>
      </c>
    </row>
    <row r="113" spans="1:31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2">
        <f>VLOOKUP(D113,'[4]CIP W35'!$A$2:$D$20,4,0)</f>
        <v>0</v>
      </c>
      <c r="J113" s="2"/>
      <c r="K113" s="2"/>
      <c r="L113" s="2"/>
      <c r="M113" s="2"/>
      <c r="N113" s="2"/>
      <c r="O113" s="8">
        <f t="shared" si="5"/>
        <v>0</v>
      </c>
      <c r="P113" s="2"/>
      <c r="Q113" s="2"/>
      <c r="R113" s="18"/>
      <c r="S113" s="18"/>
      <c r="T113" s="2"/>
      <c r="U113" s="2"/>
      <c r="V113" s="18"/>
      <c r="W113" s="18"/>
      <c r="X113" s="18"/>
      <c r="Y113" s="35"/>
      <c r="Z113" s="2"/>
      <c r="AA113" s="7">
        <f t="shared" si="6"/>
        <v>0</v>
      </c>
      <c r="AB113" s="8" t="s">
        <v>150</v>
      </c>
      <c r="AC113" s="8">
        <v>200</v>
      </c>
      <c r="AD113" s="8" t="s">
        <v>154</v>
      </c>
      <c r="AE113" s="8">
        <f t="shared" si="7"/>
        <v>0</v>
      </c>
    </row>
    <row r="114" spans="1:31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2">
        <f>VLOOKUP(D114,'[4]CIP W35'!$A$2:$D$20,4,0)</f>
        <v>312</v>
      </c>
      <c r="J114" s="2"/>
      <c r="K114" s="2"/>
      <c r="L114" s="2"/>
      <c r="M114" s="2"/>
      <c r="N114" s="2"/>
      <c r="O114" s="8">
        <f t="shared" si="5"/>
        <v>312</v>
      </c>
      <c r="P114" s="2"/>
      <c r="Q114" s="2"/>
      <c r="R114" s="18"/>
      <c r="S114" s="18"/>
      <c r="T114" s="2"/>
      <c r="U114" s="2"/>
      <c r="V114" s="18"/>
      <c r="W114" s="18"/>
      <c r="X114" s="18"/>
      <c r="Y114" s="35"/>
      <c r="Z114" s="2"/>
      <c r="AA114" s="7">
        <f t="shared" si="6"/>
        <v>0</v>
      </c>
      <c r="AB114" s="8" t="s">
        <v>150</v>
      </c>
      <c r="AC114" s="8">
        <v>200</v>
      </c>
      <c r="AD114" s="8" t="s">
        <v>154</v>
      </c>
      <c r="AE114" s="8">
        <f t="shared" si="7"/>
        <v>1.56</v>
      </c>
    </row>
    <row r="115" spans="1:31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2">
        <f>VLOOKUP(D115,'[4]CIP W35'!$A$2:$D$20,4,0)</f>
        <v>468</v>
      </c>
      <c r="J115" s="2"/>
      <c r="K115" s="2"/>
      <c r="L115" s="2"/>
      <c r="M115" s="2"/>
      <c r="N115" s="2"/>
      <c r="O115" s="8">
        <f t="shared" si="5"/>
        <v>468</v>
      </c>
      <c r="P115" s="2"/>
      <c r="Q115" s="2"/>
      <c r="R115" s="18"/>
      <c r="S115" s="18"/>
      <c r="T115" s="2"/>
      <c r="U115" s="2"/>
      <c r="V115" s="18"/>
      <c r="W115" s="18"/>
      <c r="X115" s="18"/>
      <c r="Y115" s="35"/>
      <c r="Z115" s="2"/>
      <c r="AA115" s="7">
        <f t="shared" si="6"/>
        <v>0</v>
      </c>
      <c r="AB115" s="8" t="s">
        <v>150</v>
      </c>
      <c r="AC115" s="8">
        <v>200</v>
      </c>
      <c r="AD115" s="8" t="s">
        <v>154</v>
      </c>
      <c r="AE115" s="8">
        <f t="shared" si="7"/>
        <v>2.34</v>
      </c>
    </row>
    <row r="116" spans="1:31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2">
        <f>VLOOKUP(D116,'[4]CIP W35'!$A$2:$D$20,4,0)</f>
        <v>210</v>
      </c>
      <c r="J116" s="2"/>
      <c r="K116" s="2"/>
      <c r="L116" s="2"/>
      <c r="M116" s="2"/>
      <c r="N116" s="2"/>
      <c r="O116" s="8">
        <f t="shared" si="5"/>
        <v>210</v>
      </c>
      <c r="P116" s="2"/>
      <c r="Q116" s="2"/>
      <c r="R116" s="18"/>
      <c r="S116" s="18"/>
      <c r="T116" s="2"/>
      <c r="U116" s="2"/>
      <c r="V116" s="18"/>
      <c r="W116" s="18"/>
      <c r="X116" s="18"/>
      <c r="Y116" s="35"/>
      <c r="Z116" s="2"/>
      <c r="AA116" s="7">
        <f t="shared" si="6"/>
        <v>0</v>
      </c>
      <c r="AB116" s="8" t="s">
        <v>150</v>
      </c>
      <c r="AC116" s="8">
        <v>200</v>
      </c>
      <c r="AD116" s="8" t="s">
        <v>154</v>
      </c>
      <c r="AE116" s="8">
        <f t="shared" si="7"/>
        <v>1.05</v>
      </c>
    </row>
    <row r="117" spans="1:31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2">
        <f>VLOOKUP(D117,'[4]CIP W35'!$A$2:$D$20,4,0)</f>
        <v>616</v>
      </c>
      <c r="J117" s="2"/>
      <c r="K117" s="2"/>
      <c r="L117" s="2"/>
      <c r="M117" s="2"/>
      <c r="N117" s="2"/>
      <c r="O117" s="8">
        <f t="shared" si="5"/>
        <v>616</v>
      </c>
      <c r="P117" s="2"/>
      <c r="Q117" s="2"/>
      <c r="R117" s="18"/>
      <c r="S117" s="18"/>
      <c r="T117" s="2"/>
      <c r="U117" s="2"/>
      <c r="V117" s="18"/>
      <c r="W117" s="18"/>
      <c r="X117" s="18"/>
      <c r="Y117" s="35"/>
      <c r="Z117" s="2"/>
      <c r="AA117" s="7">
        <f t="shared" si="6"/>
        <v>0</v>
      </c>
      <c r="AB117" s="8" t="s">
        <v>150</v>
      </c>
      <c r="AC117" s="8">
        <v>200</v>
      </c>
      <c r="AD117" s="8" t="s">
        <v>154</v>
      </c>
      <c r="AE117" s="8">
        <f t="shared" si="7"/>
        <v>3.08</v>
      </c>
    </row>
    <row r="118" spans="1:31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2">
        <f>VLOOKUP(D118,'[4]CIP W35'!$A$2:$D$20,4,0)</f>
        <v>216</v>
      </c>
      <c r="J118" s="2"/>
      <c r="K118" s="2"/>
      <c r="L118" s="2"/>
      <c r="M118" s="2"/>
      <c r="N118" s="2"/>
      <c r="O118" s="8">
        <f t="shared" si="5"/>
        <v>216</v>
      </c>
      <c r="P118" s="2"/>
      <c r="Q118" s="2"/>
      <c r="R118" s="18"/>
      <c r="S118" s="18"/>
      <c r="T118" s="2"/>
      <c r="U118" s="2"/>
      <c r="V118" s="18"/>
      <c r="W118" s="18"/>
      <c r="X118" s="18"/>
      <c r="Y118" s="35"/>
      <c r="Z118" s="2"/>
      <c r="AA118" s="7">
        <f t="shared" si="6"/>
        <v>0</v>
      </c>
      <c r="AB118" s="8" t="s">
        <v>150</v>
      </c>
      <c r="AC118" s="8">
        <v>200</v>
      </c>
      <c r="AD118" s="8" t="s">
        <v>154</v>
      </c>
      <c r="AE118" s="8">
        <f t="shared" si="7"/>
        <v>1.08</v>
      </c>
    </row>
    <row r="119" spans="1:31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2">
        <f>VLOOKUP(D119,'[4]CIP W35'!$A$2:$D$20,4,0)</f>
        <v>0</v>
      </c>
      <c r="J119" s="2"/>
      <c r="K119" s="2"/>
      <c r="L119" s="2"/>
      <c r="M119" s="2"/>
      <c r="N119" s="2"/>
      <c r="O119" s="8">
        <f t="shared" si="5"/>
        <v>0</v>
      </c>
      <c r="P119" s="2"/>
      <c r="Q119" s="2"/>
      <c r="R119" s="18"/>
      <c r="S119" s="18"/>
      <c r="T119" s="2"/>
      <c r="U119" s="2"/>
      <c r="V119" s="18"/>
      <c r="W119" s="18"/>
      <c r="X119" s="18"/>
      <c r="Y119" s="35"/>
      <c r="Z119" s="2"/>
      <c r="AA119" s="7">
        <f t="shared" si="6"/>
        <v>0</v>
      </c>
      <c r="AB119" s="8" t="s">
        <v>150</v>
      </c>
      <c r="AC119" s="8">
        <v>200</v>
      </c>
      <c r="AD119" s="8" t="s">
        <v>154</v>
      </c>
      <c r="AE119" s="8">
        <f t="shared" si="7"/>
        <v>0</v>
      </c>
    </row>
    <row r="120" spans="1:31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2">
        <f>VLOOKUP(D120,'[4]CIP W35'!$A$2:$D$20,4,0)</f>
        <v>0</v>
      </c>
      <c r="J120" s="2"/>
      <c r="K120" s="2"/>
      <c r="L120" s="2"/>
      <c r="M120" s="2"/>
      <c r="N120" s="2"/>
      <c r="O120" s="8">
        <f t="shared" si="5"/>
        <v>0</v>
      </c>
      <c r="P120" s="2"/>
      <c r="Q120" s="2"/>
      <c r="R120" s="18"/>
      <c r="S120" s="18"/>
      <c r="T120" s="2"/>
      <c r="U120" s="2"/>
      <c r="V120" s="18"/>
      <c r="W120" s="18"/>
      <c r="X120" s="18"/>
      <c r="Y120" s="35"/>
      <c r="Z120" s="2"/>
      <c r="AA120" s="7">
        <f t="shared" si="6"/>
        <v>0</v>
      </c>
      <c r="AB120" s="8" t="s">
        <v>150</v>
      </c>
      <c r="AC120" s="8">
        <v>200</v>
      </c>
      <c r="AD120" s="8" t="s">
        <v>154</v>
      </c>
      <c r="AE120" s="8">
        <f t="shared" si="7"/>
        <v>0</v>
      </c>
    </row>
    <row r="121" spans="1:31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2">
        <f>VLOOKUP(D121,'[4]CIP W35'!$A$2:$D$20,4,0)</f>
        <v>140</v>
      </c>
      <c r="J121" s="2"/>
      <c r="K121" s="2"/>
      <c r="L121" s="2"/>
      <c r="M121" s="2"/>
      <c r="N121" s="2"/>
      <c r="O121" s="8">
        <f t="shared" si="5"/>
        <v>140</v>
      </c>
      <c r="P121" s="2"/>
      <c r="Q121" s="2"/>
      <c r="R121" s="18"/>
      <c r="S121" s="18"/>
      <c r="T121" s="2"/>
      <c r="U121" s="2"/>
      <c r="V121" s="18"/>
      <c r="W121" s="18"/>
      <c r="X121" s="18"/>
      <c r="Y121" s="35"/>
      <c r="Z121" s="2"/>
      <c r="AA121" s="7">
        <f t="shared" si="6"/>
        <v>0</v>
      </c>
      <c r="AB121" s="8" t="s">
        <v>150</v>
      </c>
      <c r="AC121" s="8">
        <v>200</v>
      </c>
      <c r="AD121" s="8" t="s">
        <v>154</v>
      </c>
      <c r="AE121" s="8">
        <f t="shared" si="7"/>
        <v>0.7</v>
      </c>
    </row>
    <row r="122" spans="1:31" x14ac:dyDescent="0.25">
      <c r="A122" s="2"/>
      <c r="B122" s="2" t="s">
        <v>130</v>
      </c>
      <c r="C122" s="2" t="s">
        <v>0</v>
      </c>
      <c r="D122" s="76" t="s">
        <v>233</v>
      </c>
      <c r="E122" s="13">
        <v>0.75</v>
      </c>
      <c r="F122" s="2"/>
      <c r="G122" s="3"/>
      <c r="H122" s="3"/>
      <c r="I122" s="2"/>
      <c r="J122" s="2"/>
      <c r="K122" s="2"/>
      <c r="L122" s="2"/>
      <c r="M122" s="2"/>
      <c r="N122" s="2"/>
      <c r="O122" s="8">
        <f t="shared" si="5"/>
        <v>0</v>
      </c>
      <c r="P122" s="2"/>
      <c r="Q122" s="2"/>
      <c r="R122" s="18"/>
      <c r="S122" s="18"/>
      <c r="T122" s="2"/>
      <c r="U122" s="2"/>
      <c r="V122" s="18"/>
      <c r="W122" s="18"/>
      <c r="X122" s="18"/>
      <c r="Y122" s="35"/>
      <c r="Z122" s="2"/>
      <c r="AA122" s="7"/>
      <c r="AB122" s="8"/>
      <c r="AC122" s="8"/>
      <c r="AD122" s="8"/>
      <c r="AE122" s="8"/>
    </row>
    <row r="123" spans="1:31" x14ac:dyDescent="0.25">
      <c r="A123" s="2"/>
      <c r="B123" s="2" t="s">
        <v>130</v>
      </c>
      <c r="C123" s="2" t="s">
        <v>0</v>
      </c>
      <c r="D123" s="76" t="s">
        <v>234</v>
      </c>
      <c r="E123" s="13">
        <v>0.875</v>
      </c>
      <c r="F123" s="2"/>
      <c r="G123" s="3"/>
      <c r="H123" s="3"/>
      <c r="I123" s="2"/>
      <c r="J123" s="2"/>
      <c r="K123" s="2"/>
      <c r="L123" s="2"/>
      <c r="M123" s="2"/>
      <c r="N123" s="2"/>
      <c r="O123" s="8">
        <f t="shared" si="5"/>
        <v>0</v>
      </c>
      <c r="P123" s="2"/>
      <c r="Q123" s="2"/>
      <c r="R123" s="18"/>
      <c r="S123" s="18"/>
      <c r="T123" s="2"/>
      <c r="U123" s="2"/>
      <c r="V123" s="18"/>
      <c r="W123" s="18"/>
      <c r="X123" s="18"/>
      <c r="Y123" s="35"/>
      <c r="Z123" s="2"/>
      <c r="AA123" s="7"/>
      <c r="AB123" s="8"/>
      <c r="AC123" s="8"/>
      <c r="AD123" s="8"/>
      <c r="AE123" s="8"/>
    </row>
    <row r="124" spans="1:31" x14ac:dyDescent="0.25">
      <c r="A124" s="2"/>
      <c r="B124" s="2" t="s">
        <v>130</v>
      </c>
      <c r="C124" s="2" t="s">
        <v>0</v>
      </c>
      <c r="D124" s="76" t="s">
        <v>235</v>
      </c>
      <c r="E124" s="13">
        <v>0.375</v>
      </c>
      <c r="F124" s="2"/>
      <c r="G124" s="3"/>
      <c r="H124" s="3"/>
      <c r="I124" s="2"/>
      <c r="J124" s="2"/>
      <c r="K124" s="2"/>
      <c r="L124" s="2"/>
      <c r="M124" s="2"/>
      <c r="N124" s="2"/>
      <c r="O124" s="8">
        <f t="shared" si="5"/>
        <v>0</v>
      </c>
      <c r="P124" s="2"/>
      <c r="Q124" s="2"/>
      <c r="R124" s="18"/>
      <c r="S124" s="18"/>
      <c r="T124" s="2"/>
      <c r="U124" s="2"/>
      <c r="V124" s="18"/>
      <c r="W124" s="18"/>
      <c r="X124" s="18"/>
      <c r="Y124" s="35"/>
      <c r="Z124" s="2"/>
      <c r="AA124" s="7"/>
      <c r="AB124" s="8"/>
      <c r="AC124" s="8"/>
      <c r="AD124" s="8"/>
      <c r="AE124" s="8"/>
    </row>
    <row r="125" spans="1:31" x14ac:dyDescent="0.25">
      <c r="A125" s="2"/>
      <c r="B125" s="2" t="s">
        <v>130</v>
      </c>
      <c r="C125" s="2" t="s">
        <v>0</v>
      </c>
      <c r="D125" s="76" t="s">
        <v>236</v>
      </c>
      <c r="E125" s="13">
        <v>0.375</v>
      </c>
      <c r="F125" s="2"/>
      <c r="G125" s="3"/>
      <c r="H125" s="3"/>
      <c r="I125" s="2"/>
      <c r="J125" s="2"/>
      <c r="K125" s="2"/>
      <c r="L125" s="2"/>
      <c r="M125" s="2"/>
      <c r="N125" s="2"/>
      <c r="O125" s="8">
        <f t="shared" si="5"/>
        <v>0</v>
      </c>
      <c r="P125" s="2"/>
      <c r="Q125" s="2"/>
      <c r="R125" s="18"/>
      <c r="S125" s="18"/>
      <c r="T125" s="2"/>
      <c r="U125" s="2"/>
      <c r="V125" s="18"/>
      <c r="W125" s="18"/>
      <c r="X125" s="18"/>
      <c r="Y125" s="35"/>
      <c r="Z125" s="2"/>
      <c r="AA125" s="7"/>
      <c r="AB125" s="8"/>
      <c r="AC125" s="8"/>
      <c r="AD125" s="8"/>
      <c r="AE125" s="8"/>
    </row>
    <row r="126" spans="1:31" x14ac:dyDescent="0.25">
      <c r="A126" s="2">
        <v>117</v>
      </c>
      <c r="B126" s="2" t="s">
        <v>130</v>
      </c>
      <c r="C126" s="2" t="s">
        <v>0</v>
      </c>
      <c r="D126" s="2" t="s">
        <v>144</v>
      </c>
      <c r="E126" s="13">
        <v>0.875</v>
      </c>
      <c r="F126" s="2"/>
      <c r="G126" s="3"/>
      <c r="H126" s="3"/>
      <c r="I126" s="2">
        <f>VLOOKUP(D126,'[4]CIP W35'!$A$2:$D$20,4,0)</f>
        <v>160</v>
      </c>
      <c r="J126" s="2"/>
      <c r="K126" s="2"/>
      <c r="L126" s="2"/>
      <c r="M126" s="2"/>
      <c r="N126" s="2"/>
      <c r="O126" s="8">
        <f t="shared" si="5"/>
        <v>160</v>
      </c>
      <c r="P126" s="2"/>
      <c r="Q126" s="2"/>
      <c r="R126" s="18"/>
      <c r="S126" s="18"/>
      <c r="T126" s="2"/>
      <c r="U126" s="2"/>
      <c r="V126" s="18"/>
      <c r="W126" s="18"/>
      <c r="X126" s="18"/>
      <c r="Y126" s="35"/>
      <c r="Z126" s="2"/>
      <c r="AA126" s="7">
        <f t="shared" si="6"/>
        <v>0</v>
      </c>
      <c r="AB126" s="8" t="s">
        <v>150</v>
      </c>
      <c r="AC126" s="8">
        <v>200</v>
      </c>
      <c r="AD126" s="8" t="s">
        <v>154</v>
      </c>
      <c r="AE126" s="8">
        <f t="shared" si="7"/>
        <v>0.8</v>
      </c>
    </row>
    <row r="127" spans="1:31" x14ac:dyDescent="0.25">
      <c r="A127" s="2">
        <v>118</v>
      </c>
      <c r="B127" s="2" t="s">
        <v>188</v>
      </c>
      <c r="C127" s="2" t="s">
        <v>129</v>
      </c>
      <c r="D127" s="2" t="s">
        <v>160</v>
      </c>
      <c r="E127" s="13">
        <v>0.3125</v>
      </c>
      <c r="F127" s="2"/>
      <c r="G127" s="3"/>
      <c r="H127" s="3">
        <v>0.2</v>
      </c>
      <c r="I127" s="2">
        <v>0</v>
      </c>
      <c r="J127" s="2"/>
      <c r="K127" s="2"/>
      <c r="L127" s="2"/>
      <c r="M127" s="2"/>
      <c r="N127" s="2"/>
      <c r="O127" s="8">
        <f t="shared" si="5"/>
        <v>0</v>
      </c>
      <c r="P127" s="2"/>
      <c r="Q127" s="2"/>
      <c r="R127" s="18"/>
      <c r="S127" s="18"/>
      <c r="T127" s="2"/>
      <c r="U127" s="2"/>
      <c r="V127" s="18"/>
      <c r="W127" s="18"/>
      <c r="X127" s="18"/>
      <c r="Y127" s="35"/>
      <c r="Z127" s="2"/>
      <c r="AA127" s="7">
        <f t="shared" si="6"/>
        <v>0</v>
      </c>
      <c r="AB127" s="8" t="s">
        <v>148</v>
      </c>
      <c r="AC127" s="12">
        <v>500</v>
      </c>
      <c r="AD127" s="8" t="s">
        <v>189</v>
      </c>
      <c r="AE127" s="8">
        <f t="shared" si="7"/>
        <v>0</v>
      </c>
    </row>
    <row r="128" spans="1:31" x14ac:dyDescent="0.25">
      <c r="A128" s="2">
        <v>119</v>
      </c>
      <c r="B128" s="2" t="s">
        <v>188</v>
      </c>
      <c r="C128" s="2" t="s">
        <v>129</v>
      </c>
      <c r="D128" s="2" t="s">
        <v>161</v>
      </c>
      <c r="E128" s="13">
        <v>0.3125</v>
      </c>
      <c r="F128" s="2"/>
      <c r="G128" s="3"/>
      <c r="H128" s="3">
        <v>0.2</v>
      </c>
      <c r="I128" s="2">
        <v>0</v>
      </c>
      <c r="J128" s="2"/>
      <c r="K128" s="2"/>
      <c r="L128" s="2"/>
      <c r="M128" s="2"/>
      <c r="N128" s="2"/>
      <c r="O128" s="8">
        <f t="shared" si="5"/>
        <v>0</v>
      </c>
      <c r="P128" s="2"/>
      <c r="Q128" s="2"/>
      <c r="R128" s="18"/>
      <c r="S128" s="18"/>
      <c r="T128" s="2"/>
      <c r="U128" s="2"/>
      <c r="V128" s="18"/>
      <c r="W128" s="18"/>
      <c r="X128" s="18"/>
      <c r="Y128" s="35"/>
      <c r="Z128" s="2"/>
      <c r="AA128" s="7">
        <f t="shared" si="6"/>
        <v>0</v>
      </c>
      <c r="AB128" s="8" t="s">
        <v>148</v>
      </c>
      <c r="AC128" s="12">
        <v>500</v>
      </c>
      <c r="AD128" s="8" t="s">
        <v>189</v>
      </c>
      <c r="AE128" s="8">
        <f t="shared" si="7"/>
        <v>0</v>
      </c>
    </row>
    <row r="129" spans="1:31" x14ac:dyDescent="0.25">
      <c r="A129" s="2">
        <v>120</v>
      </c>
      <c r="B129" s="2" t="s">
        <v>188</v>
      </c>
      <c r="C129" s="2" t="s">
        <v>129</v>
      </c>
      <c r="D129" s="2" t="s">
        <v>162</v>
      </c>
      <c r="E129" s="13">
        <v>0.3125</v>
      </c>
      <c r="F129" s="2"/>
      <c r="G129" s="3"/>
      <c r="H129" s="3">
        <v>0.2</v>
      </c>
      <c r="I129" s="2">
        <v>0</v>
      </c>
      <c r="J129" s="2"/>
      <c r="K129" s="2"/>
      <c r="L129" s="2"/>
      <c r="M129" s="2"/>
      <c r="N129" s="2"/>
      <c r="O129" s="8">
        <f t="shared" si="5"/>
        <v>0</v>
      </c>
      <c r="P129" s="2"/>
      <c r="Q129" s="2"/>
      <c r="R129" s="18"/>
      <c r="S129" s="18"/>
      <c r="T129" s="2"/>
      <c r="U129" s="2"/>
      <c r="V129" s="18"/>
      <c r="W129" s="18"/>
      <c r="X129" s="18"/>
      <c r="Y129" s="35"/>
      <c r="Z129" s="2"/>
      <c r="AA129" s="7">
        <f t="shared" si="6"/>
        <v>0</v>
      </c>
      <c r="AB129" s="8" t="s">
        <v>148</v>
      </c>
      <c r="AC129" s="12">
        <v>500</v>
      </c>
      <c r="AD129" s="8" t="s">
        <v>189</v>
      </c>
      <c r="AE129" s="8">
        <f t="shared" si="7"/>
        <v>0</v>
      </c>
    </row>
    <row r="130" spans="1:31" x14ac:dyDescent="0.25">
      <c r="A130" s="2">
        <v>121</v>
      </c>
      <c r="B130" s="2" t="s">
        <v>188</v>
      </c>
      <c r="C130" s="2" t="s">
        <v>129</v>
      </c>
      <c r="D130" s="2" t="s">
        <v>163</v>
      </c>
      <c r="E130" s="13">
        <v>0.3125</v>
      </c>
      <c r="F130" s="2"/>
      <c r="G130" s="3"/>
      <c r="H130" s="3">
        <v>0.2</v>
      </c>
      <c r="I130" s="2">
        <v>0</v>
      </c>
      <c r="J130" s="2"/>
      <c r="K130" s="2"/>
      <c r="L130" s="2"/>
      <c r="M130" s="2"/>
      <c r="N130" s="2"/>
      <c r="O130" s="8">
        <f t="shared" si="5"/>
        <v>0</v>
      </c>
      <c r="P130" s="2"/>
      <c r="Q130" s="2"/>
      <c r="R130" s="18"/>
      <c r="S130" s="18"/>
      <c r="T130" s="2"/>
      <c r="U130" s="2"/>
      <c r="V130" s="18"/>
      <c r="W130" s="18"/>
      <c r="X130" s="18"/>
      <c r="Y130" s="35"/>
      <c r="Z130" s="2"/>
      <c r="AA130" s="7">
        <f t="shared" si="6"/>
        <v>0</v>
      </c>
      <c r="AB130" s="8" t="s">
        <v>148</v>
      </c>
      <c r="AC130" s="12">
        <v>500</v>
      </c>
      <c r="AD130" s="8" t="s">
        <v>189</v>
      </c>
      <c r="AE130" s="8">
        <f t="shared" si="7"/>
        <v>0</v>
      </c>
    </row>
    <row r="131" spans="1:31" x14ac:dyDescent="0.25">
      <c r="A131" s="2">
        <v>122</v>
      </c>
      <c r="B131" s="2" t="s">
        <v>188</v>
      </c>
      <c r="C131" s="2" t="s">
        <v>129</v>
      </c>
      <c r="D131" s="2" t="s">
        <v>164</v>
      </c>
      <c r="E131" s="13">
        <v>0.3125</v>
      </c>
      <c r="F131" s="2"/>
      <c r="G131" s="3"/>
      <c r="H131" s="3">
        <v>0.2</v>
      </c>
      <c r="I131" s="2">
        <v>0</v>
      </c>
      <c r="J131" s="2"/>
      <c r="K131" s="2"/>
      <c r="L131" s="2"/>
      <c r="M131" s="2"/>
      <c r="N131" s="2"/>
      <c r="O131" s="8">
        <f t="shared" si="5"/>
        <v>0</v>
      </c>
      <c r="P131" s="2"/>
      <c r="Q131" s="2"/>
      <c r="R131" s="18"/>
      <c r="S131" s="18"/>
      <c r="T131" s="2"/>
      <c r="U131" s="2"/>
      <c r="V131" s="18"/>
      <c r="W131" s="18"/>
      <c r="X131" s="18"/>
      <c r="Y131" s="35"/>
      <c r="Z131" s="2"/>
      <c r="AA131" s="7">
        <f t="shared" si="6"/>
        <v>0</v>
      </c>
      <c r="AB131" s="8" t="s">
        <v>148</v>
      </c>
      <c r="AC131" s="12">
        <v>500</v>
      </c>
      <c r="AD131" s="8" t="s">
        <v>189</v>
      </c>
      <c r="AE131" s="8">
        <f t="shared" si="7"/>
        <v>0</v>
      </c>
    </row>
    <row r="132" spans="1:31" x14ac:dyDescent="0.25">
      <c r="A132" s="2">
        <v>123</v>
      </c>
      <c r="B132" s="2" t="s">
        <v>188</v>
      </c>
      <c r="C132" s="2" t="s">
        <v>129</v>
      </c>
      <c r="D132" s="2" t="s">
        <v>165</v>
      </c>
      <c r="E132" s="13">
        <v>0.3125</v>
      </c>
      <c r="F132" s="2"/>
      <c r="G132" s="3"/>
      <c r="H132" s="3">
        <v>0.2</v>
      </c>
      <c r="I132" s="2">
        <v>0</v>
      </c>
      <c r="J132" s="2"/>
      <c r="K132" s="2"/>
      <c r="L132" s="2"/>
      <c r="M132" s="2"/>
      <c r="N132" s="2"/>
      <c r="O132" s="8">
        <f t="shared" si="5"/>
        <v>0</v>
      </c>
      <c r="P132" s="2"/>
      <c r="Q132" s="2"/>
      <c r="R132" s="18"/>
      <c r="S132" s="18"/>
      <c r="T132" s="2"/>
      <c r="U132" s="2"/>
      <c r="V132" s="18"/>
      <c r="W132" s="18"/>
      <c r="X132" s="18"/>
      <c r="Y132" s="35"/>
      <c r="Z132" s="2"/>
      <c r="AA132" s="7">
        <f t="shared" si="6"/>
        <v>0</v>
      </c>
      <c r="AB132" s="8" t="s">
        <v>148</v>
      </c>
      <c r="AC132" s="12">
        <v>500</v>
      </c>
      <c r="AD132" s="8" t="s">
        <v>189</v>
      </c>
      <c r="AE132" s="8">
        <f t="shared" si="7"/>
        <v>0</v>
      </c>
    </row>
    <row r="133" spans="1:31" x14ac:dyDescent="0.25">
      <c r="A133" s="2">
        <v>124</v>
      </c>
      <c r="B133" s="2" t="s">
        <v>188</v>
      </c>
      <c r="C133" s="2" t="s">
        <v>129</v>
      </c>
      <c r="D133" s="2" t="s">
        <v>166</v>
      </c>
      <c r="E133" s="13">
        <v>0.3125</v>
      </c>
      <c r="F133" s="2"/>
      <c r="G133" s="3"/>
      <c r="H133" s="3">
        <v>0.16</v>
      </c>
      <c r="I133" s="2">
        <v>0</v>
      </c>
      <c r="J133" s="2"/>
      <c r="K133" s="2"/>
      <c r="L133" s="2"/>
      <c r="M133" s="2"/>
      <c r="N133" s="2"/>
      <c r="O133" s="8">
        <f t="shared" si="5"/>
        <v>0</v>
      </c>
      <c r="P133" s="2"/>
      <c r="Q133" s="2"/>
      <c r="R133" s="18"/>
      <c r="S133" s="18"/>
      <c r="T133" s="2"/>
      <c r="U133" s="2"/>
      <c r="V133" s="18"/>
      <c r="W133" s="18"/>
      <c r="X133" s="18"/>
      <c r="Y133" s="35"/>
      <c r="Z133" s="2"/>
      <c r="AA133" s="7">
        <f t="shared" si="6"/>
        <v>0</v>
      </c>
      <c r="AB133" s="8" t="s">
        <v>148</v>
      </c>
      <c r="AC133" s="12">
        <v>500</v>
      </c>
      <c r="AD133" s="8" t="s">
        <v>189</v>
      </c>
      <c r="AE133" s="8">
        <f t="shared" si="7"/>
        <v>0</v>
      </c>
    </row>
    <row r="134" spans="1:31" x14ac:dyDescent="0.25">
      <c r="A134" s="2">
        <v>125</v>
      </c>
      <c r="B134" s="2" t="s">
        <v>188</v>
      </c>
      <c r="C134" s="2" t="s">
        <v>129</v>
      </c>
      <c r="D134" s="2" t="s">
        <v>167</v>
      </c>
      <c r="E134" s="13">
        <v>0.3125</v>
      </c>
      <c r="F134" s="2"/>
      <c r="G134" s="3"/>
      <c r="H134" s="3">
        <v>0.16</v>
      </c>
      <c r="I134" s="2">
        <v>0</v>
      </c>
      <c r="J134" s="2"/>
      <c r="K134" s="2"/>
      <c r="L134" s="2"/>
      <c r="M134" s="2"/>
      <c r="N134" s="2"/>
      <c r="O134" s="8">
        <f t="shared" si="5"/>
        <v>0</v>
      </c>
      <c r="P134" s="2"/>
      <c r="Q134" s="2"/>
      <c r="R134" s="18"/>
      <c r="S134" s="18"/>
      <c r="T134" s="2"/>
      <c r="U134" s="2"/>
      <c r="V134" s="18"/>
      <c r="W134" s="18"/>
      <c r="X134" s="18"/>
      <c r="Y134" s="35"/>
      <c r="Z134" s="2"/>
      <c r="AA134" s="7">
        <f t="shared" si="6"/>
        <v>0</v>
      </c>
      <c r="AB134" s="8" t="s">
        <v>148</v>
      </c>
      <c r="AC134" s="12">
        <v>500</v>
      </c>
      <c r="AD134" s="8" t="s">
        <v>189</v>
      </c>
      <c r="AE134" s="8">
        <f t="shared" si="7"/>
        <v>0</v>
      </c>
    </row>
    <row r="135" spans="1:31" x14ac:dyDescent="0.25">
      <c r="A135" s="2">
        <v>126</v>
      </c>
      <c r="B135" s="2" t="s">
        <v>188</v>
      </c>
      <c r="C135" s="2" t="s">
        <v>129</v>
      </c>
      <c r="D135" s="2" t="s">
        <v>168</v>
      </c>
      <c r="E135" s="13">
        <v>0.3125</v>
      </c>
      <c r="F135" s="2"/>
      <c r="G135" s="3"/>
      <c r="H135" s="3">
        <v>0.21</v>
      </c>
      <c r="I135" s="2">
        <v>0</v>
      </c>
      <c r="J135" s="2"/>
      <c r="K135" s="2"/>
      <c r="L135" s="2"/>
      <c r="M135" s="2"/>
      <c r="N135" s="2"/>
      <c r="O135" s="8">
        <f t="shared" si="5"/>
        <v>0</v>
      </c>
      <c r="P135" s="2"/>
      <c r="Q135" s="2"/>
      <c r="R135" s="18"/>
      <c r="S135" s="18"/>
      <c r="T135" s="2"/>
      <c r="U135" s="2"/>
      <c r="V135" s="18"/>
      <c r="W135" s="18"/>
      <c r="X135" s="18"/>
      <c r="Y135" s="35"/>
      <c r="Z135" s="2"/>
      <c r="AA135" s="7">
        <f t="shared" si="6"/>
        <v>0</v>
      </c>
      <c r="AB135" s="8" t="s">
        <v>148</v>
      </c>
      <c r="AC135" s="12">
        <v>500</v>
      </c>
      <c r="AD135" s="8" t="s">
        <v>189</v>
      </c>
      <c r="AE135" s="8">
        <f t="shared" si="7"/>
        <v>0</v>
      </c>
    </row>
    <row r="136" spans="1:31" x14ac:dyDescent="0.25">
      <c r="A136" s="2">
        <v>127</v>
      </c>
      <c r="B136" s="2" t="s">
        <v>188</v>
      </c>
      <c r="C136" s="2" t="s">
        <v>129</v>
      </c>
      <c r="D136" s="2" t="s">
        <v>169</v>
      </c>
      <c r="E136" s="13">
        <v>0.3125</v>
      </c>
      <c r="F136" s="2"/>
      <c r="G136" s="3"/>
      <c r="H136" s="3">
        <v>0.21</v>
      </c>
      <c r="I136" s="2">
        <v>0</v>
      </c>
      <c r="J136" s="2"/>
      <c r="K136" s="2"/>
      <c r="L136" s="2"/>
      <c r="M136" s="2"/>
      <c r="N136" s="2"/>
      <c r="O136" s="8">
        <f t="shared" si="5"/>
        <v>0</v>
      </c>
      <c r="P136" s="2"/>
      <c r="Q136" s="2"/>
      <c r="R136" s="18"/>
      <c r="S136" s="18"/>
      <c r="T136" s="2"/>
      <c r="U136" s="2"/>
      <c r="V136" s="18"/>
      <c r="W136" s="18"/>
      <c r="X136" s="18"/>
      <c r="Y136" s="35"/>
      <c r="Z136" s="2"/>
      <c r="AA136" s="7">
        <f t="shared" si="6"/>
        <v>0</v>
      </c>
      <c r="AB136" s="8" t="s">
        <v>148</v>
      </c>
      <c r="AC136" s="12">
        <v>500</v>
      </c>
      <c r="AD136" s="8" t="s">
        <v>189</v>
      </c>
      <c r="AE136" s="8">
        <f t="shared" si="7"/>
        <v>0</v>
      </c>
    </row>
    <row r="137" spans="1:31" x14ac:dyDescent="0.25">
      <c r="A137" s="2">
        <v>128</v>
      </c>
      <c r="B137" s="2" t="s">
        <v>188</v>
      </c>
      <c r="C137" s="2" t="s">
        <v>129</v>
      </c>
      <c r="D137" s="2" t="s">
        <v>170</v>
      </c>
      <c r="E137" s="13">
        <v>0.3125</v>
      </c>
      <c r="F137" s="2"/>
      <c r="G137" s="3"/>
      <c r="H137" s="3">
        <v>0.25</v>
      </c>
      <c r="I137" s="2">
        <v>0</v>
      </c>
      <c r="J137" s="2"/>
      <c r="K137" s="2"/>
      <c r="L137" s="2"/>
      <c r="M137" s="2"/>
      <c r="N137" s="2"/>
      <c r="O137" s="8">
        <f t="shared" si="5"/>
        <v>0</v>
      </c>
      <c r="P137" s="2"/>
      <c r="Q137" s="2"/>
      <c r="R137" s="18"/>
      <c r="S137" s="18"/>
      <c r="T137" s="2"/>
      <c r="U137" s="2"/>
      <c r="V137" s="18"/>
      <c r="W137" s="18"/>
      <c r="X137" s="18"/>
      <c r="Y137" s="35"/>
      <c r="Z137" s="2"/>
      <c r="AA137" s="7">
        <f t="shared" si="6"/>
        <v>0</v>
      </c>
      <c r="AB137" s="8" t="s">
        <v>148</v>
      </c>
      <c r="AC137" s="12">
        <v>500</v>
      </c>
      <c r="AD137" s="8" t="s">
        <v>189</v>
      </c>
      <c r="AE137" s="8">
        <f t="shared" si="7"/>
        <v>0</v>
      </c>
    </row>
    <row r="138" spans="1:31" x14ac:dyDescent="0.25">
      <c r="A138" s="2">
        <v>129</v>
      </c>
      <c r="B138" s="2" t="s">
        <v>188</v>
      </c>
      <c r="C138" s="2" t="s">
        <v>129</v>
      </c>
      <c r="D138" s="2" t="s">
        <v>171</v>
      </c>
      <c r="E138" s="13">
        <v>0.3125</v>
      </c>
      <c r="F138" s="2"/>
      <c r="G138" s="3"/>
      <c r="H138" s="3">
        <v>0.25</v>
      </c>
      <c r="I138" s="2">
        <v>0</v>
      </c>
      <c r="J138" s="2"/>
      <c r="K138" s="2"/>
      <c r="L138" s="2"/>
      <c r="M138" s="2"/>
      <c r="N138" s="2"/>
      <c r="O138" s="8">
        <f t="shared" ref="O138:O153" si="8">+I138+J138+K138+L138+M138+N138-SUM(P138:Z138)</f>
        <v>0</v>
      </c>
      <c r="P138" s="2"/>
      <c r="Q138" s="2"/>
      <c r="R138" s="18"/>
      <c r="S138" s="18"/>
      <c r="T138" s="2"/>
      <c r="U138" s="2"/>
      <c r="V138" s="18"/>
      <c r="W138" s="18"/>
      <c r="X138" s="18"/>
      <c r="Y138" s="35"/>
      <c r="Z138" s="2"/>
      <c r="AA138" s="7">
        <f t="shared" ref="AA138:AA153" si="9">+G138*SUM(I138:N138)</f>
        <v>0</v>
      </c>
      <c r="AB138" s="8" t="s">
        <v>148</v>
      </c>
      <c r="AC138" s="12">
        <v>500</v>
      </c>
      <c r="AD138" s="8" t="s">
        <v>189</v>
      </c>
      <c r="AE138" s="8">
        <f t="shared" si="7"/>
        <v>0</v>
      </c>
    </row>
    <row r="139" spans="1:31" x14ac:dyDescent="0.25">
      <c r="A139" s="2">
        <v>130</v>
      </c>
      <c r="B139" s="2" t="s">
        <v>188</v>
      </c>
      <c r="C139" s="2" t="s">
        <v>129</v>
      </c>
      <c r="D139" s="2" t="s">
        <v>172</v>
      </c>
      <c r="E139" s="13">
        <v>0.3125</v>
      </c>
      <c r="F139" s="2"/>
      <c r="G139" s="3"/>
      <c r="H139" s="3">
        <v>0.21</v>
      </c>
      <c r="I139" s="2">
        <v>0</v>
      </c>
      <c r="J139" s="2"/>
      <c r="K139" s="2"/>
      <c r="L139" s="2"/>
      <c r="M139" s="2"/>
      <c r="N139" s="2"/>
      <c r="O139" s="8">
        <f t="shared" si="8"/>
        <v>0</v>
      </c>
      <c r="P139" s="2"/>
      <c r="Q139" s="2"/>
      <c r="R139" s="18"/>
      <c r="S139" s="18"/>
      <c r="T139" s="2"/>
      <c r="U139" s="2"/>
      <c r="V139" s="18"/>
      <c r="W139" s="18"/>
      <c r="X139" s="18"/>
      <c r="Y139" s="35"/>
      <c r="Z139" s="2"/>
      <c r="AA139" s="7">
        <f t="shared" si="9"/>
        <v>0</v>
      </c>
      <c r="AB139" s="8" t="s">
        <v>148</v>
      </c>
      <c r="AC139" s="12">
        <v>500</v>
      </c>
      <c r="AD139" s="8" t="s">
        <v>189</v>
      </c>
      <c r="AE139" s="8">
        <f t="shared" si="7"/>
        <v>0</v>
      </c>
    </row>
    <row r="140" spans="1:31" x14ac:dyDescent="0.25">
      <c r="A140" s="2">
        <v>131</v>
      </c>
      <c r="B140" s="2" t="s">
        <v>188</v>
      </c>
      <c r="C140" s="2" t="s">
        <v>129</v>
      </c>
      <c r="D140" s="2" t="s">
        <v>173</v>
      </c>
      <c r="E140" s="13">
        <v>0.3125</v>
      </c>
      <c r="F140" s="2"/>
      <c r="G140" s="3"/>
      <c r="H140" s="3">
        <v>0.21</v>
      </c>
      <c r="I140" s="2">
        <v>0</v>
      </c>
      <c r="J140" s="2"/>
      <c r="K140" s="2"/>
      <c r="L140" s="2"/>
      <c r="M140" s="2"/>
      <c r="N140" s="2"/>
      <c r="O140" s="8">
        <f t="shared" si="8"/>
        <v>0</v>
      </c>
      <c r="P140" s="2"/>
      <c r="Q140" s="2"/>
      <c r="R140" s="18"/>
      <c r="S140" s="18"/>
      <c r="T140" s="2"/>
      <c r="U140" s="2"/>
      <c r="V140" s="18"/>
      <c r="W140" s="18"/>
      <c r="X140" s="18"/>
      <c r="Y140" s="35"/>
      <c r="Z140" s="2"/>
      <c r="AA140" s="7">
        <f t="shared" si="9"/>
        <v>0</v>
      </c>
      <c r="AB140" s="8" t="s">
        <v>148</v>
      </c>
      <c r="AC140" s="12">
        <v>500</v>
      </c>
      <c r="AD140" s="8" t="s">
        <v>189</v>
      </c>
      <c r="AE140" s="8">
        <f t="shared" si="7"/>
        <v>0</v>
      </c>
    </row>
    <row r="141" spans="1:31" x14ac:dyDescent="0.25">
      <c r="A141" s="2">
        <v>132</v>
      </c>
      <c r="B141" s="2" t="s">
        <v>188</v>
      </c>
      <c r="C141" s="2" t="s">
        <v>129</v>
      </c>
      <c r="D141" s="2" t="s">
        <v>174</v>
      </c>
      <c r="E141" s="13">
        <v>0.3125</v>
      </c>
      <c r="F141" s="2"/>
      <c r="G141" s="3"/>
      <c r="H141" s="3">
        <v>0.21</v>
      </c>
      <c r="I141" s="2">
        <v>0</v>
      </c>
      <c r="J141" s="2"/>
      <c r="K141" s="2"/>
      <c r="L141" s="2"/>
      <c r="M141" s="2"/>
      <c r="N141" s="2"/>
      <c r="O141" s="8">
        <f t="shared" si="8"/>
        <v>0</v>
      </c>
      <c r="P141" s="2"/>
      <c r="Q141" s="2"/>
      <c r="R141" s="18"/>
      <c r="S141" s="18"/>
      <c r="T141" s="2"/>
      <c r="U141" s="2"/>
      <c r="V141" s="18"/>
      <c r="W141" s="18"/>
      <c r="X141" s="18"/>
      <c r="Y141" s="35"/>
      <c r="Z141" s="2"/>
      <c r="AA141" s="7">
        <f t="shared" si="9"/>
        <v>0</v>
      </c>
      <c r="AB141" s="8" t="s">
        <v>148</v>
      </c>
      <c r="AC141" s="12">
        <v>500</v>
      </c>
      <c r="AD141" s="8" t="s">
        <v>189</v>
      </c>
      <c r="AE141" s="8">
        <f t="shared" si="7"/>
        <v>0</v>
      </c>
    </row>
    <row r="142" spans="1:31" x14ac:dyDescent="0.25">
      <c r="A142" s="2">
        <v>133</v>
      </c>
      <c r="B142" s="2" t="s">
        <v>188</v>
      </c>
      <c r="C142" s="2" t="s">
        <v>129</v>
      </c>
      <c r="D142" s="2" t="s">
        <v>175</v>
      </c>
      <c r="E142" s="13">
        <v>0.3125</v>
      </c>
      <c r="F142" s="2"/>
      <c r="G142" s="3"/>
      <c r="H142" s="3">
        <v>0.21</v>
      </c>
      <c r="I142" s="2">
        <v>0</v>
      </c>
      <c r="J142" s="2"/>
      <c r="K142" s="2"/>
      <c r="L142" s="2"/>
      <c r="M142" s="2"/>
      <c r="N142" s="2"/>
      <c r="O142" s="8">
        <f t="shared" si="8"/>
        <v>0</v>
      </c>
      <c r="P142" s="2"/>
      <c r="Q142" s="2"/>
      <c r="R142" s="18"/>
      <c r="S142" s="18"/>
      <c r="T142" s="2"/>
      <c r="U142" s="2"/>
      <c r="V142" s="18"/>
      <c r="W142" s="18"/>
      <c r="X142" s="18"/>
      <c r="Y142" s="35"/>
      <c r="Z142" s="2"/>
      <c r="AA142" s="7">
        <f t="shared" si="9"/>
        <v>0</v>
      </c>
      <c r="AB142" s="8" t="s">
        <v>148</v>
      </c>
      <c r="AC142" s="12">
        <v>500</v>
      </c>
      <c r="AD142" s="8" t="s">
        <v>189</v>
      </c>
      <c r="AE142" s="8">
        <f t="shared" si="7"/>
        <v>0</v>
      </c>
    </row>
    <row r="143" spans="1:31" x14ac:dyDescent="0.25">
      <c r="A143" s="2">
        <v>134</v>
      </c>
      <c r="B143" s="2" t="s">
        <v>188</v>
      </c>
      <c r="C143" s="2" t="s">
        <v>129</v>
      </c>
      <c r="D143" s="2" t="s">
        <v>176</v>
      </c>
      <c r="E143" s="13">
        <v>0.3125</v>
      </c>
      <c r="F143" s="2"/>
      <c r="G143" s="3"/>
      <c r="H143" s="3">
        <v>0.16</v>
      </c>
      <c r="I143" s="2">
        <v>0</v>
      </c>
      <c r="J143" s="2"/>
      <c r="K143" s="2"/>
      <c r="L143" s="2"/>
      <c r="M143" s="2"/>
      <c r="N143" s="2"/>
      <c r="O143" s="8">
        <f t="shared" si="8"/>
        <v>0</v>
      </c>
      <c r="P143" s="2"/>
      <c r="Q143" s="2"/>
      <c r="R143" s="18"/>
      <c r="S143" s="18"/>
      <c r="T143" s="2"/>
      <c r="U143" s="2"/>
      <c r="V143" s="18"/>
      <c r="W143" s="18"/>
      <c r="X143" s="18"/>
      <c r="Y143" s="35"/>
      <c r="Z143" s="2"/>
      <c r="AA143" s="7">
        <f t="shared" si="9"/>
        <v>0</v>
      </c>
      <c r="AB143" s="8" t="s">
        <v>148</v>
      </c>
      <c r="AC143" s="12">
        <v>500</v>
      </c>
      <c r="AD143" s="8" t="s">
        <v>189</v>
      </c>
      <c r="AE143" s="8">
        <f t="shared" si="7"/>
        <v>0</v>
      </c>
    </row>
    <row r="144" spans="1:31" x14ac:dyDescent="0.25">
      <c r="A144" s="2">
        <v>135</v>
      </c>
      <c r="B144" s="2" t="s">
        <v>188</v>
      </c>
      <c r="C144" s="2" t="s">
        <v>129</v>
      </c>
      <c r="D144" s="2" t="s">
        <v>177</v>
      </c>
      <c r="E144" s="13">
        <v>0.3125</v>
      </c>
      <c r="F144" s="2"/>
      <c r="G144" s="3"/>
      <c r="H144" s="3">
        <v>0.16</v>
      </c>
      <c r="I144" s="2">
        <v>0</v>
      </c>
      <c r="J144" s="2"/>
      <c r="K144" s="2"/>
      <c r="L144" s="2"/>
      <c r="M144" s="2"/>
      <c r="N144" s="2"/>
      <c r="O144" s="8">
        <f t="shared" si="8"/>
        <v>0</v>
      </c>
      <c r="P144" s="2"/>
      <c r="Q144" s="2"/>
      <c r="R144" s="18"/>
      <c r="S144" s="18"/>
      <c r="T144" s="2"/>
      <c r="U144" s="2"/>
      <c r="V144" s="18"/>
      <c r="W144" s="18"/>
      <c r="X144" s="18"/>
      <c r="Y144" s="35"/>
      <c r="Z144" s="2"/>
      <c r="AA144" s="7">
        <f t="shared" si="9"/>
        <v>0</v>
      </c>
      <c r="AB144" s="8" t="s">
        <v>148</v>
      </c>
      <c r="AC144" s="12">
        <v>500</v>
      </c>
      <c r="AD144" s="8" t="s">
        <v>189</v>
      </c>
      <c r="AE144" s="8">
        <f t="shared" si="7"/>
        <v>0</v>
      </c>
    </row>
    <row r="145" spans="1:31" x14ac:dyDescent="0.25">
      <c r="A145" s="2">
        <v>136</v>
      </c>
      <c r="B145" s="2" t="s">
        <v>188</v>
      </c>
      <c r="C145" s="2" t="s">
        <v>129</v>
      </c>
      <c r="D145" s="2" t="s">
        <v>178</v>
      </c>
      <c r="E145" s="13">
        <v>0.3125</v>
      </c>
      <c r="F145" s="2"/>
      <c r="G145" s="3"/>
      <c r="H145" s="3">
        <v>0.21</v>
      </c>
      <c r="I145" s="2">
        <v>0</v>
      </c>
      <c r="J145" s="2"/>
      <c r="K145" s="2"/>
      <c r="L145" s="2"/>
      <c r="M145" s="2"/>
      <c r="N145" s="2"/>
      <c r="O145" s="8">
        <f t="shared" si="8"/>
        <v>0</v>
      </c>
      <c r="P145" s="2"/>
      <c r="Q145" s="2"/>
      <c r="R145" s="18"/>
      <c r="S145" s="18"/>
      <c r="T145" s="2"/>
      <c r="U145" s="2"/>
      <c r="V145" s="18"/>
      <c r="W145" s="18"/>
      <c r="X145" s="18"/>
      <c r="Y145" s="35"/>
      <c r="Z145" s="2"/>
      <c r="AA145" s="7">
        <f t="shared" si="9"/>
        <v>0</v>
      </c>
      <c r="AB145" s="8" t="s">
        <v>148</v>
      </c>
      <c r="AC145" s="12">
        <v>500</v>
      </c>
      <c r="AD145" s="8" t="s">
        <v>189</v>
      </c>
      <c r="AE145" s="8">
        <f t="shared" si="7"/>
        <v>0</v>
      </c>
    </row>
    <row r="146" spans="1:31" x14ac:dyDescent="0.25">
      <c r="A146" s="2">
        <v>137</v>
      </c>
      <c r="B146" s="2" t="s">
        <v>188</v>
      </c>
      <c r="C146" s="2" t="s">
        <v>129</v>
      </c>
      <c r="D146" s="2" t="s">
        <v>179</v>
      </c>
      <c r="E146" s="13">
        <v>0.3125</v>
      </c>
      <c r="F146" s="2"/>
      <c r="G146" s="3"/>
      <c r="H146" s="3">
        <v>0.16</v>
      </c>
      <c r="I146" s="2">
        <v>0</v>
      </c>
      <c r="J146" s="2"/>
      <c r="K146" s="2"/>
      <c r="L146" s="2"/>
      <c r="M146" s="2"/>
      <c r="N146" s="2"/>
      <c r="O146" s="8">
        <f t="shared" si="8"/>
        <v>0</v>
      </c>
      <c r="P146" s="2"/>
      <c r="Q146" s="2"/>
      <c r="R146" s="18"/>
      <c r="S146" s="18"/>
      <c r="T146" s="2"/>
      <c r="U146" s="2"/>
      <c r="V146" s="18"/>
      <c r="W146" s="18"/>
      <c r="X146" s="18"/>
      <c r="Y146" s="35"/>
      <c r="Z146" s="2"/>
      <c r="AA146" s="7">
        <f t="shared" si="9"/>
        <v>0</v>
      </c>
      <c r="AB146" s="8" t="s">
        <v>148</v>
      </c>
      <c r="AC146" s="12">
        <v>500</v>
      </c>
      <c r="AD146" s="8" t="s">
        <v>189</v>
      </c>
      <c r="AE146" s="8">
        <f t="shared" si="7"/>
        <v>0</v>
      </c>
    </row>
    <row r="147" spans="1:31" x14ac:dyDescent="0.25">
      <c r="A147" s="2">
        <v>138</v>
      </c>
      <c r="B147" s="2" t="s">
        <v>188</v>
      </c>
      <c r="C147" s="2" t="s">
        <v>129</v>
      </c>
      <c r="D147" s="2" t="s">
        <v>180</v>
      </c>
      <c r="E147" s="13">
        <v>0.3125</v>
      </c>
      <c r="F147" s="2"/>
      <c r="G147" s="3"/>
      <c r="H147" s="3">
        <v>0.16</v>
      </c>
      <c r="I147" s="2">
        <v>0</v>
      </c>
      <c r="J147" s="2"/>
      <c r="K147" s="2"/>
      <c r="L147" s="2"/>
      <c r="M147" s="2"/>
      <c r="N147" s="2"/>
      <c r="O147" s="8">
        <f t="shared" si="8"/>
        <v>0</v>
      </c>
      <c r="P147" s="2"/>
      <c r="Q147" s="2"/>
      <c r="R147" s="18"/>
      <c r="S147" s="18"/>
      <c r="T147" s="2"/>
      <c r="U147" s="2"/>
      <c r="V147" s="18"/>
      <c r="W147" s="18"/>
      <c r="X147" s="18"/>
      <c r="Y147" s="35"/>
      <c r="Z147" s="2"/>
      <c r="AA147" s="7">
        <f t="shared" si="9"/>
        <v>0</v>
      </c>
      <c r="AB147" s="8" t="s">
        <v>148</v>
      </c>
      <c r="AC147" s="12">
        <v>500</v>
      </c>
      <c r="AD147" s="8" t="s">
        <v>189</v>
      </c>
      <c r="AE147" s="8">
        <f t="shared" si="7"/>
        <v>0</v>
      </c>
    </row>
    <row r="148" spans="1:31" x14ac:dyDescent="0.25">
      <c r="A148" s="2">
        <v>139</v>
      </c>
      <c r="B148" s="2" t="s">
        <v>188</v>
      </c>
      <c r="C148" s="2" t="s">
        <v>129</v>
      </c>
      <c r="D148" s="2" t="s">
        <v>181</v>
      </c>
      <c r="E148" s="13">
        <v>0.3125</v>
      </c>
      <c r="F148" s="2"/>
      <c r="G148" s="3"/>
      <c r="H148" s="3">
        <v>0.21</v>
      </c>
      <c r="I148" s="2">
        <v>0</v>
      </c>
      <c r="J148" s="2"/>
      <c r="K148" s="2"/>
      <c r="L148" s="2"/>
      <c r="M148" s="2"/>
      <c r="N148" s="2"/>
      <c r="O148" s="8">
        <f t="shared" si="8"/>
        <v>0</v>
      </c>
      <c r="P148" s="2"/>
      <c r="Q148" s="2"/>
      <c r="R148" s="18"/>
      <c r="S148" s="18"/>
      <c r="T148" s="2"/>
      <c r="U148" s="2"/>
      <c r="V148" s="18"/>
      <c r="W148" s="18"/>
      <c r="X148" s="18"/>
      <c r="Y148" s="35"/>
      <c r="Z148" s="2"/>
      <c r="AA148" s="7">
        <f t="shared" si="9"/>
        <v>0</v>
      </c>
      <c r="AB148" s="8" t="s">
        <v>148</v>
      </c>
      <c r="AC148" s="12">
        <v>500</v>
      </c>
      <c r="AD148" s="8" t="s">
        <v>189</v>
      </c>
      <c r="AE148" s="8">
        <f t="shared" si="7"/>
        <v>0</v>
      </c>
    </row>
    <row r="149" spans="1:31" x14ac:dyDescent="0.25">
      <c r="A149" s="2">
        <v>140</v>
      </c>
      <c r="B149" s="2" t="s">
        <v>188</v>
      </c>
      <c r="C149" s="2" t="s">
        <v>129</v>
      </c>
      <c r="D149" s="2" t="s">
        <v>182</v>
      </c>
      <c r="E149" s="13">
        <v>0.3125</v>
      </c>
      <c r="F149" s="2"/>
      <c r="G149" s="3"/>
      <c r="H149" s="3">
        <v>0.21</v>
      </c>
      <c r="I149" s="2">
        <v>0</v>
      </c>
      <c r="J149" s="2"/>
      <c r="K149" s="2"/>
      <c r="L149" s="2"/>
      <c r="M149" s="2"/>
      <c r="N149" s="2"/>
      <c r="O149" s="8">
        <f t="shared" si="8"/>
        <v>0</v>
      </c>
      <c r="P149" s="2"/>
      <c r="Q149" s="2"/>
      <c r="R149" s="18"/>
      <c r="S149" s="18"/>
      <c r="T149" s="2"/>
      <c r="U149" s="2"/>
      <c r="V149" s="18"/>
      <c r="W149" s="18"/>
      <c r="X149" s="18"/>
      <c r="Y149" s="35"/>
      <c r="Z149" s="2"/>
      <c r="AA149" s="7">
        <f t="shared" si="9"/>
        <v>0</v>
      </c>
      <c r="AB149" s="8" t="s">
        <v>148</v>
      </c>
      <c r="AC149" s="12">
        <v>500</v>
      </c>
      <c r="AD149" s="8" t="s">
        <v>189</v>
      </c>
      <c r="AE149" s="8">
        <f t="shared" si="7"/>
        <v>0</v>
      </c>
    </row>
    <row r="150" spans="1:31" x14ac:dyDescent="0.25">
      <c r="A150" s="2">
        <v>141</v>
      </c>
      <c r="B150" s="2" t="s">
        <v>188</v>
      </c>
      <c r="C150" s="2" t="s">
        <v>129</v>
      </c>
      <c r="D150" s="2" t="s">
        <v>183</v>
      </c>
      <c r="E150" s="13">
        <v>0.3125</v>
      </c>
      <c r="F150" s="2"/>
      <c r="G150" s="3"/>
      <c r="H150" s="3">
        <v>0.21</v>
      </c>
      <c r="I150" s="2">
        <v>0</v>
      </c>
      <c r="J150" s="2"/>
      <c r="K150" s="2"/>
      <c r="L150" s="2"/>
      <c r="M150" s="2"/>
      <c r="N150" s="2"/>
      <c r="O150" s="8">
        <f t="shared" si="8"/>
        <v>0</v>
      </c>
      <c r="P150" s="2"/>
      <c r="Q150" s="2"/>
      <c r="R150" s="18"/>
      <c r="S150" s="18"/>
      <c r="T150" s="2"/>
      <c r="U150" s="2"/>
      <c r="V150" s="18"/>
      <c r="W150" s="18"/>
      <c r="X150" s="18"/>
      <c r="Y150" s="35"/>
      <c r="Z150" s="2"/>
      <c r="AA150" s="7">
        <f t="shared" si="9"/>
        <v>0</v>
      </c>
      <c r="AB150" s="8" t="s">
        <v>148</v>
      </c>
      <c r="AC150" s="12">
        <v>500</v>
      </c>
      <c r="AD150" s="8" t="s">
        <v>189</v>
      </c>
      <c r="AE150" s="8">
        <f t="shared" si="7"/>
        <v>0</v>
      </c>
    </row>
    <row r="151" spans="1:31" x14ac:dyDescent="0.25">
      <c r="A151" s="2">
        <v>142</v>
      </c>
      <c r="B151" s="2" t="s">
        <v>188</v>
      </c>
      <c r="C151" s="2" t="s">
        <v>129</v>
      </c>
      <c r="D151" s="2" t="s">
        <v>184</v>
      </c>
      <c r="E151" s="13">
        <v>0.3125</v>
      </c>
      <c r="F151" s="2"/>
      <c r="G151" s="3"/>
      <c r="H151" s="3">
        <v>0.21</v>
      </c>
      <c r="I151" s="2">
        <v>0</v>
      </c>
      <c r="J151" s="2"/>
      <c r="K151" s="2"/>
      <c r="L151" s="2"/>
      <c r="M151" s="2"/>
      <c r="N151" s="2"/>
      <c r="O151" s="8">
        <f t="shared" si="8"/>
        <v>0</v>
      </c>
      <c r="P151" s="2"/>
      <c r="Q151" s="2"/>
      <c r="R151" s="18"/>
      <c r="S151" s="18"/>
      <c r="T151" s="2"/>
      <c r="U151" s="2"/>
      <c r="V151" s="18"/>
      <c r="W151" s="18"/>
      <c r="X151" s="18"/>
      <c r="Y151" s="35"/>
      <c r="Z151" s="2"/>
      <c r="AA151" s="7">
        <f t="shared" si="9"/>
        <v>0</v>
      </c>
      <c r="AB151" s="8" t="s">
        <v>148</v>
      </c>
      <c r="AC151" s="12">
        <v>500</v>
      </c>
      <c r="AD151" s="8" t="s">
        <v>189</v>
      </c>
      <c r="AE151" s="8">
        <f t="shared" si="7"/>
        <v>0</v>
      </c>
    </row>
    <row r="152" spans="1:31" x14ac:dyDescent="0.25">
      <c r="A152" s="2">
        <v>143</v>
      </c>
      <c r="B152" s="2" t="s">
        <v>188</v>
      </c>
      <c r="C152" s="2" t="s">
        <v>129</v>
      </c>
      <c r="D152" s="2" t="s">
        <v>185</v>
      </c>
      <c r="E152" s="13">
        <v>0.3125</v>
      </c>
      <c r="F152" s="2"/>
      <c r="G152" s="3"/>
      <c r="H152" s="3">
        <v>0.19</v>
      </c>
      <c r="I152" s="2">
        <v>0</v>
      </c>
      <c r="J152" s="2"/>
      <c r="K152" s="2"/>
      <c r="L152" s="2"/>
      <c r="M152" s="2"/>
      <c r="N152" s="2"/>
      <c r="O152" s="8">
        <f t="shared" si="8"/>
        <v>0</v>
      </c>
      <c r="P152" s="2"/>
      <c r="Q152" s="2"/>
      <c r="R152" s="18"/>
      <c r="S152" s="18"/>
      <c r="T152" s="2"/>
      <c r="U152" s="2"/>
      <c r="V152" s="18"/>
      <c r="W152" s="18"/>
      <c r="X152" s="18"/>
      <c r="Y152" s="35"/>
      <c r="Z152" s="2"/>
      <c r="AA152" s="7">
        <f t="shared" si="9"/>
        <v>0</v>
      </c>
      <c r="AB152" s="8" t="s">
        <v>148</v>
      </c>
      <c r="AC152" s="12">
        <v>500</v>
      </c>
      <c r="AD152" s="8" t="s">
        <v>189</v>
      </c>
      <c r="AE152" s="8">
        <f t="shared" si="7"/>
        <v>0</v>
      </c>
    </row>
    <row r="153" spans="1:31" x14ac:dyDescent="0.25">
      <c r="A153" s="2">
        <v>144</v>
      </c>
      <c r="B153" s="2" t="s">
        <v>188</v>
      </c>
      <c r="C153" s="2" t="s">
        <v>129</v>
      </c>
      <c r="D153" s="2" t="s">
        <v>186</v>
      </c>
      <c r="E153" s="13">
        <v>0.3125</v>
      </c>
      <c r="F153" s="2"/>
      <c r="G153" s="3"/>
      <c r="H153" s="3">
        <v>0.19</v>
      </c>
      <c r="I153" s="2">
        <v>0</v>
      </c>
      <c r="J153" s="2"/>
      <c r="K153" s="2"/>
      <c r="L153" s="2"/>
      <c r="M153" s="2"/>
      <c r="N153" s="2"/>
      <c r="O153" s="8">
        <f t="shared" si="8"/>
        <v>0</v>
      </c>
      <c r="P153" s="2"/>
      <c r="Q153" s="2"/>
      <c r="R153" s="18"/>
      <c r="S153" s="18"/>
      <c r="T153" s="2"/>
      <c r="U153" s="2"/>
      <c r="V153" s="18"/>
      <c r="W153" s="18"/>
      <c r="X153" s="18"/>
      <c r="Y153" s="35"/>
      <c r="Z153" s="2"/>
      <c r="AA153" s="7">
        <f t="shared" si="9"/>
        <v>0</v>
      </c>
      <c r="AB153" s="8" t="s">
        <v>148</v>
      </c>
      <c r="AC153" s="12">
        <v>500</v>
      </c>
      <c r="AD153" s="8" t="s">
        <v>189</v>
      </c>
      <c r="AE153" s="8">
        <f t="shared" si="7"/>
        <v>0</v>
      </c>
    </row>
    <row r="154" spans="1:31" x14ac:dyDescent="0.25">
      <c r="H154" s="4" t="s">
        <v>19</v>
      </c>
      <c r="I154" s="9">
        <f>SUM(I6:I126)</f>
        <v>23230</v>
      </c>
      <c r="J154" s="2"/>
      <c r="K154" s="9">
        <f t="shared" ref="K154:AA154" si="10">SUM(K6:K126)</f>
        <v>0</v>
      </c>
      <c r="L154" s="9">
        <f t="shared" si="10"/>
        <v>0</v>
      </c>
      <c r="M154" s="9">
        <f t="shared" si="10"/>
        <v>0</v>
      </c>
      <c r="N154" s="9">
        <f t="shared" si="10"/>
        <v>0</v>
      </c>
      <c r="O154" s="11">
        <f t="shared" si="10"/>
        <v>7989</v>
      </c>
      <c r="P154" s="9">
        <f t="shared" si="10"/>
        <v>7756</v>
      </c>
      <c r="Q154" s="9">
        <f t="shared" si="10"/>
        <v>0</v>
      </c>
      <c r="R154" s="19">
        <f t="shared" si="10"/>
        <v>5674</v>
      </c>
      <c r="S154" s="19">
        <f t="shared" si="10"/>
        <v>310</v>
      </c>
      <c r="T154" s="19">
        <f t="shared" si="10"/>
        <v>912</v>
      </c>
      <c r="U154" s="19">
        <f t="shared" si="10"/>
        <v>911</v>
      </c>
      <c r="V154" s="9">
        <f t="shared" si="10"/>
        <v>1419</v>
      </c>
      <c r="W154" s="9">
        <f t="shared" si="10"/>
        <v>0</v>
      </c>
      <c r="X154" s="19">
        <f t="shared" si="10"/>
        <v>4646</v>
      </c>
      <c r="Y154" s="74">
        <f t="shared" si="10"/>
        <v>2343</v>
      </c>
      <c r="Z154" s="9">
        <f t="shared" si="10"/>
        <v>1460</v>
      </c>
      <c r="AA154" s="9">
        <f t="shared" si="10"/>
        <v>0</v>
      </c>
      <c r="AE154" s="12">
        <f>SUM(AE6:AE126)</f>
        <v>216.98266666666672</v>
      </c>
    </row>
    <row r="155" spans="1:31" x14ac:dyDescent="0.25">
      <c r="H155" s="4" t="s">
        <v>21</v>
      </c>
      <c r="I155" s="99">
        <f>+I154+J154+K154+L154+M154+N154</f>
        <v>23230</v>
      </c>
      <c r="J155" s="99"/>
      <c r="K155" s="99"/>
      <c r="L155" s="99"/>
      <c r="M155" s="99"/>
      <c r="N155" s="99"/>
      <c r="P155" s="123">
        <f>+P154+Q154</f>
        <v>7756</v>
      </c>
      <c r="Q155" s="124"/>
      <c r="R155" s="123">
        <f>+R154+S154</f>
        <v>5984</v>
      </c>
      <c r="S155" s="124"/>
      <c r="T155" s="123">
        <f>+T154+U154</f>
        <v>1823</v>
      </c>
      <c r="U155" s="124"/>
      <c r="V155" s="123">
        <f t="shared" ref="V155" si="11">+V154+W154</f>
        <v>1419</v>
      </c>
      <c r="W155" s="124"/>
      <c r="X155" s="123">
        <f t="shared" ref="X155" si="12">+X154+Y154</f>
        <v>6989</v>
      </c>
      <c r="Y155" s="124"/>
      <c r="Z155" s="10">
        <f>+Z154</f>
        <v>1460</v>
      </c>
    </row>
    <row r="156" spans="1:31" x14ac:dyDescent="0.25">
      <c r="I156" s="33"/>
      <c r="J156" s="33">
        <f>SUM(J7:J63)</f>
        <v>8810</v>
      </c>
      <c r="K156" s="33">
        <f t="shared" ref="K156:N156" si="13">+K154</f>
        <v>0</v>
      </c>
      <c r="L156" s="33">
        <f t="shared" si="13"/>
        <v>0</v>
      </c>
      <c r="M156" s="33">
        <f t="shared" si="13"/>
        <v>0</v>
      </c>
      <c r="N156" s="33">
        <f t="shared" si="13"/>
        <v>0</v>
      </c>
    </row>
    <row r="157" spans="1:31" x14ac:dyDescent="0.25">
      <c r="P157" s="40" t="s">
        <v>15</v>
      </c>
      <c r="Q157" s="63" t="s">
        <v>16</v>
      </c>
      <c r="R157" s="18" t="s">
        <v>15</v>
      </c>
      <c r="S157" s="18" t="s">
        <v>16</v>
      </c>
      <c r="T157" s="18" t="s">
        <v>15</v>
      </c>
      <c r="U157" s="18" t="s">
        <v>16</v>
      </c>
      <c r="V157" s="40" t="s">
        <v>15</v>
      </c>
      <c r="W157" s="63" t="s">
        <v>16</v>
      </c>
      <c r="X157" s="18" t="s">
        <v>15</v>
      </c>
      <c r="Y157" s="35" t="s">
        <v>16</v>
      </c>
      <c r="Z157" s="64"/>
    </row>
    <row r="158" spans="1:31" x14ac:dyDescent="0.25">
      <c r="C158" s="2" t="s">
        <v>217</v>
      </c>
      <c r="D158" s="2" t="s">
        <v>218</v>
      </c>
      <c r="E158" s="2" t="s">
        <v>219</v>
      </c>
      <c r="P158" s="39">
        <f t="shared" ref="P158:Y158" si="14">P154/$E$159</f>
        <v>3.2622502628811776</v>
      </c>
      <c r="Q158" s="39">
        <f t="shared" si="14"/>
        <v>0</v>
      </c>
      <c r="R158" s="39">
        <f t="shared" si="14"/>
        <v>2.3865404837013671</v>
      </c>
      <c r="S158" s="39">
        <f t="shared" si="14"/>
        <v>0.13038906414300735</v>
      </c>
      <c r="T158" s="39">
        <f t="shared" si="14"/>
        <v>0.38359621451104103</v>
      </c>
      <c r="U158" s="39">
        <f t="shared" si="14"/>
        <v>0.38317560462670874</v>
      </c>
      <c r="V158" s="39">
        <f t="shared" si="14"/>
        <v>0.59684542586750788</v>
      </c>
      <c r="W158" s="39">
        <f t="shared" si="14"/>
        <v>0</v>
      </c>
      <c r="X158" s="39">
        <f t="shared" si="14"/>
        <v>1.9541535226077813</v>
      </c>
      <c r="Y158" s="75">
        <f t="shared" si="14"/>
        <v>0.98548895899053623</v>
      </c>
      <c r="Z158" s="65"/>
    </row>
    <row r="159" spans="1:31" x14ac:dyDescent="0.25">
      <c r="B159" s="31" t="s">
        <v>212</v>
      </c>
      <c r="C159" s="66">
        <v>9510</v>
      </c>
      <c r="D159" s="2">
        <f>+C159/2</f>
        <v>4755</v>
      </c>
      <c r="E159" s="2">
        <f>+D159/2</f>
        <v>2377.5</v>
      </c>
      <c r="H159" s="22"/>
      <c r="P159" s="100">
        <v>46251</v>
      </c>
      <c r="Q159" s="98"/>
      <c r="R159" s="100">
        <v>46252</v>
      </c>
      <c r="S159" s="98"/>
      <c r="T159" s="100">
        <v>46253</v>
      </c>
      <c r="U159" s="98"/>
      <c r="V159" s="100">
        <v>46254</v>
      </c>
      <c r="W159" s="98"/>
      <c r="X159" s="100">
        <v>46255</v>
      </c>
      <c r="Y159" s="98"/>
    </row>
    <row r="160" spans="1:31" x14ac:dyDescent="0.25">
      <c r="B160" s="31" t="s">
        <v>213</v>
      </c>
      <c r="C160" s="8">
        <v>7510</v>
      </c>
      <c r="D160" s="2">
        <f>+C160/5</f>
        <v>1502</v>
      </c>
      <c r="E160" s="2">
        <f>+D160/2</f>
        <v>751</v>
      </c>
    </row>
    <row r="161" spans="2:9" x14ac:dyDescent="0.25">
      <c r="B161" s="31" t="s">
        <v>214</v>
      </c>
      <c r="C161" s="67">
        <f>C159-C160</f>
        <v>2000</v>
      </c>
      <c r="D161" s="2"/>
      <c r="E161" s="2"/>
    </row>
    <row r="162" spans="2:9" x14ac:dyDescent="0.25">
      <c r="B162" s="31" t="s">
        <v>215</v>
      </c>
      <c r="C162" s="32">
        <f>+C161/C159</f>
        <v>0.2103049421661409</v>
      </c>
      <c r="D162" s="2"/>
      <c r="E162" s="2"/>
    </row>
    <row r="163" spans="2:9" x14ac:dyDescent="0.25">
      <c r="B163" s="31" t="s">
        <v>216</v>
      </c>
      <c r="C163" s="32">
        <f>+C160/C159</f>
        <v>0.78969505783385907</v>
      </c>
      <c r="D163" s="2"/>
      <c r="E163" s="2"/>
    </row>
    <row r="166" spans="2:9" x14ac:dyDescent="0.25">
      <c r="B166" s="129" t="s">
        <v>227</v>
      </c>
      <c r="C166" s="42">
        <v>46244</v>
      </c>
      <c r="D166" s="42">
        <v>46245</v>
      </c>
      <c r="E166" s="42">
        <v>46246</v>
      </c>
      <c r="F166" s="43">
        <v>46247</v>
      </c>
      <c r="G166" s="43">
        <v>46248</v>
      </c>
      <c r="H166" s="43">
        <v>46249</v>
      </c>
      <c r="I166" s="42">
        <v>46248</v>
      </c>
    </row>
    <row r="167" spans="2:9" x14ac:dyDescent="0.25">
      <c r="B167" s="129"/>
      <c r="C167" s="44" t="s">
        <v>222</v>
      </c>
      <c r="D167" s="44" t="s">
        <v>223</v>
      </c>
      <c r="E167" s="44" t="s">
        <v>224</v>
      </c>
      <c r="F167" s="44" t="s">
        <v>225</v>
      </c>
      <c r="G167" s="44" t="s">
        <v>226</v>
      </c>
      <c r="I167" s="44" t="s">
        <v>229</v>
      </c>
    </row>
    <row r="168" spans="2:9" x14ac:dyDescent="0.25">
      <c r="B168" s="40" t="s">
        <v>220</v>
      </c>
      <c r="C168" s="39">
        <v>0.21</v>
      </c>
      <c r="D168" s="39"/>
      <c r="E168" s="39"/>
      <c r="F168" s="45"/>
      <c r="G168" s="45">
        <v>0.74</v>
      </c>
      <c r="I168" s="39"/>
    </row>
    <row r="169" spans="2:9" x14ac:dyDescent="0.25">
      <c r="B169" s="41" t="s">
        <v>221</v>
      </c>
      <c r="C169" s="39">
        <v>0.79</v>
      </c>
      <c r="D169" s="39"/>
      <c r="E169" s="39"/>
      <c r="F169" s="45"/>
      <c r="G169" s="45">
        <v>0.26</v>
      </c>
      <c r="I169" s="39"/>
    </row>
  </sheetData>
  <autoFilter ref="B5:AE155" xr:uid="{00000000-0009-0000-0000-000009000000}"/>
  <mergeCells count="20">
    <mergeCell ref="B166:B167"/>
    <mergeCell ref="V4:W4"/>
    <mergeCell ref="X4:Y4"/>
    <mergeCell ref="I155:N155"/>
    <mergeCell ref="P155:Q155"/>
    <mergeCell ref="R155:S155"/>
    <mergeCell ref="T155:U155"/>
    <mergeCell ref="V155:W155"/>
    <mergeCell ref="X155:Y155"/>
    <mergeCell ref="T4:U4"/>
    <mergeCell ref="P159:Q159"/>
    <mergeCell ref="R159:S159"/>
    <mergeCell ref="T159:U159"/>
    <mergeCell ref="V159:W159"/>
    <mergeCell ref="X159:Y159"/>
    <mergeCell ref="C2:D2"/>
    <mergeCell ref="B3:B4"/>
    <mergeCell ref="J4:N4"/>
    <mergeCell ref="P4:Q4"/>
    <mergeCell ref="R4:S4"/>
  </mergeCells>
  <phoneticPr fontId="4" type="noConversion"/>
  <conditionalFormatting sqref="P158:Y158">
    <cfRule type="cellIs" dxfId="14" priority="1" operator="between">
      <formula>1</formula>
      <formula>5</formula>
    </cfRule>
    <cfRule type="cellIs" dxfId="13" priority="2" operator="between">
      <formula>0.85</formula>
      <formula>0.99</formula>
    </cfRule>
    <cfRule type="cellIs" dxfId="12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 filterMode="1">
    <pageSetUpPr fitToPage="1"/>
  </sheetPr>
  <dimension ref="A1:AI169"/>
  <sheetViews>
    <sheetView zoomScaleNormal="100" zoomScaleSheetLayoutView="100" workbookViewId="0">
      <pane xSplit="15" topLeftCell="P1" activePane="topRight" state="frozen"/>
      <selection activeCell="J1" sqref="J1:N1048576"/>
      <selection pane="topRight" activeCell="V124" sqref="V124"/>
    </sheetView>
  </sheetViews>
  <sheetFormatPr baseColWidth="10" defaultColWidth="8.7109375" defaultRowHeight="15" x14ac:dyDescent="0.25"/>
  <cols>
    <col min="1" max="1" width="8.7109375" style="1"/>
    <col min="2" max="2" width="22.2851562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8.7109375" style="1" customWidth="1"/>
    <col min="7" max="7" width="10.5703125" style="1" hidden="1" customWidth="1"/>
    <col min="8" max="8" width="15.42578125" style="1" hidden="1" customWidth="1"/>
    <col min="9" max="9" width="11.7109375" style="1" bestFit="1" customWidth="1"/>
    <col min="10" max="10" width="8.42578125" style="1" customWidth="1"/>
    <col min="11" max="14" width="6.140625" style="1" customWidth="1"/>
    <col min="15" max="15" width="10.140625" style="1" customWidth="1"/>
    <col min="16" max="17" width="9.140625" style="1" customWidth="1"/>
    <col min="18" max="18" width="8.85546875" style="16" customWidth="1"/>
    <col min="19" max="21" width="8.7109375" style="16" customWidth="1"/>
    <col min="22" max="22" width="8.7109375" style="1" customWidth="1"/>
    <col min="23" max="25" width="8.7109375" style="16" customWidth="1"/>
    <col min="26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x14ac:dyDescent="0.25">
      <c r="V1" s="16"/>
    </row>
    <row r="2" spans="1:35" x14ac:dyDescent="0.25">
      <c r="B2" s="4" t="s">
        <v>17</v>
      </c>
      <c r="C2" s="92" t="s">
        <v>18</v>
      </c>
      <c r="D2" s="92"/>
      <c r="V2" s="16"/>
    </row>
    <row r="3" spans="1:35" x14ac:dyDescent="0.25">
      <c r="B3" s="93">
        <f ca="1">TODAY()</f>
        <v>46308</v>
      </c>
      <c r="C3" s="4" t="s">
        <v>15</v>
      </c>
      <c r="D3" s="2" t="s">
        <v>209</v>
      </c>
      <c r="I3" s="4" t="s">
        <v>4</v>
      </c>
      <c r="V3" s="16"/>
    </row>
    <row r="4" spans="1:35" x14ac:dyDescent="0.25">
      <c r="B4" s="93"/>
      <c r="C4" s="4" t="s">
        <v>16</v>
      </c>
      <c r="D4" s="2"/>
      <c r="I4" s="4" t="s">
        <v>5</v>
      </c>
      <c r="J4" s="79" t="s">
        <v>211</v>
      </c>
      <c r="K4" s="79"/>
      <c r="L4" s="79"/>
      <c r="M4" s="79"/>
      <c r="N4" s="79"/>
      <c r="P4" s="122">
        <v>46258</v>
      </c>
      <c r="Q4" s="122"/>
      <c r="R4" s="122">
        <v>46259</v>
      </c>
      <c r="S4" s="122"/>
      <c r="T4" s="122">
        <v>46260</v>
      </c>
      <c r="U4" s="125"/>
      <c r="V4" s="122">
        <v>46261</v>
      </c>
      <c r="W4" s="122"/>
      <c r="X4" s="122">
        <v>46262</v>
      </c>
      <c r="Y4" s="125"/>
      <c r="Z4" s="6" t="s">
        <v>10</v>
      </c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 t="s">
        <v>231</v>
      </c>
      <c r="J5" s="5" t="s">
        <v>232</v>
      </c>
      <c r="K5" s="4" t="s">
        <v>9</v>
      </c>
      <c r="L5" s="4" t="s">
        <v>11</v>
      </c>
      <c r="M5" s="4" t="s">
        <v>12</v>
      </c>
      <c r="N5" s="4"/>
      <c r="O5" s="4" t="s">
        <v>14</v>
      </c>
      <c r="P5" s="4" t="s">
        <v>15</v>
      </c>
      <c r="Q5" s="4" t="s">
        <v>16</v>
      </c>
      <c r="R5" s="17" t="s">
        <v>15</v>
      </c>
      <c r="S5" s="17" t="s">
        <v>16</v>
      </c>
      <c r="T5" s="17" t="s">
        <v>15</v>
      </c>
      <c r="U5" s="17" t="s">
        <v>16</v>
      </c>
      <c r="V5" s="17" t="s">
        <v>15</v>
      </c>
      <c r="W5" s="17" t="s">
        <v>16</v>
      </c>
      <c r="X5" s="17" t="s">
        <v>15</v>
      </c>
      <c r="Y5" s="17" t="s">
        <v>16</v>
      </c>
      <c r="Z5" s="4" t="s">
        <v>20</v>
      </c>
      <c r="AA5" s="4" t="s">
        <v>8</v>
      </c>
      <c r="AB5" s="4" t="s">
        <v>22</v>
      </c>
      <c r="AC5" s="4" t="s">
        <v>145</v>
      </c>
      <c r="AD5" s="4" t="s">
        <v>23</v>
      </c>
      <c r="AE5" s="4" t="s">
        <v>156</v>
      </c>
      <c r="AF5"/>
      <c r="AG5" t="s">
        <v>157</v>
      </c>
      <c r="AH5" t="s">
        <v>159</v>
      </c>
      <c r="AI5"/>
    </row>
    <row r="6" spans="1:35" hidden="1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31"/>
      <c r="J6" s="78">
        <f>VLOOKUP(D6,'SEMANA 34 OK'!D6:O153,12,0)</f>
        <v>0</v>
      </c>
      <c r="K6" s="2"/>
      <c r="L6" s="2"/>
      <c r="M6" s="2"/>
      <c r="N6" s="2"/>
      <c r="O6" s="8">
        <f t="shared" ref="O6:O69" si="0">+I6+J6+K6+L6+M6+N6-SUM(P6:Z6)</f>
        <v>0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7">
        <f t="shared" ref="AA6:AA69" si="1">+G6*SUM(I6:N6)</f>
        <v>0</v>
      </c>
      <c r="AB6" s="8" t="s">
        <v>146</v>
      </c>
      <c r="AC6" s="8">
        <v>150</v>
      </c>
      <c r="AD6" s="8" t="s">
        <v>152</v>
      </c>
      <c r="AE6" s="8">
        <f t="shared" ref="AE6:AE21" si="2">+SUM(I6:N6)/AC6</f>
        <v>0</v>
      </c>
      <c r="AF6"/>
      <c r="AG6" s="15">
        <v>0</v>
      </c>
      <c r="AH6">
        <v>0</v>
      </c>
      <c r="AI6"/>
    </row>
    <row r="7" spans="1:35" hidden="1" x14ac:dyDescent="0.25">
      <c r="A7" s="2">
        <v>2</v>
      </c>
      <c r="B7" s="2" t="s">
        <v>24</v>
      </c>
      <c r="C7" s="2" t="s">
        <v>129</v>
      </c>
      <c r="D7" s="35" t="s">
        <v>26</v>
      </c>
      <c r="E7" s="13">
        <v>0.25</v>
      </c>
      <c r="F7" s="2">
        <v>2.8000000000000001E-2</v>
      </c>
      <c r="G7" s="3"/>
      <c r="H7" s="3"/>
      <c r="I7" s="31"/>
      <c r="J7" s="78">
        <f>VLOOKUP(D7,'SEMANA 34 OK'!D7:O154,12,0)</f>
        <v>-50</v>
      </c>
      <c r="K7" s="2"/>
      <c r="L7" s="2"/>
      <c r="M7" s="2"/>
      <c r="N7" s="2"/>
      <c r="O7" s="8">
        <f t="shared" si="0"/>
        <v>-50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7">
        <f t="shared" si="1"/>
        <v>0</v>
      </c>
      <c r="AB7" s="8" t="s">
        <v>146</v>
      </c>
      <c r="AC7" s="8">
        <v>200</v>
      </c>
      <c r="AD7" s="8" t="s">
        <v>152</v>
      </c>
      <c r="AE7" s="8">
        <f t="shared" si="2"/>
        <v>-0.25</v>
      </c>
      <c r="AF7"/>
      <c r="AG7" s="15" t="s">
        <v>146</v>
      </c>
      <c r="AH7">
        <v>52</v>
      </c>
      <c r="AI7"/>
    </row>
    <row r="8" spans="1:35" hidden="1" x14ac:dyDescent="0.25">
      <c r="A8" s="2">
        <v>3</v>
      </c>
      <c r="B8" s="2" t="s">
        <v>24</v>
      </c>
      <c r="C8" s="2" t="s">
        <v>129</v>
      </c>
      <c r="D8" s="35" t="s">
        <v>27</v>
      </c>
      <c r="E8" s="13">
        <v>0.25</v>
      </c>
      <c r="F8" s="2">
        <v>2.8000000000000001E-2</v>
      </c>
      <c r="G8" s="3"/>
      <c r="H8" s="3"/>
      <c r="I8" s="31"/>
      <c r="J8" s="78">
        <f>VLOOKUP(D8,'SEMANA 34 OK'!D8:O155,12,0)</f>
        <v>-50</v>
      </c>
      <c r="K8" s="2"/>
      <c r="L8" s="2"/>
      <c r="M8" s="2"/>
      <c r="N8" s="2"/>
      <c r="O8" s="71">
        <f t="shared" si="0"/>
        <v>-1650</v>
      </c>
      <c r="P8" s="18"/>
      <c r="Q8" s="18"/>
      <c r="R8" s="18"/>
      <c r="S8" s="18"/>
      <c r="T8" s="18"/>
      <c r="U8" s="18"/>
      <c r="V8" s="71">
        <v>800</v>
      </c>
      <c r="W8" s="18"/>
      <c r="X8" s="18"/>
      <c r="Y8" s="18">
        <v>800</v>
      </c>
      <c r="Z8" s="18"/>
      <c r="AA8" s="7">
        <f t="shared" si="1"/>
        <v>0</v>
      </c>
      <c r="AB8" s="8" t="s">
        <v>146</v>
      </c>
      <c r="AC8" s="8">
        <v>200</v>
      </c>
      <c r="AD8" s="8" t="s">
        <v>152</v>
      </c>
      <c r="AE8" s="8">
        <f t="shared" si="2"/>
        <v>-0.25</v>
      </c>
      <c r="AF8"/>
      <c r="AG8" s="15" t="s">
        <v>155</v>
      </c>
      <c r="AH8">
        <v>0</v>
      </c>
      <c r="AI8"/>
    </row>
    <row r="9" spans="1:35" hidden="1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31"/>
      <c r="J9" s="78">
        <f>VLOOKUP(D9,'SEMANA 34 OK'!D9:O156,12,0)</f>
        <v>-774</v>
      </c>
      <c r="K9" s="2"/>
      <c r="L9" s="2"/>
      <c r="M9" s="2"/>
      <c r="N9" s="2"/>
      <c r="O9" s="8">
        <f>+I9+J9+K9+L9+M9+N9-SUM(P9:Z9)</f>
        <v>-774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7">
        <f t="shared" si="1"/>
        <v>0</v>
      </c>
      <c r="AB9" s="8" t="s">
        <v>146</v>
      </c>
      <c r="AC9" s="8">
        <v>100</v>
      </c>
      <c r="AD9" s="8" t="s">
        <v>152</v>
      </c>
      <c r="AE9" s="8">
        <f t="shared" si="2"/>
        <v>-7.74</v>
      </c>
      <c r="AF9"/>
      <c r="AG9" s="15" t="s">
        <v>147</v>
      </c>
      <c r="AH9">
        <v>116</v>
      </c>
      <c r="AI9"/>
    </row>
    <row r="10" spans="1:35" hidden="1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31"/>
      <c r="J10" s="78">
        <f>VLOOKUP(D10,'SEMANA 34 OK'!D10:O157,12,0)</f>
        <v>55</v>
      </c>
      <c r="K10" s="2"/>
      <c r="L10" s="2"/>
      <c r="M10" s="2"/>
      <c r="N10" s="2"/>
      <c r="O10" s="8">
        <f>+I10+J10+K10+L10+M10+N10-SUM(P10:Z10)</f>
        <v>0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71">
        <v>55</v>
      </c>
      <c r="AA10" s="7">
        <f t="shared" si="1"/>
        <v>0</v>
      </c>
      <c r="AB10" s="8" t="s">
        <v>146</v>
      </c>
      <c r="AC10" s="8">
        <v>150</v>
      </c>
      <c r="AD10" s="8" t="s">
        <v>152</v>
      </c>
      <c r="AE10" s="8">
        <f t="shared" si="2"/>
        <v>0.36666666666666664</v>
      </c>
      <c r="AF10"/>
      <c r="AG10" s="15" t="s">
        <v>150</v>
      </c>
      <c r="AH10">
        <v>2</v>
      </c>
      <c r="AI10"/>
    </row>
    <row r="11" spans="1:35" hidden="1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31">
        <v>1435</v>
      </c>
      <c r="J11" s="78"/>
      <c r="K11" s="2"/>
      <c r="L11" s="2"/>
      <c r="M11" s="2"/>
      <c r="N11" s="2"/>
      <c r="O11" s="8">
        <f>+I11+J11+K11+L11+M11+N11-SUM(P11:Z11)</f>
        <v>7</v>
      </c>
      <c r="P11" s="18"/>
      <c r="Q11" s="18"/>
      <c r="R11" s="18"/>
      <c r="S11" s="18"/>
      <c r="T11" s="18">
        <v>1428</v>
      </c>
      <c r="U11" s="18"/>
      <c r="V11" s="18"/>
      <c r="W11" s="18"/>
      <c r="X11" s="18"/>
      <c r="Y11" s="18"/>
      <c r="Z11" s="18"/>
      <c r="AA11" s="7">
        <f t="shared" si="1"/>
        <v>0</v>
      </c>
      <c r="AB11" s="8" t="s">
        <v>146</v>
      </c>
      <c r="AC11" s="8">
        <v>150</v>
      </c>
      <c r="AD11" s="8" t="s">
        <v>152</v>
      </c>
      <c r="AE11" s="8">
        <f t="shared" si="2"/>
        <v>9.5666666666666664</v>
      </c>
      <c r="AF11"/>
      <c r="AG11" s="15" t="s">
        <v>149</v>
      </c>
      <c r="AH11">
        <v>10</v>
      </c>
      <c r="AI11"/>
    </row>
    <row r="12" spans="1:35" hidden="1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31">
        <v>2200</v>
      </c>
      <c r="J12" s="78">
        <f>VLOOKUP(D12,'SEMANA 34 OK'!D12:O159,12,0)</f>
        <v>-2230</v>
      </c>
      <c r="K12" s="2"/>
      <c r="L12" s="2"/>
      <c r="M12" s="2"/>
      <c r="N12" s="2"/>
      <c r="O12" s="71">
        <f t="shared" si="0"/>
        <v>-835</v>
      </c>
      <c r="P12" s="18"/>
      <c r="Q12" s="18"/>
      <c r="R12" s="18"/>
      <c r="S12" s="18"/>
      <c r="T12" s="18"/>
      <c r="U12" s="18"/>
      <c r="V12" s="71">
        <v>805</v>
      </c>
      <c r="W12" s="18"/>
      <c r="X12" s="18"/>
      <c r="Y12" s="18"/>
      <c r="Z12" s="18"/>
      <c r="AA12" s="7">
        <f t="shared" si="1"/>
        <v>0</v>
      </c>
      <c r="AB12" s="8" t="s">
        <v>146</v>
      </c>
      <c r="AC12" s="8">
        <v>50</v>
      </c>
      <c r="AD12" s="8" t="s">
        <v>152</v>
      </c>
      <c r="AE12" s="8">
        <f t="shared" si="2"/>
        <v>-0.6</v>
      </c>
      <c r="AF12"/>
      <c r="AG12" s="15" t="s">
        <v>158</v>
      </c>
      <c r="AH12">
        <v>180</v>
      </c>
      <c r="AI12"/>
    </row>
    <row r="13" spans="1:35" hidden="1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31"/>
      <c r="J13" s="78">
        <f>VLOOKUP(D13,'SEMANA 34 OK'!D13:O160,12,0)</f>
        <v>0</v>
      </c>
      <c r="K13" s="2"/>
      <c r="L13" s="2"/>
      <c r="M13" s="2"/>
      <c r="N13" s="2"/>
      <c r="O13" s="8">
        <f t="shared" si="0"/>
        <v>-1283</v>
      </c>
      <c r="P13" s="18"/>
      <c r="Q13" s="18"/>
      <c r="R13" s="18"/>
      <c r="S13" s="18"/>
      <c r="T13" s="18"/>
      <c r="U13" s="18">
        <v>857</v>
      </c>
      <c r="V13" s="71">
        <v>426</v>
      </c>
      <c r="W13" s="18"/>
      <c r="X13" s="18"/>
      <c r="Y13" s="18"/>
      <c r="Z13" s="18"/>
      <c r="AA13" s="7">
        <f t="shared" si="1"/>
        <v>0</v>
      </c>
      <c r="AB13" s="8" t="s">
        <v>146</v>
      </c>
      <c r="AC13" s="8">
        <v>100</v>
      </c>
      <c r="AD13" s="8" t="s">
        <v>152</v>
      </c>
      <c r="AE13" s="8">
        <f t="shared" si="2"/>
        <v>0</v>
      </c>
      <c r="AF13"/>
      <c r="AG13"/>
      <c r="AH13"/>
      <c r="AI13"/>
    </row>
    <row r="14" spans="1:35" hidden="1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31"/>
      <c r="J14" s="78">
        <f>VLOOKUP(D14,'SEMANA 34 OK'!D14:O161,12,0)</f>
        <v>-6</v>
      </c>
      <c r="K14" s="2"/>
      <c r="L14" s="2"/>
      <c r="M14" s="2"/>
      <c r="N14" s="2"/>
      <c r="O14" s="8">
        <f t="shared" si="0"/>
        <v>-6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7">
        <f t="shared" si="1"/>
        <v>0</v>
      </c>
      <c r="AB14" s="8" t="s">
        <v>146</v>
      </c>
      <c r="AC14" s="8">
        <v>50</v>
      </c>
      <c r="AD14" s="8" t="s">
        <v>152</v>
      </c>
      <c r="AE14" s="8">
        <f t="shared" si="2"/>
        <v>-0.12</v>
      </c>
      <c r="AF14"/>
      <c r="AG14"/>
      <c r="AH14"/>
      <c r="AI14"/>
    </row>
    <row r="15" spans="1:35" hidden="1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31"/>
      <c r="J15" s="78">
        <f>VLOOKUP(D15,'SEMANA 34 OK'!D15:O162,12,0)</f>
        <v>0</v>
      </c>
      <c r="K15" s="2"/>
      <c r="L15" s="2"/>
      <c r="M15" s="2"/>
      <c r="N15" s="2"/>
      <c r="O15" s="8">
        <f t="shared" si="0"/>
        <v>0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7">
        <f t="shared" si="1"/>
        <v>0</v>
      </c>
      <c r="AB15" s="8" t="s">
        <v>147</v>
      </c>
      <c r="AC15" s="8">
        <v>60</v>
      </c>
      <c r="AD15" s="8" t="s">
        <v>152</v>
      </c>
      <c r="AE15" s="8">
        <f t="shared" si="2"/>
        <v>0</v>
      </c>
      <c r="AF15"/>
      <c r="AG15"/>
      <c r="AH15"/>
      <c r="AI15"/>
    </row>
    <row r="16" spans="1:35" hidden="1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31">
        <v>6400</v>
      </c>
      <c r="J16" s="78">
        <f>VLOOKUP(D16,'SEMANA 34 OK'!D16:O163,12,0)</f>
        <v>3487</v>
      </c>
      <c r="K16" s="2"/>
      <c r="L16" s="2"/>
      <c r="M16" s="2"/>
      <c r="N16" s="2"/>
      <c r="O16" s="8">
        <f t="shared" si="0"/>
        <v>9387</v>
      </c>
      <c r="P16" s="18"/>
      <c r="Q16" s="18"/>
      <c r="R16" s="18"/>
      <c r="S16" s="18"/>
      <c r="T16" s="18"/>
      <c r="U16" s="18"/>
      <c r="V16" s="18"/>
      <c r="W16" s="18"/>
      <c r="X16" s="18"/>
      <c r="Y16" s="18">
        <v>500</v>
      </c>
      <c r="Z16" s="18"/>
      <c r="AA16" s="7">
        <f t="shared" si="1"/>
        <v>0</v>
      </c>
      <c r="AB16" s="8" t="s">
        <v>148</v>
      </c>
      <c r="AC16" s="8">
        <v>100</v>
      </c>
      <c r="AD16" s="8" t="s">
        <v>152</v>
      </c>
      <c r="AE16" s="8">
        <f t="shared" si="2"/>
        <v>98.87</v>
      </c>
      <c r="AF16"/>
      <c r="AG16"/>
      <c r="AH16"/>
      <c r="AI16"/>
    </row>
    <row r="17" spans="1:35" hidden="1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31"/>
      <c r="J17" s="78">
        <f>VLOOKUP(D17,'SEMANA 34 OK'!D17:O164,12,0)</f>
        <v>-14</v>
      </c>
      <c r="K17" s="2"/>
      <c r="L17" s="2"/>
      <c r="M17" s="2"/>
      <c r="N17" s="2"/>
      <c r="O17" s="8">
        <f t="shared" si="0"/>
        <v>-14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7">
        <f t="shared" si="1"/>
        <v>0</v>
      </c>
      <c r="AB17" s="8" t="s">
        <v>149</v>
      </c>
      <c r="AC17" s="8">
        <v>100</v>
      </c>
      <c r="AD17" s="8" t="s">
        <v>152</v>
      </c>
      <c r="AE17" s="8">
        <f t="shared" si="2"/>
        <v>-0.14000000000000001</v>
      </c>
      <c r="AF17"/>
      <c r="AG17"/>
      <c r="AH17"/>
      <c r="AI17"/>
    </row>
    <row r="18" spans="1:35" hidden="1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31"/>
      <c r="J18" s="78">
        <f>VLOOKUP(D18,'SEMANA 34 OK'!D18:O165,12,0)</f>
        <v>0</v>
      </c>
      <c r="K18" s="2"/>
      <c r="L18" s="2"/>
      <c r="M18" s="2"/>
      <c r="N18" s="2"/>
      <c r="O18" s="8">
        <f t="shared" si="0"/>
        <v>0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7">
        <f t="shared" si="1"/>
        <v>0</v>
      </c>
      <c r="AB18" s="8" t="s">
        <v>149</v>
      </c>
      <c r="AC18" s="8">
        <v>100</v>
      </c>
      <c r="AD18" s="8" t="s">
        <v>152</v>
      </c>
      <c r="AE18" s="8">
        <f t="shared" si="2"/>
        <v>0</v>
      </c>
      <c r="AF18"/>
      <c r="AG18"/>
      <c r="AH18"/>
      <c r="AI18"/>
    </row>
    <row r="19" spans="1:35" hidden="1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31"/>
      <c r="J19" s="78">
        <f>VLOOKUP(D19,'SEMANA 34 OK'!D19:O166,12,0)</f>
        <v>0</v>
      </c>
      <c r="K19" s="2"/>
      <c r="L19" s="2"/>
      <c r="M19" s="2"/>
      <c r="N19" s="2"/>
      <c r="O19" s="8">
        <f t="shared" si="0"/>
        <v>0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7">
        <f t="shared" si="1"/>
        <v>0</v>
      </c>
      <c r="AB19" s="8" t="s">
        <v>149</v>
      </c>
      <c r="AC19" s="8">
        <v>100</v>
      </c>
      <c r="AD19" s="8" t="s">
        <v>152</v>
      </c>
      <c r="AE19" s="8">
        <f t="shared" si="2"/>
        <v>0</v>
      </c>
      <c r="AF19"/>
      <c r="AG19"/>
      <c r="AH19"/>
      <c r="AI19"/>
    </row>
    <row r="20" spans="1:35" hidden="1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31"/>
      <c r="J20" s="78">
        <f>VLOOKUP(D20,'SEMANA 34 OK'!D20:O167,12,0)</f>
        <v>0</v>
      </c>
      <c r="K20" s="2"/>
      <c r="L20" s="2"/>
      <c r="M20" s="2"/>
      <c r="N20" s="2"/>
      <c r="O20" s="8">
        <f t="shared" si="0"/>
        <v>0</v>
      </c>
      <c r="P20" s="18"/>
      <c r="Q20" s="18"/>
      <c r="R20" s="18"/>
      <c r="S20" s="18"/>
      <c r="T20" s="18"/>
      <c r="U20" s="18"/>
      <c r="V20" s="18"/>
      <c r="W20" s="18"/>
      <c r="X20" s="17"/>
      <c r="Y20" s="18"/>
      <c r="Z20" s="18"/>
      <c r="AA20" s="7">
        <f t="shared" si="1"/>
        <v>0</v>
      </c>
      <c r="AB20" s="8" t="s">
        <v>149</v>
      </c>
      <c r="AC20" s="8">
        <v>80</v>
      </c>
      <c r="AD20" s="8" t="s">
        <v>152</v>
      </c>
      <c r="AE20" s="8">
        <f t="shared" si="2"/>
        <v>0</v>
      </c>
      <c r="AF20"/>
      <c r="AG20"/>
      <c r="AH20"/>
      <c r="AI20"/>
    </row>
    <row r="21" spans="1:35" hidden="1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31"/>
      <c r="J21" s="78">
        <f>VLOOKUP(D21,'SEMANA 34 OK'!D21:O168,12,0)</f>
        <v>0</v>
      </c>
      <c r="K21" s="2"/>
      <c r="L21" s="2"/>
      <c r="M21" s="2"/>
      <c r="N21" s="2"/>
      <c r="O21" s="8">
        <f t="shared" si="0"/>
        <v>0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7">
        <f t="shared" si="1"/>
        <v>0</v>
      </c>
      <c r="AB21" s="8" t="s">
        <v>149</v>
      </c>
      <c r="AC21" s="8">
        <v>100</v>
      </c>
      <c r="AD21" s="8" t="s">
        <v>152</v>
      </c>
      <c r="AE21" s="8">
        <f t="shared" si="2"/>
        <v>0</v>
      </c>
      <c r="AF21"/>
      <c r="AG21"/>
      <c r="AH21"/>
      <c r="AI21"/>
    </row>
    <row r="22" spans="1:35" hidden="1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31"/>
      <c r="J22" s="78">
        <f>VLOOKUP(D22,'SEMANA 34 OK'!D22:O169,12,0)</f>
        <v>0</v>
      </c>
      <c r="K22" s="2"/>
      <c r="L22" s="2"/>
      <c r="M22" s="2"/>
      <c r="N22" s="2"/>
      <c r="O22" s="8">
        <f t="shared" si="0"/>
        <v>0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7">
        <f t="shared" si="1"/>
        <v>0</v>
      </c>
      <c r="AB22" s="8">
        <v>0</v>
      </c>
      <c r="AC22" s="8">
        <v>0</v>
      </c>
      <c r="AD22" s="8" t="s">
        <v>152</v>
      </c>
      <c r="AE22" s="8">
        <v>0</v>
      </c>
      <c r="AF22"/>
      <c r="AG22"/>
      <c r="AH22"/>
      <c r="AI22"/>
    </row>
    <row r="23" spans="1:35" hidden="1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31"/>
      <c r="J23" s="78">
        <f>VLOOKUP(D23,'SEMANA 34 OK'!D23:O170,12,0)</f>
        <v>0</v>
      </c>
      <c r="K23" s="2"/>
      <c r="L23" s="2"/>
      <c r="M23" s="2"/>
      <c r="N23" s="2"/>
      <c r="O23" s="8">
        <f t="shared" si="0"/>
        <v>0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7">
        <f t="shared" si="1"/>
        <v>0</v>
      </c>
      <c r="AB23" s="8">
        <v>0</v>
      </c>
      <c r="AC23" s="8">
        <v>0</v>
      </c>
      <c r="AD23" s="8" t="s">
        <v>152</v>
      </c>
      <c r="AE23" s="8">
        <v>0</v>
      </c>
      <c r="AF23"/>
    </row>
    <row r="24" spans="1:35" hidden="1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31"/>
      <c r="J24" s="78">
        <f>VLOOKUP(D24,'SEMANA 34 OK'!D24:O171,12,0)</f>
        <v>0</v>
      </c>
      <c r="K24" s="2"/>
      <c r="L24" s="2"/>
      <c r="M24" s="2"/>
      <c r="N24" s="2"/>
      <c r="O24" s="8">
        <f t="shared" si="0"/>
        <v>0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7">
        <f t="shared" si="1"/>
        <v>0</v>
      </c>
      <c r="AB24" s="8">
        <v>0</v>
      </c>
      <c r="AC24" s="8">
        <v>0</v>
      </c>
      <c r="AD24" s="8" t="s">
        <v>152</v>
      </c>
      <c r="AE24" s="8">
        <v>0</v>
      </c>
      <c r="AF24"/>
    </row>
    <row r="25" spans="1:35" hidden="1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31"/>
      <c r="J25" s="78">
        <f>VLOOKUP(D25,'SEMANA 34 OK'!D25:O172,12,0)</f>
        <v>0</v>
      </c>
      <c r="K25" s="2"/>
      <c r="L25" s="2"/>
      <c r="M25" s="2"/>
      <c r="N25" s="2"/>
      <c r="O25" s="8">
        <f t="shared" si="0"/>
        <v>0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7">
        <f t="shared" si="1"/>
        <v>0</v>
      </c>
      <c r="AB25" s="8">
        <v>0</v>
      </c>
      <c r="AC25" s="8">
        <v>0</v>
      </c>
      <c r="AD25" s="8" t="s">
        <v>152</v>
      </c>
      <c r="AE25" s="8">
        <v>0</v>
      </c>
      <c r="AF25"/>
    </row>
    <row r="26" spans="1:35" hidden="1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31"/>
      <c r="J26" s="78">
        <f>VLOOKUP(D26,'SEMANA 34 OK'!D26:O173,12,0)</f>
        <v>0</v>
      </c>
      <c r="K26" s="2"/>
      <c r="L26" s="2"/>
      <c r="M26" s="2"/>
      <c r="N26" s="2"/>
      <c r="O26" s="8">
        <f t="shared" si="0"/>
        <v>0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7">
        <f t="shared" si="1"/>
        <v>0</v>
      </c>
      <c r="AB26" s="8">
        <v>0</v>
      </c>
      <c r="AC26" s="8">
        <v>0</v>
      </c>
      <c r="AD26" s="8" t="s">
        <v>152</v>
      </c>
      <c r="AE26" s="8">
        <v>0</v>
      </c>
      <c r="AF26"/>
    </row>
    <row r="27" spans="1:35" hidden="1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31"/>
      <c r="J27" s="78">
        <f>VLOOKUP(D27,'SEMANA 34 OK'!D27:O174,12,0)</f>
        <v>0</v>
      </c>
      <c r="K27" s="2"/>
      <c r="L27" s="2"/>
      <c r="M27" s="2"/>
      <c r="N27" s="2"/>
      <c r="O27" s="8">
        <f t="shared" si="0"/>
        <v>0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7">
        <f t="shared" si="1"/>
        <v>0</v>
      </c>
      <c r="AB27" s="8">
        <v>0</v>
      </c>
      <c r="AC27" s="8">
        <v>0</v>
      </c>
      <c r="AD27" s="8" t="s">
        <v>152</v>
      </c>
      <c r="AE27" s="8">
        <v>0</v>
      </c>
      <c r="AF27"/>
    </row>
    <row r="28" spans="1:35" hidden="1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31"/>
      <c r="J28" s="78">
        <f>VLOOKUP(D28,'SEMANA 34 OK'!D28:O175,12,0)</f>
        <v>0</v>
      </c>
      <c r="K28" s="2"/>
      <c r="L28" s="2"/>
      <c r="M28" s="2"/>
      <c r="N28" s="2"/>
      <c r="O28" s="8">
        <f t="shared" si="0"/>
        <v>0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7">
        <f t="shared" si="1"/>
        <v>0</v>
      </c>
      <c r="AB28" s="8">
        <v>0</v>
      </c>
      <c r="AC28" s="8">
        <v>0</v>
      </c>
      <c r="AD28" s="8" t="s">
        <v>152</v>
      </c>
      <c r="AE28" s="8">
        <v>0</v>
      </c>
      <c r="AF28"/>
    </row>
    <row r="29" spans="1:35" hidden="1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31"/>
      <c r="J29" s="78">
        <f>VLOOKUP(D29,'SEMANA 34 OK'!D29:O176,12,0)</f>
        <v>0</v>
      </c>
      <c r="K29" s="2"/>
      <c r="L29" s="2"/>
      <c r="M29" s="2"/>
      <c r="N29" s="2"/>
      <c r="O29" s="8">
        <f t="shared" si="0"/>
        <v>0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7">
        <f t="shared" si="1"/>
        <v>0</v>
      </c>
      <c r="AB29" s="8">
        <v>0</v>
      </c>
      <c r="AC29" s="8">
        <v>0</v>
      </c>
      <c r="AD29" s="8" t="s">
        <v>152</v>
      </c>
      <c r="AE29" s="8">
        <v>0</v>
      </c>
      <c r="AF29"/>
    </row>
    <row r="30" spans="1:35" hidden="1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31"/>
      <c r="J30" s="78">
        <f>VLOOKUP(D30,'SEMANA 34 OK'!D30:O177,12,0)</f>
        <v>0</v>
      </c>
      <c r="K30" s="2"/>
      <c r="L30" s="2"/>
      <c r="M30" s="2"/>
      <c r="N30" s="2"/>
      <c r="O30" s="8">
        <f t="shared" si="0"/>
        <v>0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7">
        <f t="shared" si="1"/>
        <v>0</v>
      </c>
      <c r="AB30" s="8">
        <v>0</v>
      </c>
      <c r="AC30" s="8">
        <v>0</v>
      </c>
      <c r="AD30" s="8" t="s">
        <v>152</v>
      </c>
      <c r="AE30" s="8">
        <v>0</v>
      </c>
      <c r="AF30"/>
    </row>
    <row r="31" spans="1:35" hidden="1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31"/>
      <c r="J31" s="78">
        <f>VLOOKUP(D31,'SEMANA 34 OK'!D31:O178,12,0)</f>
        <v>0</v>
      </c>
      <c r="K31" s="2"/>
      <c r="L31" s="2"/>
      <c r="M31" s="2"/>
      <c r="N31" s="2"/>
      <c r="O31" s="8">
        <f t="shared" si="0"/>
        <v>0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7">
        <f t="shared" si="1"/>
        <v>0</v>
      </c>
      <c r="AB31" s="8">
        <v>0</v>
      </c>
      <c r="AC31" s="8">
        <v>0</v>
      </c>
      <c r="AD31" s="8" t="s">
        <v>152</v>
      </c>
      <c r="AE31" s="8">
        <v>0</v>
      </c>
      <c r="AF31"/>
    </row>
    <row r="32" spans="1:35" hidden="1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31"/>
      <c r="J32" s="78">
        <f>VLOOKUP(D32,'SEMANA 34 OK'!D32:O179,12,0)</f>
        <v>0</v>
      </c>
      <c r="K32" s="2"/>
      <c r="L32" s="2"/>
      <c r="M32" s="2"/>
      <c r="N32" s="2"/>
      <c r="O32" s="8">
        <f t="shared" si="0"/>
        <v>0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7">
        <f t="shared" si="1"/>
        <v>0</v>
      </c>
      <c r="AB32" s="8">
        <v>0</v>
      </c>
      <c r="AC32" s="8">
        <v>0</v>
      </c>
      <c r="AD32" s="8" t="s">
        <v>152</v>
      </c>
      <c r="AE32" s="8">
        <v>0</v>
      </c>
      <c r="AF32"/>
    </row>
    <row r="33" spans="1:32" hidden="1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31"/>
      <c r="J33" s="78">
        <f>VLOOKUP(D33,'SEMANA 34 OK'!D33:O180,12,0)</f>
        <v>0</v>
      </c>
      <c r="K33" s="2"/>
      <c r="L33" s="2"/>
      <c r="M33" s="2"/>
      <c r="N33" s="2"/>
      <c r="O33" s="8">
        <f>+I33+J33+K33+L33+M33+N33-SUM(P33:Z33)</f>
        <v>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7">
        <f t="shared" si="1"/>
        <v>0</v>
      </c>
      <c r="AB33" s="8">
        <v>0</v>
      </c>
      <c r="AC33" s="8">
        <v>0</v>
      </c>
      <c r="AD33" s="8" t="s">
        <v>152</v>
      </c>
      <c r="AE33" s="8">
        <v>0</v>
      </c>
      <c r="AF33"/>
    </row>
    <row r="34" spans="1:32" hidden="1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31"/>
      <c r="J34" s="78">
        <f>VLOOKUP(D34,'SEMANA 34 OK'!D34:O181,12,0)</f>
        <v>0</v>
      </c>
      <c r="K34" s="2"/>
      <c r="L34" s="2"/>
      <c r="M34" s="2"/>
      <c r="N34" s="2"/>
      <c r="O34" s="8">
        <f t="shared" si="0"/>
        <v>0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7">
        <f t="shared" si="1"/>
        <v>0</v>
      </c>
      <c r="AB34" s="8">
        <v>0</v>
      </c>
      <c r="AC34" s="8">
        <v>0</v>
      </c>
      <c r="AD34" s="8" t="s">
        <v>152</v>
      </c>
      <c r="AE34" s="8">
        <v>0</v>
      </c>
      <c r="AF34"/>
    </row>
    <row r="35" spans="1:32" hidden="1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31"/>
      <c r="J35" s="78">
        <f>VLOOKUP(D35,'SEMANA 34 OK'!D35:O182,12,0)</f>
        <v>0</v>
      </c>
      <c r="K35" s="2"/>
      <c r="L35" s="2"/>
      <c r="M35" s="2"/>
      <c r="N35" s="2"/>
      <c r="O35" s="8">
        <f t="shared" si="0"/>
        <v>0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7">
        <f t="shared" si="1"/>
        <v>0</v>
      </c>
      <c r="AB35" s="8">
        <v>0</v>
      </c>
      <c r="AC35" s="8">
        <v>0</v>
      </c>
      <c r="AD35" s="8" t="s">
        <v>152</v>
      </c>
      <c r="AE35" s="8">
        <v>0</v>
      </c>
      <c r="AF35"/>
    </row>
    <row r="36" spans="1:32" hidden="1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31">
        <v>2500</v>
      </c>
      <c r="J36" s="78">
        <f>VLOOKUP(D36,'SEMANA 34 OK'!D36:O183,12,0)</f>
        <v>-2412</v>
      </c>
      <c r="K36" s="2"/>
      <c r="L36" s="2"/>
      <c r="M36" s="2"/>
      <c r="N36" s="2"/>
      <c r="O36" s="8">
        <f t="shared" si="0"/>
        <v>0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71">
        <v>88</v>
      </c>
      <c r="AA36" s="7">
        <f t="shared" si="1"/>
        <v>0</v>
      </c>
      <c r="AB36" s="8" t="s">
        <v>149</v>
      </c>
      <c r="AC36" s="8">
        <v>200</v>
      </c>
      <c r="AD36" s="8" t="s">
        <v>152</v>
      </c>
      <c r="AE36" s="8">
        <f t="shared" ref="AE36:AE45" si="3">+SUM(I36:N36)/AC36</f>
        <v>0.44</v>
      </c>
      <c r="AF36"/>
    </row>
    <row r="37" spans="1:32" hidden="1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31">
        <v>2100</v>
      </c>
      <c r="J37" s="78">
        <f>VLOOKUP(D37,'SEMANA 34 OK'!D37:O184,12,0)</f>
        <v>130</v>
      </c>
      <c r="K37" s="2"/>
      <c r="L37" s="2"/>
      <c r="M37" s="2"/>
      <c r="N37" s="2"/>
      <c r="O37" s="8">
        <f t="shared" si="0"/>
        <v>-34</v>
      </c>
      <c r="P37" s="18"/>
      <c r="Q37" s="18"/>
      <c r="R37" s="18">
        <v>250</v>
      </c>
      <c r="S37" s="18">
        <v>1500</v>
      </c>
      <c r="T37" s="18">
        <v>514</v>
      </c>
      <c r="U37" s="18"/>
      <c r="V37" s="18"/>
      <c r="W37" s="18"/>
      <c r="X37" s="18"/>
      <c r="Y37" s="18"/>
      <c r="Z37" s="18"/>
      <c r="AA37" s="7">
        <f t="shared" si="1"/>
        <v>0</v>
      </c>
      <c r="AB37" s="8" t="s">
        <v>149</v>
      </c>
      <c r="AC37" s="8">
        <v>100</v>
      </c>
      <c r="AD37" s="8" t="s">
        <v>152</v>
      </c>
      <c r="AE37" s="8">
        <f t="shared" si="3"/>
        <v>22.3</v>
      </c>
      <c r="AF37"/>
    </row>
    <row r="38" spans="1:32" hidden="1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31">
        <v>1328</v>
      </c>
      <c r="J38" s="78"/>
      <c r="K38" s="2"/>
      <c r="L38" s="2"/>
      <c r="M38" s="2"/>
      <c r="N38" s="2"/>
      <c r="O38" s="8">
        <f t="shared" si="0"/>
        <v>-961</v>
      </c>
      <c r="P38" s="18">
        <v>270</v>
      </c>
      <c r="Q38" s="18">
        <v>725</v>
      </c>
      <c r="R38" s="18">
        <v>367</v>
      </c>
      <c r="S38" s="18"/>
      <c r="T38" s="18"/>
      <c r="U38" s="18"/>
      <c r="V38" s="18">
        <v>927</v>
      </c>
      <c r="W38" s="18"/>
      <c r="X38" s="18"/>
      <c r="Y38" s="18"/>
      <c r="Z38" s="18"/>
      <c r="AA38" s="7">
        <f t="shared" si="1"/>
        <v>0</v>
      </c>
      <c r="AB38" s="8" t="s">
        <v>149</v>
      </c>
      <c r="AC38" s="8">
        <v>100</v>
      </c>
      <c r="AD38" s="8" t="s">
        <v>152</v>
      </c>
      <c r="AE38" s="8">
        <f t="shared" si="3"/>
        <v>13.28</v>
      </c>
      <c r="AF38"/>
    </row>
    <row r="39" spans="1:32" hidden="1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31">
        <v>600</v>
      </c>
      <c r="J39" s="78">
        <f>VLOOKUP(D39,'SEMANA 34 OK'!D39:O186,12,0)</f>
        <v>1300</v>
      </c>
      <c r="K39" s="2"/>
      <c r="L39" s="2"/>
      <c r="M39" s="2"/>
      <c r="N39" s="2"/>
      <c r="O39" s="8">
        <f t="shared" si="0"/>
        <v>-12</v>
      </c>
      <c r="P39" s="18"/>
      <c r="Q39" s="18"/>
      <c r="R39" s="18"/>
      <c r="S39" s="18"/>
      <c r="T39" s="18">
        <v>1912</v>
      </c>
      <c r="U39" s="18"/>
      <c r="V39" s="18"/>
      <c r="W39" s="18"/>
      <c r="X39" s="18"/>
      <c r="Y39" s="18"/>
      <c r="Z39" s="18"/>
      <c r="AA39" s="7">
        <f t="shared" si="1"/>
        <v>0</v>
      </c>
      <c r="AB39" s="8" t="s">
        <v>150</v>
      </c>
      <c r="AC39" s="8">
        <v>2000</v>
      </c>
      <c r="AD39" s="8" t="s">
        <v>152</v>
      </c>
      <c r="AE39" s="8">
        <f t="shared" si="3"/>
        <v>0.95</v>
      </c>
      <c r="AF39"/>
    </row>
    <row r="40" spans="1:32" hidden="1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31"/>
      <c r="J40" s="78">
        <f>VLOOKUP(D40,'SEMANA 34 OK'!D40:O187,12,0)</f>
        <v>350</v>
      </c>
      <c r="K40" s="2"/>
      <c r="L40" s="2"/>
      <c r="M40" s="2"/>
      <c r="N40" s="2"/>
      <c r="O40" s="8">
        <f t="shared" si="0"/>
        <v>350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7">
        <f t="shared" si="1"/>
        <v>0</v>
      </c>
      <c r="AB40" s="8" t="s">
        <v>150</v>
      </c>
      <c r="AC40" s="8">
        <v>500</v>
      </c>
      <c r="AD40" s="8" t="s">
        <v>152</v>
      </c>
      <c r="AE40" s="8">
        <f t="shared" si="3"/>
        <v>0.7</v>
      </c>
      <c r="AF40"/>
    </row>
    <row r="41" spans="1:32" hidden="1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31">
        <v>100</v>
      </c>
      <c r="J41" s="78">
        <f>VLOOKUP(D41,'SEMANA 34 OK'!D41:O188,12,0)</f>
        <v>0</v>
      </c>
      <c r="K41" s="2"/>
      <c r="L41" s="2"/>
      <c r="M41" s="2"/>
      <c r="N41" s="2"/>
      <c r="O41" s="8">
        <f t="shared" si="0"/>
        <v>100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7">
        <f t="shared" si="1"/>
        <v>0</v>
      </c>
      <c r="AB41" s="8" t="s">
        <v>150</v>
      </c>
      <c r="AC41" s="8">
        <v>250</v>
      </c>
      <c r="AD41" s="8" t="s">
        <v>152</v>
      </c>
      <c r="AE41" s="8">
        <f t="shared" si="3"/>
        <v>0.4</v>
      </c>
      <c r="AF41"/>
    </row>
    <row r="42" spans="1:32" hidden="1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31"/>
      <c r="J42" s="78">
        <f>VLOOKUP(D42,'SEMANA 34 OK'!D42:O189,12,0)</f>
        <v>1647</v>
      </c>
      <c r="K42" s="2"/>
      <c r="L42" s="2"/>
      <c r="M42" s="2"/>
      <c r="N42" s="2"/>
      <c r="O42" s="8">
        <f t="shared" si="0"/>
        <v>1647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7">
        <f t="shared" si="1"/>
        <v>0</v>
      </c>
      <c r="AB42" s="8" t="s">
        <v>150</v>
      </c>
      <c r="AC42" s="8">
        <v>300</v>
      </c>
      <c r="AD42" s="8" t="s">
        <v>152</v>
      </c>
      <c r="AE42" s="8">
        <f t="shared" si="3"/>
        <v>5.49</v>
      </c>
      <c r="AF42"/>
    </row>
    <row r="43" spans="1:32" hidden="1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31"/>
      <c r="J43" s="78">
        <f>VLOOKUP(D43,'SEMANA 34 OK'!D43:O190,12,0)</f>
        <v>1747</v>
      </c>
      <c r="K43" s="2"/>
      <c r="L43" s="2"/>
      <c r="M43" s="2"/>
      <c r="N43" s="2"/>
      <c r="O43" s="8">
        <f t="shared" si="0"/>
        <v>1747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7">
        <f t="shared" si="1"/>
        <v>0</v>
      </c>
      <c r="AB43" s="8" t="s">
        <v>150</v>
      </c>
      <c r="AC43" s="8">
        <v>300</v>
      </c>
      <c r="AD43" s="8" t="s">
        <v>152</v>
      </c>
      <c r="AE43" s="8">
        <f t="shared" si="3"/>
        <v>5.8233333333333333</v>
      </c>
      <c r="AF43"/>
    </row>
    <row r="44" spans="1:32" hidden="1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31"/>
      <c r="J44" s="78">
        <f>VLOOKUP(D44,'SEMANA 34 OK'!D44:O191,12,0)</f>
        <v>1100</v>
      </c>
      <c r="K44" s="2"/>
      <c r="L44" s="2"/>
      <c r="M44" s="2"/>
      <c r="N44" s="2"/>
      <c r="O44" s="8">
        <f t="shared" si="0"/>
        <v>1100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7">
        <f t="shared" si="1"/>
        <v>0</v>
      </c>
      <c r="AB44" s="8" t="s">
        <v>150</v>
      </c>
      <c r="AC44" s="8">
        <v>2000</v>
      </c>
      <c r="AD44" s="8" t="s">
        <v>152</v>
      </c>
      <c r="AE44" s="8">
        <f t="shared" si="3"/>
        <v>0.55000000000000004</v>
      </c>
      <c r="AF44"/>
    </row>
    <row r="45" spans="1:32" hidden="1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31"/>
      <c r="J45" s="78">
        <f>VLOOKUP(D45,'SEMANA 34 OK'!D45:O192,12,0)</f>
        <v>1550</v>
      </c>
      <c r="K45" s="2"/>
      <c r="L45" s="2"/>
      <c r="M45" s="2"/>
      <c r="N45" s="2"/>
      <c r="O45" s="8">
        <f t="shared" si="0"/>
        <v>191</v>
      </c>
      <c r="P45" s="18"/>
      <c r="Q45" s="18"/>
      <c r="R45" s="18">
        <v>1359</v>
      </c>
      <c r="S45" s="18"/>
      <c r="T45" s="18"/>
      <c r="U45" s="18"/>
      <c r="V45" s="18"/>
      <c r="W45" s="18"/>
      <c r="X45" s="18"/>
      <c r="Y45" s="18"/>
      <c r="Z45" s="18"/>
      <c r="AA45" s="7">
        <f t="shared" si="1"/>
        <v>0</v>
      </c>
      <c r="AB45" s="8" t="s">
        <v>150</v>
      </c>
      <c r="AC45" s="8">
        <v>1000</v>
      </c>
      <c r="AD45" s="8" t="s">
        <v>152</v>
      </c>
      <c r="AE45" s="8">
        <f t="shared" si="3"/>
        <v>1.55</v>
      </c>
      <c r="AF45"/>
    </row>
    <row r="46" spans="1:32" hidden="1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31"/>
      <c r="J46" s="78">
        <f>VLOOKUP(D46,'SEMANA 34 OK'!D46:O193,12,0)</f>
        <v>0</v>
      </c>
      <c r="K46" s="2"/>
      <c r="L46" s="2"/>
      <c r="M46" s="2"/>
      <c r="N46" s="2"/>
      <c r="O46" s="8">
        <f t="shared" si="0"/>
        <v>0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7">
        <f t="shared" si="1"/>
        <v>0</v>
      </c>
      <c r="AB46" s="8">
        <v>0</v>
      </c>
      <c r="AC46" s="8">
        <v>0</v>
      </c>
      <c r="AD46" s="8" t="s">
        <v>152</v>
      </c>
      <c r="AE46" s="8">
        <v>0</v>
      </c>
      <c r="AF46"/>
    </row>
    <row r="47" spans="1:32" hidden="1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31"/>
      <c r="J47" s="78">
        <f>VLOOKUP(D47,'SEMANA 34 OK'!D47:O194,12,0)</f>
        <v>0</v>
      </c>
      <c r="K47" s="2"/>
      <c r="L47" s="2"/>
      <c r="M47" s="2"/>
      <c r="N47" s="2"/>
      <c r="O47" s="8">
        <f t="shared" si="0"/>
        <v>0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7">
        <f t="shared" si="1"/>
        <v>0</v>
      </c>
      <c r="AB47" s="8">
        <v>0</v>
      </c>
      <c r="AC47" s="8">
        <v>0</v>
      </c>
      <c r="AD47" s="8" t="s">
        <v>152</v>
      </c>
      <c r="AE47" s="8">
        <v>0</v>
      </c>
      <c r="AF47"/>
    </row>
    <row r="48" spans="1:32" hidden="1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31"/>
      <c r="J48" s="78">
        <f>VLOOKUP(D48,'SEMANA 34 OK'!D48:O195,12,0)</f>
        <v>0</v>
      </c>
      <c r="K48" s="2"/>
      <c r="L48" s="2"/>
      <c r="M48" s="2"/>
      <c r="N48" s="2"/>
      <c r="O48" s="8">
        <f t="shared" si="0"/>
        <v>0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7">
        <f t="shared" si="1"/>
        <v>0</v>
      </c>
      <c r="AB48" s="8">
        <v>0</v>
      </c>
      <c r="AC48" s="8">
        <v>0</v>
      </c>
      <c r="AD48" s="8" t="s">
        <v>152</v>
      </c>
      <c r="AE48" s="8">
        <v>0</v>
      </c>
      <c r="AF48"/>
    </row>
    <row r="49" spans="1:32" hidden="1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31"/>
      <c r="J49" s="78">
        <f>VLOOKUP(D49,'SEMANA 34 OK'!D49:O196,12,0)</f>
        <v>0</v>
      </c>
      <c r="K49" s="2"/>
      <c r="L49" s="2"/>
      <c r="M49" s="2"/>
      <c r="N49" s="2"/>
      <c r="O49" s="8">
        <f t="shared" si="0"/>
        <v>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7">
        <f t="shared" si="1"/>
        <v>0</v>
      </c>
      <c r="AB49" s="8">
        <v>0</v>
      </c>
      <c r="AC49" s="8">
        <v>0</v>
      </c>
      <c r="AD49" s="8" t="s">
        <v>152</v>
      </c>
      <c r="AE49" s="8">
        <v>0</v>
      </c>
      <c r="AF49"/>
    </row>
    <row r="50" spans="1:32" hidden="1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31"/>
      <c r="J50" s="78">
        <f>VLOOKUP(D50,'SEMANA 34 OK'!D50:O197,12,0)</f>
        <v>0</v>
      </c>
      <c r="K50" s="2"/>
      <c r="L50" s="2"/>
      <c r="M50" s="2"/>
      <c r="N50" s="2"/>
      <c r="O50" s="8">
        <f t="shared" si="0"/>
        <v>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7">
        <f t="shared" si="1"/>
        <v>0</v>
      </c>
      <c r="AB50" s="8">
        <v>0</v>
      </c>
      <c r="AC50" s="8">
        <v>0</v>
      </c>
      <c r="AD50" s="8" t="s">
        <v>152</v>
      </c>
      <c r="AE50" s="8">
        <v>0</v>
      </c>
      <c r="AF50"/>
    </row>
    <row r="51" spans="1:32" hidden="1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31"/>
      <c r="J51" s="78">
        <f>VLOOKUP(D51,'SEMANA 34 OK'!D51:O198,12,0)</f>
        <v>0</v>
      </c>
      <c r="K51" s="2"/>
      <c r="L51" s="2"/>
      <c r="M51" s="2"/>
      <c r="N51" s="2"/>
      <c r="O51" s="8">
        <f t="shared" si="0"/>
        <v>0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7">
        <f t="shared" si="1"/>
        <v>0</v>
      </c>
      <c r="AB51" s="8">
        <v>0</v>
      </c>
      <c r="AC51" s="8">
        <v>0</v>
      </c>
      <c r="AD51" s="8" t="s">
        <v>152</v>
      </c>
      <c r="AE51" s="8">
        <v>0</v>
      </c>
      <c r="AF51"/>
    </row>
    <row r="52" spans="1:32" hidden="1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31"/>
      <c r="J52" s="78">
        <f>VLOOKUP(D52,'SEMANA 34 OK'!D52:O199,12,0)</f>
        <v>0</v>
      </c>
      <c r="K52" s="2"/>
      <c r="L52" s="2"/>
      <c r="M52" s="2"/>
      <c r="N52" s="2"/>
      <c r="O52" s="8">
        <f t="shared" si="0"/>
        <v>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7">
        <f t="shared" si="1"/>
        <v>0</v>
      </c>
      <c r="AB52" s="8">
        <v>0</v>
      </c>
      <c r="AC52" s="8">
        <v>0</v>
      </c>
      <c r="AD52" s="8" t="s">
        <v>152</v>
      </c>
      <c r="AE52" s="8">
        <v>0</v>
      </c>
      <c r="AF52"/>
    </row>
    <row r="53" spans="1:32" hidden="1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31"/>
      <c r="J53" s="78">
        <f>VLOOKUP(D53,'SEMANA 34 OK'!D53:O200,12,0)</f>
        <v>0</v>
      </c>
      <c r="K53" s="2"/>
      <c r="L53" s="2"/>
      <c r="M53" s="2"/>
      <c r="N53" s="2"/>
      <c r="O53" s="8">
        <f t="shared" si="0"/>
        <v>0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7">
        <f t="shared" si="1"/>
        <v>0</v>
      </c>
      <c r="AB53" s="8">
        <v>0</v>
      </c>
      <c r="AC53" s="8">
        <v>0</v>
      </c>
      <c r="AD53" s="8" t="s">
        <v>152</v>
      </c>
      <c r="AE53" s="8">
        <v>0</v>
      </c>
      <c r="AF53"/>
    </row>
    <row r="54" spans="1:32" hidden="1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31"/>
      <c r="J54" s="78">
        <f>VLOOKUP(D54,'SEMANA 34 OK'!D54:O201,12,0)</f>
        <v>0</v>
      </c>
      <c r="K54" s="2"/>
      <c r="L54" s="2"/>
      <c r="M54" s="2"/>
      <c r="N54" s="2"/>
      <c r="O54" s="8">
        <f t="shared" si="0"/>
        <v>0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7">
        <f t="shared" si="1"/>
        <v>0</v>
      </c>
      <c r="AB54" s="8">
        <v>0</v>
      </c>
      <c r="AC54" s="8">
        <v>0</v>
      </c>
      <c r="AD54" s="8" t="s">
        <v>152</v>
      </c>
      <c r="AE54" s="8">
        <v>0</v>
      </c>
      <c r="AF54"/>
    </row>
    <row r="55" spans="1:32" hidden="1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31"/>
      <c r="J55" s="78">
        <f>VLOOKUP(D55,'SEMANA 34 OK'!D55:O202,12,0)</f>
        <v>0</v>
      </c>
      <c r="K55" s="2"/>
      <c r="L55" s="2"/>
      <c r="M55" s="2"/>
      <c r="N55" s="2"/>
      <c r="O55" s="8">
        <f t="shared" si="0"/>
        <v>0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7">
        <f t="shared" si="1"/>
        <v>0</v>
      </c>
      <c r="AB55" s="8">
        <v>0</v>
      </c>
      <c r="AC55" s="8">
        <v>0</v>
      </c>
      <c r="AD55" s="8" t="s">
        <v>152</v>
      </c>
      <c r="AE55" s="8">
        <v>0</v>
      </c>
      <c r="AF55"/>
    </row>
    <row r="56" spans="1:32" hidden="1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31"/>
      <c r="J56" s="78">
        <f>VLOOKUP(D56,'SEMANA 34 OK'!D56:O203,12,0)</f>
        <v>0</v>
      </c>
      <c r="K56" s="2"/>
      <c r="L56" s="2"/>
      <c r="M56" s="2"/>
      <c r="N56" s="2"/>
      <c r="O56" s="8">
        <f t="shared" si="0"/>
        <v>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7">
        <f t="shared" si="1"/>
        <v>0</v>
      </c>
      <c r="AB56" s="8">
        <v>0</v>
      </c>
      <c r="AC56" s="8">
        <v>0</v>
      </c>
      <c r="AD56" s="8" t="s">
        <v>152</v>
      </c>
      <c r="AE56" s="8">
        <v>0</v>
      </c>
      <c r="AF56"/>
    </row>
    <row r="57" spans="1:32" hidden="1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31"/>
      <c r="J57" s="78">
        <f>VLOOKUP(D57,'SEMANA 34 OK'!D57:O204,12,0)</f>
        <v>100</v>
      </c>
      <c r="K57" s="2"/>
      <c r="L57" s="2"/>
      <c r="M57" s="2"/>
      <c r="N57" s="2"/>
      <c r="O57" s="8">
        <f t="shared" si="0"/>
        <v>-1055</v>
      </c>
      <c r="P57" s="18"/>
      <c r="Q57" s="18"/>
      <c r="R57" s="18"/>
      <c r="S57" s="18"/>
      <c r="T57" s="18"/>
      <c r="U57" s="18">
        <v>1155</v>
      </c>
      <c r="V57" s="18"/>
      <c r="W57" s="18"/>
      <c r="X57" s="18"/>
      <c r="Y57" s="18"/>
      <c r="Z57" s="18"/>
      <c r="AA57" s="7">
        <f t="shared" si="1"/>
        <v>0</v>
      </c>
      <c r="AB57" s="8" t="s">
        <v>150</v>
      </c>
      <c r="AC57" s="8">
        <v>1000</v>
      </c>
      <c r="AD57" s="8" t="s">
        <v>152</v>
      </c>
      <c r="AE57" s="8">
        <f t="shared" ref="AE57:AE63" si="4">+SUM(I57:N57)/AC57</f>
        <v>0.1</v>
      </c>
      <c r="AF57"/>
    </row>
    <row r="58" spans="1:32" hidden="1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31"/>
      <c r="J58" s="78">
        <f>VLOOKUP(D58,'SEMANA 34 OK'!D58:O205,12,0)</f>
        <v>69</v>
      </c>
      <c r="K58" s="2"/>
      <c r="L58" s="2"/>
      <c r="M58" s="2"/>
      <c r="N58" s="2"/>
      <c r="O58" s="8">
        <f t="shared" si="0"/>
        <v>0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71">
        <v>69</v>
      </c>
      <c r="AA58" s="7">
        <f t="shared" si="1"/>
        <v>0</v>
      </c>
      <c r="AB58" s="8" t="s">
        <v>151</v>
      </c>
      <c r="AC58" s="8">
        <v>200</v>
      </c>
      <c r="AD58" s="8" t="s">
        <v>152</v>
      </c>
      <c r="AE58" s="8">
        <f t="shared" si="4"/>
        <v>0.34499999999999997</v>
      </c>
      <c r="AF58"/>
    </row>
    <row r="59" spans="1:32" hidden="1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31"/>
      <c r="J59" s="78">
        <f>VLOOKUP(D59,'SEMANA 34 OK'!D59:O206,12,0)</f>
        <v>300</v>
      </c>
      <c r="K59" s="2"/>
      <c r="L59" s="2"/>
      <c r="M59" s="2"/>
      <c r="N59" s="2"/>
      <c r="O59" s="8">
        <f t="shared" si="0"/>
        <v>-9</v>
      </c>
      <c r="P59" s="18"/>
      <c r="Q59" s="18"/>
      <c r="R59" s="18"/>
      <c r="S59" s="18"/>
      <c r="T59" s="18"/>
      <c r="U59" s="18"/>
      <c r="V59" s="18"/>
      <c r="W59" s="18"/>
      <c r="X59" s="18">
        <v>309</v>
      </c>
      <c r="Y59" s="18"/>
      <c r="Z59" s="18"/>
      <c r="AA59" s="7">
        <f t="shared" si="1"/>
        <v>0</v>
      </c>
      <c r="AB59" s="8" t="s">
        <v>150</v>
      </c>
      <c r="AC59" s="8">
        <v>1000</v>
      </c>
      <c r="AD59" s="8" t="s">
        <v>152</v>
      </c>
      <c r="AE59" s="8">
        <f t="shared" si="4"/>
        <v>0.3</v>
      </c>
      <c r="AF59"/>
    </row>
    <row r="60" spans="1:32" hidden="1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31"/>
      <c r="J60" s="78">
        <f>VLOOKUP(D60,'SEMANA 34 OK'!D60:O207,12,0)</f>
        <v>100</v>
      </c>
      <c r="K60" s="2"/>
      <c r="L60" s="2"/>
      <c r="M60" s="2"/>
      <c r="N60" s="2"/>
      <c r="O60" s="8">
        <f t="shared" si="0"/>
        <v>100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7">
        <f t="shared" si="1"/>
        <v>0</v>
      </c>
      <c r="AB60" s="8" t="s">
        <v>151</v>
      </c>
      <c r="AC60" s="8">
        <v>500</v>
      </c>
      <c r="AD60" s="8" t="s">
        <v>152</v>
      </c>
      <c r="AE60" s="8">
        <f t="shared" si="4"/>
        <v>0.2</v>
      </c>
      <c r="AF60"/>
    </row>
    <row r="61" spans="1:32" hidden="1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31"/>
      <c r="J61" s="78">
        <f>VLOOKUP(D61,'SEMANA 34 OK'!D61:O208,12,0)</f>
        <v>500</v>
      </c>
      <c r="K61" s="2"/>
      <c r="L61" s="2"/>
      <c r="M61" s="2"/>
      <c r="N61" s="2"/>
      <c r="O61" s="8">
        <f t="shared" si="0"/>
        <v>-14</v>
      </c>
      <c r="P61" s="18"/>
      <c r="Q61" s="18"/>
      <c r="R61" s="18"/>
      <c r="S61" s="18"/>
      <c r="T61" s="18">
        <v>514</v>
      </c>
      <c r="U61" s="18"/>
      <c r="V61" s="18"/>
      <c r="W61" s="18"/>
      <c r="X61" s="18"/>
      <c r="Y61" s="18"/>
      <c r="Z61" s="18"/>
      <c r="AA61" s="7">
        <f t="shared" si="1"/>
        <v>0</v>
      </c>
      <c r="AB61" s="8" t="s">
        <v>150</v>
      </c>
      <c r="AC61" s="8">
        <v>1000</v>
      </c>
      <c r="AD61" s="8" t="s">
        <v>152</v>
      </c>
      <c r="AE61" s="8">
        <f t="shared" si="4"/>
        <v>0.5</v>
      </c>
      <c r="AF61"/>
    </row>
    <row r="62" spans="1:32" hidden="1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31"/>
      <c r="J62" s="78">
        <f>VLOOKUP(D62,'SEMANA 34 OK'!D62:O209,12,0)</f>
        <v>17</v>
      </c>
      <c r="K62" s="2"/>
      <c r="L62" s="2"/>
      <c r="M62" s="2"/>
      <c r="N62" s="2"/>
      <c r="O62" s="8">
        <f t="shared" si="0"/>
        <v>-642</v>
      </c>
      <c r="P62" s="18"/>
      <c r="Q62" s="18"/>
      <c r="R62" s="18"/>
      <c r="S62" s="18"/>
      <c r="T62" s="18"/>
      <c r="U62" s="71">
        <v>320</v>
      </c>
      <c r="V62" s="18"/>
      <c r="W62" s="18">
        <v>103</v>
      </c>
      <c r="X62" s="18">
        <v>219</v>
      </c>
      <c r="Y62" s="18"/>
      <c r="Z62" s="71">
        <v>17</v>
      </c>
      <c r="AA62" s="7">
        <f t="shared" si="1"/>
        <v>0</v>
      </c>
      <c r="AB62" s="8" t="s">
        <v>151</v>
      </c>
      <c r="AC62" s="8">
        <v>200</v>
      </c>
      <c r="AD62" s="8" t="s">
        <v>152</v>
      </c>
      <c r="AE62" s="8">
        <f t="shared" si="4"/>
        <v>8.5000000000000006E-2</v>
      </c>
      <c r="AF62"/>
    </row>
    <row r="63" spans="1:32" hidden="1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31"/>
      <c r="J63" s="78">
        <f>VLOOKUP(D63,'SEMANA 34 OK'!D63:O210,12,0)</f>
        <v>518</v>
      </c>
      <c r="K63" s="2"/>
      <c r="L63" s="2"/>
      <c r="M63" s="2"/>
      <c r="N63" s="2"/>
      <c r="O63" s="8">
        <f t="shared" si="0"/>
        <v>-8</v>
      </c>
      <c r="P63" s="18"/>
      <c r="Q63" s="18"/>
      <c r="R63" s="18"/>
      <c r="S63" s="18"/>
      <c r="T63" s="18"/>
      <c r="U63" s="18"/>
      <c r="V63" s="18"/>
      <c r="W63" s="18"/>
      <c r="X63" s="18"/>
      <c r="Y63" s="18">
        <v>526</v>
      </c>
      <c r="Z63" s="18"/>
      <c r="AA63" s="7">
        <f t="shared" si="1"/>
        <v>0</v>
      </c>
      <c r="AB63" s="8" t="s">
        <v>151</v>
      </c>
      <c r="AC63" s="8">
        <v>500</v>
      </c>
      <c r="AD63" s="8" t="s">
        <v>152</v>
      </c>
      <c r="AE63" s="8">
        <f t="shared" si="4"/>
        <v>1.036</v>
      </c>
      <c r="AF63"/>
    </row>
    <row r="64" spans="1:32" hidden="1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31"/>
      <c r="J64" s="78">
        <f>VLOOKUP(D64,'SEMANA 34 OK'!D64:O211,12,0)</f>
        <v>0</v>
      </c>
      <c r="K64" s="2"/>
      <c r="L64" s="2"/>
      <c r="M64" s="2"/>
      <c r="N64" s="2"/>
      <c r="O64" s="8">
        <f t="shared" si="0"/>
        <v>0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7">
        <f t="shared" si="1"/>
        <v>0</v>
      </c>
      <c r="AB64" s="8">
        <v>0</v>
      </c>
      <c r="AC64" s="8">
        <v>0</v>
      </c>
      <c r="AD64" s="8" t="s">
        <v>152</v>
      </c>
      <c r="AE64" s="8">
        <v>0</v>
      </c>
      <c r="AF64"/>
    </row>
    <row r="65" spans="1:32" hidden="1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31"/>
      <c r="J65" s="78">
        <f>VLOOKUP(D65,'SEMANA 34 OK'!D65:O212,12,0)</f>
        <v>0</v>
      </c>
      <c r="K65" s="2"/>
      <c r="L65" s="2"/>
      <c r="M65" s="2"/>
      <c r="N65" s="2"/>
      <c r="O65" s="8">
        <f t="shared" si="0"/>
        <v>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7">
        <f t="shared" si="1"/>
        <v>0</v>
      </c>
      <c r="AB65" s="8">
        <v>0</v>
      </c>
      <c r="AC65" s="8">
        <v>0</v>
      </c>
      <c r="AD65" s="8" t="s">
        <v>152</v>
      </c>
      <c r="AE65" s="8">
        <v>0</v>
      </c>
      <c r="AF65"/>
    </row>
    <row r="66" spans="1:32" hidden="1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31"/>
      <c r="J66" s="78">
        <f>VLOOKUP(D66,'SEMANA 34 OK'!D66:O213,12,0)</f>
        <v>0</v>
      </c>
      <c r="K66" s="2"/>
      <c r="L66" s="2"/>
      <c r="M66" s="2"/>
      <c r="N66" s="2"/>
      <c r="O66" s="8">
        <f t="shared" si="0"/>
        <v>0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7">
        <f t="shared" si="1"/>
        <v>0</v>
      </c>
      <c r="AB66" s="8">
        <v>0</v>
      </c>
      <c r="AC66" s="8">
        <v>0</v>
      </c>
      <c r="AD66" s="8" t="s">
        <v>152</v>
      </c>
      <c r="AE66" s="8">
        <v>0</v>
      </c>
      <c r="AF66"/>
    </row>
    <row r="67" spans="1:32" hidden="1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31"/>
      <c r="J67" s="78">
        <f>VLOOKUP(D67,'SEMANA 34 OK'!D67:O214,12,0)</f>
        <v>0</v>
      </c>
      <c r="K67" s="2"/>
      <c r="L67" s="2"/>
      <c r="M67" s="2"/>
      <c r="N67" s="2"/>
      <c r="O67" s="8">
        <f t="shared" si="0"/>
        <v>0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7">
        <f t="shared" si="1"/>
        <v>0</v>
      </c>
      <c r="AB67" s="8" t="s">
        <v>151</v>
      </c>
      <c r="AC67" s="8">
        <v>200</v>
      </c>
      <c r="AD67" s="8" t="s">
        <v>152</v>
      </c>
      <c r="AE67" s="8">
        <f>+SUM(I67:N67)/AC67</f>
        <v>0</v>
      </c>
      <c r="AF67"/>
    </row>
    <row r="68" spans="1:32" hidden="1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31"/>
      <c r="J68" s="78">
        <f>VLOOKUP(D68,'SEMANA 34 OK'!D68:O215,12,0)</f>
        <v>0</v>
      </c>
      <c r="K68" s="2"/>
      <c r="L68" s="2"/>
      <c r="M68" s="2"/>
      <c r="N68" s="2"/>
      <c r="O68" s="8">
        <f t="shared" si="0"/>
        <v>0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7">
        <f t="shared" si="1"/>
        <v>0</v>
      </c>
      <c r="AB68" s="8">
        <v>0</v>
      </c>
      <c r="AC68" s="8">
        <v>0</v>
      </c>
      <c r="AD68" s="8" t="s">
        <v>152</v>
      </c>
      <c r="AE68" s="8">
        <v>0</v>
      </c>
      <c r="AF68"/>
    </row>
    <row r="69" spans="1:32" hidden="1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31"/>
      <c r="J69" s="78">
        <f>VLOOKUP(D69,'SEMANA 34 OK'!D69:O216,12,0)</f>
        <v>0</v>
      </c>
      <c r="K69" s="2"/>
      <c r="L69" s="2"/>
      <c r="M69" s="2"/>
      <c r="N69" s="2"/>
      <c r="O69" s="8">
        <f t="shared" si="0"/>
        <v>0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7">
        <f t="shared" si="1"/>
        <v>0</v>
      </c>
      <c r="AB69" s="8">
        <v>0</v>
      </c>
      <c r="AC69" s="8">
        <v>0</v>
      </c>
      <c r="AD69" s="8" t="s">
        <v>152</v>
      </c>
      <c r="AE69" s="8">
        <v>0</v>
      </c>
      <c r="AF69"/>
    </row>
    <row r="70" spans="1:32" hidden="1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31"/>
      <c r="J70" s="78">
        <f>VLOOKUP(D70,'SEMANA 34 OK'!D70:O217,12,0)</f>
        <v>0</v>
      </c>
      <c r="K70" s="2"/>
      <c r="L70" s="2"/>
      <c r="M70" s="2"/>
      <c r="N70" s="2"/>
      <c r="O70" s="8">
        <f t="shared" ref="O70:O137" si="5">+I70+J70+K70+L70+M70+N70-SUM(P70:Z70)</f>
        <v>0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7">
        <f t="shared" ref="AA70:AA137" si="6">+G70*SUM(I70:N70)</f>
        <v>0</v>
      </c>
      <c r="AB70" s="8" t="s">
        <v>151</v>
      </c>
      <c r="AC70" s="8">
        <v>200</v>
      </c>
      <c r="AD70" s="8" t="s">
        <v>152</v>
      </c>
      <c r="AE70" s="8">
        <f>+SUM(I70:N70)/AC70</f>
        <v>0</v>
      </c>
      <c r="AF70"/>
    </row>
    <row r="71" spans="1:32" hidden="1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31"/>
      <c r="J71" s="78">
        <f>VLOOKUP(D71,'SEMANA 34 OK'!D71:O218,12,0)</f>
        <v>0</v>
      </c>
      <c r="K71" s="2"/>
      <c r="L71" s="2"/>
      <c r="M71" s="2"/>
      <c r="N71" s="2"/>
      <c r="O71" s="8">
        <f t="shared" si="5"/>
        <v>0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7">
        <f t="shared" si="6"/>
        <v>0</v>
      </c>
      <c r="AB71" s="8" t="s">
        <v>151</v>
      </c>
      <c r="AC71" s="8">
        <v>500</v>
      </c>
      <c r="AD71" s="8" t="s">
        <v>152</v>
      </c>
      <c r="AE71" s="8">
        <f>+SUM(I71:N71)/AC71</f>
        <v>0</v>
      </c>
      <c r="AF71"/>
    </row>
    <row r="72" spans="1:32" hidden="1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31"/>
      <c r="J72" s="78">
        <f>VLOOKUP(D72,'SEMANA 34 OK'!D72:O219,12,0)</f>
        <v>0</v>
      </c>
      <c r="K72" s="2"/>
      <c r="L72" s="2"/>
      <c r="M72" s="2"/>
      <c r="N72" s="2"/>
      <c r="O72" s="8">
        <f t="shared" si="5"/>
        <v>0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7">
        <f t="shared" si="6"/>
        <v>0</v>
      </c>
      <c r="AB72" s="8" t="s">
        <v>151</v>
      </c>
      <c r="AC72" s="8">
        <v>200</v>
      </c>
      <c r="AD72" s="8" t="s">
        <v>152</v>
      </c>
      <c r="AE72" s="8">
        <f>+SUM(I72:N72)/AC72</f>
        <v>0</v>
      </c>
      <c r="AF72"/>
    </row>
    <row r="73" spans="1:32" hidden="1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31"/>
      <c r="J73" s="78">
        <f>VLOOKUP(D73,'SEMANA 34 OK'!D73:O220,12,0)</f>
        <v>0</v>
      </c>
      <c r="K73" s="2"/>
      <c r="L73" s="2"/>
      <c r="M73" s="2"/>
      <c r="N73" s="2"/>
      <c r="O73" s="8">
        <f t="shared" si="5"/>
        <v>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7">
        <f t="shared" si="6"/>
        <v>0</v>
      </c>
      <c r="AB73" s="8">
        <v>0</v>
      </c>
      <c r="AC73" s="8">
        <v>0</v>
      </c>
      <c r="AD73" s="8" t="s">
        <v>152</v>
      </c>
      <c r="AE73" s="8">
        <v>0</v>
      </c>
      <c r="AF73"/>
    </row>
    <row r="74" spans="1:32" hidden="1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31"/>
      <c r="J74" s="78">
        <f>VLOOKUP(D74,'SEMANA 34 OK'!D74:O221,12,0)</f>
        <v>0</v>
      </c>
      <c r="K74" s="2"/>
      <c r="L74" s="2"/>
      <c r="M74" s="2"/>
      <c r="N74" s="2"/>
      <c r="O74" s="8">
        <f t="shared" si="5"/>
        <v>0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7">
        <f t="shared" si="6"/>
        <v>0</v>
      </c>
      <c r="AB74" s="8">
        <v>0</v>
      </c>
      <c r="AC74" s="8">
        <v>0</v>
      </c>
      <c r="AD74" s="8" t="s">
        <v>152</v>
      </c>
      <c r="AE74" s="8">
        <v>0</v>
      </c>
      <c r="AF74"/>
    </row>
    <row r="75" spans="1:32" hidden="1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31"/>
      <c r="J75" s="78">
        <f>VLOOKUP(D75,'SEMANA 34 OK'!D75:O222,12,0)</f>
        <v>0</v>
      </c>
      <c r="K75" s="2"/>
      <c r="L75" s="2"/>
      <c r="M75" s="2"/>
      <c r="N75" s="2"/>
      <c r="O75" s="8">
        <f t="shared" si="5"/>
        <v>0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7">
        <f t="shared" si="6"/>
        <v>0</v>
      </c>
      <c r="AB75" s="8">
        <v>0</v>
      </c>
      <c r="AC75" s="8">
        <v>0</v>
      </c>
      <c r="AD75" s="8" t="s">
        <v>152</v>
      </c>
      <c r="AE75" s="8">
        <v>0</v>
      </c>
      <c r="AF75"/>
    </row>
    <row r="76" spans="1:32" hidden="1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31"/>
      <c r="J76" s="78">
        <f>VLOOKUP(D76,'SEMANA 34 OK'!D76:O223,12,0)</f>
        <v>0</v>
      </c>
      <c r="K76" s="2"/>
      <c r="L76" s="2"/>
      <c r="M76" s="2"/>
      <c r="N76" s="2"/>
      <c r="O76" s="8">
        <f t="shared" si="5"/>
        <v>0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7">
        <f t="shared" si="6"/>
        <v>0</v>
      </c>
      <c r="AB76" s="8">
        <v>0</v>
      </c>
      <c r="AC76" s="8">
        <v>0</v>
      </c>
      <c r="AD76" s="8" t="s">
        <v>152</v>
      </c>
      <c r="AE76" s="8">
        <v>0</v>
      </c>
      <c r="AF76"/>
    </row>
    <row r="77" spans="1:32" hidden="1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31"/>
      <c r="J77" s="78">
        <f>VLOOKUP(D77,'SEMANA 34 OK'!D77:O224,12,0)</f>
        <v>0</v>
      </c>
      <c r="K77" s="2"/>
      <c r="L77" s="2"/>
      <c r="M77" s="2"/>
      <c r="N77" s="2"/>
      <c r="O77" s="8">
        <f t="shared" si="5"/>
        <v>0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7">
        <f t="shared" si="6"/>
        <v>0</v>
      </c>
      <c r="AB77" s="8">
        <v>0</v>
      </c>
      <c r="AC77" s="8">
        <v>0</v>
      </c>
      <c r="AD77" s="8" t="s">
        <v>152</v>
      </c>
      <c r="AE77" s="8">
        <v>0</v>
      </c>
      <c r="AF77"/>
    </row>
    <row r="78" spans="1:32" hidden="1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31"/>
      <c r="J78" s="78">
        <f>VLOOKUP(D78,'SEMANA 34 OK'!D78:O225,12,0)</f>
        <v>0</v>
      </c>
      <c r="K78" s="2"/>
      <c r="L78" s="2"/>
      <c r="M78" s="2"/>
      <c r="N78" s="2"/>
      <c r="O78" s="8">
        <f t="shared" si="5"/>
        <v>0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7">
        <f t="shared" si="6"/>
        <v>0</v>
      </c>
      <c r="AB78" s="8">
        <v>0</v>
      </c>
      <c r="AC78" s="8">
        <v>0</v>
      </c>
      <c r="AD78" s="8" t="s">
        <v>152</v>
      </c>
      <c r="AE78" s="8">
        <v>0</v>
      </c>
      <c r="AF78"/>
    </row>
    <row r="79" spans="1:32" hidden="1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31"/>
      <c r="J79" s="78">
        <f>VLOOKUP(D79,'SEMANA 34 OK'!D79:O226,12,0)</f>
        <v>0</v>
      </c>
      <c r="K79" s="2"/>
      <c r="L79" s="2"/>
      <c r="M79" s="2"/>
      <c r="N79" s="2"/>
      <c r="O79" s="8">
        <f t="shared" si="5"/>
        <v>0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7">
        <f t="shared" si="6"/>
        <v>0</v>
      </c>
      <c r="AB79" s="8">
        <v>0</v>
      </c>
      <c r="AC79" s="8">
        <v>0</v>
      </c>
      <c r="AD79" s="8" t="s">
        <v>152</v>
      </c>
      <c r="AE79" s="8">
        <v>0</v>
      </c>
      <c r="AF79"/>
    </row>
    <row r="80" spans="1:32" hidden="1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31"/>
      <c r="J80" s="78">
        <f>VLOOKUP(D80,'SEMANA 34 OK'!D80:O227,12,0)</f>
        <v>0</v>
      </c>
      <c r="K80" s="2"/>
      <c r="L80" s="2"/>
      <c r="M80" s="2"/>
      <c r="N80" s="2"/>
      <c r="O80" s="8">
        <f t="shared" si="5"/>
        <v>0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7">
        <f t="shared" si="6"/>
        <v>0</v>
      </c>
      <c r="AB80" s="8">
        <v>0</v>
      </c>
      <c r="AC80" s="8">
        <v>0</v>
      </c>
      <c r="AD80" s="8" t="s">
        <v>152</v>
      </c>
      <c r="AE80" s="8">
        <v>0</v>
      </c>
      <c r="AF80"/>
    </row>
    <row r="81" spans="1:32" hidden="1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31"/>
      <c r="J81" s="78">
        <f>VLOOKUP(D81,'SEMANA 34 OK'!D81:O228,12,0)</f>
        <v>0</v>
      </c>
      <c r="K81" s="2"/>
      <c r="L81" s="2"/>
      <c r="M81" s="2"/>
      <c r="N81" s="2"/>
      <c r="O81" s="8">
        <f t="shared" si="5"/>
        <v>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7">
        <f t="shared" si="6"/>
        <v>0</v>
      </c>
      <c r="AB81" s="8">
        <v>0</v>
      </c>
      <c r="AC81" s="8">
        <v>0</v>
      </c>
      <c r="AD81" s="8" t="s">
        <v>152</v>
      </c>
      <c r="AE81" s="8">
        <v>0</v>
      </c>
      <c r="AF81"/>
    </row>
    <row r="82" spans="1:32" hidden="1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31"/>
      <c r="J82" s="78">
        <f>VLOOKUP(D82,'SEMANA 34 OK'!D82:O229,12,0)</f>
        <v>0</v>
      </c>
      <c r="K82" s="2"/>
      <c r="L82" s="2"/>
      <c r="M82" s="2"/>
      <c r="N82" s="2"/>
      <c r="O82" s="8">
        <f t="shared" si="5"/>
        <v>0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7">
        <f t="shared" si="6"/>
        <v>0</v>
      </c>
      <c r="AB82" s="8">
        <v>0</v>
      </c>
      <c r="AC82" s="8">
        <v>0</v>
      </c>
      <c r="AD82" s="8" t="s">
        <v>152</v>
      </c>
      <c r="AE82" s="8">
        <v>0</v>
      </c>
      <c r="AF82"/>
    </row>
    <row r="83" spans="1:32" hidden="1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31"/>
      <c r="J83" s="78">
        <f>VLOOKUP(D83,'SEMANA 34 OK'!D83:O230,12,0)</f>
        <v>0</v>
      </c>
      <c r="K83" s="2"/>
      <c r="L83" s="2"/>
      <c r="M83" s="2"/>
      <c r="N83" s="2"/>
      <c r="O83" s="8">
        <f t="shared" si="5"/>
        <v>0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7">
        <f t="shared" si="6"/>
        <v>0</v>
      </c>
      <c r="AB83" s="8">
        <v>0</v>
      </c>
      <c r="AC83" s="8">
        <v>0</v>
      </c>
      <c r="AD83" s="8" t="s">
        <v>152</v>
      </c>
      <c r="AE83" s="8">
        <v>0</v>
      </c>
      <c r="AF83"/>
    </row>
    <row r="84" spans="1:32" hidden="1" x14ac:dyDescent="0.25">
      <c r="A84" s="2">
        <v>79</v>
      </c>
      <c r="B84" s="2" t="s">
        <v>128</v>
      </c>
      <c r="C84" s="2" t="s">
        <v>129</v>
      </c>
      <c r="D84" s="35" t="s">
        <v>103</v>
      </c>
      <c r="E84" s="13">
        <v>0.25</v>
      </c>
      <c r="F84" s="2"/>
      <c r="G84" s="3"/>
      <c r="H84" s="3"/>
      <c r="I84" s="31"/>
      <c r="J84" s="78">
        <f>VLOOKUP(D84,'SEMANA 34 OK'!D84:O231,12,0)</f>
        <v>-630</v>
      </c>
      <c r="K84" s="2"/>
      <c r="L84" s="2"/>
      <c r="M84" s="2"/>
      <c r="N84" s="2"/>
      <c r="O84" s="8">
        <f t="shared" si="5"/>
        <v>-1262</v>
      </c>
      <c r="P84" s="18"/>
      <c r="Q84" s="18"/>
      <c r="R84" s="18"/>
      <c r="S84" s="18"/>
      <c r="T84" s="18">
        <v>632</v>
      </c>
      <c r="U84" s="18"/>
      <c r="V84" s="18"/>
      <c r="W84" s="18"/>
      <c r="X84" s="18"/>
      <c r="Y84" s="18"/>
      <c r="Z84" s="18"/>
      <c r="AA84" s="7">
        <f t="shared" si="6"/>
        <v>0</v>
      </c>
      <c r="AB84" s="8" t="s">
        <v>146</v>
      </c>
      <c r="AC84" s="8">
        <v>200</v>
      </c>
      <c r="AD84" s="8" t="s">
        <v>153</v>
      </c>
      <c r="AE84" s="8">
        <f>+SUM(I84:N84)/AC84</f>
        <v>-3.15</v>
      </c>
      <c r="AF84"/>
    </row>
    <row r="85" spans="1:32" hidden="1" x14ac:dyDescent="0.25">
      <c r="A85" s="2">
        <v>80</v>
      </c>
      <c r="B85" s="2" t="s">
        <v>128</v>
      </c>
      <c r="C85" s="2" t="s">
        <v>129</v>
      </c>
      <c r="D85" s="35" t="s">
        <v>104</v>
      </c>
      <c r="E85" s="13">
        <v>0.25</v>
      </c>
      <c r="F85" s="2"/>
      <c r="G85" s="3"/>
      <c r="H85" s="3"/>
      <c r="I85" s="31"/>
      <c r="J85" s="78">
        <f>VLOOKUP(D85,'SEMANA 34 OK'!D85:O232,12,0)</f>
        <v>-1300</v>
      </c>
      <c r="K85" s="2"/>
      <c r="L85" s="2"/>
      <c r="M85" s="2"/>
      <c r="N85" s="2"/>
      <c r="O85" s="8">
        <f t="shared" si="5"/>
        <v>-1300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7">
        <f t="shared" si="6"/>
        <v>0</v>
      </c>
      <c r="AB85" s="8" t="s">
        <v>146</v>
      </c>
      <c r="AC85" s="8">
        <v>200</v>
      </c>
      <c r="AD85" s="8" t="s">
        <v>153</v>
      </c>
      <c r="AE85" s="8">
        <f>+SUM(I85:N85)/AC85</f>
        <v>-6.5</v>
      </c>
      <c r="AF85"/>
    </row>
    <row r="86" spans="1:32" hidden="1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31"/>
      <c r="J86" s="78">
        <f>VLOOKUP(D86,'SEMANA 34 OK'!D86:O233,12,0)</f>
        <v>0</v>
      </c>
      <c r="K86" s="2"/>
      <c r="L86" s="2"/>
      <c r="M86" s="2"/>
      <c r="N86" s="2"/>
      <c r="O86" s="8">
        <f t="shared" si="5"/>
        <v>0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7">
        <f t="shared" si="6"/>
        <v>0</v>
      </c>
      <c r="AB86" s="8" t="s">
        <v>146</v>
      </c>
      <c r="AC86" s="8">
        <v>200</v>
      </c>
      <c r="AD86" s="8" t="s">
        <v>153</v>
      </c>
      <c r="AE86" s="8">
        <f>+SUM(I86:N86)/AC86</f>
        <v>0</v>
      </c>
      <c r="AF86"/>
    </row>
    <row r="87" spans="1:32" hidden="1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31"/>
      <c r="J87" s="78">
        <f>VLOOKUP(D87,'SEMANA 34 OK'!D87:O234,12,0)</f>
        <v>0</v>
      </c>
      <c r="K87" s="2"/>
      <c r="L87" s="2"/>
      <c r="M87" s="2"/>
      <c r="N87" s="2"/>
      <c r="O87" s="8">
        <f t="shared" si="5"/>
        <v>0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7">
        <f t="shared" si="6"/>
        <v>0</v>
      </c>
      <c r="AB87" s="8">
        <v>0</v>
      </c>
      <c r="AC87" s="8">
        <v>0</v>
      </c>
      <c r="AD87" s="8" t="s">
        <v>153</v>
      </c>
      <c r="AE87" s="8">
        <v>0</v>
      </c>
      <c r="AF87"/>
    </row>
    <row r="88" spans="1:32" hidden="1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31"/>
      <c r="J88" s="78">
        <f>VLOOKUP(D88,'SEMANA 34 OK'!D88:O235,12,0)</f>
        <v>0</v>
      </c>
      <c r="K88" s="2"/>
      <c r="L88" s="2"/>
      <c r="M88" s="2"/>
      <c r="N88" s="2"/>
      <c r="O88" s="8">
        <f t="shared" si="5"/>
        <v>0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7">
        <f t="shared" si="6"/>
        <v>0</v>
      </c>
      <c r="AB88" s="8">
        <v>0</v>
      </c>
      <c r="AC88" s="8">
        <v>0</v>
      </c>
      <c r="AD88" s="8" t="s">
        <v>153</v>
      </c>
      <c r="AE88" s="8">
        <v>0</v>
      </c>
      <c r="AF88"/>
    </row>
    <row r="89" spans="1:32" hidden="1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31"/>
      <c r="J89" s="78">
        <f>VLOOKUP(D89,'SEMANA 34 OK'!D89:O236,12,0)</f>
        <v>0</v>
      </c>
      <c r="K89" s="2"/>
      <c r="L89" s="2"/>
      <c r="M89" s="2"/>
      <c r="N89" s="2"/>
      <c r="O89" s="8">
        <f t="shared" si="5"/>
        <v>0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7">
        <f t="shared" si="6"/>
        <v>0</v>
      </c>
      <c r="AB89" s="8">
        <v>0</v>
      </c>
      <c r="AC89" s="8">
        <v>0</v>
      </c>
      <c r="AD89" s="8" t="s">
        <v>153</v>
      </c>
      <c r="AE89" s="8">
        <v>0</v>
      </c>
      <c r="AF89"/>
    </row>
    <row r="90" spans="1:32" hidden="1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31"/>
      <c r="J90" s="78">
        <f>VLOOKUP(D90,'SEMANA 34 OK'!D90:O237,12,0)</f>
        <v>0</v>
      </c>
      <c r="K90" s="2"/>
      <c r="L90" s="2"/>
      <c r="M90" s="2"/>
      <c r="N90" s="2"/>
      <c r="O90" s="8">
        <f t="shared" si="5"/>
        <v>0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7">
        <f t="shared" si="6"/>
        <v>0</v>
      </c>
      <c r="AB90" s="8">
        <v>0</v>
      </c>
      <c r="AC90" s="8">
        <v>0</v>
      </c>
      <c r="AD90" s="8" t="s">
        <v>153</v>
      </c>
      <c r="AE90" s="8">
        <v>0</v>
      </c>
      <c r="AF90"/>
    </row>
    <row r="91" spans="1:32" hidden="1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31"/>
      <c r="J91" s="78">
        <f>VLOOKUP(D91,'SEMANA 34 OK'!D91:O238,12,0)</f>
        <v>0</v>
      </c>
      <c r="K91" s="2"/>
      <c r="L91" s="2"/>
      <c r="M91" s="2"/>
      <c r="N91" s="2"/>
      <c r="O91" s="8">
        <f t="shared" si="5"/>
        <v>0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7">
        <f t="shared" si="6"/>
        <v>0</v>
      </c>
      <c r="AB91" s="8" t="s">
        <v>147</v>
      </c>
      <c r="AC91" s="8">
        <v>100</v>
      </c>
      <c r="AD91" s="8" t="s">
        <v>153</v>
      </c>
      <c r="AE91" s="8">
        <f t="shared" ref="AE91:AE153" si="7">+SUM(I91:N91)/AC91</f>
        <v>0</v>
      </c>
      <c r="AF91"/>
    </row>
    <row r="92" spans="1:32" hidden="1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31"/>
      <c r="J92" s="78">
        <f>VLOOKUP(D92,'SEMANA 34 OK'!D92:O239,12,0)</f>
        <v>0</v>
      </c>
      <c r="K92" s="2"/>
      <c r="L92" s="2"/>
      <c r="M92" s="2"/>
      <c r="N92" s="2"/>
      <c r="O92" s="8">
        <f t="shared" si="5"/>
        <v>0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7">
        <f t="shared" si="6"/>
        <v>0</v>
      </c>
      <c r="AB92" s="8" t="s">
        <v>147</v>
      </c>
      <c r="AC92" s="8">
        <v>200</v>
      </c>
      <c r="AD92" s="8" t="s">
        <v>153</v>
      </c>
      <c r="AE92" s="8">
        <f t="shared" si="7"/>
        <v>0</v>
      </c>
      <c r="AF92"/>
    </row>
    <row r="93" spans="1:32" hidden="1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31"/>
      <c r="J93" s="78">
        <f>VLOOKUP(D93,'SEMANA 34 OK'!D93:O240,12,0)</f>
        <v>0</v>
      </c>
      <c r="K93" s="2"/>
      <c r="L93" s="2"/>
      <c r="M93" s="2"/>
      <c r="N93" s="2"/>
      <c r="O93" s="8">
        <f t="shared" si="5"/>
        <v>0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7">
        <f t="shared" si="6"/>
        <v>0</v>
      </c>
      <c r="AB93" s="8" t="s">
        <v>147</v>
      </c>
      <c r="AC93" s="8">
        <v>200</v>
      </c>
      <c r="AD93" s="8" t="s">
        <v>153</v>
      </c>
      <c r="AE93" s="8">
        <f t="shared" si="7"/>
        <v>0</v>
      </c>
      <c r="AF93"/>
    </row>
    <row r="94" spans="1:32" hidden="1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31"/>
      <c r="J94" s="78">
        <f>VLOOKUP(D94,'SEMANA 34 OK'!D94:O241,12,0)</f>
        <v>0</v>
      </c>
      <c r="K94" s="2"/>
      <c r="L94" s="2"/>
      <c r="M94" s="2"/>
      <c r="N94" s="2"/>
      <c r="O94" s="8">
        <f t="shared" si="5"/>
        <v>0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7">
        <f t="shared" si="6"/>
        <v>0</v>
      </c>
      <c r="AB94" s="8" t="s">
        <v>147</v>
      </c>
      <c r="AC94" s="8">
        <v>200</v>
      </c>
      <c r="AD94" s="8" t="s">
        <v>153</v>
      </c>
      <c r="AE94" s="8">
        <f t="shared" si="7"/>
        <v>0</v>
      </c>
      <c r="AF94"/>
    </row>
    <row r="95" spans="1:32" hidden="1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31"/>
      <c r="J95" s="78">
        <f>VLOOKUP(D95,'SEMANA 34 OK'!D95:O242,12,0)</f>
        <v>0</v>
      </c>
      <c r="K95" s="2"/>
      <c r="L95" s="2"/>
      <c r="M95" s="2"/>
      <c r="N95" s="2"/>
      <c r="O95" s="8">
        <f t="shared" si="5"/>
        <v>0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7">
        <f t="shared" si="6"/>
        <v>0</v>
      </c>
      <c r="AB95" s="8" t="s">
        <v>147</v>
      </c>
      <c r="AC95" s="8">
        <v>200</v>
      </c>
      <c r="AD95" s="8" t="s">
        <v>153</v>
      </c>
      <c r="AE95" s="8">
        <f t="shared" si="7"/>
        <v>0</v>
      </c>
      <c r="AF95"/>
    </row>
    <row r="96" spans="1:32" hidden="1" x14ac:dyDescent="0.25">
      <c r="A96" s="2">
        <v>91</v>
      </c>
      <c r="B96" s="2" t="s">
        <v>128</v>
      </c>
      <c r="C96" s="2" t="s">
        <v>129</v>
      </c>
      <c r="D96" s="71" t="s">
        <v>115</v>
      </c>
      <c r="E96" s="13">
        <v>0.5</v>
      </c>
      <c r="F96" s="2"/>
      <c r="G96" s="3"/>
      <c r="H96" s="3"/>
      <c r="I96" s="31"/>
      <c r="J96" s="78">
        <f>VLOOKUP(D96,'SEMANA 34 OK'!D96:O243,12,0)</f>
        <v>-40</v>
      </c>
      <c r="K96" s="2"/>
      <c r="L96" s="2"/>
      <c r="M96" s="2"/>
      <c r="N96" s="2"/>
      <c r="O96" s="71">
        <f t="shared" si="5"/>
        <v>-40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7">
        <f t="shared" si="6"/>
        <v>0</v>
      </c>
      <c r="AB96" s="8" t="s">
        <v>147</v>
      </c>
      <c r="AC96" s="8">
        <v>200</v>
      </c>
      <c r="AD96" s="8" t="s">
        <v>153</v>
      </c>
      <c r="AE96" s="8">
        <f t="shared" si="7"/>
        <v>-0.2</v>
      </c>
      <c r="AF96"/>
    </row>
    <row r="97" spans="1:32" hidden="1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31"/>
      <c r="J97" s="78">
        <f>VLOOKUP(D97,'SEMANA 34 OK'!D97:O244,12,0)</f>
        <v>0</v>
      </c>
      <c r="K97" s="2"/>
      <c r="L97" s="2"/>
      <c r="M97" s="2"/>
      <c r="N97" s="2"/>
      <c r="O97" s="8">
        <f t="shared" si="5"/>
        <v>0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7">
        <f t="shared" si="6"/>
        <v>0</v>
      </c>
      <c r="AB97" s="8" t="s">
        <v>147</v>
      </c>
      <c r="AC97" s="8">
        <v>200</v>
      </c>
      <c r="AD97" s="8" t="s">
        <v>153</v>
      </c>
      <c r="AE97" s="8">
        <f t="shared" si="7"/>
        <v>0</v>
      </c>
      <c r="AF97"/>
    </row>
    <row r="98" spans="1:32" hidden="1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31"/>
      <c r="J98" s="78">
        <f>VLOOKUP(D98,'SEMANA 34 OK'!D98:O245,12,0)</f>
        <v>0</v>
      </c>
      <c r="K98" s="2"/>
      <c r="L98" s="2"/>
      <c r="M98" s="2"/>
      <c r="N98" s="2"/>
      <c r="O98" s="8">
        <f t="shared" si="5"/>
        <v>0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7">
        <f t="shared" si="6"/>
        <v>0</v>
      </c>
      <c r="AB98" s="8" t="s">
        <v>147</v>
      </c>
      <c r="AC98" s="8">
        <v>150</v>
      </c>
      <c r="AD98" s="8" t="s">
        <v>153</v>
      </c>
      <c r="AE98" s="8">
        <f t="shared" si="7"/>
        <v>0</v>
      </c>
    </row>
    <row r="99" spans="1:32" hidden="1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31"/>
      <c r="J99" s="78">
        <f>VLOOKUP(D99,'SEMANA 34 OK'!D99:O246,12,0)</f>
        <v>0</v>
      </c>
      <c r="K99" s="2"/>
      <c r="L99" s="2"/>
      <c r="M99" s="2"/>
      <c r="N99" s="2"/>
      <c r="O99" s="8">
        <f t="shared" si="5"/>
        <v>0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7">
        <f t="shared" si="6"/>
        <v>0</v>
      </c>
      <c r="AB99" s="8" t="s">
        <v>147</v>
      </c>
      <c r="AC99" s="8">
        <v>150</v>
      </c>
      <c r="AD99" s="8" t="s">
        <v>153</v>
      </c>
      <c r="AE99" s="8">
        <f t="shared" si="7"/>
        <v>0</v>
      </c>
    </row>
    <row r="100" spans="1:32" hidden="1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31"/>
      <c r="J100" s="78">
        <f>VLOOKUP(D100,'SEMANA 34 OK'!D100:O247,12,0)</f>
        <v>0</v>
      </c>
      <c r="K100" s="2"/>
      <c r="L100" s="2"/>
      <c r="M100" s="2"/>
      <c r="N100" s="2"/>
      <c r="O100" s="8">
        <f t="shared" si="5"/>
        <v>0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7">
        <f t="shared" si="6"/>
        <v>0</v>
      </c>
      <c r="AB100" s="8" t="s">
        <v>147</v>
      </c>
      <c r="AC100" s="8">
        <v>150</v>
      </c>
      <c r="AD100" s="8" t="s">
        <v>153</v>
      </c>
      <c r="AE100" s="8">
        <f t="shared" si="7"/>
        <v>0</v>
      </c>
    </row>
    <row r="101" spans="1:32" hidden="1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31"/>
      <c r="J101" s="78">
        <f>VLOOKUP(D101,'SEMANA 34 OK'!D101:O248,12,0)</f>
        <v>0</v>
      </c>
      <c r="K101" s="2"/>
      <c r="L101" s="2"/>
      <c r="M101" s="2"/>
      <c r="N101" s="2"/>
      <c r="O101" s="8">
        <f t="shared" si="5"/>
        <v>0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7">
        <f t="shared" si="6"/>
        <v>0</v>
      </c>
      <c r="AB101" s="8" t="s">
        <v>147</v>
      </c>
      <c r="AC101" s="8">
        <v>150</v>
      </c>
      <c r="AD101" s="8" t="s">
        <v>153</v>
      </c>
      <c r="AE101" s="8">
        <f t="shared" si="7"/>
        <v>0</v>
      </c>
    </row>
    <row r="102" spans="1:32" hidden="1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31"/>
      <c r="J102" s="78">
        <f>VLOOKUP(D102,'SEMANA 34 OK'!D102:O249,12,0)</f>
        <v>0</v>
      </c>
      <c r="K102" s="2"/>
      <c r="L102" s="2"/>
      <c r="M102" s="2"/>
      <c r="N102" s="2"/>
      <c r="O102" s="8">
        <f t="shared" si="5"/>
        <v>0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7">
        <f t="shared" si="6"/>
        <v>0</v>
      </c>
      <c r="AB102" s="8" t="s">
        <v>147</v>
      </c>
      <c r="AC102" s="8">
        <v>80</v>
      </c>
      <c r="AD102" s="8" t="s">
        <v>153</v>
      </c>
      <c r="AE102" s="8">
        <f t="shared" si="7"/>
        <v>0</v>
      </c>
    </row>
    <row r="103" spans="1:32" hidden="1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31"/>
      <c r="J103" s="78">
        <f>VLOOKUP(D103,'SEMANA 34 OK'!D103:O250,12,0)</f>
        <v>0</v>
      </c>
      <c r="K103" s="2"/>
      <c r="L103" s="2"/>
      <c r="M103" s="2"/>
      <c r="N103" s="2"/>
      <c r="O103" s="8">
        <f t="shared" si="5"/>
        <v>0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7">
        <f t="shared" si="6"/>
        <v>0</v>
      </c>
      <c r="AB103" s="8" t="s">
        <v>147</v>
      </c>
      <c r="AC103" s="8">
        <v>80</v>
      </c>
      <c r="AD103" s="8" t="s">
        <v>153</v>
      </c>
      <c r="AE103" s="8">
        <f t="shared" si="7"/>
        <v>0</v>
      </c>
    </row>
    <row r="104" spans="1:32" hidden="1" x14ac:dyDescent="0.25">
      <c r="A104" s="2">
        <v>99</v>
      </c>
      <c r="B104" s="2" t="s">
        <v>128</v>
      </c>
      <c r="C104" s="2" t="s">
        <v>129</v>
      </c>
      <c r="D104" s="71" t="s">
        <v>123</v>
      </c>
      <c r="E104" s="13">
        <v>0.75</v>
      </c>
      <c r="F104" s="2"/>
      <c r="G104" s="3"/>
      <c r="H104" s="3"/>
      <c r="I104" s="31"/>
      <c r="J104" s="78">
        <f>VLOOKUP(D104,'SEMANA 34 OK'!D104:O251,12,0)</f>
        <v>0</v>
      </c>
      <c r="K104" s="2"/>
      <c r="L104" s="2"/>
      <c r="M104" s="2"/>
      <c r="N104" s="2"/>
      <c r="O104" s="71">
        <f t="shared" si="5"/>
        <v>0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7">
        <f t="shared" si="6"/>
        <v>0</v>
      </c>
      <c r="AB104" s="8" t="s">
        <v>147</v>
      </c>
      <c r="AC104" s="8">
        <v>80</v>
      </c>
      <c r="AD104" s="8" t="s">
        <v>153</v>
      </c>
      <c r="AE104" s="8">
        <f t="shared" si="7"/>
        <v>0</v>
      </c>
    </row>
    <row r="105" spans="1:32" hidden="1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31"/>
      <c r="J105" s="78">
        <f>VLOOKUP(D105,'SEMANA 34 OK'!D105:O252,12,0)</f>
        <v>0</v>
      </c>
      <c r="K105" s="2"/>
      <c r="L105" s="2"/>
      <c r="M105" s="2"/>
      <c r="N105" s="2"/>
      <c r="O105" s="8">
        <f t="shared" si="5"/>
        <v>0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7">
        <f t="shared" si="6"/>
        <v>0</v>
      </c>
      <c r="AB105" s="8" t="s">
        <v>147</v>
      </c>
      <c r="AC105" s="8">
        <v>80</v>
      </c>
      <c r="AD105" s="8" t="s">
        <v>153</v>
      </c>
      <c r="AE105" s="8">
        <f t="shared" si="7"/>
        <v>0</v>
      </c>
    </row>
    <row r="106" spans="1:32" hidden="1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31"/>
      <c r="J106" s="78">
        <f>VLOOKUP(D106,'SEMANA 34 OK'!D106:O253,12,0)</f>
        <v>0</v>
      </c>
      <c r="K106" s="2"/>
      <c r="L106" s="2"/>
      <c r="M106" s="2"/>
      <c r="N106" s="2"/>
      <c r="O106" s="8">
        <f t="shared" si="5"/>
        <v>0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7">
        <f t="shared" si="6"/>
        <v>0</v>
      </c>
      <c r="AB106" s="8" t="s">
        <v>147</v>
      </c>
      <c r="AC106" s="8">
        <v>50</v>
      </c>
      <c r="AD106" s="8" t="s">
        <v>153</v>
      </c>
      <c r="AE106" s="8">
        <f t="shared" si="7"/>
        <v>0</v>
      </c>
    </row>
    <row r="107" spans="1:32" hidden="1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31"/>
      <c r="J107" s="78">
        <f>VLOOKUP(D107,'SEMANA 34 OK'!D107:O254,12,0)</f>
        <v>0</v>
      </c>
      <c r="K107" s="2"/>
      <c r="L107" s="2"/>
      <c r="M107" s="2"/>
      <c r="N107" s="2"/>
      <c r="O107" s="8">
        <f t="shared" si="5"/>
        <v>0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7">
        <f t="shared" si="6"/>
        <v>0</v>
      </c>
      <c r="AB107" s="8" t="s">
        <v>155</v>
      </c>
      <c r="AC107" s="8">
        <v>50</v>
      </c>
      <c r="AD107" s="8" t="s">
        <v>153</v>
      </c>
      <c r="AE107" s="8">
        <f t="shared" si="7"/>
        <v>0</v>
      </c>
    </row>
    <row r="108" spans="1:32" hidden="1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31"/>
      <c r="J108" s="78">
        <f>VLOOKUP(D108,'SEMANA 34 OK'!D108:O255,12,0)</f>
        <v>0</v>
      </c>
      <c r="K108" s="2"/>
      <c r="L108" s="2"/>
      <c r="M108" s="2"/>
      <c r="N108" s="2"/>
      <c r="O108" s="8">
        <f t="shared" si="5"/>
        <v>0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7">
        <f t="shared" si="6"/>
        <v>0</v>
      </c>
      <c r="AB108" s="8" t="s">
        <v>155</v>
      </c>
      <c r="AC108" s="8">
        <v>50</v>
      </c>
      <c r="AD108" s="8" t="s">
        <v>153</v>
      </c>
      <c r="AE108" s="8">
        <f t="shared" si="7"/>
        <v>0</v>
      </c>
    </row>
    <row r="109" spans="1:32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31"/>
      <c r="J109" s="78">
        <f>VLOOKUP(D109,'SEMANA 34 OK'!D109:O256,12,0)</f>
        <v>0</v>
      </c>
      <c r="K109" s="2"/>
      <c r="L109" s="2"/>
      <c r="M109" s="2"/>
      <c r="N109" s="2"/>
      <c r="O109" s="8">
        <f t="shared" si="5"/>
        <v>0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7">
        <f t="shared" si="6"/>
        <v>0</v>
      </c>
      <c r="AB109" s="8" t="s">
        <v>148</v>
      </c>
      <c r="AC109" s="8">
        <v>250</v>
      </c>
      <c r="AD109" s="8" t="s">
        <v>154</v>
      </c>
      <c r="AE109" s="8">
        <f t="shared" si="7"/>
        <v>0</v>
      </c>
    </row>
    <row r="110" spans="1:32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31"/>
      <c r="J110" s="78">
        <f>VLOOKUP(D110,'SEMANA 34 OK'!D110:O257,12,0)</f>
        <v>0</v>
      </c>
      <c r="K110" s="2"/>
      <c r="L110" s="2"/>
      <c r="M110" s="2"/>
      <c r="N110" s="2"/>
      <c r="O110" s="8">
        <f t="shared" si="5"/>
        <v>0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7">
        <f t="shared" si="6"/>
        <v>0</v>
      </c>
      <c r="AB110" s="8" t="s">
        <v>148</v>
      </c>
      <c r="AC110" s="8">
        <v>250</v>
      </c>
      <c r="AD110" s="8" t="s">
        <v>154</v>
      </c>
      <c r="AE110" s="8">
        <f t="shared" si="7"/>
        <v>0</v>
      </c>
    </row>
    <row r="111" spans="1:32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31">
        <v>320</v>
      </c>
      <c r="J111" s="78"/>
      <c r="K111" s="2"/>
      <c r="L111" s="2"/>
      <c r="M111" s="2"/>
      <c r="N111" s="2"/>
      <c r="O111" s="8">
        <f t="shared" si="5"/>
        <v>-345</v>
      </c>
      <c r="P111" s="18"/>
      <c r="Q111" s="18"/>
      <c r="R111" s="18"/>
      <c r="S111" s="18"/>
      <c r="T111" s="18"/>
      <c r="U111" s="18"/>
      <c r="V111" s="18"/>
      <c r="W111" s="18"/>
      <c r="X111" s="18">
        <v>345</v>
      </c>
      <c r="Y111" s="18"/>
      <c r="Z111" s="69">
        <v>320</v>
      </c>
      <c r="AA111" s="7">
        <f t="shared" si="6"/>
        <v>0</v>
      </c>
      <c r="AB111" s="8" t="s">
        <v>148</v>
      </c>
      <c r="AC111" s="8">
        <v>250</v>
      </c>
      <c r="AD111" s="8" t="s">
        <v>154</v>
      </c>
      <c r="AE111" s="8">
        <f t="shared" si="7"/>
        <v>1.28</v>
      </c>
    </row>
    <row r="112" spans="1:32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31">
        <v>320</v>
      </c>
      <c r="J112" s="78"/>
      <c r="K112" s="2"/>
      <c r="L112" s="2"/>
      <c r="M112" s="2"/>
      <c r="N112" s="2"/>
      <c r="O112" s="8">
        <f t="shared" si="5"/>
        <v>0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69">
        <v>320</v>
      </c>
      <c r="AA112" s="7">
        <f t="shared" si="6"/>
        <v>0</v>
      </c>
      <c r="AB112" s="8" t="s">
        <v>150</v>
      </c>
      <c r="AC112" s="8">
        <v>200</v>
      </c>
      <c r="AD112" s="8" t="s">
        <v>154</v>
      </c>
      <c r="AE112" s="8">
        <f t="shared" si="7"/>
        <v>1.6</v>
      </c>
    </row>
    <row r="113" spans="1:31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31"/>
      <c r="J113" s="78">
        <f>VLOOKUP(D113,'SEMANA 34 OK'!D113:O260,12,0)</f>
        <v>0</v>
      </c>
      <c r="K113" s="2"/>
      <c r="L113" s="2"/>
      <c r="M113" s="2"/>
      <c r="N113" s="2"/>
      <c r="O113" s="8">
        <f t="shared" si="5"/>
        <v>0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7">
        <f t="shared" si="6"/>
        <v>0</v>
      </c>
      <c r="AB113" s="8" t="s">
        <v>150</v>
      </c>
      <c r="AC113" s="8">
        <v>200</v>
      </c>
      <c r="AD113" s="8" t="s">
        <v>154</v>
      </c>
      <c r="AE113" s="8">
        <f t="shared" si="7"/>
        <v>0</v>
      </c>
    </row>
    <row r="114" spans="1:31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31">
        <v>312</v>
      </c>
      <c r="J114" s="78"/>
      <c r="K114" s="2"/>
      <c r="L114" s="2"/>
      <c r="M114" s="2"/>
      <c r="N114" s="2"/>
      <c r="O114" s="8">
        <f t="shared" si="5"/>
        <v>0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69">
        <v>312</v>
      </c>
      <c r="AA114" s="7">
        <f t="shared" si="6"/>
        <v>0</v>
      </c>
      <c r="AB114" s="8" t="s">
        <v>150</v>
      </c>
      <c r="AC114" s="8">
        <v>200</v>
      </c>
      <c r="AD114" s="8" t="s">
        <v>154</v>
      </c>
      <c r="AE114" s="8">
        <f t="shared" si="7"/>
        <v>1.56</v>
      </c>
    </row>
    <row r="115" spans="1:31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31">
        <v>468</v>
      </c>
      <c r="J115" s="78"/>
      <c r="K115" s="2"/>
      <c r="L115" s="2"/>
      <c r="M115" s="2"/>
      <c r="N115" s="2"/>
      <c r="O115" s="8">
        <f t="shared" si="5"/>
        <v>0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69">
        <v>468</v>
      </c>
      <c r="AA115" s="7">
        <f t="shared" si="6"/>
        <v>0</v>
      </c>
      <c r="AB115" s="8" t="s">
        <v>150</v>
      </c>
      <c r="AC115" s="8">
        <v>200</v>
      </c>
      <c r="AD115" s="8" t="s">
        <v>154</v>
      </c>
      <c r="AE115" s="8">
        <f t="shared" si="7"/>
        <v>2.34</v>
      </c>
    </row>
    <row r="116" spans="1:31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31">
        <v>210</v>
      </c>
      <c r="J116" s="78"/>
      <c r="K116" s="2"/>
      <c r="L116" s="2"/>
      <c r="M116" s="2"/>
      <c r="N116" s="2"/>
      <c r="O116" s="8">
        <f t="shared" si="5"/>
        <v>0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69">
        <v>210</v>
      </c>
      <c r="AA116" s="7">
        <f t="shared" si="6"/>
        <v>0</v>
      </c>
      <c r="AB116" s="8" t="s">
        <v>150</v>
      </c>
      <c r="AC116" s="8">
        <v>200</v>
      </c>
      <c r="AD116" s="8" t="s">
        <v>154</v>
      </c>
      <c r="AE116" s="8">
        <f t="shared" si="7"/>
        <v>1.05</v>
      </c>
    </row>
    <row r="117" spans="1:31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31">
        <v>616</v>
      </c>
      <c r="J117" s="78"/>
      <c r="K117" s="2"/>
      <c r="L117" s="2"/>
      <c r="M117" s="2"/>
      <c r="N117" s="2"/>
      <c r="O117" s="8">
        <f t="shared" si="5"/>
        <v>0</v>
      </c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69">
        <v>616</v>
      </c>
      <c r="AA117" s="7">
        <f t="shared" si="6"/>
        <v>0</v>
      </c>
      <c r="AB117" s="8" t="s">
        <v>150</v>
      </c>
      <c r="AC117" s="8">
        <v>200</v>
      </c>
      <c r="AD117" s="8" t="s">
        <v>154</v>
      </c>
      <c r="AE117" s="8">
        <f t="shared" si="7"/>
        <v>3.08</v>
      </c>
    </row>
    <row r="118" spans="1:31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31">
        <v>216</v>
      </c>
      <c r="J118" s="78"/>
      <c r="K118" s="2"/>
      <c r="L118" s="2"/>
      <c r="M118" s="2"/>
      <c r="N118" s="2"/>
      <c r="O118" s="8">
        <f t="shared" si="5"/>
        <v>0</v>
      </c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69">
        <v>216</v>
      </c>
      <c r="AA118" s="7">
        <f t="shared" si="6"/>
        <v>0</v>
      </c>
      <c r="AB118" s="8" t="s">
        <v>150</v>
      </c>
      <c r="AC118" s="8">
        <v>200</v>
      </c>
      <c r="AD118" s="8" t="s">
        <v>154</v>
      </c>
      <c r="AE118" s="8">
        <f t="shared" si="7"/>
        <v>1.08</v>
      </c>
    </row>
    <row r="119" spans="1:31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31"/>
      <c r="J119" s="78">
        <f>VLOOKUP(D119,'SEMANA 34 OK'!D119:O266,12,0)</f>
        <v>0</v>
      </c>
      <c r="K119" s="2"/>
      <c r="L119" s="2"/>
      <c r="M119" s="2"/>
      <c r="N119" s="2"/>
      <c r="O119" s="8">
        <f t="shared" si="5"/>
        <v>0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7">
        <f t="shared" si="6"/>
        <v>0</v>
      </c>
      <c r="AB119" s="8" t="s">
        <v>150</v>
      </c>
      <c r="AC119" s="8">
        <v>200</v>
      </c>
      <c r="AD119" s="8" t="s">
        <v>154</v>
      </c>
      <c r="AE119" s="8">
        <f t="shared" si="7"/>
        <v>0</v>
      </c>
    </row>
    <row r="120" spans="1:31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31"/>
      <c r="J120" s="78">
        <f>VLOOKUP(D120,'SEMANA 34 OK'!D120:O267,12,0)</f>
        <v>0</v>
      </c>
      <c r="K120" s="2"/>
      <c r="L120" s="2"/>
      <c r="M120" s="2"/>
      <c r="N120" s="2"/>
      <c r="O120" s="8">
        <f t="shared" si="5"/>
        <v>0</v>
      </c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7">
        <f t="shared" si="6"/>
        <v>0</v>
      </c>
      <c r="AB120" s="8" t="s">
        <v>150</v>
      </c>
      <c r="AC120" s="8">
        <v>200</v>
      </c>
      <c r="AD120" s="8" t="s">
        <v>154</v>
      </c>
      <c r="AE120" s="8">
        <f t="shared" si="7"/>
        <v>0</v>
      </c>
    </row>
    <row r="121" spans="1:31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31">
        <v>140</v>
      </c>
      <c r="J121" s="78"/>
      <c r="K121" s="2"/>
      <c r="L121" s="2"/>
      <c r="M121" s="2"/>
      <c r="N121" s="2"/>
      <c r="O121" s="8">
        <f t="shared" si="5"/>
        <v>0</v>
      </c>
      <c r="P121" s="18"/>
      <c r="Q121" s="18"/>
      <c r="R121" s="18"/>
      <c r="S121" s="18"/>
      <c r="T121" s="18"/>
      <c r="U121" s="18"/>
      <c r="V121" s="18"/>
      <c r="W121" s="18">
        <v>140</v>
      </c>
      <c r="X121" s="18"/>
      <c r="Y121" s="18"/>
      <c r="Z121" s="18"/>
      <c r="AA121" s="7">
        <f t="shared" si="6"/>
        <v>0</v>
      </c>
      <c r="AB121" s="8" t="s">
        <v>150</v>
      </c>
      <c r="AC121" s="8">
        <v>200</v>
      </c>
      <c r="AD121" s="8" t="s">
        <v>154</v>
      </c>
      <c r="AE121" s="8">
        <f t="shared" si="7"/>
        <v>0.7</v>
      </c>
    </row>
    <row r="122" spans="1:31" x14ac:dyDescent="0.25">
      <c r="A122" s="2"/>
      <c r="B122" s="2" t="s">
        <v>130</v>
      </c>
      <c r="C122" s="2" t="s">
        <v>0</v>
      </c>
      <c r="D122" s="76" t="s">
        <v>233</v>
      </c>
      <c r="E122" s="13">
        <v>0.75</v>
      </c>
      <c r="F122" s="2"/>
      <c r="G122" s="3"/>
      <c r="H122" s="3"/>
      <c r="I122" s="31"/>
      <c r="J122" s="78">
        <f>VLOOKUP(D122,'SEMANA 34 OK'!D122:O269,12,0)</f>
        <v>0</v>
      </c>
      <c r="K122" s="2"/>
      <c r="L122" s="2"/>
      <c r="M122" s="2"/>
      <c r="N122" s="2"/>
      <c r="O122" s="8">
        <f t="shared" si="5"/>
        <v>0</v>
      </c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7"/>
      <c r="AB122" s="8"/>
      <c r="AC122" s="8"/>
      <c r="AD122" s="8"/>
      <c r="AE122" s="8"/>
    </row>
    <row r="123" spans="1:31" x14ac:dyDescent="0.25">
      <c r="A123" s="2"/>
      <c r="B123" s="2" t="s">
        <v>130</v>
      </c>
      <c r="C123" s="2" t="s">
        <v>0</v>
      </c>
      <c r="D123" s="76" t="s">
        <v>234</v>
      </c>
      <c r="E123" s="13">
        <v>0.875</v>
      </c>
      <c r="F123" s="2"/>
      <c r="G123" s="3"/>
      <c r="H123" s="3"/>
      <c r="I123" s="31"/>
      <c r="J123" s="78">
        <f>VLOOKUP(D123,'SEMANA 34 OK'!D123:O270,12,0)</f>
        <v>0</v>
      </c>
      <c r="K123" s="2"/>
      <c r="L123" s="2"/>
      <c r="M123" s="2"/>
      <c r="N123" s="2"/>
      <c r="O123" s="8">
        <f t="shared" si="5"/>
        <v>0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7"/>
      <c r="AB123" s="8"/>
      <c r="AC123" s="8"/>
      <c r="AD123" s="8"/>
      <c r="AE123" s="8"/>
    </row>
    <row r="124" spans="1:31" x14ac:dyDescent="0.25">
      <c r="A124" s="2"/>
      <c r="B124" s="2" t="s">
        <v>130</v>
      </c>
      <c r="C124" s="2" t="s">
        <v>0</v>
      </c>
      <c r="D124" s="76" t="s">
        <v>235</v>
      </c>
      <c r="E124" s="13">
        <v>0.375</v>
      </c>
      <c r="F124" s="2"/>
      <c r="G124" s="3"/>
      <c r="H124" s="3"/>
      <c r="I124" s="31"/>
      <c r="J124" s="78">
        <f>VLOOKUP(D124,'SEMANA 34 OK'!D124:O271,12,0)</f>
        <v>0</v>
      </c>
      <c r="K124" s="2"/>
      <c r="L124" s="2"/>
      <c r="M124" s="2"/>
      <c r="N124" s="2"/>
      <c r="O124" s="8">
        <f t="shared" si="5"/>
        <v>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7"/>
      <c r="AB124" s="8"/>
      <c r="AC124" s="8"/>
      <c r="AD124" s="8"/>
      <c r="AE124" s="8"/>
    </row>
    <row r="125" spans="1:31" x14ac:dyDescent="0.25">
      <c r="A125" s="2"/>
      <c r="B125" s="2" t="s">
        <v>130</v>
      </c>
      <c r="C125" s="2" t="s">
        <v>0</v>
      </c>
      <c r="D125" s="76" t="s">
        <v>236</v>
      </c>
      <c r="E125" s="13">
        <v>0.375</v>
      </c>
      <c r="F125" s="2"/>
      <c r="G125" s="3"/>
      <c r="H125" s="3"/>
      <c r="I125" s="31"/>
      <c r="J125" s="78">
        <f>VLOOKUP(D125,'SEMANA 34 OK'!D125:O272,12,0)</f>
        <v>0</v>
      </c>
      <c r="K125" s="2"/>
      <c r="L125" s="2"/>
      <c r="M125" s="2"/>
      <c r="N125" s="2"/>
      <c r="O125" s="8">
        <f t="shared" si="5"/>
        <v>0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7"/>
      <c r="AB125" s="8"/>
      <c r="AC125" s="8"/>
      <c r="AD125" s="8"/>
      <c r="AE125" s="8"/>
    </row>
    <row r="126" spans="1:31" x14ac:dyDescent="0.25">
      <c r="A126" s="2">
        <v>117</v>
      </c>
      <c r="B126" s="2" t="s">
        <v>130</v>
      </c>
      <c r="C126" s="2" t="s">
        <v>0</v>
      </c>
      <c r="D126" s="2" t="s">
        <v>144</v>
      </c>
      <c r="E126" s="13">
        <v>0.875</v>
      </c>
      <c r="F126" s="2"/>
      <c r="G126" s="3"/>
      <c r="H126" s="3"/>
      <c r="I126" s="31">
        <v>160</v>
      </c>
      <c r="J126" s="78"/>
      <c r="K126" s="2"/>
      <c r="L126" s="2"/>
      <c r="M126" s="2"/>
      <c r="N126" s="2"/>
      <c r="O126" s="8">
        <f t="shared" si="5"/>
        <v>-172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>
        <v>172</v>
      </c>
      <c r="Z126" s="69">
        <v>160</v>
      </c>
      <c r="AA126" s="7">
        <f t="shared" si="6"/>
        <v>0</v>
      </c>
      <c r="AB126" s="8" t="s">
        <v>150</v>
      </c>
      <c r="AC126" s="8">
        <v>200</v>
      </c>
      <c r="AD126" s="8" t="s">
        <v>154</v>
      </c>
      <c r="AE126" s="8">
        <f t="shared" si="7"/>
        <v>0.8</v>
      </c>
    </row>
    <row r="127" spans="1:31" hidden="1" x14ac:dyDescent="0.25">
      <c r="A127" s="2">
        <v>118</v>
      </c>
      <c r="B127" s="2" t="s">
        <v>188</v>
      </c>
      <c r="C127" s="2" t="s">
        <v>129</v>
      </c>
      <c r="D127" s="2" t="s">
        <v>160</v>
      </c>
      <c r="E127" s="13">
        <v>0.3125</v>
      </c>
      <c r="F127" s="2"/>
      <c r="G127" s="3"/>
      <c r="H127" s="3">
        <v>0.2</v>
      </c>
      <c r="I127" s="31"/>
      <c r="J127" s="78">
        <f>VLOOKUP(D127,'SEMANA 34 OK'!D127:O274,12,0)</f>
        <v>0</v>
      </c>
      <c r="K127" s="2"/>
      <c r="L127" s="2"/>
      <c r="M127" s="2"/>
      <c r="N127" s="2"/>
      <c r="O127" s="8">
        <f t="shared" si="5"/>
        <v>0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7">
        <f t="shared" si="6"/>
        <v>0</v>
      </c>
      <c r="AB127" s="8" t="s">
        <v>148</v>
      </c>
      <c r="AC127" s="12">
        <v>500</v>
      </c>
      <c r="AD127" s="8" t="s">
        <v>189</v>
      </c>
      <c r="AE127" s="8">
        <f t="shared" si="7"/>
        <v>0</v>
      </c>
    </row>
    <row r="128" spans="1:31" hidden="1" x14ac:dyDescent="0.25">
      <c r="A128" s="2">
        <v>119</v>
      </c>
      <c r="B128" s="2" t="s">
        <v>188</v>
      </c>
      <c r="C128" s="2" t="s">
        <v>129</v>
      </c>
      <c r="D128" s="2" t="s">
        <v>161</v>
      </c>
      <c r="E128" s="13">
        <v>0.3125</v>
      </c>
      <c r="F128" s="2"/>
      <c r="G128" s="3"/>
      <c r="H128" s="3">
        <v>0.2</v>
      </c>
      <c r="I128" s="31"/>
      <c r="J128" s="78">
        <f>VLOOKUP(D128,'SEMANA 34 OK'!D128:O275,12,0)</f>
        <v>0</v>
      </c>
      <c r="K128" s="2"/>
      <c r="L128" s="2"/>
      <c r="M128" s="2"/>
      <c r="N128" s="2"/>
      <c r="O128" s="8">
        <f t="shared" si="5"/>
        <v>0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7">
        <f t="shared" si="6"/>
        <v>0</v>
      </c>
      <c r="AB128" s="8" t="s">
        <v>148</v>
      </c>
      <c r="AC128" s="12">
        <v>500</v>
      </c>
      <c r="AD128" s="8" t="s">
        <v>189</v>
      </c>
      <c r="AE128" s="8">
        <f t="shared" si="7"/>
        <v>0</v>
      </c>
    </row>
    <row r="129" spans="1:31" hidden="1" x14ac:dyDescent="0.25">
      <c r="A129" s="2">
        <v>120</v>
      </c>
      <c r="B129" s="2" t="s">
        <v>188</v>
      </c>
      <c r="C129" s="2" t="s">
        <v>129</v>
      </c>
      <c r="D129" s="2" t="s">
        <v>162</v>
      </c>
      <c r="E129" s="13">
        <v>0.3125</v>
      </c>
      <c r="F129" s="2"/>
      <c r="G129" s="3"/>
      <c r="H129" s="3">
        <v>0.2</v>
      </c>
      <c r="I129" s="31"/>
      <c r="J129" s="78">
        <f>VLOOKUP(D129,'SEMANA 34 OK'!D129:O276,12,0)</f>
        <v>0</v>
      </c>
      <c r="K129" s="2"/>
      <c r="L129" s="2"/>
      <c r="M129" s="2"/>
      <c r="N129" s="2"/>
      <c r="O129" s="8">
        <f t="shared" si="5"/>
        <v>0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7">
        <f t="shared" si="6"/>
        <v>0</v>
      </c>
      <c r="AB129" s="8" t="s">
        <v>148</v>
      </c>
      <c r="AC129" s="12">
        <v>500</v>
      </c>
      <c r="AD129" s="8" t="s">
        <v>189</v>
      </c>
      <c r="AE129" s="8">
        <f t="shared" si="7"/>
        <v>0</v>
      </c>
    </row>
    <row r="130" spans="1:31" hidden="1" x14ac:dyDescent="0.25">
      <c r="A130" s="2">
        <v>121</v>
      </c>
      <c r="B130" s="2" t="s">
        <v>188</v>
      </c>
      <c r="C130" s="2" t="s">
        <v>129</v>
      </c>
      <c r="D130" s="2" t="s">
        <v>163</v>
      </c>
      <c r="E130" s="13">
        <v>0.3125</v>
      </c>
      <c r="F130" s="2"/>
      <c r="G130" s="3"/>
      <c r="H130" s="3">
        <v>0.2</v>
      </c>
      <c r="I130" s="31"/>
      <c r="J130" s="78">
        <f>VLOOKUP(D130,'SEMANA 34 OK'!D130:O277,12,0)</f>
        <v>0</v>
      </c>
      <c r="K130" s="2"/>
      <c r="L130" s="2"/>
      <c r="M130" s="2"/>
      <c r="N130" s="2"/>
      <c r="O130" s="8">
        <f t="shared" si="5"/>
        <v>0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7">
        <f t="shared" si="6"/>
        <v>0</v>
      </c>
      <c r="AB130" s="8" t="s">
        <v>148</v>
      </c>
      <c r="AC130" s="12">
        <v>500</v>
      </c>
      <c r="AD130" s="8" t="s">
        <v>189</v>
      </c>
      <c r="AE130" s="8">
        <f t="shared" si="7"/>
        <v>0</v>
      </c>
    </row>
    <row r="131" spans="1:31" hidden="1" x14ac:dyDescent="0.25">
      <c r="A131" s="2">
        <v>122</v>
      </c>
      <c r="B131" s="2" t="s">
        <v>188</v>
      </c>
      <c r="C131" s="2" t="s">
        <v>129</v>
      </c>
      <c r="D131" s="2" t="s">
        <v>164</v>
      </c>
      <c r="E131" s="13">
        <v>0.3125</v>
      </c>
      <c r="F131" s="2"/>
      <c r="G131" s="3"/>
      <c r="H131" s="3">
        <v>0.2</v>
      </c>
      <c r="I131" s="31"/>
      <c r="J131" s="78">
        <f>VLOOKUP(D131,'SEMANA 34 OK'!D131:O278,12,0)</f>
        <v>0</v>
      </c>
      <c r="K131" s="2"/>
      <c r="L131" s="2"/>
      <c r="M131" s="2"/>
      <c r="N131" s="2"/>
      <c r="O131" s="8">
        <f t="shared" si="5"/>
        <v>0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7">
        <f t="shared" si="6"/>
        <v>0</v>
      </c>
      <c r="AB131" s="8" t="s">
        <v>148</v>
      </c>
      <c r="AC131" s="12">
        <v>500</v>
      </c>
      <c r="AD131" s="8" t="s">
        <v>189</v>
      </c>
      <c r="AE131" s="8">
        <f t="shared" si="7"/>
        <v>0</v>
      </c>
    </row>
    <row r="132" spans="1:31" hidden="1" x14ac:dyDescent="0.25">
      <c r="A132" s="2">
        <v>123</v>
      </c>
      <c r="B132" s="2" t="s">
        <v>188</v>
      </c>
      <c r="C132" s="2" t="s">
        <v>129</v>
      </c>
      <c r="D132" s="2" t="s">
        <v>165</v>
      </c>
      <c r="E132" s="13">
        <v>0.3125</v>
      </c>
      <c r="F132" s="2"/>
      <c r="G132" s="3"/>
      <c r="H132" s="3">
        <v>0.2</v>
      </c>
      <c r="I132" s="31"/>
      <c r="J132" s="78">
        <f>VLOOKUP(D132,'SEMANA 34 OK'!D132:O279,12,0)</f>
        <v>0</v>
      </c>
      <c r="K132" s="2"/>
      <c r="L132" s="2"/>
      <c r="M132" s="2"/>
      <c r="N132" s="2"/>
      <c r="O132" s="8">
        <f t="shared" si="5"/>
        <v>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7">
        <f t="shared" si="6"/>
        <v>0</v>
      </c>
      <c r="AB132" s="8" t="s">
        <v>148</v>
      </c>
      <c r="AC132" s="12">
        <v>500</v>
      </c>
      <c r="AD132" s="8" t="s">
        <v>189</v>
      </c>
      <c r="AE132" s="8">
        <f t="shared" si="7"/>
        <v>0</v>
      </c>
    </row>
    <row r="133" spans="1:31" hidden="1" x14ac:dyDescent="0.25">
      <c r="A133" s="2">
        <v>124</v>
      </c>
      <c r="B133" s="2" t="s">
        <v>188</v>
      </c>
      <c r="C133" s="2" t="s">
        <v>129</v>
      </c>
      <c r="D133" s="2" t="s">
        <v>166</v>
      </c>
      <c r="E133" s="13">
        <v>0.3125</v>
      </c>
      <c r="F133" s="2"/>
      <c r="G133" s="3"/>
      <c r="H133" s="3">
        <v>0.16</v>
      </c>
      <c r="I133" s="31"/>
      <c r="J133" s="78">
        <f>VLOOKUP(D133,'SEMANA 34 OK'!D133:O280,12,0)</f>
        <v>0</v>
      </c>
      <c r="K133" s="2"/>
      <c r="L133" s="2"/>
      <c r="M133" s="2"/>
      <c r="N133" s="2"/>
      <c r="O133" s="8">
        <f t="shared" si="5"/>
        <v>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7">
        <f t="shared" si="6"/>
        <v>0</v>
      </c>
      <c r="AB133" s="8" t="s">
        <v>148</v>
      </c>
      <c r="AC133" s="12">
        <v>500</v>
      </c>
      <c r="AD133" s="8" t="s">
        <v>189</v>
      </c>
      <c r="AE133" s="8">
        <f t="shared" si="7"/>
        <v>0</v>
      </c>
    </row>
    <row r="134" spans="1:31" hidden="1" x14ac:dyDescent="0.25">
      <c r="A134" s="2">
        <v>125</v>
      </c>
      <c r="B134" s="2" t="s">
        <v>188</v>
      </c>
      <c r="C134" s="2" t="s">
        <v>129</v>
      </c>
      <c r="D134" s="2" t="s">
        <v>167</v>
      </c>
      <c r="E134" s="13">
        <v>0.3125</v>
      </c>
      <c r="F134" s="2"/>
      <c r="G134" s="3"/>
      <c r="H134" s="3">
        <v>0.16</v>
      </c>
      <c r="I134" s="31"/>
      <c r="J134" s="78">
        <f>VLOOKUP(D134,'SEMANA 34 OK'!D134:O281,12,0)</f>
        <v>0</v>
      </c>
      <c r="K134" s="2"/>
      <c r="L134" s="2"/>
      <c r="M134" s="2"/>
      <c r="N134" s="2"/>
      <c r="O134" s="8">
        <f t="shared" si="5"/>
        <v>0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7">
        <f t="shared" si="6"/>
        <v>0</v>
      </c>
      <c r="AB134" s="8" t="s">
        <v>148</v>
      </c>
      <c r="AC134" s="12">
        <v>500</v>
      </c>
      <c r="AD134" s="8" t="s">
        <v>189</v>
      </c>
      <c r="AE134" s="8">
        <f t="shared" si="7"/>
        <v>0</v>
      </c>
    </row>
    <row r="135" spans="1:31" hidden="1" x14ac:dyDescent="0.25">
      <c r="A135" s="2">
        <v>126</v>
      </c>
      <c r="B135" s="2" t="s">
        <v>188</v>
      </c>
      <c r="C135" s="2" t="s">
        <v>129</v>
      </c>
      <c r="D135" s="2" t="s">
        <v>168</v>
      </c>
      <c r="E135" s="13">
        <v>0.3125</v>
      </c>
      <c r="F135" s="2"/>
      <c r="G135" s="3"/>
      <c r="H135" s="3">
        <v>0.21</v>
      </c>
      <c r="I135" s="31"/>
      <c r="J135" s="78">
        <f>VLOOKUP(D135,'SEMANA 34 OK'!D135:O282,12,0)</f>
        <v>0</v>
      </c>
      <c r="K135" s="2"/>
      <c r="L135" s="2"/>
      <c r="M135" s="2"/>
      <c r="N135" s="2"/>
      <c r="O135" s="8">
        <f t="shared" si="5"/>
        <v>0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7">
        <f t="shared" si="6"/>
        <v>0</v>
      </c>
      <c r="AB135" s="8" t="s">
        <v>148</v>
      </c>
      <c r="AC135" s="12">
        <v>500</v>
      </c>
      <c r="AD135" s="8" t="s">
        <v>189</v>
      </c>
      <c r="AE135" s="8">
        <f t="shared" si="7"/>
        <v>0</v>
      </c>
    </row>
    <row r="136" spans="1:31" hidden="1" x14ac:dyDescent="0.25">
      <c r="A136" s="2">
        <v>127</v>
      </c>
      <c r="B136" s="2" t="s">
        <v>188</v>
      </c>
      <c r="C136" s="2" t="s">
        <v>129</v>
      </c>
      <c r="D136" s="2" t="s">
        <v>169</v>
      </c>
      <c r="E136" s="13">
        <v>0.3125</v>
      </c>
      <c r="F136" s="2"/>
      <c r="G136" s="3"/>
      <c r="H136" s="3">
        <v>0.21</v>
      </c>
      <c r="I136" s="31"/>
      <c r="J136" s="78">
        <f>VLOOKUP(D136,'SEMANA 34 OK'!D136:O283,12,0)</f>
        <v>0</v>
      </c>
      <c r="K136" s="2"/>
      <c r="L136" s="2"/>
      <c r="M136" s="2"/>
      <c r="N136" s="2"/>
      <c r="O136" s="8">
        <f t="shared" si="5"/>
        <v>0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7">
        <f t="shared" si="6"/>
        <v>0</v>
      </c>
      <c r="AB136" s="8" t="s">
        <v>148</v>
      </c>
      <c r="AC136" s="12">
        <v>500</v>
      </c>
      <c r="AD136" s="8" t="s">
        <v>189</v>
      </c>
      <c r="AE136" s="8">
        <f t="shared" si="7"/>
        <v>0</v>
      </c>
    </row>
    <row r="137" spans="1:31" hidden="1" x14ac:dyDescent="0.25">
      <c r="A137" s="2">
        <v>128</v>
      </c>
      <c r="B137" s="2" t="s">
        <v>188</v>
      </c>
      <c r="C137" s="2" t="s">
        <v>129</v>
      </c>
      <c r="D137" s="2" t="s">
        <v>170</v>
      </c>
      <c r="E137" s="13">
        <v>0.3125</v>
      </c>
      <c r="F137" s="2"/>
      <c r="G137" s="3"/>
      <c r="H137" s="3">
        <v>0.25</v>
      </c>
      <c r="I137" s="31"/>
      <c r="J137" s="78">
        <f>VLOOKUP(D137,'SEMANA 34 OK'!D137:O284,12,0)</f>
        <v>0</v>
      </c>
      <c r="K137" s="2"/>
      <c r="L137" s="2"/>
      <c r="M137" s="2"/>
      <c r="N137" s="2"/>
      <c r="O137" s="8">
        <f t="shared" si="5"/>
        <v>0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7">
        <f t="shared" si="6"/>
        <v>0</v>
      </c>
      <c r="AB137" s="8" t="s">
        <v>148</v>
      </c>
      <c r="AC137" s="12">
        <v>500</v>
      </c>
      <c r="AD137" s="8" t="s">
        <v>189</v>
      </c>
      <c r="AE137" s="8">
        <f t="shared" si="7"/>
        <v>0</v>
      </c>
    </row>
    <row r="138" spans="1:31" hidden="1" x14ac:dyDescent="0.25">
      <c r="A138" s="2">
        <v>129</v>
      </c>
      <c r="B138" s="2" t="s">
        <v>188</v>
      </c>
      <c r="C138" s="2" t="s">
        <v>129</v>
      </c>
      <c r="D138" s="2" t="s">
        <v>171</v>
      </c>
      <c r="E138" s="13">
        <v>0.3125</v>
      </c>
      <c r="F138" s="2"/>
      <c r="G138" s="3"/>
      <c r="H138" s="3">
        <v>0.25</v>
      </c>
      <c r="I138" s="31"/>
      <c r="J138" s="78">
        <f>VLOOKUP(D138,'SEMANA 34 OK'!D138:O285,12,0)</f>
        <v>0</v>
      </c>
      <c r="K138" s="2"/>
      <c r="L138" s="2"/>
      <c r="M138" s="2"/>
      <c r="N138" s="2"/>
      <c r="O138" s="8">
        <f t="shared" ref="O138:O153" si="8">+I138+J138+K138+L138+M138+N138-SUM(P138:Z138)</f>
        <v>0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7">
        <f t="shared" ref="AA138:AA153" si="9">+G138*SUM(I138:N138)</f>
        <v>0</v>
      </c>
      <c r="AB138" s="8" t="s">
        <v>148</v>
      </c>
      <c r="AC138" s="12">
        <v>500</v>
      </c>
      <c r="AD138" s="8" t="s">
        <v>189</v>
      </c>
      <c r="AE138" s="8">
        <f t="shared" si="7"/>
        <v>0</v>
      </c>
    </row>
    <row r="139" spans="1:31" hidden="1" x14ac:dyDescent="0.25">
      <c r="A139" s="2">
        <v>130</v>
      </c>
      <c r="B139" s="2" t="s">
        <v>188</v>
      </c>
      <c r="C139" s="2" t="s">
        <v>129</v>
      </c>
      <c r="D139" s="2" t="s">
        <v>172</v>
      </c>
      <c r="E139" s="13">
        <v>0.3125</v>
      </c>
      <c r="F139" s="2"/>
      <c r="G139" s="3"/>
      <c r="H139" s="3">
        <v>0.21</v>
      </c>
      <c r="I139" s="31"/>
      <c r="J139" s="78">
        <f>VLOOKUP(D139,'SEMANA 34 OK'!D139:O286,12,0)</f>
        <v>0</v>
      </c>
      <c r="K139" s="2"/>
      <c r="L139" s="2"/>
      <c r="M139" s="2"/>
      <c r="N139" s="2"/>
      <c r="O139" s="8">
        <f t="shared" si="8"/>
        <v>0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7">
        <f t="shared" si="9"/>
        <v>0</v>
      </c>
      <c r="AB139" s="8" t="s">
        <v>148</v>
      </c>
      <c r="AC139" s="12">
        <v>500</v>
      </c>
      <c r="AD139" s="8" t="s">
        <v>189</v>
      </c>
      <c r="AE139" s="8">
        <f t="shared" si="7"/>
        <v>0</v>
      </c>
    </row>
    <row r="140" spans="1:31" hidden="1" x14ac:dyDescent="0.25">
      <c r="A140" s="2">
        <v>131</v>
      </c>
      <c r="B140" s="2" t="s">
        <v>188</v>
      </c>
      <c r="C140" s="2" t="s">
        <v>129</v>
      </c>
      <c r="D140" s="2" t="s">
        <v>173</v>
      </c>
      <c r="E140" s="13">
        <v>0.3125</v>
      </c>
      <c r="F140" s="2"/>
      <c r="G140" s="3"/>
      <c r="H140" s="3">
        <v>0.21</v>
      </c>
      <c r="I140" s="31"/>
      <c r="J140" s="78">
        <f>VLOOKUP(D140,'SEMANA 34 OK'!D140:O287,12,0)</f>
        <v>0</v>
      </c>
      <c r="K140" s="2"/>
      <c r="L140" s="2"/>
      <c r="M140" s="2"/>
      <c r="N140" s="2"/>
      <c r="O140" s="8">
        <f t="shared" si="8"/>
        <v>0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7">
        <f t="shared" si="9"/>
        <v>0</v>
      </c>
      <c r="AB140" s="8" t="s">
        <v>148</v>
      </c>
      <c r="AC140" s="12">
        <v>500</v>
      </c>
      <c r="AD140" s="8" t="s">
        <v>189</v>
      </c>
      <c r="AE140" s="8">
        <f t="shared" si="7"/>
        <v>0</v>
      </c>
    </row>
    <row r="141" spans="1:31" hidden="1" x14ac:dyDescent="0.25">
      <c r="A141" s="2">
        <v>132</v>
      </c>
      <c r="B141" s="2" t="s">
        <v>188</v>
      </c>
      <c r="C141" s="2" t="s">
        <v>129</v>
      </c>
      <c r="D141" s="2" t="s">
        <v>174</v>
      </c>
      <c r="E141" s="13">
        <v>0.3125</v>
      </c>
      <c r="F141" s="2"/>
      <c r="G141" s="3"/>
      <c r="H141" s="3">
        <v>0.21</v>
      </c>
      <c r="I141" s="31"/>
      <c r="J141" s="78">
        <f>VLOOKUP(D141,'SEMANA 34 OK'!D141:O288,12,0)</f>
        <v>0</v>
      </c>
      <c r="K141" s="2"/>
      <c r="L141" s="2"/>
      <c r="M141" s="2"/>
      <c r="N141" s="2"/>
      <c r="O141" s="8">
        <f t="shared" si="8"/>
        <v>0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7">
        <f t="shared" si="9"/>
        <v>0</v>
      </c>
      <c r="AB141" s="8" t="s">
        <v>148</v>
      </c>
      <c r="AC141" s="12">
        <v>500</v>
      </c>
      <c r="AD141" s="8" t="s">
        <v>189</v>
      </c>
      <c r="AE141" s="8">
        <f t="shared" si="7"/>
        <v>0</v>
      </c>
    </row>
    <row r="142" spans="1:31" hidden="1" x14ac:dyDescent="0.25">
      <c r="A142" s="2">
        <v>133</v>
      </c>
      <c r="B142" s="2" t="s">
        <v>188</v>
      </c>
      <c r="C142" s="2" t="s">
        <v>129</v>
      </c>
      <c r="D142" s="2" t="s">
        <v>175</v>
      </c>
      <c r="E142" s="13">
        <v>0.3125</v>
      </c>
      <c r="F142" s="2"/>
      <c r="G142" s="3"/>
      <c r="H142" s="3">
        <v>0.21</v>
      </c>
      <c r="I142" s="31"/>
      <c r="J142" s="78">
        <f>VLOOKUP(D142,'SEMANA 34 OK'!D142:O289,12,0)</f>
        <v>0</v>
      </c>
      <c r="K142" s="2"/>
      <c r="L142" s="2"/>
      <c r="M142" s="2"/>
      <c r="N142" s="2"/>
      <c r="O142" s="8">
        <f t="shared" si="8"/>
        <v>0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7">
        <f t="shared" si="9"/>
        <v>0</v>
      </c>
      <c r="AB142" s="8" t="s">
        <v>148</v>
      </c>
      <c r="AC142" s="12">
        <v>500</v>
      </c>
      <c r="AD142" s="8" t="s">
        <v>189</v>
      </c>
      <c r="AE142" s="8">
        <f t="shared" si="7"/>
        <v>0</v>
      </c>
    </row>
    <row r="143" spans="1:31" hidden="1" x14ac:dyDescent="0.25">
      <c r="A143" s="2">
        <v>134</v>
      </c>
      <c r="B143" s="2" t="s">
        <v>188</v>
      </c>
      <c r="C143" s="2" t="s">
        <v>129</v>
      </c>
      <c r="D143" s="2" t="s">
        <v>176</v>
      </c>
      <c r="E143" s="13">
        <v>0.3125</v>
      </c>
      <c r="F143" s="2"/>
      <c r="G143" s="3"/>
      <c r="H143" s="3">
        <v>0.16</v>
      </c>
      <c r="I143" s="31"/>
      <c r="J143" s="78">
        <f>VLOOKUP(D143,'SEMANA 34 OK'!D143:O290,12,0)</f>
        <v>0</v>
      </c>
      <c r="K143" s="2"/>
      <c r="L143" s="2"/>
      <c r="M143" s="2"/>
      <c r="N143" s="2"/>
      <c r="O143" s="8">
        <f t="shared" si="8"/>
        <v>0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7">
        <f t="shared" si="9"/>
        <v>0</v>
      </c>
      <c r="AB143" s="8" t="s">
        <v>148</v>
      </c>
      <c r="AC143" s="12">
        <v>500</v>
      </c>
      <c r="AD143" s="8" t="s">
        <v>189</v>
      </c>
      <c r="AE143" s="8">
        <f t="shared" si="7"/>
        <v>0</v>
      </c>
    </row>
    <row r="144" spans="1:31" hidden="1" x14ac:dyDescent="0.25">
      <c r="A144" s="2">
        <v>135</v>
      </c>
      <c r="B144" s="2" t="s">
        <v>188</v>
      </c>
      <c r="C144" s="2" t="s">
        <v>129</v>
      </c>
      <c r="D144" s="2" t="s">
        <v>177</v>
      </c>
      <c r="E144" s="13">
        <v>0.3125</v>
      </c>
      <c r="F144" s="2"/>
      <c r="G144" s="3"/>
      <c r="H144" s="3">
        <v>0.16</v>
      </c>
      <c r="I144" s="31"/>
      <c r="J144" s="78">
        <f>VLOOKUP(D144,'SEMANA 34 OK'!D144:O291,12,0)</f>
        <v>0</v>
      </c>
      <c r="K144" s="2"/>
      <c r="L144" s="2"/>
      <c r="M144" s="2"/>
      <c r="N144" s="2"/>
      <c r="O144" s="8">
        <f t="shared" si="8"/>
        <v>0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7">
        <f t="shared" si="9"/>
        <v>0</v>
      </c>
      <c r="AB144" s="8" t="s">
        <v>148</v>
      </c>
      <c r="AC144" s="12">
        <v>500</v>
      </c>
      <c r="AD144" s="8" t="s">
        <v>189</v>
      </c>
      <c r="AE144" s="8">
        <f t="shared" si="7"/>
        <v>0</v>
      </c>
    </row>
    <row r="145" spans="1:31" hidden="1" x14ac:dyDescent="0.25">
      <c r="A145" s="2">
        <v>136</v>
      </c>
      <c r="B145" s="2" t="s">
        <v>188</v>
      </c>
      <c r="C145" s="2" t="s">
        <v>129</v>
      </c>
      <c r="D145" s="2" t="s">
        <v>178</v>
      </c>
      <c r="E145" s="13">
        <v>0.3125</v>
      </c>
      <c r="F145" s="2"/>
      <c r="G145" s="3"/>
      <c r="H145" s="3">
        <v>0.21</v>
      </c>
      <c r="I145" s="31"/>
      <c r="J145" s="78">
        <f>VLOOKUP(D145,'SEMANA 34 OK'!D145:O292,12,0)</f>
        <v>0</v>
      </c>
      <c r="K145" s="2"/>
      <c r="L145" s="2"/>
      <c r="M145" s="2"/>
      <c r="N145" s="2"/>
      <c r="O145" s="8">
        <f t="shared" si="8"/>
        <v>0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7">
        <f t="shared" si="9"/>
        <v>0</v>
      </c>
      <c r="AB145" s="8" t="s">
        <v>148</v>
      </c>
      <c r="AC145" s="12">
        <v>500</v>
      </c>
      <c r="AD145" s="8" t="s">
        <v>189</v>
      </c>
      <c r="AE145" s="8">
        <f t="shared" si="7"/>
        <v>0</v>
      </c>
    </row>
    <row r="146" spans="1:31" hidden="1" x14ac:dyDescent="0.25">
      <c r="A146" s="2">
        <v>137</v>
      </c>
      <c r="B146" s="2" t="s">
        <v>188</v>
      </c>
      <c r="C146" s="2" t="s">
        <v>129</v>
      </c>
      <c r="D146" s="2" t="s">
        <v>179</v>
      </c>
      <c r="E146" s="13">
        <v>0.3125</v>
      </c>
      <c r="F146" s="2"/>
      <c r="G146" s="3"/>
      <c r="H146" s="3">
        <v>0.16</v>
      </c>
      <c r="I146" s="31"/>
      <c r="J146" s="78">
        <f>VLOOKUP(D146,'SEMANA 34 OK'!D146:O293,12,0)</f>
        <v>0</v>
      </c>
      <c r="K146" s="2"/>
      <c r="L146" s="2"/>
      <c r="M146" s="2"/>
      <c r="N146" s="2"/>
      <c r="O146" s="8">
        <f t="shared" si="8"/>
        <v>0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7">
        <f t="shared" si="9"/>
        <v>0</v>
      </c>
      <c r="AB146" s="8" t="s">
        <v>148</v>
      </c>
      <c r="AC146" s="12">
        <v>500</v>
      </c>
      <c r="AD146" s="8" t="s">
        <v>189</v>
      </c>
      <c r="AE146" s="8">
        <f t="shared" si="7"/>
        <v>0</v>
      </c>
    </row>
    <row r="147" spans="1:31" hidden="1" x14ac:dyDescent="0.25">
      <c r="A147" s="2">
        <v>138</v>
      </c>
      <c r="B147" s="2" t="s">
        <v>188</v>
      </c>
      <c r="C147" s="2" t="s">
        <v>129</v>
      </c>
      <c r="D147" s="2" t="s">
        <v>180</v>
      </c>
      <c r="E147" s="13">
        <v>0.3125</v>
      </c>
      <c r="F147" s="2"/>
      <c r="G147" s="3"/>
      <c r="H147" s="3">
        <v>0.16</v>
      </c>
      <c r="I147" s="31"/>
      <c r="J147" s="78">
        <f>VLOOKUP(D147,'SEMANA 34 OK'!D147:O294,12,0)</f>
        <v>0</v>
      </c>
      <c r="K147" s="2"/>
      <c r="L147" s="2"/>
      <c r="M147" s="2"/>
      <c r="N147" s="2"/>
      <c r="O147" s="8">
        <f t="shared" si="8"/>
        <v>0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7">
        <f t="shared" si="9"/>
        <v>0</v>
      </c>
      <c r="AB147" s="8" t="s">
        <v>148</v>
      </c>
      <c r="AC147" s="12">
        <v>500</v>
      </c>
      <c r="AD147" s="8" t="s">
        <v>189</v>
      </c>
      <c r="AE147" s="8">
        <f t="shared" si="7"/>
        <v>0</v>
      </c>
    </row>
    <row r="148" spans="1:31" hidden="1" x14ac:dyDescent="0.25">
      <c r="A148" s="2">
        <v>139</v>
      </c>
      <c r="B148" s="2" t="s">
        <v>188</v>
      </c>
      <c r="C148" s="2" t="s">
        <v>129</v>
      </c>
      <c r="D148" s="2" t="s">
        <v>181</v>
      </c>
      <c r="E148" s="13">
        <v>0.3125</v>
      </c>
      <c r="F148" s="2"/>
      <c r="G148" s="3"/>
      <c r="H148" s="3">
        <v>0.21</v>
      </c>
      <c r="I148" s="31"/>
      <c r="J148" s="78">
        <f>VLOOKUP(D148,'SEMANA 34 OK'!D148:O295,12,0)</f>
        <v>0</v>
      </c>
      <c r="K148" s="2"/>
      <c r="L148" s="2"/>
      <c r="M148" s="2"/>
      <c r="N148" s="2"/>
      <c r="O148" s="8">
        <f t="shared" si="8"/>
        <v>0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7">
        <f t="shared" si="9"/>
        <v>0</v>
      </c>
      <c r="AB148" s="8" t="s">
        <v>148</v>
      </c>
      <c r="AC148" s="12">
        <v>500</v>
      </c>
      <c r="AD148" s="8" t="s">
        <v>189</v>
      </c>
      <c r="AE148" s="8">
        <f t="shared" si="7"/>
        <v>0</v>
      </c>
    </row>
    <row r="149" spans="1:31" hidden="1" x14ac:dyDescent="0.25">
      <c r="A149" s="2">
        <v>140</v>
      </c>
      <c r="B149" s="2" t="s">
        <v>188</v>
      </c>
      <c r="C149" s="2" t="s">
        <v>129</v>
      </c>
      <c r="D149" s="2" t="s">
        <v>182</v>
      </c>
      <c r="E149" s="13">
        <v>0.3125</v>
      </c>
      <c r="F149" s="2"/>
      <c r="G149" s="3"/>
      <c r="H149" s="3">
        <v>0.21</v>
      </c>
      <c r="I149" s="31"/>
      <c r="J149" s="78">
        <f>VLOOKUP(D149,'SEMANA 34 OK'!D149:O296,12,0)</f>
        <v>0</v>
      </c>
      <c r="K149" s="2"/>
      <c r="L149" s="2"/>
      <c r="M149" s="2"/>
      <c r="N149" s="2"/>
      <c r="O149" s="8">
        <f t="shared" si="8"/>
        <v>0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7">
        <f t="shared" si="9"/>
        <v>0</v>
      </c>
      <c r="AB149" s="8" t="s">
        <v>148</v>
      </c>
      <c r="AC149" s="12">
        <v>500</v>
      </c>
      <c r="AD149" s="8" t="s">
        <v>189</v>
      </c>
      <c r="AE149" s="8">
        <f t="shared" si="7"/>
        <v>0</v>
      </c>
    </row>
    <row r="150" spans="1:31" hidden="1" x14ac:dyDescent="0.25">
      <c r="A150" s="2">
        <v>141</v>
      </c>
      <c r="B150" s="2" t="s">
        <v>188</v>
      </c>
      <c r="C150" s="2" t="s">
        <v>129</v>
      </c>
      <c r="D150" s="2" t="s">
        <v>183</v>
      </c>
      <c r="E150" s="13">
        <v>0.3125</v>
      </c>
      <c r="F150" s="2"/>
      <c r="G150" s="3"/>
      <c r="H150" s="3">
        <v>0.21</v>
      </c>
      <c r="I150" s="2">
        <v>0</v>
      </c>
      <c r="J150" s="78">
        <f>VLOOKUP(D150,'SEMANA 34 OK'!D150:O297,12,0)</f>
        <v>0</v>
      </c>
      <c r="K150" s="2"/>
      <c r="L150" s="2"/>
      <c r="M150" s="2"/>
      <c r="N150" s="2"/>
      <c r="O150" s="8">
        <f t="shared" si="8"/>
        <v>0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7">
        <f t="shared" si="9"/>
        <v>0</v>
      </c>
      <c r="AB150" s="8" t="s">
        <v>148</v>
      </c>
      <c r="AC150" s="12">
        <v>500</v>
      </c>
      <c r="AD150" s="8" t="s">
        <v>189</v>
      </c>
      <c r="AE150" s="8">
        <f t="shared" si="7"/>
        <v>0</v>
      </c>
    </row>
    <row r="151" spans="1:31" hidden="1" x14ac:dyDescent="0.25">
      <c r="A151" s="2">
        <v>142</v>
      </c>
      <c r="B151" s="2" t="s">
        <v>188</v>
      </c>
      <c r="C151" s="2" t="s">
        <v>129</v>
      </c>
      <c r="D151" s="2" t="s">
        <v>184</v>
      </c>
      <c r="E151" s="13">
        <v>0.3125</v>
      </c>
      <c r="F151" s="2"/>
      <c r="G151" s="3"/>
      <c r="H151" s="3">
        <v>0.21</v>
      </c>
      <c r="I151" s="2">
        <v>0</v>
      </c>
      <c r="J151" s="78">
        <f>VLOOKUP(D151,'SEMANA 34 OK'!D151:O298,12,0)</f>
        <v>0</v>
      </c>
      <c r="K151" s="2"/>
      <c r="L151" s="2"/>
      <c r="M151" s="2"/>
      <c r="N151" s="2"/>
      <c r="O151" s="8">
        <f t="shared" si="8"/>
        <v>0</v>
      </c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7">
        <f t="shared" si="9"/>
        <v>0</v>
      </c>
      <c r="AB151" s="8" t="s">
        <v>148</v>
      </c>
      <c r="AC151" s="12">
        <v>500</v>
      </c>
      <c r="AD151" s="8" t="s">
        <v>189</v>
      </c>
      <c r="AE151" s="8">
        <f t="shared" si="7"/>
        <v>0</v>
      </c>
    </row>
    <row r="152" spans="1:31" hidden="1" x14ac:dyDescent="0.25">
      <c r="A152" s="2">
        <v>143</v>
      </c>
      <c r="B152" s="2" t="s">
        <v>188</v>
      </c>
      <c r="C152" s="2" t="s">
        <v>129</v>
      </c>
      <c r="D152" s="2" t="s">
        <v>185</v>
      </c>
      <c r="E152" s="13">
        <v>0.3125</v>
      </c>
      <c r="F152" s="2"/>
      <c r="G152" s="3"/>
      <c r="H152" s="3">
        <v>0.19</v>
      </c>
      <c r="I152" s="2">
        <v>0</v>
      </c>
      <c r="J152" s="78">
        <f>VLOOKUP(D152,'SEMANA 34 OK'!D152:O299,12,0)</f>
        <v>0</v>
      </c>
      <c r="K152" s="2"/>
      <c r="L152" s="2"/>
      <c r="M152" s="2"/>
      <c r="N152" s="2"/>
      <c r="O152" s="8">
        <f t="shared" si="8"/>
        <v>0</v>
      </c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7">
        <f t="shared" si="9"/>
        <v>0</v>
      </c>
      <c r="AB152" s="8" t="s">
        <v>148</v>
      </c>
      <c r="AC152" s="12">
        <v>500</v>
      </c>
      <c r="AD152" s="8" t="s">
        <v>189</v>
      </c>
      <c r="AE152" s="8">
        <f t="shared" si="7"/>
        <v>0</v>
      </c>
    </row>
    <row r="153" spans="1:31" hidden="1" x14ac:dyDescent="0.25">
      <c r="A153" s="2">
        <v>144</v>
      </c>
      <c r="B153" s="2" t="s">
        <v>188</v>
      </c>
      <c r="C153" s="2" t="s">
        <v>129</v>
      </c>
      <c r="D153" s="2" t="s">
        <v>186</v>
      </c>
      <c r="E153" s="13">
        <v>0.3125</v>
      </c>
      <c r="F153" s="2"/>
      <c r="G153" s="3"/>
      <c r="H153" s="3">
        <v>0.19</v>
      </c>
      <c r="I153" s="2">
        <v>0</v>
      </c>
      <c r="J153" s="78">
        <f>VLOOKUP(D153,'SEMANA 34 OK'!D153:O300,12,0)</f>
        <v>0</v>
      </c>
      <c r="K153" s="2"/>
      <c r="L153" s="2"/>
      <c r="M153" s="2"/>
      <c r="N153" s="2"/>
      <c r="O153" s="8">
        <f t="shared" si="8"/>
        <v>0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7">
        <f t="shared" si="9"/>
        <v>0</v>
      </c>
      <c r="AB153" s="8" t="s">
        <v>148</v>
      </c>
      <c r="AC153" s="12">
        <v>500</v>
      </c>
      <c r="AD153" s="8" t="s">
        <v>189</v>
      </c>
      <c r="AE153" s="8">
        <f t="shared" si="7"/>
        <v>0</v>
      </c>
    </row>
    <row r="154" spans="1:31" hidden="1" x14ac:dyDescent="0.25">
      <c r="H154" s="4" t="s">
        <v>19</v>
      </c>
      <c r="I154" s="9">
        <f>SUM(I6:I126)</f>
        <v>19425</v>
      </c>
      <c r="J154" s="78"/>
      <c r="K154" s="9">
        <f t="shared" ref="K154:AA154" si="10">SUM(K6:K126)</f>
        <v>0</v>
      </c>
      <c r="L154" s="9">
        <f t="shared" si="10"/>
        <v>0</v>
      </c>
      <c r="M154" s="9">
        <f t="shared" si="10"/>
        <v>0</v>
      </c>
      <c r="N154" s="9">
        <f t="shared" si="10"/>
        <v>0</v>
      </c>
      <c r="O154" s="11">
        <f t="shared" si="10"/>
        <v>4163</v>
      </c>
      <c r="P154" s="9">
        <f t="shared" si="10"/>
        <v>270</v>
      </c>
      <c r="Q154" s="9">
        <f t="shared" si="10"/>
        <v>725</v>
      </c>
      <c r="R154" s="9">
        <f t="shared" si="10"/>
        <v>1976</v>
      </c>
      <c r="S154" s="9">
        <f t="shared" si="10"/>
        <v>1500</v>
      </c>
      <c r="T154" s="19">
        <f t="shared" si="10"/>
        <v>5000</v>
      </c>
      <c r="U154" s="19">
        <f t="shared" si="10"/>
        <v>2332</v>
      </c>
      <c r="V154" s="9">
        <f t="shared" si="10"/>
        <v>2958</v>
      </c>
      <c r="W154" s="19">
        <f t="shared" si="10"/>
        <v>243</v>
      </c>
      <c r="X154" s="9">
        <f t="shared" si="10"/>
        <v>873</v>
      </c>
      <c r="Y154" s="19">
        <f t="shared" si="10"/>
        <v>1998</v>
      </c>
      <c r="Z154" s="9">
        <f t="shared" si="10"/>
        <v>2851</v>
      </c>
      <c r="AA154" s="9">
        <f t="shared" si="10"/>
        <v>0</v>
      </c>
      <c r="AE154" s="12">
        <f>SUM(AE6:AE126)</f>
        <v>157.39266666666671</v>
      </c>
    </row>
    <row r="155" spans="1:31" hidden="1" x14ac:dyDescent="0.25">
      <c r="H155" s="4" t="s">
        <v>21</v>
      </c>
      <c r="I155" s="77">
        <f>+I154+J154+K154+L154+M154+N154</f>
        <v>19425</v>
      </c>
      <c r="J155" s="78" t="e">
        <f>VLOOKUP(D155,'SEMANA 34 OK'!D155:O302,12,0)</f>
        <v>#N/A</v>
      </c>
      <c r="K155" s="77"/>
      <c r="L155" s="77"/>
      <c r="M155" s="77"/>
      <c r="N155" s="77"/>
      <c r="P155" s="123">
        <f>+P154+Q154</f>
        <v>995</v>
      </c>
      <c r="Q155" s="124"/>
      <c r="R155" s="123">
        <f>+R154+S154</f>
        <v>3476</v>
      </c>
      <c r="S155" s="124"/>
      <c r="T155" s="123">
        <f>+T154+U154</f>
        <v>7332</v>
      </c>
      <c r="U155" s="124"/>
      <c r="V155" s="123">
        <f t="shared" ref="V155" si="11">+V154+W154</f>
        <v>3201</v>
      </c>
      <c r="W155" s="124"/>
      <c r="X155" s="123">
        <f t="shared" ref="X155" si="12">+X154+Y154</f>
        <v>2871</v>
      </c>
      <c r="Y155" s="124"/>
      <c r="Z155" s="10">
        <f>+Z154</f>
        <v>2851</v>
      </c>
    </row>
    <row r="156" spans="1:31" x14ac:dyDescent="0.25">
      <c r="I156" s="33"/>
      <c r="J156" s="33"/>
      <c r="K156" s="33">
        <f t="shared" ref="K156:N156" si="13">+K154</f>
        <v>0</v>
      </c>
      <c r="L156" s="33">
        <f t="shared" si="13"/>
        <v>0</v>
      </c>
      <c r="M156" s="33">
        <f t="shared" si="13"/>
        <v>0</v>
      </c>
      <c r="N156" s="33">
        <f t="shared" si="13"/>
        <v>0</v>
      </c>
    </row>
    <row r="157" spans="1:31" x14ac:dyDescent="0.25">
      <c r="P157" s="40" t="s">
        <v>15</v>
      </c>
      <c r="Q157" s="63" t="s">
        <v>16</v>
      </c>
      <c r="R157" s="18" t="s">
        <v>15</v>
      </c>
      <c r="S157" s="18" t="s">
        <v>16</v>
      </c>
      <c r="T157" s="18" t="s">
        <v>15</v>
      </c>
      <c r="U157" s="18" t="s">
        <v>16</v>
      </c>
      <c r="V157" s="40" t="s">
        <v>15</v>
      </c>
      <c r="W157" s="18" t="s">
        <v>16</v>
      </c>
      <c r="X157" s="18" t="s">
        <v>15</v>
      </c>
      <c r="Y157" s="18" t="s">
        <v>16</v>
      </c>
      <c r="Z157" s="64"/>
    </row>
    <row r="158" spans="1:31" x14ac:dyDescent="0.25">
      <c r="C158" s="2" t="s">
        <v>217</v>
      </c>
      <c r="D158" s="2" t="s">
        <v>218</v>
      </c>
      <c r="E158" s="2" t="s">
        <v>219</v>
      </c>
      <c r="P158" s="39">
        <f t="shared" ref="P158:Y158" si="14">P154/$E$159</f>
        <v>3.3338478160209906E-2</v>
      </c>
      <c r="Q158" s="39">
        <f t="shared" si="14"/>
        <v>8.9519987652415492E-2</v>
      </c>
      <c r="R158" s="39">
        <f t="shared" si="14"/>
        <v>0.24398826979472141</v>
      </c>
      <c r="S158" s="39">
        <f t="shared" si="14"/>
        <v>0.18521376755672173</v>
      </c>
      <c r="T158" s="39">
        <f t="shared" si="14"/>
        <v>0.6173792251890724</v>
      </c>
      <c r="U158" s="39">
        <f t="shared" si="14"/>
        <v>0.28794567062818338</v>
      </c>
      <c r="V158" s="39">
        <f t="shared" si="14"/>
        <v>0.36524154962185523</v>
      </c>
      <c r="W158" s="39">
        <f t="shared" si="14"/>
        <v>3.0004630344188918E-2</v>
      </c>
      <c r="X158" s="39">
        <f t="shared" si="14"/>
        <v>0.10779441271801204</v>
      </c>
      <c r="Y158" s="39">
        <f t="shared" si="14"/>
        <v>0.24670473838555332</v>
      </c>
      <c r="Z158" s="65"/>
    </row>
    <row r="159" spans="1:31" x14ac:dyDescent="0.25">
      <c r="B159" s="31" t="s">
        <v>212</v>
      </c>
      <c r="C159" s="66">
        <v>32395</v>
      </c>
      <c r="D159" s="2">
        <f>+C159/2</f>
        <v>16197.5</v>
      </c>
      <c r="E159" s="2">
        <f>+D159/2</f>
        <v>8098.75</v>
      </c>
      <c r="H159" s="22"/>
      <c r="P159" s="100">
        <v>46258</v>
      </c>
      <c r="Q159" s="98"/>
      <c r="R159" s="100">
        <v>46259</v>
      </c>
      <c r="S159" s="98"/>
      <c r="T159" s="100">
        <v>46260</v>
      </c>
      <c r="U159" s="129"/>
      <c r="V159" s="100">
        <v>46261</v>
      </c>
      <c r="W159" s="98"/>
      <c r="X159" s="100">
        <v>46262</v>
      </c>
      <c r="Y159" s="129"/>
    </row>
    <row r="160" spans="1:31" x14ac:dyDescent="0.25">
      <c r="B160" s="31" t="s">
        <v>213</v>
      </c>
      <c r="C160" s="8">
        <v>14845</v>
      </c>
      <c r="D160" s="2">
        <f>+C160/5</f>
        <v>2969</v>
      </c>
      <c r="E160" s="2">
        <f>+D160/2</f>
        <v>1484.5</v>
      </c>
    </row>
    <row r="161" spans="2:9" x14ac:dyDescent="0.25">
      <c r="B161" s="31" t="s">
        <v>214</v>
      </c>
      <c r="C161" s="67">
        <f>C159-C160</f>
        <v>17550</v>
      </c>
      <c r="D161" s="2"/>
      <c r="E161" s="2"/>
    </row>
    <row r="162" spans="2:9" x14ac:dyDescent="0.25">
      <c r="B162" s="31" t="s">
        <v>215</v>
      </c>
      <c r="C162" s="32">
        <f>+C161/C159</f>
        <v>0.54175027010341104</v>
      </c>
      <c r="D162" s="2"/>
      <c r="E162" s="2"/>
    </row>
    <row r="163" spans="2:9" x14ac:dyDescent="0.25">
      <c r="B163" s="31" t="s">
        <v>216</v>
      </c>
      <c r="C163" s="32">
        <f>+C160/C159</f>
        <v>0.45824972989658896</v>
      </c>
      <c r="D163" s="2"/>
      <c r="E163" s="2"/>
    </row>
    <row r="166" spans="2:9" x14ac:dyDescent="0.25">
      <c r="B166" s="129" t="s">
        <v>237</v>
      </c>
      <c r="C166" s="42">
        <v>46258</v>
      </c>
      <c r="D166" s="42">
        <v>46259</v>
      </c>
      <c r="E166" s="42">
        <v>46260</v>
      </c>
      <c r="F166" s="43">
        <v>46261</v>
      </c>
      <c r="G166" s="42">
        <v>46262</v>
      </c>
      <c r="H166" s="42">
        <v>46263</v>
      </c>
      <c r="I166" s="42">
        <v>46264</v>
      </c>
    </row>
    <row r="167" spans="2:9" x14ac:dyDescent="0.25">
      <c r="B167" s="129"/>
      <c r="C167" s="44" t="s">
        <v>222</v>
      </c>
      <c r="D167" s="44" t="s">
        <v>223</v>
      </c>
      <c r="E167" s="44" t="s">
        <v>224</v>
      </c>
      <c r="F167" s="44" t="s">
        <v>225</v>
      </c>
      <c r="G167" s="44" t="s">
        <v>226</v>
      </c>
      <c r="I167" s="44" t="s">
        <v>229</v>
      </c>
    </row>
    <row r="168" spans="2:9" x14ac:dyDescent="0.25">
      <c r="B168" s="40" t="s">
        <v>220</v>
      </c>
      <c r="C168" s="39">
        <v>0.04</v>
      </c>
      <c r="D168" s="39">
        <v>0.12</v>
      </c>
      <c r="E168" s="39">
        <v>0.42</v>
      </c>
      <c r="F168" s="45"/>
      <c r="G168" s="45">
        <v>0.74</v>
      </c>
      <c r="I168" s="39">
        <v>0.54</v>
      </c>
    </row>
    <row r="169" spans="2:9" x14ac:dyDescent="0.25">
      <c r="B169" s="41" t="s">
        <v>221</v>
      </c>
      <c r="C169" s="39">
        <v>0.96</v>
      </c>
      <c r="D169" s="39">
        <v>0.88</v>
      </c>
      <c r="E169" s="39">
        <v>0.71</v>
      </c>
      <c r="F169" s="45"/>
      <c r="G169" s="45">
        <v>0.26</v>
      </c>
      <c r="I169" s="39">
        <v>0.46</v>
      </c>
    </row>
  </sheetData>
  <autoFilter ref="B5:AE155" xr:uid="{00000000-0009-0000-0000-00000A000000}">
    <filterColumn colId="0">
      <filters>
        <filter val="RHEEM CIP-3501"/>
      </filters>
    </filterColumn>
  </autoFilter>
  <mergeCells count="18">
    <mergeCell ref="C2:D2"/>
    <mergeCell ref="B3:B4"/>
    <mergeCell ref="P4:Q4"/>
    <mergeCell ref="R4:S4"/>
    <mergeCell ref="T4:U4"/>
    <mergeCell ref="B166:B167"/>
    <mergeCell ref="V4:W4"/>
    <mergeCell ref="X4:Y4"/>
    <mergeCell ref="P155:Q155"/>
    <mergeCell ref="R155:S155"/>
    <mergeCell ref="T155:U155"/>
    <mergeCell ref="V155:W155"/>
    <mergeCell ref="X155:Y155"/>
    <mergeCell ref="P159:Q159"/>
    <mergeCell ref="R159:S159"/>
    <mergeCell ref="T159:U159"/>
    <mergeCell ref="V159:W159"/>
    <mergeCell ref="X159:Y159"/>
  </mergeCells>
  <conditionalFormatting sqref="P158:Y158">
    <cfRule type="cellIs" dxfId="11" priority="1" operator="between">
      <formula>1</formula>
      <formula>5</formula>
    </cfRule>
    <cfRule type="cellIs" dxfId="10" priority="2" operator="between">
      <formula>0.85</formula>
      <formula>0.99</formula>
    </cfRule>
    <cfRule type="cellIs" dxfId="9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83" orientation="landscape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A1:AI165"/>
  <sheetViews>
    <sheetView zoomScale="80" zoomScaleNormal="80" workbookViewId="0">
      <pane xSplit="15" topLeftCell="P1" activePane="topRight" state="frozen"/>
      <selection activeCell="J1" sqref="J1:N1048576"/>
      <selection pane="topRight" activeCell="R9" sqref="R9"/>
    </sheetView>
  </sheetViews>
  <sheetFormatPr baseColWidth="10" defaultColWidth="8.7109375" defaultRowHeight="15" x14ac:dyDescent="0.25"/>
  <cols>
    <col min="1" max="1" width="8.7109375" style="1"/>
    <col min="2" max="2" width="23.710937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3" style="1" bestFit="1" customWidth="1"/>
    <col min="7" max="7" width="10.5703125" style="1" hidden="1" customWidth="1"/>
    <col min="8" max="8" width="15.42578125" style="1" hidden="1" customWidth="1"/>
    <col min="9" max="9" width="11.42578125" style="1" customWidth="1"/>
    <col min="10" max="10" width="10.140625" style="1" customWidth="1"/>
    <col min="11" max="12" width="9.5703125" style="1" hidden="1" customWidth="1"/>
    <col min="13" max="13" width="8.42578125" style="1" hidden="1" customWidth="1"/>
    <col min="14" max="14" width="9.5703125" style="1" hidden="1" customWidth="1"/>
    <col min="15" max="15" width="10.140625" style="1" customWidth="1"/>
    <col min="16" max="17" width="9.140625" style="1" customWidth="1"/>
    <col min="18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x14ac:dyDescent="0.25">
      <c r="R1" s="16"/>
      <c r="U1" s="16"/>
      <c r="V1" s="16"/>
      <c r="W1" s="16"/>
      <c r="Y1" s="16"/>
    </row>
    <row r="2" spans="1:35" ht="15" customHeight="1" x14ac:dyDescent="0.25">
      <c r="B2" s="4" t="s">
        <v>17</v>
      </c>
      <c r="C2" s="92" t="s">
        <v>18</v>
      </c>
      <c r="D2" s="92"/>
      <c r="J2" s="86"/>
      <c r="K2" s="85"/>
      <c r="L2" s="85"/>
      <c r="M2" s="85"/>
      <c r="N2" s="85"/>
      <c r="O2" s="86"/>
      <c r="R2" s="16"/>
      <c r="U2" s="16"/>
      <c r="V2" s="16"/>
      <c r="W2" s="16"/>
      <c r="Y2" s="16"/>
    </row>
    <row r="3" spans="1:35" ht="15" customHeight="1" x14ac:dyDescent="0.25">
      <c r="B3" s="93">
        <f ca="1">TODAY()</f>
        <v>46308</v>
      </c>
      <c r="C3" s="4" t="s">
        <v>15</v>
      </c>
      <c r="D3" s="2" t="s">
        <v>209</v>
      </c>
      <c r="E3" s="94" t="s">
        <v>239</v>
      </c>
      <c r="F3" s="95"/>
      <c r="I3" s="4" t="s">
        <v>4</v>
      </c>
      <c r="J3" s="86"/>
      <c r="K3" s="85"/>
      <c r="L3" s="85"/>
      <c r="M3" s="85"/>
      <c r="N3" s="85"/>
      <c r="O3" s="86"/>
      <c r="R3" s="16"/>
      <c r="U3" s="16"/>
      <c r="V3" s="16"/>
      <c r="W3" s="16"/>
      <c r="Y3" s="16"/>
    </row>
    <row r="4" spans="1:35" x14ac:dyDescent="0.25">
      <c r="B4" s="93"/>
      <c r="C4" s="4" t="s">
        <v>16</v>
      </c>
      <c r="D4" s="2"/>
      <c r="E4" s="96"/>
      <c r="F4" s="97"/>
      <c r="I4" s="4" t="s">
        <v>5</v>
      </c>
      <c r="J4" s="98"/>
      <c r="K4" s="98"/>
      <c r="L4" s="98"/>
      <c r="M4" s="98"/>
      <c r="N4" s="98"/>
      <c r="P4" s="122">
        <v>46265</v>
      </c>
      <c r="Q4" s="122"/>
      <c r="R4" s="122">
        <v>46266</v>
      </c>
      <c r="S4" s="122"/>
      <c r="T4" s="122">
        <v>46267</v>
      </c>
      <c r="U4" s="122"/>
      <c r="V4" s="122">
        <v>46268</v>
      </c>
      <c r="W4" s="122"/>
      <c r="X4" s="122">
        <v>46269</v>
      </c>
      <c r="Y4" s="122"/>
      <c r="Z4" s="6" t="s">
        <v>10</v>
      </c>
    </row>
    <row r="5" spans="1:35" x14ac:dyDescent="0.25">
      <c r="B5" s="4" t="s">
        <v>0</v>
      </c>
      <c r="C5" s="4" t="s">
        <v>6</v>
      </c>
      <c r="D5" s="4" t="s">
        <v>7</v>
      </c>
      <c r="E5" s="4" t="s">
        <v>1</v>
      </c>
      <c r="F5" s="4" t="s">
        <v>2</v>
      </c>
      <c r="G5" s="4" t="s">
        <v>3</v>
      </c>
      <c r="H5" s="4" t="s">
        <v>187</v>
      </c>
      <c r="I5" s="5">
        <v>36</v>
      </c>
      <c r="J5" s="4">
        <v>35</v>
      </c>
      <c r="K5" s="4"/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17" t="s">
        <v>15</v>
      </c>
      <c r="S5" s="4" t="s">
        <v>16</v>
      </c>
      <c r="T5" s="4" t="s">
        <v>15</v>
      </c>
      <c r="U5" s="17" t="s">
        <v>16</v>
      </c>
      <c r="V5" s="17" t="s">
        <v>15</v>
      </c>
      <c r="W5" s="17" t="s">
        <v>16</v>
      </c>
      <c r="X5" s="4" t="s">
        <v>15</v>
      </c>
      <c r="Y5" s="17" t="s">
        <v>16</v>
      </c>
      <c r="Z5" s="4" t="s">
        <v>20</v>
      </c>
      <c r="AA5" s="4" t="s">
        <v>8</v>
      </c>
      <c r="AB5" s="4" t="s">
        <v>22</v>
      </c>
      <c r="AC5" s="4" t="s">
        <v>145</v>
      </c>
      <c r="AD5" s="4" t="s">
        <v>23</v>
      </c>
      <c r="AE5" s="4" t="s">
        <v>156</v>
      </c>
      <c r="AF5"/>
      <c r="AG5" t="s">
        <v>157</v>
      </c>
      <c r="AH5" t="s">
        <v>159</v>
      </c>
      <c r="AI5"/>
    </row>
    <row r="6" spans="1:35" x14ac:dyDescent="0.25">
      <c r="A6" s="2">
        <v>1</v>
      </c>
      <c r="B6" s="2" t="s">
        <v>24</v>
      </c>
      <c r="C6" s="2" t="s">
        <v>129</v>
      </c>
      <c r="D6" s="2" t="s">
        <v>25</v>
      </c>
      <c r="E6" s="13">
        <v>0.25</v>
      </c>
      <c r="F6" s="2">
        <v>2.8000000000000001E-2</v>
      </c>
      <c r="G6" s="3"/>
      <c r="H6" s="3"/>
      <c r="I6" s="2">
        <v>200</v>
      </c>
      <c r="J6" s="2">
        <v>0</v>
      </c>
      <c r="K6" s="2"/>
      <c r="L6" s="2"/>
      <c r="M6" s="2"/>
      <c r="N6" s="2"/>
      <c r="O6" s="8">
        <f t="shared" ref="O6:O37" si="0">+I6+J6+K6+L6+M6+N6-SUM(P6:Z6)</f>
        <v>-700</v>
      </c>
      <c r="P6" s="2"/>
      <c r="Q6" s="2">
        <v>200</v>
      </c>
      <c r="R6" s="18"/>
      <c r="S6" s="2"/>
      <c r="T6" s="18"/>
      <c r="U6" s="18"/>
      <c r="V6" s="18">
        <v>672</v>
      </c>
      <c r="W6" s="18"/>
      <c r="X6" s="2"/>
      <c r="Y6" s="18"/>
      <c r="Z6" s="2">
        <v>28</v>
      </c>
      <c r="AA6" s="7">
        <f t="shared" ref="AA6:AA37" si="1">+G6*SUM(I6:N6)</f>
        <v>0</v>
      </c>
      <c r="AB6" s="8" t="s">
        <v>146</v>
      </c>
      <c r="AC6" s="8">
        <v>150</v>
      </c>
      <c r="AD6" s="8" t="s">
        <v>152</v>
      </c>
      <c r="AE6" s="8">
        <f t="shared" ref="AE6:AE21" si="2">+SUM(I6:N6)/AC6</f>
        <v>1.3333333333333333</v>
      </c>
      <c r="AF6"/>
      <c r="AG6" s="15">
        <v>0</v>
      </c>
      <c r="AH6">
        <v>0</v>
      </c>
      <c r="AI6"/>
    </row>
    <row r="7" spans="1:35" x14ac:dyDescent="0.25">
      <c r="A7" s="2">
        <v>2</v>
      </c>
      <c r="B7" s="2" t="s">
        <v>24</v>
      </c>
      <c r="C7" s="2" t="s">
        <v>129</v>
      </c>
      <c r="D7" s="2" t="s">
        <v>26</v>
      </c>
      <c r="E7" s="13">
        <v>0.25</v>
      </c>
      <c r="F7" s="2">
        <v>2.8000000000000001E-2</v>
      </c>
      <c r="G7" s="3"/>
      <c r="H7" s="3"/>
      <c r="I7" s="2">
        <v>200</v>
      </c>
      <c r="J7" s="2">
        <v>-50</v>
      </c>
      <c r="K7" s="2"/>
      <c r="L7" s="2"/>
      <c r="M7" s="2"/>
      <c r="N7" s="2"/>
      <c r="O7" s="8">
        <f t="shared" si="0"/>
        <v>-2200</v>
      </c>
      <c r="P7" s="2"/>
      <c r="Q7" s="2">
        <v>200</v>
      </c>
      <c r="R7" s="18"/>
      <c r="S7" s="2"/>
      <c r="T7" s="18"/>
      <c r="U7" s="18"/>
      <c r="V7" s="18">
        <v>2150</v>
      </c>
      <c r="W7" s="18"/>
      <c r="X7" s="2"/>
      <c r="Y7" s="18"/>
      <c r="Z7" s="2"/>
      <c r="AA7" s="7">
        <f t="shared" si="1"/>
        <v>0</v>
      </c>
      <c r="AB7" s="8" t="s">
        <v>146</v>
      </c>
      <c r="AC7" s="8">
        <v>200</v>
      </c>
      <c r="AD7" s="8" t="s">
        <v>152</v>
      </c>
      <c r="AE7" s="8">
        <f t="shared" si="2"/>
        <v>0.75</v>
      </c>
      <c r="AF7"/>
      <c r="AG7" s="15" t="s">
        <v>146</v>
      </c>
      <c r="AH7">
        <v>52</v>
      </c>
      <c r="AI7"/>
    </row>
    <row r="8" spans="1:35" x14ac:dyDescent="0.25">
      <c r="A8" s="2">
        <v>3</v>
      </c>
      <c r="B8" s="2" t="s">
        <v>24</v>
      </c>
      <c r="C8" s="2" t="s">
        <v>129</v>
      </c>
      <c r="D8" s="2" t="s">
        <v>27</v>
      </c>
      <c r="E8" s="13">
        <v>0.25</v>
      </c>
      <c r="F8" s="2">
        <v>2.8000000000000001E-2</v>
      </c>
      <c r="G8" s="3"/>
      <c r="H8" s="3"/>
      <c r="I8" s="2">
        <v>800</v>
      </c>
      <c r="J8" s="2">
        <v>-1650</v>
      </c>
      <c r="K8" s="2"/>
      <c r="L8" s="2"/>
      <c r="M8" s="2"/>
      <c r="N8" s="2"/>
      <c r="O8" s="8">
        <f t="shared" si="0"/>
        <v>-850</v>
      </c>
      <c r="P8" s="2"/>
      <c r="Q8" s="2"/>
      <c r="R8" s="18"/>
      <c r="S8" s="2"/>
      <c r="T8" s="18"/>
      <c r="U8" s="18"/>
      <c r="V8" s="18"/>
      <c r="W8" s="18"/>
      <c r="X8" s="2"/>
      <c r="Y8" s="18"/>
      <c r="Z8" s="2"/>
      <c r="AA8" s="7">
        <f t="shared" si="1"/>
        <v>0</v>
      </c>
      <c r="AB8" s="8" t="s">
        <v>146</v>
      </c>
      <c r="AC8" s="8">
        <v>200</v>
      </c>
      <c r="AD8" s="8" t="s">
        <v>152</v>
      </c>
      <c r="AE8" s="8">
        <f t="shared" si="2"/>
        <v>-4.25</v>
      </c>
      <c r="AF8"/>
      <c r="AG8" s="15" t="s">
        <v>155</v>
      </c>
      <c r="AH8">
        <v>0</v>
      </c>
      <c r="AI8"/>
    </row>
    <row r="9" spans="1:35" x14ac:dyDescent="0.25">
      <c r="A9" s="2">
        <v>4</v>
      </c>
      <c r="B9" s="2" t="s">
        <v>24</v>
      </c>
      <c r="C9" s="2" t="s">
        <v>129</v>
      </c>
      <c r="D9" s="2" t="s">
        <v>28</v>
      </c>
      <c r="E9" s="13">
        <v>0.375</v>
      </c>
      <c r="F9" s="2">
        <v>2.8000000000000001E-2</v>
      </c>
      <c r="G9" s="3"/>
      <c r="H9" s="3"/>
      <c r="I9" s="2">
        <v>300</v>
      </c>
      <c r="J9" s="2">
        <v>-774</v>
      </c>
      <c r="K9" s="2"/>
      <c r="L9" s="2"/>
      <c r="M9" s="2"/>
      <c r="N9" s="2"/>
      <c r="O9" s="8">
        <f t="shared" si="0"/>
        <v>-474</v>
      </c>
      <c r="P9" s="2"/>
      <c r="Q9" s="2"/>
      <c r="R9" s="18"/>
      <c r="S9" s="2"/>
      <c r="T9" s="18"/>
      <c r="U9" s="18"/>
      <c r="V9" s="18"/>
      <c r="W9" s="18"/>
      <c r="X9" s="2"/>
      <c r="Y9" s="18"/>
      <c r="Z9" s="2"/>
      <c r="AA9" s="7">
        <f t="shared" si="1"/>
        <v>0</v>
      </c>
      <c r="AB9" s="8" t="s">
        <v>146</v>
      </c>
      <c r="AC9" s="8">
        <v>100</v>
      </c>
      <c r="AD9" s="8" t="s">
        <v>152</v>
      </c>
      <c r="AE9" s="8">
        <f t="shared" si="2"/>
        <v>-4.74</v>
      </c>
      <c r="AF9"/>
      <c r="AG9" s="15" t="s">
        <v>147</v>
      </c>
      <c r="AH9">
        <v>116</v>
      </c>
      <c r="AI9"/>
    </row>
    <row r="10" spans="1:35" x14ac:dyDescent="0.25">
      <c r="A10" s="2">
        <v>5</v>
      </c>
      <c r="B10" s="2" t="s">
        <v>24</v>
      </c>
      <c r="C10" s="2" t="s">
        <v>129</v>
      </c>
      <c r="D10" s="2" t="s">
        <v>29</v>
      </c>
      <c r="E10" s="13">
        <v>0.375</v>
      </c>
      <c r="F10" s="2">
        <v>2.8000000000000001E-2</v>
      </c>
      <c r="G10" s="3"/>
      <c r="H10" s="3"/>
      <c r="I10" s="2">
        <v>0</v>
      </c>
      <c r="J10" s="2">
        <v>0</v>
      </c>
      <c r="K10" s="2"/>
      <c r="L10" s="2"/>
      <c r="M10" s="2"/>
      <c r="N10" s="2"/>
      <c r="O10" s="8">
        <f t="shared" si="0"/>
        <v>-2460</v>
      </c>
      <c r="P10" s="2"/>
      <c r="Q10" s="2"/>
      <c r="R10" s="18"/>
      <c r="S10" s="2"/>
      <c r="T10" s="18"/>
      <c r="U10" s="18"/>
      <c r="V10" s="18">
        <v>2460</v>
      </c>
      <c r="W10" s="18"/>
      <c r="X10" s="2"/>
      <c r="Y10" s="18"/>
      <c r="Z10" s="2"/>
      <c r="AA10" s="7">
        <f t="shared" si="1"/>
        <v>0</v>
      </c>
      <c r="AB10" s="8" t="s">
        <v>146</v>
      </c>
      <c r="AC10" s="8">
        <v>150</v>
      </c>
      <c r="AD10" s="8" t="s">
        <v>152</v>
      </c>
      <c r="AE10" s="8">
        <f t="shared" si="2"/>
        <v>0</v>
      </c>
      <c r="AF10"/>
      <c r="AG10" s="15" t="s">
        <v>150</v>
      </c>
      <c r="AH10">
        <v>2</v>
      </c>
      <c r="AI10"/>
    </row>
    <row r="11" spans="1:35" x14ac:dyDescent="0.25">
      <c r="A11" s="2">
        <v>6</v>
      </c>
      <c r="B11" s="2" t="s">
        <v>24</v>
      </c>
      <c r="C11" s="2" t="s">
        <v>129</v>
      </c>
      <c r="D11" s="2" t="s">
        <v>30</v>
      </c>
      <c r="E11" s="13">
        <v>0.375</v>
      </c>
      <c r="F11" s="2">
        <v>2.8000000000000001E-2</v>
      </c>
      <c r="G11" s="3"/>
      <c r="H11" s="3"/>
      <c r="I11" s="2">
        <v>0</v>
      </c>
      <c r="J11" s="2">
        <v>7</v>
      </c>
      <c r="K11" s="2"/>
      <c r="L11" s="2"/>
      <c r="M11" s="2"/>
      <c r="N11" s="2"/>
      <c r="O11" s="8">
        <f t="shared" si="0"/>
        <v>0</v>
      </c>
      <c r="P11" s="2"/>
      <c r="Q11" s="2"/>
      <c r="R11" s="18"/>
      <c r="S11" s="2"/>
      <c r="T11" s="2"/>
      <c r="U11" s="18"/>
      <c r="V11" s="18"/>
      <c r="W11" s="18"/>
      <c r="X11" s="2"/>
      <c r="Y11" s="18"/>
      <c r="Z11" s="2">
        <v>7</v>
      </c>
      <c r="AA11" s="7">
        <f t="shared" si="1"/>
        <v>0</v>
      </c>
      <c r="AB11" s="8" t="s">
        <v>146</v>
      </c>
      <c r="AC11" s="8">
        <v>150</v>
      </c>
      <c r="AD11" s="8" t="s">
        <v>152</v>
      </c>
      <c r="AE11" s="8">
        <f t="shared" si="2"/>
        <v>4.6666666666666669E-2</v>
      </c>
      <c r="AF11"/>
      <c r="AG11" s="15" t="s">
        <v>149</v>
      </c>
      <c r="AH11">
        <v>10</v>
      </c>
      <c r="AI11"/>
    </row>
    <row r="12" spans="1:35" x14ac:dyDescent="0.25">
      <c r="A12" s="2">
        <v>7</v>
      </c>
      <c r="B12" s="2" t="s">
        <v>24</v>
      </c>
      <c r="C12" s="2" t="s">
        <v>129</v>
      </c>
      <c r="D12" s="2" t="s">
        <v>31</v>
      </c>
      <c r="E12" s="13">
        <v>0.375</v>
      </c>
      <c r="F12" s="2">
        <v>2.8000000000000001E-2</v>
      </c>
      <c r="G12" s="3"/>
      <c r="H12" s="3"/>
      <c r="I12" s="2">
        <v>0</v>
      </c>
      <c r="J12" s="2">
        <v>-835</v>
      </c>
      <c r="K12" s="2"/>
      <c r="L12" s="2"/>
      <c r="M12" s="2"/>
      <c r="N12" s="2"/>
      <c r="O12" s="8">
        <f t="shared" si="0"/>
        <v>-1185</v>
      </c>
      <c r="P12" s="2"/>
      <c r="Q12" s="2"/>
      <c r="R12" s="18"/>
      <c r="S12" s="2"/>
      <c r="T12" s="18"/>
      <c r="U12" s="18"/>
      <c r="V12" s="18">
        <v>350</v>
      </c>
      <c r="W12" s="18"/>
      <c r="X12" s="2"/>
      <c r="Y12" s="18"/>
      <c r="Z12" s="2"/>
      <c r="AA12" s="7">
        <f t="shared" si="1"/>
        <v>0</v>
      </c>
      <c r="AB12" s="8" t="s">
        <v>146</v>
      </c>
      <c r="AC12" s="8">
        <v>50</v>
      </c>
      <c r="AD12" s="8" t="s">
        <v>152</v>
      </c>
      <c r="AE12" s="8">
        <f t="shared" si="2"/>
        <v>-16.7</v>
      </c>
      <c r="AF12"/>
      <c r="AG12" s="15" t="s">
        <v>158</v>
      </c>
      <c r="AH12">
        <v>180</v>
      </c>
      <c r="AI12"/>
    </row>
    <row r="13" spans="1:35" x14ac:dyDescent="0.25">
      <c r="A13" s="2">
        <v>8</v>
      </c>
      <c r="B13" s="2" t="s">
        <v>24</v>
      </c>
      <c r="C13" s="2" t="s">
        <v>129</v>
      </c>
      <c r="D13" s="2" t="s">
        <v>32</v>
      </c>
      <c r="E13" s="13">
        <v>0.375</v>
      </c>
      <c r="F13" s="2">
        <v>2.8000000000000001E-2</v>
      </c>
      <c r="G13" s="3"/>
      <c r="H13" s="3"/>
      <c r="I13" s="2">
        <v>1500</v>
      </c>
      <c r="J13" s="2">
        <v>-1283</v>
      </c>
      <c r="K13" s="2"/>
      <c r="L13" s="2"/>
      <c r="M13" s="2"/>
      <c r="N13" s="2"/>
      <c r="O13" s="8">
        <f t="shared" si="0"/>
        <v>-1230</v>
      </c>
      <c r="P13" s="2"/>
      <c r="Q13" s="2">
        <v>1447</v>
      </c>
      <c r="R13" s="18"/>
      <c r="S13" s="2"/>
      <c r="T13" s="18"/>
      <c r="U13" s="18"/>
      <c r="V13" s="18"/>
      <c r="W13" s="18"/>
      <c r="X13" s="2"/>
      <c r="Y13" s="18"/>
      <c r="Z13" s="2"/>
      <c r="AA13" s="7">
        <f t="shared" si="1"/>
        <v>0</v>
      </c>
      <c r="AB13" s="8" t="s">
        <v>146</v>
      </c>
      <c r="AC13" s="8">
        <v>100</v>
      </c>
      <c r="AD13" s="8" t="s">
        <v>152</v>
      </c>
      <c r="AE13" s="8">
        <f t="shared" si="2"/>
        <v>2.17</v>
      </c>
      <c r="AF13"/>
      <c r="AG13"/>
      <c r="AH13"/>
      <c r="AI13"/>
    </row>
    <row r="14" spans="1:35" x14ac:dyDescent="0.25">
      <c r="A14" s="2">
        <v>9</v>
      </c>
      <c r="B14" s="2" t="s">
        <v>24</v>
      </c>
      <c r="C14" s="2" t="s">
        <v>129</v>
      </c>
      <c r="D14" s="2" t="s">
        <v>33</v>
      </c>
      <c r="E14" s="13">
        <v>0.375</v>
      </c>
      <c r="F14" s="2">
        <v>2.8000000000000001E-2</v>
      </c>
      <c r="G14" s="3"/>
      <c r="H14" s="3"/>
      <c r="I14" s="2">
        <v>500</v>
      </c>
      <c r="J14" s="2">
        <v>-6</v>
      </c>
      <c r="K14" s="2"/>
      <c r="L14" s="2"/>
      <c r="M14" s="2"/>
      <c r="N14" s="2"/>
      <c r="O14" s="8">
        <f t="shared" si="0"/>
        <v>-496</v>
      </c>
      <c r="P14" s="2"/>
      <c r="Q14" s="2"/>
      <c r="R14" s="18">
        <v>500</v>
      </c>
      <c r="S14" s="2"/>
      <c r="T14" s="18"/>
      <c r="U14" s="18"/>
      <c r="V14" s="18">
        <v>490</v>
      </c>
      <c r="W14" s="18"/>
      <c r="X14" s="2"/>
      <c r="Y14" s="18"/>
      <c r="Z14" s="2"/>
      <c r="AA14" s="7">
        <f t="shared" si="1"/>
        <v>0</v>
      </c>
      <c r="AB14" s="8" t="s">
        <v>146</v>
      </c>
      <c r="AC14" s="8">
        <v>50</v>
      </c>
      <c r="AD14" s="8" t="s">
        <v>152</v>
      </c>
      <c r="AE14" s="8">
        <f t="shared" si="2"/>
        <v>9.8800000000000008</v>
      </c>
      <c r="AF14"/>
      <c r="AG14"/>
      <c r="AH14"/>
      <c r="AI14"/>
    </row>
    <row r="15" spans="1:35" x14ac:dyDescent="0.25">
      <c r="A15" s="2">
        <v>10</v>
      </c>
      <c r="B15" s="2" t="s">
        <v>24</v>
      </c>
      <c r="C15" s="2" t="s">
        <v>129</v>
      </c>
      <c r="D15" s="2" t="s">
        <v>34</v>
      </c>
      <c r="E15" s="13">
        <v>0.375</v>
      </c>
      <c r="F15" s="2">
        <v>2.8000000000000001E-2</v>
      </c>
      <c r="G15" s="3"/>
      <c r="H15" s="3"/>
      <c r="I15" s="2">
        <v>0</v>
      </c>
      <c r="J15" s="2">
        <v>0</v>
      </c>
      <c r="K15" s="2"/>
      <c r="L15" s="2"/>
      <c r="M15" s="2"/>
      <c r="N15" s="2"/>
      <c r="O15" s="8">
        <f t="shared" si="0"/>
        <v>-1100</v>
      </c>
      <c r="P15" s="2"/>
      <c r="Q15" s="2"/>
      <c r="R15" s="18"/>
      <c r="S15" s="2"/>
      <c r="T15" s="18"/>
      <c r="U15" s="18"/>
      <c r="V15" s="18">
        <v>1060</v>
      </c>
      <c r="W15" s="18"/>
      <c r="X15" s="2"/>
      <c r="Y15" s="18"/>
      <c r="Z15" s="2">
        <v>40</v>
      </c>
      <c r="AA15" s="7">
        <f t="shared" si="1"/>
        <v>0</v>
      </c>
      <c r="AB15" s="8" t="s">
        <v>147</v>
      </c>
      <c r="AC15" s="8">
        <v>60</v>
      </c>
      <c r="AD15" s="8" t="s">
        <v>152</v>
      </c>
      <c r="AE15" s="8">
        <f t="shared" si="2"/>
        <v>0</v>
      </c>
      <c r="AF15"/>
      <c r="AG15"/>
      <c r="AH15"/>
      <c r="AI15"/>
    </row>
    <row r="16" spans="1:35" x14ac:dyDescent="0.25">
      <c r="A16" s="2">
        <v>11</v>
      </c>
      <c r="B16" s="2" t="s">
        <v>24</v>
      </c>
      <c r="C16" s="2" t="s">
        <v>129</v>
      </c>
      <c r="D16" s="2" t="s">
        <v>35</v>
      </c>
      <c r="E16" s="13">
        <v>0.5</v>
      </c>
      <c r="F16" s="2">
        <v>2.8000000000000001E-2</v>
      </c>
      <c r="G16" s="3"/>
      <c r="H16" s="3"/>
      <c r="I16" s="2">
        <v>900</v>
      </c>
      <c r="J16" s="2">
        <v>9387</v>
      </c>
      <c r="K16" s="2"/>
      <c r="L16" s="2"/>
      <c r="M16" s="2"/>
      <c r="N16" s="2"/>
      <c r="O16" s="8">
        <f t="shared" si="0"/>
        <v>6287</v>
      </c>
      <c r="P16" s="2"/>
      <c r="Q16" s="2">
        <v>3500</v>
      </c>
      <c r="R16" s="18"/>
      <c r="S16" s="2">
        <v>500</v>
      </c>
      <c r="T16" s="18"/>
      <c r="U16" s="18"/>
      <c r="V16" s="18"/>
      <c r="W16" s="18"/>
      <c r="X16" s="2"/>
      <c r="Y16" s="18"/>
      <c r="Z16" s="2"/>
      <c r="AA16" s="7">
        <f t="shared" si="1"/>
        <v>0</v>
      </c>
      <c r="AB16" s="8" t="s">
        <v>148</v>
      </c>
      <c r="AC16" s="8">
        <v>100</v>
      </c>
      <c r="AD16" s="8" t="s">
        <v>152</v>
      </c>
      <c r="AE16" s="8">
        <f t="shared" si="2"/>
        <v>102.87</v>
      </c>
      <c r="AF16"/>
      <c r="AG16"/>
      <c r="AH16"/>
      <c r="AI16"/>
    </row>
    <row r="17" spans="1:35" x14ac:dyDescent="0.25">
      <c r="A17" s="2">
        <v>12</v>
      </c>
      <c r="B17" s="2" t="s">
        <v>24</v>
      </c>
      <c r="C17" s="2" t="s">
        <v>129</v>
      </c>
      <c r="D17" s="2" t="s">
        <v>36</v>
      </c>
      <c r="E17" s="13">
        <v>0.5</v>
      </c>
      <c r="F17" s="2">
        <v>2.8000000000000001E-2</v>
      </c>
      <c r="G17" s="3"/>
      <c r="H17" s="3"/>
      <c r="I17" s="2">
        <v>700</v>
      </c>
      <c r="J17" s="2">
        <v>-14</v>
      </c>
      <c r="K17" s="2"/>
      <c r="L17" s="2"/>
      <c r="M17" s="2"/>
      <c r="N17" s="2"/>
      <c r="O17" s="8">
        <f t="shared" si="0"/>
        <v>-56</v>
      </c>
      <c r="P17" s="2"/>
      <c r="Q17" s="2"/>
      <c r="R17" s="18">
        <v>382</v>
      </c>
      <c r="S17" s="2"/>
      <c r="T17" s="18">
        <v>360</v>
      </c>
      <c r="U17" s="18"/>
      <c r="V17" s="18"/>
      <c r="W17" s="18"/>
      <c r="X17" s="2"/>
      <c r="Y17" s="18"/>
      <c r="Z17" s="2"/>
      <c r="AA17" s="7">
        <f t="shared" si="1"/>
        <v>0</v>
      </c>
      <c r="AB17" s="8" t="s">
        <v>149</v>
      </c>
      <c r="AC17" s="8">
        <v>100</v>
      </c>
      <c r="AD17" s="8" t="s">
        <v>152</v>
      </c>
      <c r="AE17" s="8">
        <f t="shared" si="2"/>
        <v>6.86</v>
      </c>
      <c r="AF17"/>
      <c r="AG17"/>
      <c r="AH17"/>
      <c r="AI17"/>
    </row>
    <row r="18" spans="1:35" x14ac:dyDescent="0.25">
      <c r="A18" s="2">
        <v>13</v>
      </c>
      <c r="B18" s="2" t="s">
        <v>24</v>
      </c>
      <c r="C18" s="2" t="s">
        <v>129</v>
      </c>
      <c r="D18" s="2" t="s">
        <v>37</v>
      </c>
      <c r="E18" s="13">
        <v>0.5</v>
      </c>
      <c r="F18" s="2">
        <v>2.8000000000000001E-2</v>
      </c>
      <c r="G18" s="3"/>
      <c r="H18" s="3"/>
      <c r="I18" s="2">
        <v>0</v>
      </c>
      <c r="J18" s="2">
        <v>0</v>
      </c>
      <c r="K18" s="2"/>
      <c r="L18" s="2"/>
      <c r="M18" s="2"/>
      <c r="N18" s="2"/>
      <c r="O18" s="8">
        <f t="shared" si="0"/>
        <v>0</v>
      </c>
      <c r="P18" s="2"/>
      <c r="Q18" s="2"/>
      <c r="R18" s="18"/>
      <c r="S18" s="2"/>
      <c r="T18" s="18"/>
      <c r="U18" s="18"/>
      <c r="V18" s="18"/>
      <c r="W18" s="18"/>
      <c r="X18" s="2"/>
      <c r="Y18" s="18"/>
      <c r="Z18" s="2"/>
      <c r="AA18" s="7">
        <f t="shared" si="1"/>
        <v>0</v>
      </c>
      <c r="AB18" s="8" t="s">
        <v>149</v>
      </c>
      <c r="AC18" s="8">
        <v>100</v>
      </c>
      <c r="AD18" s="8" t="s">
        <v>152</v>
      </c>
      <c r="AE18" s="8">
        <f t="shared" si="2"/>
        <v>0</v>
      </c>
      <c r="AF18"/>
      <c r="AG18"/>
      <c r="AH18"/>
      <c r="AI18"/>
    </row>
    <row r="19" spans="1:35" x14ac:dyDescent="0.25">
      <c r="A19" s="2">
        <v>14</v>
      </c>
      <c r="B19" s="2" t="s">
        <v>24</v>
      </c>
      <c r="C19" s="2" t="s">
        <v>129</v>
      </c>
      <c r="D19" s="2" t="s">
        <v>38</v>
      </c>
      <c r="E19" s="13">
        <v>0.5</v>
      </c>
      <c r="F19" s="2">
        <v>2.8000000000000001E-2</v>
      </c>
      <c r="G19" s="3"/>
      <c r="H19" s="3"/>
      <c r="I19" s="2">
        <v>0</v>
      </c>
      <c r="J19" s="2">
        <v>0</v>
      </c>
      <c r="K19" s="2"/>
      <c r="L19" s="2"/>
      <c r="M19" s="2"/>
      <c r="N19" s="2"/>
      <c r="O19" s="8">
        <f t="shared" si="0"/>
        <v>0</v>
      </c>
      <c r="P19" s="2"/>
      <c r="Q19" s="2"/>
      <c r="R19" s="18"/>
      <c r="S19" s="2"/>
      <c r="T19" s="2"/>
      <c r="U19" s="18"/>
      <c r="V19" s="18"/>
      <c r="W19" s="18"/>
      <c r="X19" s="2"/>
      <c r="Y19" s="18"/>
      <c r="Z19" s="2"/>
      <c r="AA19" s="7">
        <f t="shared" si="1"/>
        <v>0</v>
      </c>
      <c r="AB19" s="8" t="s">
        <v>149</v>
      </c>
      <c r="AC19" s="8">
        <v>100</v>
      </c>
      <c r="AD19" s="8" t="s">
        <v>152</v>
      </c>
      <c r="AE19" s="8">
        <f t="shared" si="2"/>
        <v>0</v>
      </c>
      <c r="AF19"/>
      <c r="AG19"/>
      <c r="AH19"/>
      <c r="AI19"/>
    </row>
    <row r="20" spans="1:35" x14ac:dyDescent="0.25">
      <c r="A20" s="2">
        <v>15</v>
      </c>
      <c r="B20" s="2" t="s">
        <v>24</v>
      </c>
      <c r="C20" s="2" t="s">
        <v>129</v>
      </c>
      <c r="D20" s="2" t="s">
        <v>39</v>
      </c>
      <c r="E20" s="13">
        <v>0.5</v>
      </c>
      <c r="F20" s="2">
        <v>2.8000000000000001E-2</v>
      </c>
      <c r="G20" s="3"/>
      <c r="H20" s="3"/>
      <c r="I20" s="2">
        <v>0</v>
      </c>
      <c r="J20" s="2">
        <v>0</v>
      </c>
      <c r="K20" s="2"/>
      <c r="L20" s="2"/>
      <c r="M20" s="2"/>
      <c r="N20" s="2"/>
      <c r="O20" s="8">
        <f t="shared" si="0"/>
        <v>0</v>
      </c>
      <c r="P20" s="2"/>
      <c r="Q20" s="2"/>
      <c r="R20" s="18"/>
      <c r="S20" s="2"/>
      <c r="T20" s="18"/>
      <c r="U20" s="18"/>
      <c r="V20" s="18"/>
      <c r="W20" s="17"/>
      <c r="X20" s="4"/>
      <c r="Y20" s="18"/>
      <c r="Z20" s="2"/>
      <c r="AA20" s="7">
        <f t="shared" si="1"/>
        <v>0</v>
      </c>
      <c r="AB20" s="8" t="s">
        <v>149</v>
      </c>
      <c r="AC20" s="8">
        <v>80</v>
      </c>
      <c r="AD20" s="8" t="s">
        <v>152</v>
      </c>
      <c r="AE20" s="8">
        <f t="shared" si="2"/>
        <v>0</v>
      </c>
      <c r="AF20"/>
      <c r="AG20"/>
      <c r="AH20"/>
      <c r="AI20"/>
    </row>
    <row r="21" spans="1:35" x14ac:dyDescent="0.25">
      <c r="A21" s="2">
        <v>16</v>
      </c>
      <c r="B21" s="2" t="s">
        <v>24</v>
      </c>
      <c r="C21" s="2" t="s">
        <v>129</v>
      </c>
      <c r="D21" s="2" t="s">
        <v>40</v>
      </c>
      <c r="E21" s="13">
        <v>0.5</v>
      </c>
      <c r="F21" s="2">
        <v>2.8000000000000001E-2</v>
      </c>
      <c r="G21" s="3"/>
      <c r="H21" s="3"/>
      <c r="I21" s="2">
        <v>0</v>
      </c>
      <c r="J21" s="2">
        <v>0</v>
      </c>
      <c r="K21" s="2"/>
      <c r="L21" s="2"/>
      <c r="M21" s="2"/>
      <c r="N21" s="2"/>
      <c r="O21" s="8">
        <f t="shared" si="0"/>
        <v>0</v>
      </c>
      <c r="P21" s="2"/>
      <c r="Q21" s="2"/>
      <c r="R21" s="18"/>
      <c r="S21" s="2"/>
      <c r="T21" s="2"/>
      <c r="U21" s="18"/>
      <c r="V21" s="18"/>
      <c r="W21" s="18"/>
      <c r="X21" s="2"/>
      <c r="Y21" s="18"/>
      <c r="Z21" s="2"/>
      <c r="AA21" s="7">
        <f t="shared" si="1"/>
        <v>0</v>
      </c>
      <c r="AB21" s="8" t="s">
        <v>149</v>
      </c>
      <c r="AC21" s="8">
        <v>100</v>
      </c>
      <c r="AD21" s="8" t="s">
        <v>152</v>
      </c>
      <c r="AE21" s="8">
        <f t="shared" si="2"/>
        <v>0</v>
      </c>
      <c r="AF21"/>
      <c r="AG21"/>
      <c r="AH21"/>
      <c r="AI21"/>
    </row>
    <row r="22" spans="1:35" x14ac:dyDescent="0.25">
      <c r="A22" s="2">
        <v>17</v>
      </c>
      <c r="B22" s="2" t="s">
        <v>24</v>
      </c>
      <c r="C22" s="2" t="s">
        <v>129</v>
      </c>
      <c r="D22" s="2" t="s">
        <v>41</v>
      </c>
      <c r="E22" s="13">
        <v>0.5</v>
      </c>
      <c r="F22" s="2">
        <v>2.8000000000000001E-2</v>
      </c>
      <c r="G22" s="3"/>
      <c r="H22" s="3"/>
      <c r="I22" s="2">
        <v>0</v>
      </c>
      <c r="J22" s="2">
        <v>0</v>
      </c>
      <c r="K22" s="2"/>
      <c r="L22" s="2"/>
      <c r="M22" s="2"/>
      <c r="N22" s="2"/>
      <c r="O22" s="8">
        <f t="shared" si="0"/>
        <v>0</v>
      </c>
      <c r="P22" s="2"/>
      <c r="Q22" s="2"/>
      <c r="R22" s="18"/>
      <c r="S22" s="2"/>
      <c r="T22" s="18"/>
      <c r="U22" s="18"/>
      <c r="V22" s="18"/>
      <c r="W22" s="18"/>
      <c r="X22" s="2"/>
      <c r="Y22" s="18"/>
      <c r="Z22" s="2"/>
      <c r="AA22" s="7">
        <f t="shared" si="1"/>
        <v>0</v>
      </c>
      <c r="AB22" s="8">
        <v>0</v>
      </c>
      <c r="AC22" s="8">
        <v>0</v>
      </c>
      <c r="AD22" s="8" t="s">
        <v>152</v>
      </c>
      <c r="AE22" s="8">
        <v>0</v>
      </c>
      <c r="AF22"/>
      <c r="AG22"/>
      <c r="AH22"/>
      <c r="AI22"/>
    </row>
    <row r="23" spans="1:35" x14ac:dyDescent="0.25">
      <c r="A23" s="2">
        <v>18</v>
      </c>
      <c r="B23" s="2" t="s">
        <v>24</v>
      </c>
      <c r="C23" s="2" t="s">
        <v>129</v>
      </c>
      <c r="D23" s="2" t="s">
        <v>42</v>
      </c>
      <c r="E23" s="13">
        <v>0.5</v>
      </c>
      <c r="F23" s="2">
        <v>2.8000000000000001E-2</v>
      </c>
      <c r="G23" s="3"/>
      <c r="H23" s="3"/>
      <c r="I23" s="2">
        <v>0</v>
      </c>
      <c r="J23" s="2">
        <v>0</v>
      </c>
      <c r="K23" s="2"/>
      <c r="L23" s="2"/>
      <c r="M23" s="2"/>
      <c r="N23" s="2"/>
      <c r="O23" s="8">
        <f t="shared" si="0"/>
        <v>0</v>
      </c>
      <c r="P23" s="2"/>
      <c r="Q23" s="2"/>
      <c r="R23" s="18"/>
      <c r="S23" s="2"/>
      <c r="T23" s="18"/>
      <c r="U23" s="18"/>
      <c r="V23" s="18"/>
      <c r="W23" s="18"/>
      <c r="X23" s="2"/>
      <c r="Y23" s="18"/>
      <c r="Z23" s="2"/>
      <c r="AA23" s="7">
        <f t="shared" si="1"/>
        <v>0</v>
      </c>
      <c r="AB23" s="8">
        <v>0</v>
      </c>
      <c r="AC23" s="8">
        <v>0</v>
      </c>
      <c r="AD23" s="8" t="s">
        <v>152</v>
      </c>
      <c r="AE23" s="8">
        <v>0</v>
      </c>
      <c r="AF23"/>
    </row>
    <row r="24" spans="1:35" x14ac:dyDescent="0.25">
      <c r="A24" s="2">
        <v>19</v>
      </c>
      <c r="B24" s="2" t="s">
        <v>24</v>
      </c>
      <c r="C24" s="2" t="s">
        <v>129</v>
      </c>
      <c r="D24" s="2" t="s">
        <v>43</v>
      </c>
      <c r="E24" s="13">
        <v>0.5</v>
      </c>
      <c r="F24" s="2">
        <v>2.8000000000000001E-2</v>
      </c>
      <c r="G24" s="3"/>
      <c r="H24" s="3"/>
      <c r="I24" s="2">
        <v>0</v>
      </c>
      <c r="J24" s="2">
        <v>0</v>
      </c>
      <c r="K24" s="2"/>
      <c r="L24" s="2"/>
      <c r="M24" s="2"/>
      <c r="N24" s="2"/>
      <c r="O24" s="8">
        <f t="shared" si="0"/>
        <v>0</v>
      </c>
      <c r="P24" s="2"/>
      <c r="Q24" s="2"/>
      <c r="R24" s="18"/>
      <c r="S24" s="2"/>
      <c r="T24" s="18"/>
      <c r="U24" s="18"/>
      <c r="V24" s="18"/>
      <c r="W24" s="18"/>
      <c r="X24" s="2"/>
      <c r="Y24" s="18"/>
      <c r="Z24" s="2"/>
      <c r="AA24" s="7">
        <f t="shared" si="1"/>
        <v>0</v>
      </c>
      <c r="AB24" s="8">
        <v>0</v>
      </c>
      <c r="AC24" s="8">
        <v>0</v>
      </c>
      <c r="AD24" s="8" t="s">
        <v>152</v>
      </c>
      <c r="AE24" s="8">
        <v>0</v>
      </c>
      <c r="AF24"/>
    </row>
    <row r="25" spans="1:35" x14ac:dyDescent="0.25">
      <c r="A25" s="2">
        <v>20</v>
      </c>
      <c r="B25" s="2" t="s">
        <v>24</v>
      </c>
      <c r="C25" s="2" t="s">
        <v>129</v>
      </c>
      <c r="D25" s="2" t="s">
        <v>44</v>
      </c>
      <c r="E25" s="13">
        <v>0.5</v>
      </c>
      <c r="F25" s="2">
        <v>2.8000000000000001E-2</v>
      </c>
      <c r="G25" s="3"/>
      <c r="H25" s="3"/>
      <c r="I25" s="2">
        <v>0</v>
      </c>
      <c r="J25" s="2">
        <v>0</v>
      </c>
      <c r="K25" s="2"/>
      <c r="L25" s="2"/>
      <c r="M25" s="2"/>
      <c r="N25" s="2"/>
      <c r="O25" s="8">
        <f t="shared" si="0"/>
        <v>0</v>
      </c>
      <c r="P25" s="2"/>
      <c r="Q25" s="2"/>
      <c r="R25" s="18"/>
      <c r="S25" s="2"/>
      <c r="T25" s="18"/>
      <c r="U25" s="18"/>
      <c r="V25" s="18"/>
      <c r="W25" s="18"/>
      <c r="X25" s="2"/>
      <c r="Y25" s="18"/>
      <c r="Z25" s="2"/>
      <c r="AA25" s="7">
        <f t="shared" si="1"/>
        <v>0</v>
      </c>
      <c r="AB25" s="8">
        <v>0</v>
      </c>
      <c r="AC25" s="8">
        <v>0</v>
      </c>
      <c r="AD25" s="8" t="s">
        <v>152</v>
      </c>
      <c r="AE25" s="8">
        <v>0</v>
      </c>
      <c r="AF25"/>
    </row>
    <row r="26" spans="1:35" x14ac:dyDescent="0.25">
      <c r="A26" s="2">
        <v>21</v>
      </c>
      <c r="B26" s="2" t="s">
        <v>24</v>
      </c>
      <c r="C26" s="2" t="s">
        <v>129</v>
      </c>
      <c r="D26" s="2" t="s">
        <v>45</v>
      </c>
      <c r="E26" s="13">
        <v>0.5</v>
      </c>
      <c r="F26" s="2">
        <v>2.8000000000000001E-2</v>
      </c>
      <c r="G26" s="3"/>
      <c r="H26" s="3"/>
      <c r="I26" s="2">
        <v>0</v>
      </c>
      <c r="J26" s="2">
        <v>0</v>
      </c>
      <c r="K26" s="2"/>
      <c r="L26" s="2"/>
      <c r="M26" s="2"/>
      <c r="N26" s="2"/>
      <c r="O26" s="8">
        <f t="shared" si="0"/>
        <v>0</v>
      </c>
      <c r="P26" s="2"/>
      <c r="Q26" s="2"/>
      <c r="R26" s="18"/>
      <c r="S26" s="2"/>
      <c r="T26" s="18"/>
      <c r="U26" s="18"/>
      <c r="V26" s="18"/>
      <c r="W26" s="18"/>
      <c r="X26" s="2"/>
      <c r="Y26" s="18"/>
      <c r="Z26" s="2"/>
      <c r="AA26" s="7">
        <f t="shared" si="1"/>
        <v>0</v>
      </c>
      <c r="AB26" s="8">
        <v>0</v>
      </c>
      <c r="AC26" s="8">
        <v>0</v>
      </c>
      <c r="AD26" s="8" t="s">
        <v>152</v>
      </c>
      <c r="AE26" s="8">
        <v>0</v>
      </c>
      <c r="AF26"/>
    </row>
    <row r="27" spans="1:35" x14ac:dyDescent="0.25">
      <c r="A27" s="2">
        <v>22</v>
      </c>
      <c r="B27" s="2" t="s">
        <v>24</v>
      </c>
      <c r="C27" s="2" t="s">
        <v>129</v>
      </c>
      <c r="D27" s="2" t="s">
        <v>46</v>
      </c>
      <c r="E27" s="13">
        <v>0.5</v>
      </c>
      <c r="F27" s="2">
        <v>2.8000000000000001E-2</v>
      </c>
      <c r="G27" s="3"/>
      <c r="H27" s="3"/>
      <c r="I27" s="2">
        <v>0</v>
      </c>
      <c r="J27" s="2">
        <v>0</v>
      </c>
      <c r="K27" s="2"/>
      <c r="L27" s="2"/>
      <c r="M27" s="2"/>
      <c r="N27" s="2"/>
      <c r="O27" s="8">
        <f t="shared" si="0"/>
        <v>0</v>
      </c>
      <c r="P27" s="2"/>
      <c r="Q27" s="2"/>
      <c r="R27" s="18"/>
      <c r="S27" s="2"/>
      <c r="T27" s="18"/>
      <c r="U27" s="18"/>
      <c r="V27" s="18"/>
      <c r="W27" s="18"/>
      <c r="X27" s="2"/>
      <c r="Y27" s="18"/>
      <c r="Z27" s="2"/>
      <c r="AA27" s="7">
        <f t="shared" si="1"/>
        <v>0</v>
      </c>
      <c r="AB27" s="8">
        <v>0</v>
      </c>
      <c r="AC27" s="8">
        <v>0</v>
      </c>
      <c r="AD27" s="8" t="s">
        <v>152</v>
      </c>
      <c r="AE27" s="8">
        <v>0</v>
      </c>
      <c r="AF27"/>
    </row>
    <row r="28" spans="1:35" x14ac:dyDescent="0.25">
      <c r="A28" s="2">
        <v>23</v>
      </c>
      <c r="B28" s="2" t="s">
        <v>24</v>
      </c>
      <c r="C28" s="2" t="s">
        <v>129</v>
      </c>
      <c r="D28" s="2" t="s">
        <v>47</v>
      </c>
      <c r="E28" s="13">
        <v>0.5</v>
      </c>
      <c r="F28" s="2">
        <v>2.8000000000000001E-2</v>
      </c>
      <c r="G28" s="3"/>
      <c r="H28" s="3"/>
      <c r="I28" s="2">
        <v>0</v>
      </c>
      <c r="J28" s="2">
        <v>0</v>
      </c>
      <c r="K28" s="2"/>
      <c r="L28" s="2"/>
      <c r="M28" s="2"/>
      <c r="N28" s="2"/>
      <c r="O28" s="8">
        <f t="shared" si="0"/>
        <v>0</v>
      </c>
      <c r="P28" s="2"/>
      <c r="Q28" s="2"/>
      <c r="R28" s="18"/>
      <c r="S28" s="2"/>
      <c r="T28" s="18"/>
      <c r="U28" s="18"/>
      <c r="V28" s="18"/>
      <c r="W28" s="18"/>
      <c r="X28" s="2"/>
      <c r="Y28" s="18"/>
      <c r="Z28" s="2"/>
      <c r="AA28" s="7">
        <f t="shared" si="1"/>
        <v>0</v>
      </c>
      <c r="AB28" s="8">
        <v>0</v>
      </c>
      <c r="AC28" s="8">
        <v>0</v>
      </c>
      <c r="AD28" s="8" t="s">
        <v>152</v>
      </c>
      <c r="AE28" s="8">
        <v>0</v>
      </c>
      <c r="AF28"/>
    </row>
    <row r="29" spans="1:35" x14ac:dyDescent="0.25">
      <c r="A29" s="2">
        <v>24</v>
      </c>
      <c r="B29" s="2" t="s">
        <v>24</v>
      </c>
      <c r="C29" s="2" t="s">
        <v>129</v>
      </c>
      <c r="D29" s="2" t="s">
        <v>48</v>
      </c>
      <c r="E29" s="13">
        <v>0.5</v>
      </c>
      <c r="F29" s="2">
        <v>2.8000000000000001E-2</v>
      </c>
      <c r="G29" s="3"/>
      <c r="H29" s="3"/>
      <c r="I29" s="2">
        <v>0</v>
      </c>
      <c r="J29" s="2">
        <v>0</v>
      </c>
      <c r="K29" s="2"/>
      <c r="L29" s="2"/>
      <c r="M29" s="2"/>
      <c r="N29" s="2"/>
      <c r="O29" s="8">
        <f t="shared" si="0"/>
        <v>0</v>
      </c>
      <c r="P29" s="2"/>
      <c r="Q29" s="2"/>
      <c r="R29" s="18"/>
      <c r="S29" s="2"/>
      <c r="T29" s="18"/>
      <c r="U29" s="18"/>
      <c r="V29" s="18"/>
      <c r="W29" s="18"/>
      <c r="X29" s="2"/>
      <c r="Y29" s="18"/>
      <c r="Z29" s="2"/>
      <c r="AA29" s="7">
        <f t="shared" si="1"/>
        <v>0</v>
      </c>
      <c r="AB29" s="8">
        <v>0</v>
      </c>
      <c r="AC29" s="8">
        <v>0</v>
      </c>
      <c r="AD29" s="8" t="s">
        <v>152</v>
      </c>
      <c r="AE29" s="8">
        <v>0</v>
      </c>
      <c r="AF29"/>
    </row>
    <row r="30" spans="1:35" x14ac:dyDescent="0.25">
      <c r="A30" s="2">
        <v>25</v>
      </c>
      <c r="B30" s="2" t="s">
        <v>24</v>
      </c>
      <c r="C30" s="2" t="s">
        <v>129</v>
      </c>
      <c r="D30" s="2" t="s">
        <v>49</v>
      </c>
      <c r="E30" s="13">
        <v>0.5</v>
      </c>
      <c r="F30" s="2">
        <v>2.8000000000000001E-2</v>
      </c>
      <c r="G30" s="3"/>
      <c r="H30" s="3"/>
      <c r="I30" s="2">
        <v>0</v>
      </c>
      <c r="J30" s="2">
        <v>0</v>
      </c>
      <c r="K30" s="2"/>
      <c r="L30" s="2"/>
      <c r="M30" s="2"/>
      <c r="N30" s="2"/>
      <c r="O30" s="8">
        <f t="shared" si="0"/>
        <v>0</v>
      </c>
      <c r="P30" s="2"/>
      <c r="Q30" s="2"/>
      <c r="R30" s="18"/>
      <c r="S30" s="2"/>
      <c r="T30" s="18"/>
      <c r="U30" s="18"/>
      <c r="V30" s="18"/>
      <c r="W30" s="18"/>
      <c r="X30" s="2"/>
      <c r="Y30" s="18"/>
      <c r="Z30" s="2"/>
      <c r="AA30" s="7">
        <f t="shared" si="1"/>
        <v>0</v>
      </c>
      <c r="AB30" s="8">
        <v>0</v>
      </c>
      <c r="AC30" s="8">
        <v>0</v>
      </c>
      <c r="AD30" s="8" t="s">
        <v>152</v>
      </c>
      <c r="AE30" s="8">
        <v>0</v>
      </c>
      <c r="AF30"/>
    </row>
    <row r="31" spans="1:35" x14ac:dyDescent="0.25">
      <c r="A31" s="2">
        <v>26</v>
      </c>
      <c r="B31" s="2" t="s">
        <v>24</v>
      </c>
      <c r="C31" s="2" t="s">
        <v>129</v>
      </c>
      <c r="D31" s="2" t="s">
        <v>50</v>
      </c>
      <c r="E31" s="13">
        <v>0.5</v>
      </c>
      <c r="F31" s="2">
        <v>2.8000000000000001E-2</v>
      </c>
      <c r="G31" s="3"/>
      <c r="H31" s="3"/>
      <c r="I31" s="2">
        <v>0</v>
      </c>
      <c r="J31" s="2">
        <v>0</v>
      </c>
      <c r="K31" s="2"/>
      <c r="L31" s="2"/>
      <c r="M31" s="2"/>
      <c r="N31" s="2"/>
      <c r="O31" s="8">
        <f t="shared" si="0"/>
        <v>0</v>
      </c>
      <c r="P31" s="2"/>
      <c r="Q31" s="2"/>
      <c r="R31" s="18"/>
      <c r="S31" s="2"/>
      <c r="T31" s="18"/>
      <c r="U31" s="18"/>
      <c r="V31" s="18"/>
      <c r="W31" s="18"/>
      <c r="X31" s="2"/>
      <c r="Y31" s="18"/>
      <c r="Z31" s="2"/>
      <c r="AA31" s="7">
        <f t="shared" si="1"/>
        <v>0</v>
      </c>
      <c r="AB31" s="8">
        <v>0</v>
      </c>
      <c r="AC31" s="8">
        <v>0</v>
      </c>
      <c r="AD31" s="8" t="s">
        <v>152</v>
      </c>
      <c r="AE31" s="8">
        <v>0</v>
      </c>
      <c r="AF31"/>
    </row>
    <row r="32" spans="1:35" x14ac:dyDescent="0.25">
      <c r="A32" s="2">
        <v>27</v>
      </c>
      <c r="B32" s="2" t="s">
        <v>24</v>
      </c>
      <c r="C32" s="2" t="s">
        <v>129</v>
      </c>
      <c r="D32" s="2" t="s">
        <v>51</v>
      </c>
      <c r="E32" s="13">
        <v>0.5</v>
      </c>
      <c r="F32" s="2">
        <v>2.8000000000000001E-2</v>
      </c>
      <c r="G32" s="3"/>
      <c r="H32" s="3"/>
      <c r="I32" s="2">
        <v>0</v>
      </c>
      <c r="J32" s="2">
        <v>0</v>
      </c>
      <c r="K32" s="2"/>
      <c r="L32" s="2"/>
      <c r="M32" s="2"/>
      <c r="N32" s="2"/>
      <c r="O32" s="8">
        <f t="shared" si="0"/>
        <v>0</v>
      </c>
      <c r="P32" s="2"/>
      <c r="Q32" s="2"/>
      <c r="R32" s="18"/>
      <c r="S32" s="2"/>
      <c r="T32" s="18"/>
      <c r="U32" s="18"/>
      <c r="V32" s="18"/>
      <c r="W32" s="18"/>
      <c r="X32" s="2"/>
      <c r="Y32" s="18"/>
      <c r="Z32" s="2"/>
      <c r="AA32" s="7">
        <f t="shared" si="1"/>
        <v>0</v>
      </c>
      <c r="AB32" s="8">
        <v>0</v>
      </c>
      <c r="AC32" s="8">
        <v>0</v>
      </c>
      <c r="AD32" s="8" t="s">
        <v>152</v>
      </c>
      <c r="AE32" s="8">
        <v>0</v>
      </c>
      <c r="AF32"/>
    </row>
    <row r="33" spans="1:32" x14ac:dyDescent="0.25">
      <c r="A33" s="2">
        <v>28</v>
      </c>
      <c r="B33" s="2" t="s">
        <v>24</v>
      </c>
      <c r="C33" s="2" t="s">
        <v>129</v>
      </c>
      <c r="D33" s="2" t="s">
        <v>52</v>
      </c>
      <c r="E33" s="13">
        <v>0.5</v>
      </c>
      <c r="F33" s="2">
        <v>2.8000000000000001E-2</v>
      </c>
      <c r="G33" s="3"/>
      <c r="H33" s="3"/>
      <c r="I33" s="2">
        <v>0</v>
      </c>
      <c r="J33" s="2">
        <v>0</v>
      </c>
      <c r="K33" s="2"/>
      <c r="L33" s="2"/>
      <c r="M33" s="2"/>
      <c r="N33" s="2"/>
      <c r="O33" s="8">
        <f t="shared" si="0"/>
        <v>0</v>
      </c>
      <c r="P33" s="2"/>
      <c r="Q33" s="2"/>
      <c r="R33" s="18"/>
      <c r="S33" s="2"/>
      <c r="T33" s="18"/>
      <c r="U33" s="18"/>
      <c r="V33" s="18"/>
      <c r="W33" s="18"/>
      <c r="X33" s="2"/>
      <c r="Y33" s="18"/>
      <c r="Z33" s="2"/>
      <c r="AA33" s="7">
        <f t="shared" si="1"/>
        <v>0</v>
      </c>
      <c r="AB33" s="8">
        <v>0</v>
      </c>
      <c r="AC33" s="8">
        <v>0</v>
      </c>
      <c r="AD33" s="8" t="s">
        <v>152</v>
      </c>
      <c r="AE33" s="8">
        <v>0</v>
      </c>
      <c r="AF33"/>
    </row>
    <row r="34" spans="1:32" x14ac:dyDescent="0.25">
      <c r="A34" s="2">
        <v>29</v>
      </c>
      <c r="B34" s="2" t="s">
        <v>24</v>
      </c>
      <c r="C34" s="2" t="s">
        <v>129</v>
      </c>
      <c r="D34" s="2" t="s">
        <v>53</v>
      </c>
      <c r="E34" s="13">
        <v>0.5</v>
      </c>
      <c r="F34" s="2">
        <v>2.8000000000000001E-2</v>
      </c>
      <c r="G34" s="3"/>
      <c r="H34" s="3"/>
      <c r="I34" s="2">
        <v>0</v>
      </c>
      <c r="J34" s="2">
        <v>0</v>
      </c>
      <c r="K34" s="2"/>
      <c r="L34" s="2"/>
      <c r="M34" s="2"/>
      <c r="N34" s="2"/>
      <c r="O34" s="8">
        <f t="shared" si="0"/>
        <v>0</v>
      </c>
      <c r="P34" s="2"/>
      <c r="Q34" s="2"/>
      <c r="R34" s="18"/>
      <c r="S34" s="2"/>
      <c r="T34" s="18"/>
      <c r="U34" s="18"/>
      <c r="V34" s="18"/>
      <c r="W34" s="18"/>
      <c r="X34" s="2"/>
      <c r="Y34" s="18"/>
      <c r="Z34" s="2"/>
      <c r="AA34" s="7">
        <f t="shared" si="1"/>
        <v>0</v>
      </c>
      <c r="AB34" s="8">
        <v>0</v>
      </c>
      <c r="AC34" s="8">
        <v>0</v>
      </c>
      <c r="AD34" s="8" t="s">
        <v>152</v>
      </c>
      <c r="AE34" s="8">
        <v>0</v>
      </c>
      <c r="AF34"/>
    </row>
    <row r="35" spans="1:32" x14ac:dyDescent="0.25">
      <c r="A35" s="2">
        <v>30</v>
      </c>
      <c r="B35" s="2" t="s">
        <v>24</v>
      </c>
      <c r="C35" s="2" t="s">
        <v>129</v>
      </c>
      <c r="D35" s="2" t="s">
        <v>54</v>
      </c>
      <c r="E35" s="13">
        <v>0.5</v>
      </c>
      <c r="F35" s="2">
        <v>2.8000000000000001E-2</v>
      </c>
      <c r="G35" s="3"/>
      <c r="H35" s="3"/>
      <c r="I35" s="2">
        <v>0</v>
      </c>
      <c r="J35" s="2">
        <v>0</v>
      </c>
      <c r="K35" s="2"/>
      <c r="L35" s="2"/>
      <c r="M35" s="2"/>
      <c r="N35" s="2"/>
      <c r="O35" s="8">
        <f t="shared" si="0"/>
        <v>0</v>
      </c>
      <c r="P35" s="2"/>
      <c r="Q35" s="2"/>
      <c r="R35" s="18"/>
      <c r="S35" s="2"/>
      <c r="T35" s="18"/>
      <c r="U35" s="18"/>
      <c r="V35" s="18"/>
      <c r="W35" s="18"/>
      <c r="X35" s="2"/>
      <c r="Y35" s="18"/>
      <c r="Z35" s="2"/>
      <c r="AA35" s="7">
        <f t="shared" si="1"/>
        <v>0</v>
      </c>
      <c r="AB35" s="8">
        <v>0</v>
      </c>
      <c r="AC35" s="8">
        <v>0</v>
      </c>
      <c r="AD35" s="8" t="s">
        <v>152</v>
      </c>
      <c r="AE35" s="8">
        <v>0</v>
      </c>
      <c r="AF35"/>
    </row>
    <row r="36" spans="1:32" x14ac:dyDescent="0.25">
      <c r="A36" s="2">
        <v>31</v>
      </c>
      <c r="B36" s="2" t="s">
        <v>24</v>
      </c>
      <c r="C36" s="2" t="s">
        <v>129</v>
      </c>
      <c r="D36" s="2" t="s">
        <v>55</v>
      </c>
      <c r="E36" s="13">
        <v>0.625</v>
      </c>
      <c r="F36" s="2">
        <v>3.5000000000000003E-2</v>
      </c>
      <c r="G36" s="3"/>
      <c r="H36" s="3"/>
      <c r="I36" s="2">
        <v>0</v>
      </c>
      <c r="J36" s="2">
        <v>0</v>
      </c>
      <c r="K36" s="2"/>
      <c r="L36" s="2"/>
      <c r="M36" s="2"/>
      <c r="N36" s="2"/>
      <c r="O36" s="8">
        <f t="shared" si="0"/>
        <v>0</v>
      </c>
      <c r="P36" s="2"/>
      <c r="Q36" s="2"/>
      <c r="R36" s="18"/>
      <c r="S36" s="2"/>
      <c r="T36" s="2"/>
      <c r="U36" s="18"/>
      <c r="V36" s="18"/>
      <c r="W36" s="18"/>
      <c r="X36" s="2"/>
      <c r="Y36" s="18"/>
      <c r="Z36" s="2"/>
      <c r="AA36" s="7">
        <f t="shared" si="1"/>
        <v>0</v>
      </c>
      <c r="AB36" s="8" t="s">
        <v>149</v>
      </c>
      <c r="AC36" s="8">
        <v>200</v>
      </c>
      <c r="AD36" s="8" t="s">
        <v>152</v>
      </c>
      <c r="AE36" s="8">
        <f t="shared" ref="AE36:AE45" si="3">+SUM(I36:N36)/AC36</f>
        <v>0</v>
      </c>
      <c r="AF36"/>
    </row>
    <row r="37" spans="1:32" x14ac:dyDescent="0.25">
      <c r="A37" s="2">
        <v>32</v>
      </c>
      <c r="B37" s="2" t="s">
        <v>24</v>
      </c>
      <c r="C37" s="2" t="s">
        <v>129</v>
      </c>
      <c r="D37" s="2" t="s">
        <v>56</v>
      </c>
      <c r="E37" s="13">
        <v>0.625</v>
      </c>
      <c r="F37" s="2">
        <v>3.5000000000000003E-2</v>
      </c>
      <c r="G37" s="3"/>
      <c r="H37" s="3"/>
      <c r="I37" s="2">
        <v>0</v>
      </c>
      <c r="J37" s="2">
        <v>-34</v>
      </c>
      <c r="K37" s="2"/>
      <c r="L37" s="2"/>
      <c r="M37" s="2"/>
      <c r="N37" s="2"/>
      <c r="O37" s="8">
        <f t="shared" si="0"/>
        <v>-34</v>
      </c>
      <c r="P37" s="2"/>
      <c r="Q37" s="2"/>
      <c r="R37" s="18"/>
      <c r="S37" s="2"/>
      <c r="T37" s="18"/>
      <c r="U37" s="18"/>
      <c r="V37" s="18"/>
      <c r="W37" s="18"/>
      <c r="X37" s="2"/>
      <c r="Y37" s="18"/>
      <c r="Z37" s="2"/>
      <c r="AA37" s="7">
        <f t="shared" si="1"/>
        <v>0</v>
      </c>
      <c r="AB37" s="8" t="s">
        <v>149</v>
      </c>
      <c r="AC37" s="8">
        <v>100</v>
      </c>
      <c r="AD37" s="8" t="s">
        <v>152</v>
      </c>
      <c r="AE37" s="8">
        <f t="shared" si="3"/>
        <v>-0.34</v>
      </c>
      <c r="AF37"/>
    </row>
    <row r="38" spans="1:32" x14ac:dyDescent="0.25">
      <c r="A38" s="2">
        <v>33</v>
      </c>
      <c r="B38" s="2" t="s">
        <v>24</v>
      </c>
      <c r="C38" s="2" t="s">
        <v>129</v>
      </c>
      <c r="D38" s="2" t="s">
        <v>57</v>
      </c>
      <c r="E38" s="13">
        <v>0.625</v>
      </c>
      <c r="F38" s="2">
        <v>3.5000000000000003E-2</v>
      </c>
      <c r="G38" s="3"/>
      <c r="H38" s="3"/>
      <c r="I38" s="2">
        <v>700</v>
      </c>
      <c r="J38" s="2">
        <v>-961</v>
      </c>
      <c r="K38" s="2"/>
      <c r="L38" s="2"/>
      <c r="M38" s="2"/>
      <c r="N38" s="2"/>
      <c r="O38" s="8">
        <f t="shared" ref="O38:O69" si="4">+I38+J38+K38+L38+M38+N38-SUM(P38:Z38)</f>
        <v>-261</v>
      </c>
      <c r="P38" s="2"/>
      <c r="Q38" s="2"/>
      <c r="R38" s="18"/>
      <c r="S38" s="2"/>
      <c r="T38" s="18"/>
      <c r="U38" s="18"/>
      <c r="V38" s="18"/>
      <c r="W38" s="18"/>
      <c r="X38" s="2"/>
      <c r="Y38" s="18"/>
      <c r="Z38" s="2"/>
      <c r="AA38" s="7">
        <f t="shared" ref="AA38:AA69" si="5">+G38*SUM(I38:N38)</f>
        <v>0</v>
      </c>
      <c r="AB38" s="8" t="s">
        <v>149</v>
      </c>
      <c r="AC38" s="8">
        <v>100</v>
      </c>
      <c r="AD38" s="8" t="s">
        <v>152</v>
      </c>
      <c r="AE38" s="8">
        <f t="shared" si="3"/>
        <v>-2.61</v>
      </c>
      <c r="AF38"/>
    </row>
    <row r="39" spans="1:32" x14ac:dyDescent="0.25">
      <c r="A39" s="2">
        <v>34</v>
      </c>
      <c r="B39" s="2" t="s">
        <v>24</v>
      </c>
      <c r="C39" s="2" t="s">
        <v>129</v>
      </c>
      <c r="D39" s="2" t="s">
        <v>58</v>
      </c>
      <c r="E39" s="13">
        <v>0.75</v>
      </c>
      <c r="F39" s="2">
        <v>3.5000000000000003E-2</v>
      </c>
      <c r="G39" s="3"/>
      <c r="H39" s="3"/>
      <c r="I39" s="2">
        <v>200</v>
      </c>
      <c r="J39" s="2">
        <v>-12</v>
      </c>
      <c r="K39" s="2"/>
      <c r="L39" s="2"/>
      <c r="M39" s="2"/>
      <c r="N39" s="2"/>
      <c r="O39" s="8">
        <f t="shared" si="4"/>
        <v>188</v>
      </c>
      <c r="P39" s="2"/>
      <c r="Q39" s="2"/>
      <c r="R39" s="18"/>
      <c r="S39" s="2"/>
      <c r="T39" s="18"/>
      <c r="U39" s="18"/>
      <c r="V39" s="18"/>
      <c r="W39" s="18"/>
      <c r="X39" s="2"/>
      <c r="Y39" s="18"/>
      <c r="Z39" s="2"/>
      <c r="AA39" s="7">
        <f t="shared" si="5"/>
        <v>0</v>
      </c>
      <c r="AB39" s="8" t="s">
        <v>150</v>
      </c>
      <c r="AC39" s="8">
        <v>2000</v>
      </c>
      <c r="AD39" s="8" t="s">
        <v>152</v>
      </c>
      <c r="AE39" s="8">
        <f t="shared" si="3"/>
        <v>9.4E-2</v>
      </c>
      <c r="AF39"/>
    </row>
    <row r="40" spans="1:32" x14ac:dyDescent="0.25">
      <c r="A40" s="2">
        <v>35</v>
      </c>
      <c r="B40" s="2" t="s">
        <v>24</v>
      </c>
      <c r="C40" s="2" t="s">
        <v>129</v>
      </c>
      <c r="D40" s="2" t="s">
        <v>59</v>
      </c>
      <c r="E40" s="13">
        <v>0.75</v>
      </c>
      <c r="F40" s="2">
        <v>3.5000000000000003E-2</v>
      </c>
      <c r="G40" s="3"/>
      <c r="H40" s="3"/>
      <c r="I40" s="2">
        <v>700</v>
      </c>
      <c r="J40" s="2">
        <v>350</v>
      </c>
      <c r="K40" s="2"/>
      <c r="L40" s="2"/>
      <c r="M40" s="2"/>
      <c r="N40" s="2"/>
      <c r="O40" s="8">
        <f t="shared" si="4"/>
        <v>-54</v>
      </c>
      <c r="P40" s="2"/>
      <c r="Q40" s="2"/>
      <c r="R40" s="18"/>
      <c r="S40" s="2"/>
      <c r="T40" s="18"/>
      <c r="U40" s="18"/>
      <c r="V40" s="18"/>
      <c r="W40" s="18">
        <v>1104</v>
      </c>
      <c r="X40" s="2"/>
      <c r="Y40" s="18"/>
      <c r="Z40" s="2"/>
      <c r="AA40" s="7">
        <f t="shared" si="5"/>
        <v>0</v>
      </c>
      <c r="AB40" s="8" t="s">
        <v>150</v>
      </c>
      <c r="AC40" s="8">
        <v>500</v>
      </c>
      <c r="AD40" s="8" t="s">
        <v>152</v>
      </c>
      <c r="AE40" s="8">
        <f t="shared" si="3"/>
        <v>2.1</v>
      </c>
      <c r="AF40"/>
    </row>
    <row r="41" spans="1:32" x14ac:dyDescent="0.25">
      <c r="A41" s="2">
        <v>36</v>
      </c>
      <c r="B41" s="2" t="s">
        <v>24</v>
      </c>
      <c r="C41" s="2" t="s">
        <v>129</v>
      </c>
      <c r="D41" s="2" t="s">
        <v>60</v>
      </c>
      <c r="E41" s="13">
        <v>0.75</v>
      </c>
      <c r="F41" s="2">
        <v>3.5000000000000003E-2</v>
      </c>
      <c r="G41" s="3"/>
      <c r="H41" s="3"/>
      <c r="I41" s="2">
        <v>1500</v>
      </c>
      <c r="J41" s="2">
        <v>100</v>
      </c>
      <c r="K41" s="2"/>
      <c r="L41" s="2"/>
      <c r="M41" s="2"/>
      <c r="N41" s="2"/>
      <c r="O41" s="8">
        <f t="shared" si="4"/>
        <v>1060</v>
      </c>
      <c r="P41" s="2"/>
      <c r="Q41" s="2"/>
      <c r="R41" s="18"/>
      <c r="S41" s="2"/>
      <c r="T41" s="18"/>
      <c r="U41" s="18"/>
      <c r="V41" s="18"/>
      <c r="W41" s="18"/>
      <c r="X41" s="2"/>
      <c r="Y41" s="18">
        <v>540</v>
      </c>
      <c r="Z41" s="2"/>
      <c r="AA41" s="7">
        <f t="shared" si="5"/>
        <v>0</v>
      </c>
      <c r="AB41" s="8" t="s">
        <v>150</v>
      </c>
      <c r="AC41" s="8">
        <v>250</v>
      </c>
      <c r="AD41" s="8" t="s">
        <v>152</v>
      </c>
      <c r="AE41" s="8">
        <f t="shared" si="3"/>
        <v>6.4</v>
      </c>
      <c r="AF41"/>
    </row>
    <row r="42" spans="1:32" x14ac:dyDescent="0.25">
      <c r="A42" s="2">
        <v>37</v>
      </c>
      <c r="B42" s="2" t="s">
        <v>24</v>
      </c>
      <c r="C42" s="2" t="s">
        <v>129</v>
      </c>
      <c r="D42" s="2" t="s">
        <v>61</v>
      </c>
      <c r="E42" s="13">
        <v>0.75</v>
      </c>
      <c r="F42" s="2">
        <v>3.5000000000000003E-2</v>
      </c>
      <c r="G42" s="3"/>
      <c r="H42" s="3"/>
      <c r="I42" s="2">
        <v>1100</v>
      </c>
      <c r="J42" s="2">
        <v>1647</v>
      </c>
      <c r="K42" s="2"/>
      <c r="L42" s="2"/>
      <c r="M42" s="2"/>
      <c r="N42" s="2"/>
      <c r="O42" s="8">
        <f t="shared" si="4"/>
        <v>-136</v>
      </c>
      <c r="P42" s="2"/>
      <c r="R42" s="18"/>
      <c r="S42" s="2"/>
      <c r="T42" s="18"/>
      <c r="U42" s="18"/>
      <c r="V42" s="18"/>
      <c r="W42" s="18"/>
      <c r="X42" s="2">
        <v>1923</v>
      </c>
      <c r="Y42" s="18">
        <v>960</v>
      </c>
      <c r="Z42" s="2"/>
      <c r="AA42" s="7">
        <f t="shared" si="5"/>
        <v>0</v>
      </c>
      <c r="AB42" s="8" t="s">
        <v>150</v>
      </c>
      <c r="AC42" s="8">
        <v>300</v>
      </c>
      <c r="AD42" s="8" t="s">
        <v>152</v>
      </c>
      <c r="AE42" s="8">
        <f t="shared" si="3"/>
        <v>9.1566666666666663</v>
      </c>
      <c r="AF42"/>
    </row>
    <row r="43" spans="1:32" x14ac:dyDescent="0.25">
      <c r="A43" s="2">
        <v>38</v>
      </c>
      <c r="B43" s="2" t="s">
        <v>24</v>
      </c>
      <c r="C43" s="2" t="s">
        <v>129</v>
      </c>
      <c r="D43" s="2" t="s">
        <v>62</v>
      </c>
      <c r="E43" s="13">
        <v>0.75</v>
      </c>
      <c r="F43" s="2">
        <v>3.5000000000000003E-2</v>
      </c>
      <c r="G43" s="3"/>
      <c r="H43" s="3"/>
      <c r="I43" s="2">
        <v>700</v>
      </c>
      <c r="J43" s="2">
        <v>1747</v>
      </c>
      <c r="K43" s="2"/>
      <c r="L43" s="2"/>
      <c r="M43" s="2"/>
      <c r="N43" s="2"/>
      <c r="O43" s="8">
        <f t="shared" si="4"/>
        <v>-333</v>
      </c>
      <c r="P43" s="2"/>
      <c r="Q43" s="2">
        <v>600</v>
      </c>
      <c r="R43" s="18">
        <v>1700</v>
      </c>
      <c r="S43" s="2">
        <v>480</v>
      </c>
      <c r="T43" s="18"/>
      <c r="U43" s="18"/>
      <c r="V43" s="18"/>
      <c r="W43" s="18"/>
      <c r="X43" s="2"/>
      <c r="Y43" s="18"/>
      <c r="Z43" s="2"/>
      <c r="AA43" s="7">
        <f t="shared" si="5"/>
        <v>0</v>
      </c>
      <c r="AB43" s="8" t="s">
        <v>150</v>
      </c>
      <c r="AC43" s="8">
        <v>300</v>
      </c>
      <c r="AD43" s="8" t="s">
        <v>152</v>
      </c>
      <c r="AE43" s="8">
        <f t="shared" si="3"/>
        <v>8.1566666666666663</v>
      </c>
      <c r="AF43"/>
    </row>
    <row r="44" spans="1:32" x14ac:dyDescent="0.25">
      <c r="A44" s="2">
        <v>39</v>
      </c>
      <c r="B44" s="2" t="s">
        <v>24</v>
      </c>
      <c r="C44" s="2" t="s">
        <v>129</v>
      </c>
      <c r="D44" s="2" t="s">
        <v>63</v>
      </c>
      <c r="E44" s="13">
        <v>0.75</v>
      </c>
      <c r="F44" s="2">
        <v>3.5000000000000003E-2</v>
      </c>
      <c r="G44" s="3"/>
      <c r="H44" s="3"/>
      <c r="I44" s="2">
        <v>600</v>
      </c>
      <c r="J44" s="2">
        <v>1100</v>
      </c>
      <c r="K44" s="2"/>
      <c r="L44" s="2"/>
      <c r="M44" s="2"/>
      <c r="N44" s="2"/>
      <c r="O44" s="8">
        <f t="shared" si="4"/>
        <v>0</v>
      </c>
      <c r="P44" s="2"/>
      <c r="Q44" s="2">
        <v>1015</v>
      </c>
      <c r="R44" s="18">
        <v>628</v>
      </c>
      <c r="S44" s="2"/>
      <c r="T44" s="18"/>
      <c r="U44" s="18"/>
      <c r="V44" s="18"/>
      <c r="W44" s="18"/>
      <c r="X44" s="2"/>
      <c r="Y44" s="18"/>
      <c r="Z44" s="2">
        <v>57</v>
      </c>
      <c r="AA44" s="7">
        <f t="shared" si="5"/>
        <v>0</v>
      </c>
      <c r="AB44" s="8" t="s">
        <v>150</v>
      </c>
      <c r="AC44" s="8">
        <v>2000</v>
      </c>
      <c r="AD44" s="8" t="s">
        <v>152</v>
      </c>
      <c r="AE44" s="8">
        <f t="shared" si="3"/>
        <v>0.85</v>
      </c>
      <c r="AF44"/>
    </row>
    <row r="45" spans="1:32" x14ac:dyDescent="0.25">
      <c r="A45" s="2">
        <v>40</v>
      </c>
      <c r="B45" s="2" t="s">
        <v>24</v>
      </c>
      <c r="C45" s="2" t="s">
        <v>129</v>
      </c>
      <c r="D45" s="2" t="s">
        <v>64</v>
      </c>
      <c r="E45" s="13">
        <v>0.75</v>
      </c>
      <c r="F45" s="2">
        <v>3.5000000000000003E-2</v>
      </c>
      <c r="G45" s="3"/>
      <c r="H45" s="3"/>
      <c r="I45" s="2">
        <v>0</v>
      </c>
      <c r="J45" s="2">
        <v>191</v>
      </c>
      <c r="K45" s="2"/>
      <c r="L45" s="2"/>
      <c r="M45" s="2"/>
      <c r="N45" s="2"/>
      <c r="O45" s="8">
        <f t="shared" si="4"/>
        <v>191</v>
      </c>
      <c r="P45" s="2"/>
      <c r="Q45" s="2"/>
      <c r="R45" s="18"/>
      <c r="S45" s="2"/>
      <c r="T45" s="18"/>
      <c r="U45" s="18"/>
      <c r="V45" s="18"/>
      <c r="W45" s="18"/>
      <c r="X45" s="2"/>
      <c r="Y45" s="18"/>
      <c r="Z45" s="2"/>
      <c r="AA45" s="7">
        <f t="shared" si="5"/>
        <v>0</v>
      </c>
      <c r="AB45" s="8" t="s">
        <v>150</v>
      </c>
      <c r="AC45" s="8">
        <v>1000</v>
      </c>
      <c r="AD45" s="8" t="s">
        <v>152</v>
      </c>
      <c r="AE45" s="8">
        <f t="shared" si="3"/>
        <v>0.191</v>
      </c>
      <c r="AF45"/>
    </row>
    <row r="46" spans="1:32" x14ac:dyDescent="0.25">
      <c r="A46" s="2">
        <v>41</v>
      </c>
      <c r="B46" s="2" t="s">
        <v>24</v>
      </c>
      <c r="C46" s="2" t="s">
        <v>129</v>
      </c>
      <c r="D46" s="2" t="s">
        <v>65</v>
      </c>
      <c r="E46" s="13">
        <v>0.75</v>
      </c>
      <c r="F46" s="2">
        <v>3.5000000000000003E-2</v>
      </c>
      <c r="G46" s="3"/>
      <c r="H46" s="3"/>
      <c r="I46" s="2">
        <v>0</v>
      </c>
      <c r="J46" s="2">
        <v>0</v>
      </c>
      <c r="K46" s="2"/>
      <c r="L46" s="2"/>
      <c r="M46" s="2"/>
      <c r="N46" s="2"/>
      <c r="O46" s="8">
        <f t="shared" si="4"/>
        <v>0</v>
      </c>
      <c r="P46" s="2"/>
      <c r="Q46" s="2"/>
      <c r="R46" s="18"/>
      <c r="S46" s="2"/>
      <c r="T46" s="18"/>
      <c r="U46" s="18"/>
      <c r="V46" s="18"/>
      <c r="W46" s="18"/>
      <c r="X46" s="2"/>
      <c r="Y46" s="18"/>
      <c r="Z46" s="2"/>
      <c r="AA46" s="7">
        <f t="shared" si="5"/>
        <v>0</v>
      </c>
      <c r="AB46" s="8">
        <v>0</v>
      </c>
      <c r="AC46" s="8">
        <v>0</v>
      </c>
      <c r="AD46" s="8" t="s">
        <v>152</v>
      </c>
      <c r="AE46" s="8">
        <v>0</v>
      </c>
      <c r="AF46"/>
    </row>
    <row r="47" spans="1:32" x14ac:dyDescent="0.25">
      <c r="A47" s="2">
        <v>42</v>
      </c>
      <c r="B47" s="2" t="s">
        <v>24</v>
      </c>
      <c r="C47" s="2" t="s">
        <v>129</v>
      </c>
      <c r="D47" s="2" t="s">
        <v>66</v>
      </c>
      <c r="E47" s="13">
        <v>0.75</v>
      </c>
      <c r="F47" s="2">
        <v>3.5000000000000003E-2</v>
      </c>
      <c r="G47" s="3"/>
      <c r="H47" s="3"/>
      <c r="I47" s="2">
        <v>0</v>
      </c>
      <c r="J47" s="2">
        <v>0</v>
      </c>
      <c r="K47" s="2"/>
      <c r="L47" s="2"/>
      <c r="M47" s="2"/>
      <c r="N47" s="2"/>
      <c r="O47" s="8">
        <f t="shared" si="4"/>
        <v>0</v>
      </c>
      <c r="P47" s="2"/>
      <c r="Q47" s="2"/>
      <c r="R47" s="18"/>
      <c r="S47" s="2"/>
      <c r="T47" s="18"/>
      <c r="U47" s="18"/>
      <c r="V47" s="18"/>
      <c r="W47" s="18"/>
      <c r="X47" s="2"/>
      <c r="Y47" s="18"/>
      <c r="Z47" s="2"/>
      <c r="AA47" s="7">
        <f t="shared" si="5"/>
        <v>0</v>
      </c>
      <c r="AB47" s="8">
        <v>0</v>
      </c>
      <c r="AC47" s="8">
        <v>0</v>
      </c>
      <c r="AD47" s="8" t="s">
        <v>152</v>
      </c>
      <c r="AE47" s="8">
        <v>0</v>
      </c>
      <c r="AF47"/>
    </row>
    <row r="48" spans="1:32" x14ac:dyDescent="0.25">
      <c r="A48" s="2">
        <v>43</v>
      </c>
      <c r="B48" s="2" t="s">
        <v>24</v>
      </c>
      <c r="C48" s="2" t="s">
        <v>129</v>
      </c>
      <c r="D48" s="2" t="s">
        <v>67</v>
      </c>
      <c r="E48" s="13">
        <v>0.75</v>
      </c>
      <c r="F48" s="2">
        <v>3.5000000000000003E-2</v>
      </c>
      <c r="G48" s="3"/>
      <c r="H48" s="3"/>
      <c r="I48" s="2">
        <v>0</v>
      </c>
      <c r="J48" s="2">
        <v>0</v>
      </c>
      <c r="K48" s="2"/>
      <c r="L48" s="2"/>
      <c r="M48" s="2"/>
      <c r="N48" s="2"/>
      <c r="O48" s="8">
        <f t="shared" si="4"/>
        <v>0</v>
      </c>
      <c r="P48" s="2"/>
      <c r="Q48" s="2"/>
      <c r="R48" s="18"/>
      <c r="S48" s="2"/>
      <c r="T48" s="18"/>
      <c r="U48" s="18"/>
      <c r="V48" s="18"/>
      <c r="W48" s="18"/>
      <c r="X48" s="2"/>
      <c r="Y48" s="18"/>
      <c r="Z48" s="2"/>
      <c r="AA48" s="7">
        <f t="shared" si="5"/>
        <v>0</v>
      </c>
      <c r="AB48" s="8">
        <v>0</v>
      </c>
      <c r="AC48" s="8">
        <v>0</v>
      </c>
      <c r="AD48" s="8" t="s">
        <v>152</v>
      </c>
      <c r="AE48" s="8">
        <v>0</v>
      </c>
      <c r="AF48"/>
    </row>
    <row r="49" spans="1:32" x14ac:dyDescent="0.25">
      <c r="A49" s="2">
        <v>44</v>
      </c>
      <c r="B49" s="2" t="s">
        <v>24</v>
      </c>
      <c r="C49" s="2" t="s">
        <v>129</v>
      </c>
      <c r="D49" s="2" t="s">
        <v>68</v>
      </c>
      <c r="E49" s="13">
        <v>0.75</v>
      </c>
      <c r="F49" s="2">
        <v>3.5000000000000003E-2</v>
      </c>
      <c r="G49" s="3"/>
      <c r="H49" s="3"/>
      <c r="I49" s="2">
        <v>0</v>
      </c>
      <c r="J49" s="2">
        <v>0</v>
      </c>
      <c r="K49" s="2"/>
      <c r="L49" s="2"/>
      <c r="M49" s="2"/>
      <c r="N49" s="2"/>
      <c r="O49" s="8">
        <f t="shared" si="4"/>
        <v>0</v>
      </c>
      <c r="P49" s="2"/>
      <c r="Q49" s="2"/>
      <c r="R49" s="18"/>
      <c r="S49" s="2"/>
      <c r="T49" s="18"/>
      <c r="U49" s="18"/>
      <c r="V49" s="18"/>
      <c r="W49" s="18"/>
      <c r="X49" s="2"/>
      <c r="Y49" s="18"/>
      <c r="Z49" s="2"/>
      <c r="AA49" s="7">
        <f t="shared" si="5"/>
        <v>0</v>
      </c>
      <c r="AB49" s="8">
        <v>0</v>
      </c>
      <c r="AC49" s="8">
        <v>0</v>
      </c>
      <c r="AD49" s="8" t="s">
        <v>152</v>
      </c>
      <c r="AE49" s="8">
        <v>0</v>
      </c>
      <c r="AF49"/>
    </row>
    <row r="50" spans="1:32" x14ac:dyDescent="0.25">
      <c r="A50" s="2">
        <v>45</v>
      </c>
      <c r="B50" s="2" t="s">
        <v>24</v>
      </c>
      <c r="C50" s="2" t="s">
        <v>129</v>
      </c>
      <c r="D50" s="2" t="s">
        <v>69</v>
      </c>
      <c r="E50" s="13">
        <v>0.75</v>
      </c>
      <c r="F50" s="2">
        <v>3.5000000000000003E-2</v>
      </c>
      <c r="G50" s="3"/>
      <c r="H50" s="3"/>
      <c r="I50" s="2">
        <v>0</v>
      </c>
      <c r="J50" s="2">
        <v>0</v>
      </c>
      <c r="K50" s="2"/>
      <c r="L50" s="2"/>
      <c r="M50" s="2"/>
      <c r="N50" s="2"/>
      <c r="O50" s="8">
        <f t="shared" si="4"/>
        <v>0</v>
      </c>
      <c r="P50" s="2"/>
      <c r="Q50" s="2"/>
      <c r="R50" s="18"/>
      <c r="S50" s="2"/>
      <c r="T50" s="18"/>
      <c r="U50" s="18"/>
      <c r="V50" s="18"/>
      <c r="W50" s="18"/>
      <c r="X50" s="2"/>
      <c r="Y50" s="18"/>
      <c r="Z50" s="2"/>
      <c r="AA50" s="7">
        <f t="shared" si="5"/>
        <v>0</v>
      </c>
      <c r="AB50" s="8">
        <v>0</v>
      </c>
      <c r="AC50" s="8">
        <v>0</v>
      </c>
      <c r="AD50" s="8" t="s">
        <v>152</v>
      </c>
      <c r="AE50" s="8">
        <v>0</v>
      </c>
      <c r="AF50"/>
    </row>
    <row r="51" spans="1:32" x14ac:dyDescent="0.25">
      <c r="A51" s="2">
        <v>46</v>
      </c>
      <c r="B51" s="2" t="s">
        <v>24</v>
      </c>
      <c r="C51" s="2" t="s">
        <v>129</v>
      </c>
      <c r="D51" s="2" t="s">
        <v>70</v>
      </c>
      <c r="E51" s="13">
        <v>0.75</v>
      </c>
      <c r="F51" s="2">
        <v>3.5000000000000003E-2</v>
      </c>
      <c r="G51" s="3"/>
      <c r="H51" s="3"/>
      <c r="I51" s="2">
        <v>0</v>
      </c>
      <c r="J51" s="2">
        <v>0</v>
      </c>
      <c r="K51" s="2"/>
      <c r="L51" s="2"/>
      <c r="M51" s="2"/>
      <c r="N51" s="2"/>
      <c r="O51" s="8">
        <f t="shared" si="4"/>
        <v>0</v>
      </c>
      <c r="P51" s="2"/>
      <c r="Q51" s="2"/>
      <c r="R51" s="18"/>
      <c r="S51" s="2"/>
      <c r="T51" s="18"/>
      <c r="U51" s="18"/>
      <c r="V51" s="18"/>
      <c r="W51" s="18"/>
      <c r="X51" s="2"/>
      <c r="Y51" s="18"/>
      <c r="Z51" s="2"/>
      <c r="AA51" s="7">
        <f t="shared" si="5"/>
        <v>0</v>
      </c>
      <c r="AB51" s="8">
        <v>0</v>
      </c>
      <c r="AC51" s="8">
        <v>0</v>
      </c>
      <c r="AD51" s="8" t="s">
        <v>152</v>
      </c>
      <c r="AE51" s="8">
        <v>0</v>
      </c>
      <c r="AF51"/>
    </row>
    <row r="52" spans="1:32" x14ac:dyDescent="0.25">
      <c r="A52" s="2">
        <v>47</v>
      </c>
      <c r="B52" s="2" t="s">
        <v>24</v>
      </c>
      <c r="C52" s="2" t="s">
        <v>129</v>
      </c>
      <c r="D52" s="2" t="s">
        <v>71</v>
      </c>
      <c r="E52" s="13">
        <v>0.75</v>
      </c>
      <c r="F52" s="2">
        <v>3.5000000000000003E-2</v>
      </c>
      <c r="G52" s="3"/>
      <c r="H52" s="3"/>
      <c r="I52" s="2">
        <v>0</v>
      </c>
      <c r="J52" s="2">
        <v>0</v>
      </c>
      <c r="K52" s="2"/>
      <c r="L52" s="2"/>
      <c r="M52" s="2"/>
      <c r="N52" s="2"/>
      <c r="O52" s="8">
        <f t="shared" si="4"/>
        <v>0</v>
      </c>
      <c r="P52" s="2"/>
      <c r="Q52" s="2"/>
      <c r="R52" s="18"/>
      <c r="S52" s="2"/>
      <c r="T52" s="18"/>
      <c r="U52" s="18"/>
      <c r="V52" s="18"/>
      <c r="W52" s="18"/>
      <c r="X52" s="2"/>
      <c r="Y52" s="18"/>
      <c r="Z52" s="2"/>
      <c r="AA52" s="7">
        <f t="shared" si="5"/>
        <v>0</v>
      </c>
      <c r="AB52" s="8">
        <v>0</v>
      </c>
      <c r="AC52" s="8">
        <v>0</v>
      </c>
      <c r="AD52" s="8" t="s">
        <v>152</v>
      </c>
      <c r="AE52" s="8">
        <v>0</v>
      </c>
      <c r="AF52"/>
    </row>
    <row r="53" spans="1:32" x14ac:dyDescent="0.25">
      <c r="A53" s="2">
        <v>48</v>
      </c>
      <c r="B53" s="2" t="s">
        <v>24</v>
      </c>
      <c r="C53" s="2" t="s">
        <v>129</v>
      </c>
      <c r="D53" s="2" t="s">
        <v>72</v>
      </c>
      <c r="E53" s="13">
        <v>0.75</v>
      </c>
      <c r="F53" s="2">
        <v>3.5000000000000003E-2</v>
      </c>
      <c r="G53" s="3"/>
      <c r="H53" s="3"/>
      <c r="I53" s="2">
        <v>0</v>
      </c>
      <c r="J53" s="2">
        <v>0</v>
      </c>
      <c r="K53" s="2"/>
      <c r="L53" s="2"/>
      <c r="M53" s="2"/>
      <c r="N53" s="2"/>
      <c r="O53" s="8">
        <f t="shared" si="4"/>
        <v>0</v>
      </c>
      <c r="P53" s="2"/>
      <c r="Q53" s="2"/>
      <c r="R53" s="18"/>
      <c r="S53" s="2"/>
      <c r="T53" s="18"/>
      <c r="U53" s="18"/>
      <c r="V53" s="18"/>
      <c r="W53" s="18"/>
      <c r="X53" s="2"/>
      <c r="Y53" s="18"/>
      <c r="Z53" s="2"/>
      <c r="AA53" s="7">
        <f t="shared" si="5"/>
        <v>0</v>
      </c>
      <c r="AB53" s="8">
        <v>0</v>
      </c>
      <c r="AC53" s="8">
        <v>0</v>
      </c>
      <c r="AD53" s="8" t="s">
        <v>152</v>
      </c>
      <c r="AE53" s="8">
        <v>0</v>
      </c>
      <c r="AF53"/>
    </row>
    <row r="54" spans="1:32" x14ac:dyDescent="0.25">
      <c r="A54" s="2">
        <v>49</v>
      </c>
      <c r="B54" s="2" t="s">
        <v>24</v>
      </c>
      <c r="C54" s="2" t="s">
        <v>129</v>
      </c>
      <c r="D54" s="2" t="s">
        <v>73</v>
      </c>
      <c r="E54" s="13">
        <v>0.75</v>
      </c>
      <c r="F54" s="2">
        <v>3.5000000000000003E-2</v>
      </c>
      <c r="G54" s="3"/>
      <c r="H54" s="3"/>
      <c r="I54" s="2">
        <v>0</v>
      </c>
      <c r="J54" s="2">
        <v>0</v>
      </c>
      <c r="K54" s="2"/>
      <c r="L54" s="2"/>
      <c r="M54" s="2"/>
      <c r="N54" s="2"/>
      <c r="O54" s="8">
        <f t="shared" si="4"/>
        <v>0</v>
      </c>
      <c r="P54" s="2"/>
      <c r="Q54" s="2"/>
      <c r="R54" s="18"/>
      <c r="S54" s="2"/>
      <c r="T54" s="18"/>
      <c r="U54" s="18"/>
      <c r="V54" s="18"/>
      <c r="W54" s="18"/>
      <c r="X54" s="2"/>
      <c r="Y54" s="18"/>
      <c r="Z54" s="2"/>
      <c r="AA54" s="7">
        <f t="shared" si="5"/>
        <v>0</v>
      </c>
      <c r="AB54" s="8">
        <v>0</v>
      </c>
      <c r="AC54" s="8">
        <v>0</v>
      </c>
      <c r="AD54" s="8" t="s">
        <v>152</v>
      </c>
      <c r="AE54" s="8">
        <v>0</v>
      </c>
      <c r="AF54"/>
    </row>
    <row r="55" spans="1:32" x14ac:dyDescent="0.25">
      <c r="A55" s="2">
        <v>50</v>
      </c>
      <c r="B55" s="2" t="s">
        <v>24</v>
      </c>
      <c r="C55" s="2" t="s">
        <v>129</v>
      </c>
      <c r="D55" s="2" t="s">
        <v>74</v>
      </c>
      <c r="E55" s="13">
        <v>0.75</v>
      </c>
      <c r="F55" s="2">
        <v>3.5000000000000003E-2</v>
      </c>
      <c r="G55" s="3"/>
      <c r="H55" s="3"/>
      <c r="I55" s="2">
        <v>0</v>
      </c>
      <c r="J55" s="2">
        <v>0</v>
      </c>
      <c r="K55" s="2"/>
      <c r="L55" s="2"/>
      <c r="M55" s="2"/>
      <c r="N55" s="2"/>
      <c r="O55" s="8">
        <f t="shared" si="4"/>
        <v>0</v>
      </c>
      <c r="P55" s="2"/>
      <c r="Q55" s="2"/>
      <c r="R55" s="18"/>
      <c r="S55" s="2"/>
      <c r="T55" s="18"/>
      <c r="U55" s="18"/>
      <c r="V55" s="18"/>
      <c r="W55" s="18"/>
      <c r="X55" s="2"/>
      <c r="Y55" s="18"/>
      <c r="Z55" s="2"/>
      <c r="AA55" s="7">
        <f t="shared" si="5"/>
        <v>0</v>
      </c>
      <c r="AB55" s="8">
        <v>0</v>
      </c>
      <c r="AC55" s="8">
        <v>0</v>
      </c>
      <c r="AD55" s="8" t="s">
        <v>152</v>
      </c>
      <c r="AE55" s="8">
        <v>0</v>
      </c>
      <c r="AF55"/>
    </row>
    <row r="56" spans="1:32" x14ac:dyDescent="0.25">
      <c r="A56" s="2">
        <v>51</v>
      </c>
      <c r="B56" s="2" t="s">
        <v>24</v>
      </c>
      <c r="C56" s="2" t="s">
        <v>129</v>
      </c>
      <c r="D56" s="2" t="s">
        <v>75</v>
      </c>
      <c r="E56" s="13">
        <v>0.75</v>
      </c>
      <c r="F56" s="2">
        <v>3.5000000000000003E-2</v>
      </c>
      <c r="G56" s="3"/>
      <c r="H56" s="3"/>
      <c r="I56" s="2">
        <v>0</v>
      </c>
      <c r="J56" s="2">
        <v>0</v>
      </c>
      <c r="K56" s="2"/>
      <c r="L56" s="2"/>
      <c r="M56" s="2"/>
      <c r="N56" s="2"/>
      <c r="O56" s="8">
        <f t="shared" si="4"/>
        <v>0</v>
      </c>
      <c r="P56" s="2"/>
      <c r="Q56" s="2"/>
      <c r="R56" s="18"/>
      <c r="S56" s="2"/>
      <c r="T56" s="18"/>
      <c r="U56" s="18"/>
      <c r="V56" s="18"/>
      <c r="W56" s="18"/>
      <c r="X56" s="2"/>
      <c r="Y56" s="18"/>
      <c r="Z56" s="2"/>
      <c r="AA56" s="7">
        <f t="shared" si="5"/>
        <v>0</v>
      </c>
      <c r="AB56" s="8">
        <v>0</v>
      </c>
      <c r="AC56" s="8">
        <v>0</v>
      </c>
      <c r="AD56" s="8" t="s">
        <v>152</v>
      </c>
      <c r="AE56" s="8">
        <v>0</v>
      </c>
      <c r="AF56"/>
    </row>
    <row r="57" spans="1:32" x14ac:dyDescent="0.25">
      <c r="A57" s="2">
        <v>52</v>
      </c>
      <c r="B57" s="2" t="s">
        <v>24</v>
      </c>
      <c r="C57" s="2" t="s">
        <v>129</v>
      </c>
      <c r="D57" s="2" t="s">
        <v>76</v>
      </c>
      <c r="E57" s="13">
        <v>0.875</v>
      </c>
      <c r="F57" s="2">
        <v>4.4999999999999998E-2</v>
      </c>
      <c r="G57" s="3"/>
      <c r="H57" s="3"/>
      <c r="I57" s="2">
        <v>100</v>
      </c>
      <c r="J57" s="2">
        <v>-1055</v>
      </c>
      <c r="K57" s="2"/>
      <c r="L57" s="2"/>
      <c r="M57" s="2"/>
      <c r="N57" s="2"/>
      <c r="O57" s="8">
        <f t="shared" si="4"/>
        <v>-955</v>
      </c>
      <c r="P57" s="2"/>
      <c r="Q57" s="2"/>
      <c r="R57" s="18"/>
      <c r="S57" s="2"/>
      <c r="T57" s="18"/>
      <c r="U57" s="18"/>
      <c r="V57" s="18"/>
      <c r="W57" s="18"/>
      <c r="X57" s="2"/>
      <c r="Y57" s="18"/>
      <c r="Z57" s="2"/>
      <c r="AA57" s="7">
        <f t="shared" si="5"/>
        <v>0</v>
      </c>
      <c r="AB57" s="8" t="s">
        <v>150</v>
      </c>
      <c r="AC57" s="8">
        <v>1000</v>
      </c>
      <c r="AD57" s="8" t="s">
        <v>152</v>
      </c>
      <c r="AE57" s="8">
        <f t="shared" ref="AE57:AE63" si="6">+SUM(I57:N57)/AC57</f>
        <v>-0.95499999999999996</v>
      </c>
      <c r="AF57"/>
    </row>
    <row r="58" spans="1:32" x14ac:dyDescent="0.25">
      <c r="A58" s="2">
        <v>53</v>
      </c>
      <c r="B58" s="2" t="s">
        <v>24</v>
      </c>
      <c r="C58" s="2" t="s">
        <v>129</v>
      </c>
      <c r="D58" s="2" t="s">
        <v>77</v>
      </c>
      <c r="E58" s="13">
        <v>0.875</v>
      </c>
      <c r="F58" s="2">
        <v>4.4999999999999998E-2</v>
      </c>
      <c r="G58" s="3"/>
      <c r="H58" s="3"/>
      <c r="I58" s="2">
        <v>0</v>
      </c>
      <c r="J58" s="2">
        <v>0</v>
      </c>
      <c r="K58" s="2"/>
      <c r="L58" s="2"/>
      <c r="M58" s="2"/>
      <c r="N58" s="2"/>
      <c r="O58" s="8">
        <f t="shared" si="4"/>
        <v>0</v>
      </c>
      <c r="P58" s="2"/>
      <c r="Q58" s="2"/>
      <c r="R58" s="18"/>
      <c r="S58" s="2"/>
      <c r="T58" s="18"/>
      <c r="U58" s="18"/>
      <c r="V58" s="18"/>
      <c r="W58" s="18"/>
      <c r="X58" s="2"/>
      <c r="Y58" s="18"/>
      <c r="Z58" s="2"/>
      <c r="AA58" s="7">
        <f t="shared" si="5"/>
        <v>0</v>
      </c>
      <c r="AB58" s="8" t="s">
        <v>151</v>
      </c>
      <c r="AC58" s="8">
        <v>200</v>
      </c>
      <c r="AD58" s="8" t="s">
        <v>152</v>
      </c>
      <c r="AE58" s="8">
        <f t="shared" si="6"/>
        <v>0</v>
      </c>
      <c r="AF58"/>
    </row>
    <row r="59" spans="1:32" x14ac:dyDescent="0.25">
      <c r="A59" s="2">
        <v>54</v>
      </c>
      <c r="B59" s="2" t="s">
        <v>24</v>
      </c>
      <c r="C59" s="2" t="s">
        <v>129</v>
      </c>
      <c r="D59" s="2" t="s">
        <v>78</v>
      </c>
      <c r="E59" s="13">
        <v>0.875</v>
      </c>
      <c r="F59" s="2">
        <v>4.4999999999999998E-2</v>
      </c>
      <c r="G59" s="3"/>
      <c r="H59" s="3"/>
      <c r="I59" s="2">
        <v>0</v>
      </c>
      <c r="J59" s="2">
        <v>-9</v>
      </c>
      <c r="K59" s="2"/>
      <c r="L59" s="2"/>
      <c r="M59" s="2"/>
      <c r="N59" s="2"/>
      <c r="O59" s="8">
        <f t="shared" si="4"/>
        <v>-609</v>
      </c>
      <c r="P59" s="2"/>
      <c r="Q59" s="2"/>
      <c r="R59" s="18"/>
      <c r="S59" s="2"/>
      <c r="T59" s="18"/>
      <c r="U59" s="18"/>
      <c r="V59" s="18"/>
      <c r="W59" s="18">
        <v>600</v>
      </c>
      <c r="X59" s="2"/>
      <c r="Y59" s="18"/>
      <c r="Z59" s="2"/>
      <c r="AA59" s="7">
        <f t="shared" si="5"/>
        <v>0</v>
      </c>
      <c r="AB59" s="8" t="s">
        <v>150</v>
      </c>
      <c r="AC59" s="8">
        <v>1000</v>
      </c>
      <c r="AD59" s="8" t="s">
        <v>152</v>
      </c>
      <c r="AE59" s="8">
        <f t="shared" si="6"/>
        <v>-8.9999999999999993E-3</v>
      </c>
      <c r="AF59"/>
    </row>
    <row r="60" spans="1:32" x14ac:dyDescent="0.25">
      <c r="A60" s="2">
        <v>55</v>
      </c>
      <c r="B60" s="2" t="s">
        <v>24</v>
      </c>
      <c r="C60" s="2" t="s">
        <v>129</v>
      </c>
      <c r="D60" s="2" t="s">
        <v>79</v>
      </c>
      <c r="E60" s="13">
        <v>0.875</v>
      </c>
      <c r="F60" s="2">
        <v>4.4999999999999998E-2</v>
      </c>
      <c r="G60" s="3"/>
      <c r="H60" s="3"/>
      <c r="I60" s="2">
        <v>0</v>
      </c>
      <c r="J60" s="2">
        <v>100</v>
      </c>
      <c r="K60" s="2"/>
      <c r="L60" s="2"/>
      <c r="M60" s="2"/>
      <c r="N60" s="2"/>
      <c r="O60" s="8">
        <f t="shared" si="4"/>
        <v>100</v>
      </c>
      <c r="P60" s="2"/>
      <c r="Q60" s="2"/>
      <c r="R60" s="18"/>
      <c r="S60" s="2"/>
      <c r="T60" s="18"/>
      <c r="U60" s="18"/>
      <c r="V60" s="18"/>
      <c r="W60" s="18"/>
      <c r="X60" s="2"/>
      <c r="Y60" s="18"/>
      <c r="Z60" s="2"/>
      <c r="AA60" s="7">
        <f t="shared" si="5"/>
        <v>0</v>
      </c>
      <c r="AB60" s="8" t="s">
        <v>151</v>
      </c>
      <c r="AC60" s="8">
        <v>500</v>
      </c>
      <c r="AD60" s="8" t="s">
        <v>152</v>
      </c>
      <c r="AE60" s="8">
        <f t="shared" si="6"/>
        <v>0.2</v>
      </c>
      <c r="AF60"/>
    </row>
    <row r="61" spans="1:32" x14ac:dyDescent="0.25">
      <c r="A61" s="2">
        <v>56</v>
      </c>
      <c r="B61" s="2" t="s">
        <v>24</v>
      </c>
      <c r="C61" s="2" t="s">
        <v>129</v>
      </c>
      <c r="D61" s="2" t="s">
        <v>80</v>
      </c>
      <c r="E61" s="13">
        <v>0.875</v>
      </c>
      <c r="F61" s="2">
        <v>4.4999999999999998E-2</v>
      </c>
      <c r="G61" s="3"/>
      <c r="H61" s="3"/>
      <c r="I61" s="2">
        <v>1200</v>
      </c>
      <c r="J61" s="2">
        <v>-14</v>
      </c>
      <c r="K61" s="2"/>
      <c r="L61" s="2"/>
      <c r="M61" s="2"/>
      <c r="N61" s="2"/>
      <c r="O61" s="8">
        <f t="shared" si="4"/>
        <v>-150</v>
      </c>
      <c r="P61" s="2"/>
      <c r="Q61" s="2"/>
      <c r="R61" s="18"/>
      <c r="S61" s="2"/>
      <c r="T61" s="2"/>
      <c r="U61" s="18"/>
      <c r="V61" s="18"/>
      <c r="W61" s="18">
        <v>1240</v>
      </c>
      <c r="X61" s="2">
        <v>96</v>
      </c>
      <c r="Y61" s="18"/>
      <c r="Z61" s="2"/>
      <c r="AA61" s="7">
        <f t="shared" si="5"/>
        <v>0</v>
      </c>
      <c r="AB61" s="8" t="s">
        <v>150</v>
      </c>
      <c r="AC61" s="8">
        <v>1000</v>
      </c>
      <c r="AD61" s="8" t="s">
        <v>152</v>
      </c>
      <c r="AE61" s="8">
        <f t="shared" si="6"/>
        <v>1.1859999999999999</v>
      </c>
      <c r="AF61"/>
    </row>
    <row r="62" spans="1:32" x14ac:dyDescent="0.25">
      <c r="A62" s="2">
        <v>57</v>
      </c>
      <c r="B62" s="2" t="s">
        <v>24</v>
      </c>
      <c r="C62" s="2" t="s">
        <v>129</v>
      </c>
      <c r="D62" s="2" t="s">
        <v>81</v>
      </c>
      <c r="E62" s="13">
        <v>0.875</v>
      </c>
      <c r="F62" s="2">
        <v>4.4999999999999998E-2</v>
      </c>
      <c r="G62" s="3"/>
      <c r="H62" s="3"/>
      <c r="I62" s="2">
        <v>572</v>
      </c>
      <c r="J62" s="2">
        <v>-642</v>
      </c>
      <c r="K62" s="2"/>
      <c r="L62" s="2"/>
      <c r="M62" s="2"/>
      <c r="N62" s="2"/>
      <c r="O62" s="8">
        <f t="shared" si="4"/>
        <v>-70</v>
      </c>
      <c r="P62" s="2"/>
      <c r="Q62" s="2"/>
      <c r="R62" s="18"/>
      <c r="S62" s="2"/>
      <c r="T62" s="2"/>
      <c r="U62" s="18"/>
      <c r="V62" s="18"/>
      <c r="W62" s="18"/>
      <c r="X62" s="2"/>
      <c r="Y62" s="18"/>
      <c r="Z62" s="2"/>
      <c r="AA62" s="7">
        <f t="shared" si="5"/>
        <v>0</v>
      </c>
      <c r="AB62" s="8" t="s">
        <v>151</v>
      </c>
      <c r="AC62" s="8">
        <v>200</v>
      </c>
      <c r="AD62" s="8" t="s">
        <v>152</v>
      </c>
      <c r="AE62" s="8">
        <f t="shared" si="6"/>
        <v>-0.35</v>
      </c>
      <c r="AF62"/>
    </row>
    <row r="63" spans="1:32" x14ac:dyDescent="0.25">
      <c r="A63" s="2">
        <v>58</v>
      </c>
      <c r="B63" s="2" t="s">
        <v>24</v>
      </c>
      <c r="C63" s="2" t="s">
        <v>129</v>
      </c>
      <c r="D63" s="2" t="s">
        <v>82</v>
      </c>
      <c r="E63" s="13">
        <v>0.875</v>
      </c>
      <c r="F63" s="2">
        <v>4.4999999999999998E-2</v>
      </c>
      <c r="G63" s="3"/>
      <c r="H63" s="3"/>
      <c r="I63" s="2">
        <v>900</v>
      </c>
      <c r="J63" s="2">
        <v>-8</v>
      </c>
      <c r="K63" s="2"/>
      <c r="L63" s="2"/>
      <c r="M63" s="2"/>
      <c r="N63" s="2"/>
      <c r="O63" s="8">
        <f t="shared" si="4"/>
        <v>116</v>
      </c>
      <c r="P63" s="2"/>
      <c r="Q63" s="2"/>
      <c r="R63" s="18"/>
      <c r="S63" s="2">
        <v>250</v>
      </c>
      <c r="T63" s="2">
        <v>526</v>
      </c>
      <c r="U63" s="18"/>
      <c r="V63" s="18"/>
      <c r="W63" s="18"/>
      <c r="X63" s="2"/>
      <c r="Y63" s="18"/>
      <c r="Z63" s="2"/>
      <c r="AA63" s="7">
        <f t="shared" si="5"/>
        <v>0</v>
      </c>
      <c r="AB63" s="8" t="s">
        <v>151</v>
      </c>
      <c r="AC63" s="8">
        <v>500</v>
      </c>
      <c r="AD63" s="8" t="s">
        <v>152</v>
      </c>
      <c r="AE63" s="8">
        <f t="shared" si="6"/>
        <v>1.784</v>
      </c>
      <c r="AF63"/>
    </row>
    <row r="64" spans="1:32" x14ac:dyDescent="0.25">
      <c r="A64" s="2">
        <v>59</v>
      </c>
      <c r="B64" s="2" t="s">
        <v>24</v>
      </c>
      <c r="C64" s="2" t="s">
        <v>129</v>
      </c>
      <c r="D64" s="2" t="s">
        <v>83</v>
      </c>
      <c r="E64" s="13">
        <v>0.875</v>
      </c>
      <c r="F64" s="2">
        <v>4.4999999999999998E-2</v>
      </c>
      <c r="G64" s="3"/>
      <c r="H64" s="3"/>
      <c r="I64" s="2">
        <v>0</v>
      </c>
      <c r="J64" s="2">
        <v>0</v>
      </c>
      <c r="K64" s="2"/>
      <c r="L64" s="2"/>
      <c r="M64" s="2"/>
      <c r="N64" s="2"/>
      <c r="O64" s="8">
        <f t="shared" si="4"/>
        <v>0</v>
      </c>
      <c r="P64" s="2"/>
      <c r="Q64" s="2"/>
      <c r="R64" s="18"/>
      <c r="S64" s="2"/>
      <c r="T64" s="18"/>
      <c r="U64" s="18"/>
      <c r="V64" s="18"/>
      <c r="W64" s="18"/>
      <c r="X64" s="2"/>
      <c r="Y64" s="18"/>
      <c r="Z64" s="2"/>
      <c r="AA64" s="7">
        <f t="shared" si="5"/>
        <v>0</v>
      </c>
      <c r="AB64" s="8">
        <v>0</v>
      </c>
      <c r="AC64" s="8">
        <v>0</v>
      </c>
      <c r="AD64" s="8" t="s">
        <v>152</v>
      </c>
      <c r="AE64" s="8">
        <v>0</v>
      </c>
      <c r="AF64"/>
    </row>
    <row r="65" spans="1:32" x14ac:dyDescent="0.25">
      <c r="A65" s="2">
        <v>60</v>
      </c>
      <c r="B65" s="2" t="s">
        <v>24</v>
      </c>
      <c r="C65" s="2" t="s">
        <v>129</v>
      </c>
      <c r="D65" s="2" t="s">
        <v>84</v>
      </c>
      <c r="E65" s="13">
        <v>0.875</v>
      </c>
      <c r="F65" s="2">
        <v>4.4999999999999998E-2</v>
      </c>
      <c r="G65" s="3"/>
      <c r="H65" s="3"/>
      <c r="I65" s="2">
        <v>0</v>
      </c>
      <c r="J65" s="2">
        <v>0</v>
      </c>
      <c r="K65" s="2"/>
      <c r="L65" s="2"/>
      <c r="M65" s="2"/>
      <c r="N65" s="2"/>
      <c r="O65" s="8">
        <f t="shared" si="4"/>
        <v>0</v>
      </c>
      <c r="P65" s="2"/>
      <c r="Q65" s="2"/>
      <c r="R65" s="18"/>
      <c r="S65" s="2"/>
      <c r="T65" s="18"/>
      <c r="U65" s="18"/>
      <c r="V65" s="18"/>
      <c r="W65" s="18"/>
      <c r="X65" s="2"/>
      <c r="Y65" s="18"/>
      <c r="Z65" s="2"/>
      <c r="AA65" s="7">
        <f t="shared" si="5"/>
        <v>0</v>
      </c>
      <c r="AB65" s="8">
        <v>0</v>
      </c>
      <c r="AC65" s="8">
        <v>0</v>
      </c>
      <c r="AD65" s="8" t="s">
        <v>152</v>
      </c>
      <c r="AE65" s="8">
        <v>0</v>
      </c>
      <c r="AF65"/>
    </row>
    <row r="66" spans="1:32" x14ac:dyDescent="0.25">
      <c r="A66" s="2">
        <v>61</v>
      </c>
      <c r="B66" s="2" t="s">
        <v>24</v>
      </c>
      <c r="C66" s="2" t="s">
        <v>129</v>
      </c>
      <c r="D66" s="2" t="s">
        <v>85</v>
      </c>
      <c r="E66" s="13">
        <v>0.875</v>
      </c>
      <c r="F66" s="2">
        <v>4.4999999999999998E-2</v>
      </c>
      <c r="G66" s="3"/>
      <c r="H66" s="3"/>
      <c r="I66" s="2">
        <v>0</v>
      </c>
      <c r="J66" s="2">
        <v>0</v>
      </c>
      <c r="K66" s="2"/>
      <c r="L66" s="2"/>
      <c r="M66" s="2"/>
      <c r="N66" s="2"/>
      <c r="O66" s="8">
        <f t="shared" si="4"/>
        <v>0</v>
      </c>
      <c r="P66" s="2"/>
      <c r="Q66" s="2"/>
      <c r="R66" s="18"/>
      <c r="S66" s="2"/>
      <c r="T66" s="18"/>
      <c r="U66" s="18"/>
      <c r="V66" s="18"/>
      <c r="W66" s="18"/>
      <c r="X66" s="2"/>
      <c r="Y66" s="18"/>
      <c r="Z66" s="2"/>
      <c r="AA66" s="7">
        <f t="shared" si="5"/>
        <v>0</v>
      </c>
      <c r="AB66" s="8">
        <v>0</v>
      </c>
      <c r="AC66" s="8">
        <v>0</v>
      </c>
      <c r="AD66" s="8" t="s">
        <v>152</v>
      </c>
      <c r="AE66" s="8">
        <v>0</v>
      </c>
      <c r="AF66"/>
    </row>
    <row r="67" spans="1:32" x14ac:dyDescent="0.25">
      <c r="A67" s="2">
        <v>62</v>
      </c>
      <c r="B67" s="2" t="s">
        <v>24</v>
      </c>
      <c r="C67" s="2" t="s">
        <v>129</v>
      </c>
      <c r="D67" s="2" t="s">
        <v>86</v>
      </c>
      <c r="E67" s="13">
        <v>0.875</v>
      </c>
      <c r="F67" s="2">
        <v>4.4999999999999998E-2</v>
      </c>
      <c r="G67" s="3"/>
      <c r="H67" s="3"/>
      <c r="I67" s="2">
        <v>0</v>
      </c>
      <c r="J67" s="2">
        <v>0</v>
      </c>
      <c r="K67" s="2"/>
      <c r="L67" s="2"/>
      <c r="M67" s="2"/>
      <c r="N67" s="2"/>
      <c r="O67" s="8">
        <f t="shared" si="4"/>
        <v>0</v>
      </c>
      <c r="P67" s="2"/>
      <c r="Q67" s="2"/>
      <c r="R67" s="18"/>
      <c r="S67" s="2"/>
      <c r="T67" s="18"/>
      <c r="U67" s="18"/>
      <c r="V67" s="18"/>
      <c r="W67" s="18"/>
      <c r="X67" s="2"/>
      <c r="Y67" s="18"/>
      <c r="Z67" s="2"/>
      <c r="AA67" s="7">
        <f t="shared" si="5"/>
        <v>0</v>
      </c>
      <c r="AB67" s="8" t="s">
        <v>151</v>
      </c>
      <c r="AC67" s="8">
        <v>200</v>
      </c>
      <c r="AD67" s="8" t="s">
        <v>152</v>
      </c>
      <c r="AE67" s="8">
        <f>+SUM(I67:N67)/AC67</f>
        <v>0</v>
      </c>
      <c r="AF67"/>
    </row>
    <row r="68" spans="1:32" x14ac:dyDescent="0.25">
      <c r="A68" s="2">
        <v>63</v>
      </c>
      <c r="B68" s="2" t="s">
        <v>24</v>
      </c>
      <c r="C68" s="2" t="s">
        <v>129</v>
      </c>
      <c r="D68" s="2" t="s">
        <v>87</v>
      </c>
      <c r="E68" s="13">
        <v>0.875</v>
      </c>
      <c r="F68" s="2">
        <v>4.4999999999999998E-2</v>
      </c>
      <c r="G68" s="3"/>
      <c r="H68" s="3"/>
      <c r="I68" s="2">
        <v>0</v>
      </c>
      <c r="J68" s="2">
        <v>0</v>
      </c>
      <c r="K68" s="2"/>
      <c r="L68" s="2"/>
      <c r="M68" s="2"/>
      <c r="N68" s="2"/>
      <c r="O68" s="8">
        <f t="shared" si="4"/>
        <v>0</v>
      </c>
      <c r="P68" s="2"/>
      <c r="Q68" s="2"/>
      <c r="R68" s="18"/>
      <c r="S68" s="2"/>
      <c r="T68" s="18"/>
      <c r="U68" s="18"/>
      <c r="V68" s="18"/>
      <c r="W68" s="18"/>
      <c r="X68" s="2"/>
      <c r="Y68" s="18"/>
      <c r="Z68" s="2"/>
      <c r="AA68" s="7">
        <f t="shared" si="5"/>
        <v>0</v>
      </c>
      <c r="AB68" s="8">
        <v>0</v>
      </c>
      <c r="AC68" s="8">
        <v>0</v>
      </c>
      <c r="AD68" s="8" t="s">
        <v>152</v>
      </c>
      <c r="AE68" s="8">
        <v>0</v>
      </c>
      <c r="AF68"/>
    </row>
    <row r="69" spans="1:32" x14ac:dyDescent="0.25">
      <c r="A69" s="2">
        <v>64</v>
      </c>
      <c r="B69" s="2" t="s">
        <v>24</v>
      </c>
      <c r="C69" s="2" t="s">
        <v>129</v>
      </c>
      <c r="D69" s="2" t="s">
        <v>88</v>
      </c>
      <c r="E69" s="13">
        <v>0.875</v>
      </c>
      <c r="F69" s="2">
        <v>4.4999999999999998E-2</v>
      </c>
      <c r="G69" s="3"/>
      <c r="H69" s="3"/>
      <c r="I69" s="2">
        <v>0</v>
      </c>
      <c r="J69" s="2">
        <v>0</v>
      </c>
      <c r="K69" s="2"/>
      <c r="L69" s="2"/>
      <c r="M69" s="2"/>
      <c r="N69" s="2"/>
      <c r="O69" s="8">
        <f t="shared" si="4"/>
        <v>0</v>
      </c>
      <c r="P69" s="2"/>
      <c r="Q69" s="2"/>
      <c r="R69" s="18"/>
      <c r="S69" s="2"/>
      <c r="T69" s="18"/>
      <c r="U69" s="18"/>
      <c r="V69" s="18"/>
      <c r="W69" s="18"/>
      <c r="X69" s="2"/>
      <c r="Y69" s="18"/>
      <c r="Z69" s="2"/>
      <c r="AA69" s="7">
        <f t="shared" si="5"/>
        <v>0</v>
      </c>
      <c r="AB69" s="8">
        <v>0</v>
      </c>
      <c r="AC69" s="8">
        <v>0</v>
      </c>
      <c r="AD69" s="8" t="s">
        <v>152</v>
      </c>
      <c r="AE69" s="8">
        <v>0</v>
      </c>
      <c r="AF69"/>
    </row>
    <row r="70" spans="1:32" x14ac:dyDescent="0.25">
      <c r="A70" s="2">
        <v>65</v>
      </c>
      <c r="B70" s="2" t="s">
        <v>24</v>
      </c>
      <c r="C70" s="2" t="s">
        <v>129</v>
      </c>
      <c r="D70" s="2" t="s">
        <v>89</v>
      </c>
      <c r="E70" s="13">
        <v>0.875</v>
      </c>
      <c r="F70" s="2">
        <v>4.4999999999999998E-2</v>
      </c>
      <c r="G70" s="3"/>
      <c r="H70" s="3"/>
      <c r="I70" s="2">
        <v>0</v>
      </c>
      <c r="J70" s="2">
        <v>0</v>
      </c>
      <c r="K70" s="2"/>
      <c r="L70" s="2"/>
      <c r="M70" s="2"/>
      <c r="N70" s="2"/>
      <c r="O70" s="8">
        <f t="shared" ref="O70:O101" si="7">+I70+J70+K70+L70+M70+N70-SUM(P70:Z70)</f>
        <v>0</v>
      </c>
      <c r="P70" s="2"/>
      <c r="Q70" s="2"/>
      <c r="R70" s="18"/>
      <c r="S70" s="2"/>
      <c r="T70" s="18"/>
      <c r="U70" s="18"/>
      <c r="V70" s="18"/>
      <c r="W70" s="18"/>
      <c r="X70" s="2"/>
      <c r="Y70" s="18"/>
      <c r="Z70" s="2"/>
      <c r="AA70" s="7">
        <f t="shared" ref="AA70:AA101" si="8">+G70*SUM(I70:N70)</f>
        <v>0</v>
      </c>
      <c r="AB70" s="8" t="s">
        <v>151</v>
      </c>
      <c r="AC70" s="8">
        <v>200</v>
      </c>
      <c r="AD70" s="8" t="s">
        <v>152</v>
      </c>
      <c r="AE70" s="8">
        <f>+SUM(I70:N70)/AC70</f>
        <v>0</v>
      </c>
      <c r="AF70"/>
    </row>
    <row r="71" spans="1:32" x14ac:dyDescent="0.25">
      <c r="A71" s="2">
        <v>66</v>
      </c>
      <c r="B71" s="2" t="s">
        <v>24</v>
      </c>
      <c r="C71" s="2" t="s">
        <v>129</v>
      </c>
      <c r="D71" s="2" t="s">
        <v>90</v>
      </c>
      <c r="E71" s="13">
        <v>0.875</v>
      </c>
      <c r="F71" s="2">
        <v>4.4999999999999998E-2</v>
      </c>
      <c r="G71" s="3"/>
      <c r="H71" s="3"/>
      <c r="I71" s="2">
        <v>0</v>
      </c>
      <c r="J71" s="2">
        <v>0</v>
      </c>
      <c r="K71" s="2"/>
      <c r="L71" s="2"/>
      <c r="M71" s="2"/>
      <c r="N71" s="2"/>
      <c r="O71" s="8">
        <f t="shared" si="7"/>
        <v>0</v>
      </c>
      <c r="P71" s="2"/>
      <c r="Q71" s="2"/>
      <c r="R71" s="18"/>
      <c r="S71" s="2"/>
      <c r="T71" s="18"/>
      <c r="U71" s="18"/>
      <c r="V71" s="18"/>
      <c r="W71" s="18"/>
      <c r="X71" s="2"/>
      <c r="Y71" s="18"/>
      <c r="Z71" s="2"/>
      <c r="AA71" s="7">
        <f t="shared" si="8"/>
        <v>0</v>
      </c>
      <c r="AB71" s="8" t="s">
        <v>151</v>
      </c>
      <c r="AC71" s="8">
        <v>500</v>
      </c>
      <c r="AD71" s="8" t="s">
        <v>152</v>
      </c>
      <c r="AE71" s="8">
        <f>+SUM(I71:N71)/AC71</f>
        <v>0</v>
      </c>
      <c r="AF71"/>
    </row>
    <row r="72" spans="1:32" x14ac:dyDescent="0.25">
      <c r="A72" s="2">
        <v>67</v>
      </c>
      <c r="B72" s="2" t="s">
        <v>24</v>
      </c>
      <c r="C72" s="2" t="s">
        <v>129</v>
      </c>
      <c r="D72" s="2" t="s">
        <v>91</v>
      </c>
      <c r="E72" s="13">
        <v>0.875</v>
      </c>
      <c r="F72" s="2">
        <v>4.4999999999999998E-2</v>
      </c>
      <c r="G72" s="3"/>
      <c r="H72" s="3"/>
      <c r="I72" s="2">
        <v>0</v>
      </c>
      <c r="J72" s="2">
        <v>0</v>
      </c>
      <c r="K72" s="2"/>
      <c r="L72" s="2"/>
      <c r="M72" s="2"/>
      <c r="N72" s="2"/>
      <c r="O72" s="8">
        <f t="shared" si="7"/>
        <v>0</v>
      </c>
      <c r="P72" s="2"/>
      <c r="Q72" s="2"/>
      <c r="R72" s="18"/>
      <c r="S72" s="2"/>
      <c r="T72" s="18"/>
      <c r="U72" s="18"/>
      <c r="V72" s="18"/>
      <c r="W72" s="18"/>
      <c r="X72" s="2"/>
      <c r="Y72" s="18"/>
      <c r="Z72" s="2"/>
      <c r="AA72" s="7">
        <f t="shared" si="8"/>
        <v>0</v>
      </c>
      <c r="AB72" s="8" t="s">
        <v>151</v>
      </c>
      <c r="AC72" s="8">
        <v>200</v>
      </c>
      <c r="AD72" s="8" t="s">
        <v>152</v>
      </c>
      <c r="AE72" s="8">
        <f>+SUM(I72:N72)/AC72</f>
        <v>0</v>
      </c>
      <c r="AF72"/>
    </row>
    <row r="73" spans="1:32" x14ac:dyDescent="0.25">
      <c r="A73" s="2">
        <v>68</v>
      </c>
      <c r="B73" s="2" t="s">
        <v>24</v>
      </c>
      <c r="C73" s="2" t="s">
        <v>129</v>
      </c>
      <c r="D73" s="2" t="s">
        <v>92</v>
      </c>
      <c r="E73" s="13">
        <v>0.875</v>
      </c>
      <c r="F73" s="2">
        <v>4.4999999999999998E-2</v>
      </c>
      <c r="G73" s="3"/>
      <c r="H73" s="3"/>
      <c r="I73" s="2">
        <v>0</v>
      </c>
      <c r="J73" s="2">
        <v>0</v>
      </c>
      <c r="K73" s="2"/>
      <c r="L73" s="2"/>
      <c r="M73" s="2"/>
      <c r="N73" s="2"/>
      <c r="O73" s="8">
        <f t="shared" si="7"/>
        <v>0</v>
      </c>
      <c r="P73" s="2"/>
      <c r="Q73" s="2"/>
      <c r="R73" s="18"/>
      <c r="S73" s="2"/>
      <c r="T73" s="18"/>
      <c r="U73" s="18"/>
      <c r="V73" s="18"/>
      <c r="W73" s="18"/>
      <c r="X73" s="2"/>
      <c r="Y73" s="18"/>
      <c r="Z73" s="2"/>
      <c r="AA73" s="7">
        <f t="shared" si="8"/>
        <v>0</v>
      </c>
      <c r="AB73" s="8">
        <v>0</v>
      </c>
      <c r="AC73" s="8">
        <v>0</v>
      </c>
      <c r="AD73" s="8" t="s">
        <v>152</v>
      </c>
      <c r="AE73" s="8">
        <v>0</v>
      </c>
      <c r="AF73"/>
    </row>
    <row r="74" spans="1:32" x14ac:dyDescent="0.25">
      <c r="A74" s="2">
        <v>69</v>
      </c>
      <c r="B74" s="2" t="s">
        <v>24</v>
      </c>
      <c r="C74" s="2" t="s">
        <v>129</v>
      </c>
      <c r="D74" s="2" t="s">
        <v>93</v>
      </c>
      <c r="E74" s="13">
        <v>0.875</v>
      </c>
      <c r="F74" s="2">
        <v>4.4999999999999998E-2</v>
      </c>
      <c r="G74" s="3"/>
      <c r="H74" s="3"/>
      <c r="I74" s="2">
        <v>0</v>
      </c>
      <c r="J74" s="2">
        <v>0</v>
      </c>
      <c r="K74" s="2"/>
      <c r="L74" s="2"/>
      <c r="M74" s="2"/>
      <c r="N74" s="2"/>
      <c r="O74" s="8">
        <f t="shared" si="7"/>
        <v>0</v>
      </c>
      <c r="P74" s="2"/>
      <c r="Q74" s="2"/>
      <c r="R74" s="18"/>
      <c r="S74" s="2"/>
      <c r="T74" s="18"/>
      <c r="U74" s="18"/>
      <c r="V74" s="18"/>
      <c r="W74" s="18"/>
      <c r="X74" s="2"/>
      <c r="Y74" s="18"/>
      <c r="Z74" s="2"/>
      <c r="AA74" s="7">
        <f t="shared" si="8"/>
        <v>0</v>
      </c>
      <c r="AB74" s="8">
        <v>0</v>
      </c>
      <c r="AC74" s="8">
        <v>0</v>
      </c>
      <c r="AD74" s="8" t="s">
        <v>152</v>
      </c>
      <c r="AE74" s="8">
        <v>0</v>
      </c>
      <c r="AF74"/>
    </row>
    <row r="75" spans="1:32" x14ac:dyDescent="0.25">
      <c r="A75" s="2">
        <v>70</v>
      </c>
      <c r="B75" s="2" t="s">
        <v>24</v>
      </c>
      <c r="C75" s="2" t="s">
        <v>129</v>
      </c>
      <c r="D75" s="2" t="s">
        <v>94</v>
      </c>
      <c r="E75" s="13">
        <v>0.875</v>
      </c>
      <c r="F75" s="2">
        <v>4.4999999999999998E-2</v>
      </c>
      <c r="G75" s="3"/>
      <c r="H75" s="3"/>
      <c r="I75" s="2">
        <v>100</v>
      </c>
      <c r="J75" s="2">
        <v>0</v>
      </c>
      <c r="K75" s="2"/>
      <c r="L75" s="2"/>
      <c r="M75" s="2"/>
      <c r="N75" s="2"/>
      <c r="O75" s="8">
        <f t="shared" si="7"/>
        <v>100</v>
      </c>
      <c r="P75" s="2"/>
      <c r="Q75" s="2"/>
      <c r="R75" s="18"/>
      <c r="S75" s="2"/>
      <c r="T75" s="18"/>
      <c r="U75" s="18"/>
      <c r="V75" s="18"/>
      <c r="W75" s="18"/>
      <c r="X75" s="2"/>
      <c r="Y75" s="18"/>
      <c r="Z75" s="2"/>
      <c r="AA75" s="7">
        <f t="shared" si="8"/>
        <v>0</v>
      </c>
      <c r="AB75" s="8">
        <v>0</v>
      </c>
      <c r="AC75" s="8">
        <v>0</v>
      </c>
      <c r="AD75" s="8" t="s">
        <v>152</v>
      </c>
      <c r="AE75" s="8">
        <v>0</v>
      </c>
      <c r="AF75"/>
    </row>
    <row r="76" spans="1:32" x14ac:dyDescent="0.25">
      <c r="A76" s="2">
        <v>71</v>
      </c>
      <c r="B76" s="2" t="s">
        <v>24</v>
      </c>
      <c r="C76" s="2" t="s">
        <v>129</v>
      </c>
      <c r="D76" s="2" t="s">
        <v>95</v>
      </c>
      <c r="E76" s="13">
        <v>0.875</v>
      </c>
      <c r="F76" s="2">
        <v>4.4999999999999998E-2</v>
      </c>
      <c r="G76" s="3"/>
      <c r="H76" s="3"/>
      <c r="I76" s="2">
        <v>0</v>
      </c>
      <c r="J76" s="2">
        <v>0</v>
      </c>
      <c r="K76" s="2"/>
      <c r="L76" s="2"/>
      <c r="M76" s="2"/>
      <c r="N76" s="2"/>
      <c r="O76" s="8">
        <f t="shared" si="7"/>
        <v>0</v>
      </c>
      <c r="P76" s="2"/>
      <c r="Q76" s="2"/>
      <c r="R76" s="18"/>
      <c r="S76" s="2"/>
      <c r="T76" s="18"/>
      <c r="U76" s="18"/>
      <c r="V76" s="18"/>
      <c r="W76" s="18"/>
      <c r="X76" s="2"/>
      <c r="Y76" s="18"/>
      <c r="Z76" s="2"/>
      <c r="AA76" s="7">
        <f t="shared" si="8"/>
        <v>0</v>
      </c>
      <c r="AB76" s="8">
        <v>0</v>
      </c>
      <c r="AC76" s="8">
        <v>0</v>
      </c>
      <c r="AD76" s="8" t="s">
        <v>152</v>
      </c>
      <c r="AE76" s="8">
        <v>0</v>
      </c>
      <c r="AF76"/>
    </row>
    <row r="77" spans="1:32" x14ac:dyDescent="0.25">
      <c r="A77" s="2">
        <v>72</v>
      </c>
      <c r="B77" s="2" t="s">
        <v>24</v>
      </c>
      <c r="C77" s="2" t="s">
        <v>129</v>
      </c>
      <c r="D77" s="2" t="s">
        <v>96</v>
      </c>
      <c r="E77" s="13">
        <v>0.875</v>
      </c>
      <c r="F77" s="2">
        <v>4.4999999999999998E-2</v>
      </c>
      <c r="G77" s="3"/>
      <c r="H77" s="3"/>
      <c r="I77" s="2">
        <v>0</v>
      </c>
      <c r="J77" s="2">
        <v>0</v>
      </c>
      <c r="K77" s="2"/>
      <c r="L77" s="2"/>
      <c r="M77" s="2"/>
      <c r="N77" s="2"/>
      <c r="O77" s="8">
        <f t="shared" si="7"/>
        <v>0</v>
      </c>
      <c r="P77" s="2"/>
      <c r="Q77" s="2"/>
      <c r="R77" s="18"/>
      <c r="S77" s="2"/>
      <c r="T77" s="18"/>
      <c r="U77" s="18"/>
      <c r="V77" s="18"/>
      <c r="W77" s="18"/>
      <c r="X77" s="2"/>
      <c r="Y77" s="18"/>
      <c r="Z77" s="2"/>
      <c r="AA77" s="7">
        <f t="shared" si="8"/>
        <v>0</v>
      </c>
      <c r="AB77" s="8">
        <v>0</v>
      </c>
      <c r="AC77" s="8">
        <v>0</v>
      </c>
      <c r="AD77" s="8" t="s">
        <v>152</v>
      </c>
      <c r="AE77" s="8">
        <v>0</v>
      </c>
      <c r="AF77"/>
    </row>
    <row r="78" spans="1:32" x14ac:dyDescent="0.25">
      <c r="A78" s="2">
        <v>73</v>
      </c>
      <c r="B78" s="2" t="s">
        <v>24</v>
      </c>
      <c r="C78" s="2" t="s">
        <v>129</v>
      </c>
      <c r="D78" s="2" t="s">
        <v>97</v>
      </c>
      <c r="E78" s="13">
        <v>0.875</v>
      </c>
      <c r="F78" s="2">
        <v>4.4999999999999998E-2</v>
      </c>
      <c r="G78" s="3"/>
      <c r="H78" s="3"/>
      <c r="I78" s="2">
        <v>0</v>
      </c>
      <c r="J78" s="2">
        <v>0</v>
      </c>
      <c r="K78" s="2"/>
      <c r="L78" s="2"/>
      <c r="M78" s="2"/>
      <c r="N78" s="2"/>
      <c r="O78" s="8">
        <f t="shared" si="7"/>
        <v>0</v>
      </c>
      <c r="P78" s="2"/>
      <c r="Q78" s="2"/>
      <c r="R78" s="18"/>
      <c r="S78" s="2"/>
      <c r="T78" s="18"/>
      <c r="U78" s="18"/>
      <c r="V78" s="18"/>
      <c r="W78" s="18"/>
      <c r="X78" s="2"/>
      <c r="Y78" s="18"/>
      <c r="Z78" s="2"/>
      <c r="AA78" s="7">
        <f t="shared" si="8"/>
        <v>0</v>
      </c>
      <c r="AB78" s="8">
        <v>0</v>
      </c>
      <c r="AC78" s="8">
        <v>0</v>
      </c>
      <c r="AD78" s="8" t="s">
        <v>152</v>
      </c>
      <c r="AE78" s="8">
        <v>0</v>
      </c>
      <c r="AF78"/>
    </row>
    <row r="79" spans="1:32" x14ac:dyDescent="0.25">
      <c r="A79" s="2">
        <v>74</v>
      </c>
      <c r="B79" s="2" t="s">
        <v>24</v>
      </c>
      <c r="C79" s="2" t="s">
        <v>129</v>
      </c>
      <c r="D79" s="2" t="s">
        <v>98</v>
      </c>
      <c r="E79" s="13">
        <v>0.875</v>
      </c>
      <c r="F79" s="2">
        <v>4.4999999999999998E-2</v>
      </c>
      <c r="G79" s="3"/>
      <c r="H79" s="3"/>
      <c r="I79" s="2">
        <v>0</v>
      </c>
      <c r="J79" s="2">
        <v>0</v>
      </c>
      <c r="K79" s="2"/>
      <c r="L79" s="2"/>
      <c r="M79" s="2"/>
      <c r="N79" s="2"/>
      <c r="O79" s="8">
        <f t="shared" si="7"/>
        <v>0</v>
      </c>
      <c r="P79" s="2"/>
      <c r="Q79" s="2"/>
      <c r="R79" s="18"/>
      <c r="S79" s="2"/>
      <c r="T79" s="18"/>
      <c r="U79" s="18"/>
      <c r="V79" s="18"/>
      <c r="W79" s="18"/>
      <c r="X79" s="2"/>
      <c r="Y79" s="18"/>
      <c r="Z79" s="2"/>
      <c r="AA79" s="7">
        <f t="shared" si="8"/>
        <v>0</v>
      </c>
      <c r="AB79" s="8">
        <v>0</v>
      </c>
      <c r="AC79" s="8">
        <v>0</v>
      </c>
      <c r="AD79" s="8" t="s">
        <v>152</v>
      </c>
      <c r="AE79" s="8">
        <v>0</v>
      </c>
      <c r="AF79"/>
    </row>
    <row r="80" spans="1:32" x14ac:dyDescent="0.25">
      <c r="A80" s="2">
        <v>75</v>
      </c>
      <c r="B80" s="2" t="s">
        <v>24</v>
      </c>
      <c r="C80" s="2" t="s">
        <v>129</v>
      </c>
      <c r="D80" s="2" t="s">
        <v>99</v>
      </c>
      <c r="E80" s="13">
        <v>0.875</v>
      </c>
      <c r="F80" s="2">
        <v>4.4999999999999998E-2</v>
      </c>
      <c r="G80" s="3"/>
      <c r="H80" s="3"/>
      <c r="I80" s="2">
        <v>0</v>
      </c>
      <c r="J80" s="2">
        <v>0</v>
      </c>
      <c r="K80" s="2"/>
      <c r="L80" s="2"/>
      <c r="M80" s="2"/>
      <c r="N80" s="2"/>
      <c r="O80" s="8">
        <f t="shared" si="7"/>
        <v>0</v>
      </c>
      <c r="P80" s="2"/>
      <c r="Q80" s="2"/>
      <c r="R80" s="18"/>
      <c r="S80" s="2"/>
      <c r="T80" s="18"/>
      <c r="U80" s="18"/>
      <c r="V80" s="18"/>
      <c r="W80" s="18"/>
      <c r="X80" s="2"/>
      <c r="Y80" s="18"/>
      <c r="Z80" s="2"/>
      <c r="AA80" s="7">
        <f t="shared" si="8"/>
        <v>0</v>
      </c>
      <c r="AB80" s="8">
        <v>0</v>
      </c>
      <c r="AC80" s="8">
        <v>0</v>
      </c>
      <c r="AD80" s="8" t="s">
        <v>152</v>
      </c>
      <c r="AE80" s="8">
        <v>0</v>
      </c>
      <c r="AF80"/>
    </row>
    <row r="81" spans="1:32" x14ac:dyDescent="0.25">
      <c r="A81" s="2">
        <v>76</v>
      </c>
      <c r="B81" s="2" t="s">
        <v>24</v>
      </c>
      <c r="C81" s="2" t="s">
        <v>129</v>
      </c>
      <c r="D81" s="2" t="s">
        <v>100</v>
      </c>
      <c r="E81" s="13">
        <v>0.875</v>
      </c>
      <c r="F81" s="2">
        <v>4.4999999999999998E-2</v>
      </c>
      <c r="G81" s="3"/>
      <c r="H81" s="3"/>
      <c r="I81" s="2">
        <v>0</v>
      </c>
      <c r="J81" s="2">
        <v>0</v>
      </c>
      <c r="K81" s="2"/>
      <c r="L81" s="2"/>
      <c r="M81" s="2"/>
      <c r="N81" s="2"/>
      <c r="O81" s="8">
        <f t="shared" si="7"/>
        <v>0</v>
      </c>
      <c r="P81" s="2"/>
      <c r="Q81" s="2"/>
      <c r="R81" s="18"/>
      <c r="S81" s="2"/>
      <c r="T81" s="18"/>
      <c r="U81" s="18"/>
      <c r="V81" s="18"/>
      <c r="W81" s="18"/>
      <c r="X81" s="2"/>
      <c r="Y81" s="18"/>
      <c r="Z81" s="2"/>
      <c r="AA81" s="7">
        <f t="shared" si="8"/>
        <v>0</v>
      </c>
      <c r="AB81" s="8">
        <v>0</v>
      </c>
      <c r="AC81" s="8">
        <v>0</v>
      </c>
      <c r="AD81" s="8" t="s">
        <v>152</v>
      </c>
      <c r="AE81" s="8">
        <v>0</v>
      </c>
      <c r="AF81"/>
    </row>
    <row r="82" spans="1:32" x14ac:dyDescent="0.25">
      <c r="A82" s="2">
        <v>77</v>
      </c>
      <c r="B82" s="2" t="s">
        <v>24</v>
      </c>
      <c r="C82" s="2" t="s">
        <v>129</v>
      </c>
      <c r="D82" s="2" t="s">
        <v>101</v>
      </c>
      <c r="E82" s="13">
        <v>0.875</v>
      </c>
      <c r="F82" s="2">
        <v>4.4999999999999998E-2</v>
      </c>
      <c r="G82" s="3"/>
      <c r="H82" s="3"/>
      <c r="I82" s="2">
        <v>0</v>
      </c>
      <c r="J82" s="2">
        <v>0</v>
      </c>
      <c r="K82" s="2"/>
      <c r="L82" s="2"/>
      <c r="M82" s="2"/>
      <c r="N82" s="2"/>
      <c r="O82" s="8">
        <f t="shared" si="7"/>
        <v>0</v>
      </c>
      <c r="P82" s="2"/>
      <c r="Q82" s="2"/>
      <c r="R82" s="18"/>
      <c r="S82" s="2"/>
      <c r="T82" s="18"/>
      <c r="U82" s="18"/>
      <c r="V82" s="18"/>
      <c r="W82" s="18"/>
      <c r="X82" s="2"/>
      <c r="Y82" s="18"/>
      <c r="Z82" s="2"/>
      <c r="AA82" s="7">
        <f t="shared" si="8"/>
        <v>0</v>
      </c>
      <c r="AB82" s="8">
        <v>0</v>
      </c>
      <c r="AC82" s="8">
        <v>0</v>
      </c>
      <c r="AD82" s="8" t="s">
        <v>152</v>
      </c>
      <c r="AE82" s="8">
        <v>0</v>
      </c>
      <c r="AF82"/>
    </row>
    <row r="83" spans="1:32" x14ac:dyDescent="0.25">
      <c r="A83" s="2">
        <v>78</v>
      </c>
      <c r="B83" s="2" t="s">
        <v>24</v>
      </c>
      <c r="C83" s="2" t="s">
        <v>129</v>
      </c>
      <c r="D83" s="2" t="s">
        <v>102</v>
      </c>
      <c r="E83" s="13">
        <v>0.875</v>
      </c>
      <c r="F83" s="2">
        <v>4.4999999999999998E-2</v>
      </c>
      <c r="G83" s="3"/>
      <c r="H83" s="3"/>
      <c r="I83" s="2">
        <v>0</v>
      </c>
      <c r="J83" s="2">
        <v>0</v>
      </c>
      <c r="K83" s="2"/>
      <c r="L83" s="2"/>
      <c r="M83" s="2"/>
      <c r="N83" s="2"/>
      <c r="O83" s="8">
        <f t="shared" si="7"/>
        <v>0</v>
      </c>
      <c r="P83" s="2"/>
      <c r="Q83" s="2"/>
      <c r="R83" s="18"/>
      <c r="S83" s="2"/>
      <c r="T83" s="18"/>
      <c r="U83" s="18"/>
      <c r="V83" s="18"/>
      <c r="W83" s="18"/>
      <c r="X83" s="2"/>
      <c r="Y83" s="18"/>
      <c r="Z83" s="2"/>
      <c r="AA83" s="7">
        <f t="shared" si="8"/>
        <v>0</v>
      </c>
      <c r="AB83" s="8">
        <v>0</v>
      </c>
      <c r="AC83" s="8">
        <v>0</v>
      </c>
      <c r="AD83" s="8" t="s">
        <v>152</v>
      </c>
      <c r="AE83" s="8">
        <v>0</v>
      </c>
      <c r="AF83"/>
    </row>
    <row r="84" spans="1:32" x14ac:dyDescent="0.25">
      <c r="A84" s="2">
        <v>79</v>
      </c>
      <c r="B84" s="2" t="s">
        <v>128</v>
      </c>
      <c r="C84" s="2" t="s">
        <v>129</v>
      </c>
      <c r="D84" s="2" t="s">
        <v>103</v>
      </c>
      <c r="E84" s="13">
        <v>0.25</v>
      </c>
      <c r="F84" s="2"/>
      <c r="G84" s="3"/>
      <c r="H84" s="3"/>
      <c r="I84" s="2">
        <v>0</v>
      </c>
      <c r="J84" s="2">
        <v>-1262</v>
      </c>
      <c r="K84" s="2"/>
      <c r="L84" s="2"/>
      <c r="M84" s="2"/>
      <c r="N84" s="2"/>
      <c r="O84" s="8">
        <f t="shared" si="7"/>
        <v>-1262</v>
      </c>
      <c r="P84" s="2"/>
      <c r="Q84" s="2"/>
      <c r="R84" s="18"/>
      <c r="S84" s="2"/>
      <c r="T84" s="2"/>
      <c r="U84" s="18"/>
      <c r="V84" s="18"/>
      <c r="W84" s="18"/>
      <c r="X84" s="2"/>
      <c r="Y84" s="18"/>
      <c r="Z84" s="2"/>
      <c r="AA84" s="7">
        <f t="shared" si="8"/>
        <v>0</v>
      </c>
      <c r="AB84" s="8" t="s">
        <v>146</v>
      </c>
      <c r="AC84" s="8">
        <v>200</v>
      </c>
      <c r="AD84" s="8" t="s">
        <v>153</v>
      </c>
      <c r="AE84" s="8">
        <f>+SUM(I84:N84)/AC84</f>
        <v>-6.31</v>
      </c>
      <c r="AF84"/>
    </row>
    <row r="85" spans="1:32" x14ac:dyDescent="0.25">
      <c r="A85" s="2">
        <v>80</v>
      </c>
      <c r="B85" s="2" t="s">
        <v>128</v>
      </c>
      <c r="C85" s="2" t="s">
        <v>129</v>
      </c>
      <c r="D85" s="2" t="s">
        <v>104</v>
      </c>
      <c r="E85" s="13">
        <v>0.25</v>
      </c>
      <c r="F85" s="2"/>
      <c r="G85" s="3"/>
      <c r="H85" s="3"/>
      <c r="I85" s="2">
        <v>0</v>
      </c>
      <c r="J85" s="2">
        <v>-1300</v>
      </c>
      <c r="K85" s="2"/>
      <c r="L85" s="2"/>
      <c r="M85" s="2"/>
      <c r="N85" s="2"/>
      <c r="O85" s="8">
        <f t="shared" si="7"/>
        <v>-1300</v>
      </c>
      <c r="P85" s="2"/>
      <c r="Q85" s="2"/>
      <c r="R85" s="18"/>
      <c r="S85" s="2"/>
      <c r="T85" s="18"/>
      <c r="U85" s="18"/>
      <c r="V85" s="18"/>
      <c r="W85" s="18"/>
      <c r="X85" s="2"/>
      <c r="Y85" s="18"/>
      <c r="Z85" s="2"/>
      <c r="AA85" s="7">
        <f t="shared" si="8"/>
        <v>0</v>
      </c>
      <c r="AB85" s="8" t="s">
        <v>146</v>
      </c>
      <c r="AC85" s="8">
        <v>200</v>
      </c>
      <c r="AD85" s="8" t="s">
        <v>153</v>
      </c>
      <c r="AE85" s="8">
        <f>+SUM(I85:N85)/AC85</f>
        <v>-6.5</v>
      </c>
      <c r="AF85"/>
    </row>
    <row r="86" spans="1:32" x14ac:dyDescent="0.25">
      <c r="A86" s="2">
        <v>81</v>
      </c>
      <c r="B86" s="2" t="s">
        <v>128</v>
      </c>
      <c r="C86" s="2" t="s">
        <v>129</v>
      </c>
      <c r="D86" s="2" t="s">
        <v>105</v>
      </c>
      <c r="E86" s="13">
        <v>0.25</v>
      </c>
      <c r="F86" s="2"/>
      <c r="G86" s="3"/>
      <c r="H86" s="3"/>
      <c r="I86" s="2">
        <v>0</v>
      </c>
      <c r="J86" s="2">
        <v>0</v>
      </c>
      <c r="K86" s="2"/>
      <c r="L86" s="2"/>
      <c r="M86" s="2"/>
      <c r="N86" s="2"/>
      <c r="O86" s="8">
        <f t="shared" si="7"/>
        <v>0</v>
      </c>
      <c r="P86" s="2"/>
      <c r="Q86" s="2"/>
      <c r="R86" s="18"/>
      <c r="S86" s="2"/>
      <c r="T86" s="2"/>
      <c r="U86" s="18"/>
      <c r="V86" s="18"/>
      <c r="W86" s="18"/>
      <c r="X86" s="2"/>
      <c r="Y86" s="18"/>
      <c r="Z86" s="2"/>
      <c r="AA86" s="7">
        <f t="shared" si="8"/>
        <v>0</v>
      </c>
      <c r="AB86" s="8" t="s">
        <v>146</v>
      </c>
      <c r="AC86" s="8">
        <v>200</v>
      </c>
      <c r="AD86" s="8" t="s">
        <v>153</v>
      </c>
      <c r="AE86" s="8">
        <f>+SUM(I86:N86)/AC86</f>
        <v>0</v>
      </c>
      <c r="AF86"/>
    </row>
    <row r="87" spans="1:32" x14ac:dyDescent="0.25">
      <c r="A87" s="2">
        <v>82</v>
      </c>
      <c r="B87" s="2" t="s">
        <v>128</v>
      </c>
      <c r="C87" s="2" t="s">
        <v>129</v>
      </c>
      <c r="D87" s="2" t="s">
        <v>106</v>
      </c>
      <c r="E87" s="13">
        <v>0.375</v>
      </c>
      <c r="F87" s="2"/>
      <c r="G87" s="3"/>
      <c r="H87" s="3"/>
      <c r="I87" s="2">
        <v>0</v>
      </c>
      <c r="J87" s="2">
        <v>0</v>
      </c>
      <c r="K87" s="2"/>
      <c r="L87" s="2"/>
      <c r="M87" s="2"/>
      <c r="N87" s="2"/>
      <c r="O87" s="8">
        <f t="shared" si="7"/>
        <v>0</v>
      </c>
      <c r="P87" s="2"/>
      <c r="Q87" s="2"/>
      <c r="R87" s="18"/>
      <c r="S87" s="2"/>
      <c r="T87" s="18"/>
      <c r="U87" s="18"/>
      <c r="V87" s="18"/>
      <c r="W87" s="18"/>
      <c r="X87" s="2"/>
      <c r="Y87" s="18"/>
      <c r="Z87" s="2"/>
      <c r="AA87" s="7">
        <f t="shared" si="8"/>
        <v>0</v>
      </c>
      <c r="AB87" s="8">
        <v>0</v>
      </c>
      <c r="AC87" s="8">
        <v>0</v>
      </c>
      <c r="AD87" s="8" t="s">
        <v>153</v>
      </c>
      <c r="AE87" s="8">
        <v>0</v>
      </c>
      <c r="AF87"/>
    </row>
    <row r="88" spans="1:32" x14ac:dyDescent="0.25">
      <c r="A88" s="2">
        <v>83</v>
      </c>
      <c r="B88" s="2" t="s">
        <v>128</v>
      </c>
      <c r="C88" s="2" t="s">
        <v>129</v>
      </c>
      <c r="D88" s="2" t="s">
        <v>107</v>
      </c>
      <c r="E88" s="13">
        <v>0.375</v>
      </c>
      <c r="F88" s="2"/>
      <c r="G88" s="3"/>
      <c r="H88" s="3"/>
      <c r="I88" s="2">
        <v>0</v>
      </c>
      <c r="J88" s="2">
        <v>0</v>
      </c>
      <c r="K88" s="2"/>
      <c r="L88" s="2"/>
      <c r="M88" s="2"/>
      <c r="N88" s="2"/>
      <c r="O88" s="8">
        <f t="shared" si="7"/>
        <v>0</v>
      </c>
      <c r="P88" s="2"/>
      <c r="Q88" s="2"/>
      <c r="R88" s="18"/>
      <c r="S88" s="2"/>
      <c r="T88" s="18"/>
      <c r="U88" s="18"/>
      <c r="V88" s="18"/>
      <c r="W88" s="18"/>
      <c r="X88" s="2"/>
      <c r="Y88" s="18"/>
      <c r="Z88" s="2"/>
      <c r="AA88" s="7">
        <f t="shared" si="8"/>
        <v>0</v>
      </c>
      <c r="AB88" s="8">
        <v>0</v>
      </c>
      <c r="AC88" s="8">
        <v>0</v>
      </c>
      <c r="AD88" s="8" t="s">
        <v>153</v>
      </c>
      <c r="AE88" s="8">
        <v>0</v>
      </c>
      <c r="AF88"/>
    </row>
    <row r="89" spans="1:32" x14ac:dyDescent="0.25">
      <c r="A89" s="2">
        <v>84</v>
      </c>
      <c r="B89" s="2" t="s">
        <v>128</v>
      </c>
      <c r="C89" s="2" t="s">
        <v>129</v>
      </c>
      <c r="D89" s="2" t="s">
        <v>108</v>
      </c>
      <c r="E89" s="13">
        <v>0.375</v>
      </c>
      <c r="F89" s="2"/>
      <c r="G89" s="3"/>
      <c r="H89" s="3"/>
      <c r="I89" s="2">
        <v>0</v>
      </c>
      <c r="J89" s="2">
        <v>0</v>
      </c>
      <c r="K89" s="2"/>
      <c r="L89" s="2"/>
      <c r="M89" s="2"/>
      <c r="N89" s="2"/>
      <c r="O89" s="8">
        <f t="shared" si="7"/>
        <v>0</v>
      </c>
      <c r="P89" s="2"/>
      <c r="Q89" s="2"/>
      <c r="R89" s="18"/>
      <c r="S89" s="2"/>
      <c r="T89" s="18"/>
      <c r="U89" s="18"/>
      <c r="V89" s="18"/>
      <c r="W89" s="18"/>
      <c r="X89" s="2"/>
      <c r="Y89" s="18"/>
      <c r="Z89" s="2"/>
      <c r="AA89" s="7">
        <f t="shared" si="8"/>
        <v>0</v>
      </c>
      <c r="AB89" s="8">
        <v>0</v>
      </c>
      <c r="AC89" s="8">
        <v>0</v>
      </c>
      <c r="AD89" s="8" t="s">
        <v>153</v>
      </c>
      <c r="AE89" s="8">
        <v>0</v>
      </c>
      <c r="AF89"/>
    </row>
    <row r="90" spans="1:32" x14ac:dyDescent="0.25">
      <c r="A90" s="2">
        <v>85</v>
      </c>
      <c r="B90" s="2" t="s">
        <v>128</v>
      </c>
      <c r="C90" s="2" t="s">
        <v>129</v>
      </c>
      <c r="D90" s="2" t="s">
        <v>109</v>
      </c>
      <c r="E90" s="13">
        <v>0.375</v>
      </c>
      <c r="F90" s="2"/>
      <c r="G90" s="3"/>
      <c r="H90" s="3"/>
      <c r="I90" s="2">
        <v>0</v>
      </c>
      <c r="J90" s="2">
        <v>0</v>
      </c>
      <c r="K90" s="2"/>
      <c r="L90" s="2"/>
      <c r="M90" s="2"/>
      <c r="N90" s="2"/>
      <c r="O90" s="8">
        <f t="shared" si="7"/>
        <v>0</v>
      </c>
      <c r="P90" s="2"/>
      <c r="Q90" s="2"/>
      <c r="R90" s="18"/>
      <c r="S90" s="2"/>
      <c r="T90" s="18"/>
      <c r="U90" s="18"/>
      <c r="V90" s="18"/>
      <c r="W90" s="18"/>
      <c r="X90" s="2"/>
      <c r="Y90" s="18"/>
      <c r="Z90" s="2"/>
      <c r="AA90" s="7">
        <f t="shared" si="8"/>
        <v>0</v>
      </c>
      <c r="AB90" s="8">
        <v>0</v>
      </c>
      <c r="AC90" s="8">
        <v>0</v>
      </c>
      <c r="AD90" s="8" t="s">
        <v>153</v>
      </c>
      <c r="AE90" s="8">
        <v>0</v>
      </c>
      <c r="AF90"/>
    </row>
    <row r="91" spans="1:32" x14ac:dyDescent="0.25">
      <c r="A91" s="2">
        <v>86</v>
      </c>
      <c r="B91" s="2" t="s">
        <v>128</v>
      </c>
      <c r="C91" s="2" t="s">
        <v>129</v>
      </c>
      <c r="D91" s="2" t="s">
        <v>110</v>
      </c>
      <c r="E91" s="13">
        <v>0.5</v>
      </c>
      <c r="F91" s="2"/>
      <c r="G91" s="3"/>
      <c r="H91" s="3"/>
      <c r="I91" s="2">
        <v>0</v>
      </c>
      <c r="J91" s="2">
        <v>0</v>
      </c>
      <c r="K91" s="2"/>
      <c r="L91" s="2"/>
      <c r="M91" s="2"/>
      <c r="N91" s="2"/>
      <c r="O91" s="8">
        <f t="shared" si="7"/>
        <v>0</v>
      </c>
      <c r="P91" s="2"/>
      <c r="Q91" s="2"/>
      <c r="R91" s="18"/>
      <c r="S91" s="2"/>
      <c r="T91" s="18"/>
      <c r="U91" s="18"/>
      <c r="V91" s="18"/>
      <c r="W91" s="18"/>
      <c r="X91" s="2"/>
      <c r="Y91" s="18"/>
      <c r="Z91" s="2"/>
      <c r="AA91" s="7">
        <f t="shared" si="8"/>
        <v>0</v>
      </c>
      <c r="AB91" s="8" t="s">
        <v>147</v>
      </c>
      <c r="AC91" s="8">
        <v>100</v>
      </c>
      <c r="AD91" s="8" t="s">
        <v>153</v>
      </c>
      <c r="AE91" s="8">
        <f t="shared" ref="AE91:AE122" si="9">+SUM(I91:N91)/AC91</f>
        <v>0</v>
      </c>
      <c r="AF91"/>
    </row>
    <row r="92" spans="1:32" x14ac:dyDescent="0.25">
      <c r="A92" s="2">
        <v>87</v>
      </c>
      <c r="B92" s="2" t="s">
        <v>128</v>
      </c>
      <c r="C92" s="2" t="s">
        <v>129</v>
      </c>
      <c r="D92" s="2" t="s">
        <v>111</v>
      </c>
      <c r="E92" s="13">
        <v>0.5</v>
      </c>
      <c r="F92" s="2"/>
      <c r="G92" s="3"/>
      <c r="H92" s="3"/>
      <c r="I92" s="2">
        <v>0</v>
      </c>
      <c r="J92" s="2">
        <v>0</v>
      </c>
      <c r="K92" s="2"/>
      <c r="L92" s="2"/>
      <c r="M92" s="2"/>
      <c r="N92" s="2"/>
      <c r="O92" s="8">
        <f t="shared" si="7"/>
        <v>0</v>
      </c>
      <c r="P92" s="2"/>
      <c r="Q92" s="2"/>
      <c r="R92" s="18"/>
      <c r="S92" s="2"/>
      <c r="T92" s="18"/>
      <c r="U92" s="18"/>
      <c r="V92" s="18"/>
      <c r="W92" s="18"/>
      <c r="X92" s="2"/>
      <c r="Y92" s="18"/>
      <c r="Z92" s="2"/>
      <c r="AA92" s="7">
        <f t="shared" si="8"/>
        <v>0</v>
      </c>
      <c r="AB92" s="8" t="s">
        <v>147</v>
      </c>
      <c r="AC92" s="8">
        <v>200</v>
      </c>
      <c r="AD92" s="8" t="s">
        <v>153</v>
      </c>
      <c r="AE92" s="8">
        <f t="shared" si="9"/>
        <v>0</v>
      </c>
      <c r="AF92"/>
    </row>
    <row r="93" spans="1:32" x14ac:dyDescent="0.25">
      <c r="A93" s="2">
        <v>88</v>
      </c>
      <c r="B93" s="2" t="s">
        <v>128</v>
      </c>
      <c r="C93" s="2" t="s">
        <v>129</v>
      </c>
      <c r="D93" s="2" t="s">
        <v>112</v>
      </c>
      <c r="E93" s="13">
        <v>0.5</v>
      </c>
      <c r="F93" s="2"/>
      <c r="G93" s="3"/>
      <c r="H93" s="3"/>
      <c r="I93" s="2">
        <v>0</v>
      </c>
      <c r="J93" s="2">
        <v>0</v>
      </c>
      <c r="K93" s="2"/>
      <c r="L93" s="2"/>
      <c r="M93" s="2"/>
      <c r="N93" s="2"/>
      <c r="O93" s="8">
        <f t="shared" si="7"/>
        <v>0</v>
      </c>
      <c r="P93" s="2"/>
      <c r="Q93" s="2"/>
      <c r="R93" s="18"/>
      <c r="S93" s="2"/>
      <c r="T93" s="2"/>
      <c r="U93" s="18"/>
      <c r="V93" s="18"/>
      <c r="W93" s="18"/>
      <c r="X93" s="2"/>
      <c r="Y93" s="18"/>
      <c r="Z93" s="2"/>
      <c r="AA93" s="7">
        <f t="shared" si="8"/>
        <v>0</v>
      </c>
      <c r="AB93" s="8" t="s">
        <v>147</v>
      </c>
      <c r="AC93" s="8">
        <v>200</v>
      </c>
      <c r="AD93" s="8" t="s">
        <v>153</v>
      </c>
      <c r="AE93" s="8">
        <f t="shared" si="9"/>
        <v>0</v>
      </c>
      <c r="AF93"/>
    </row>
    <row r="94" spans="1:32" x14ac:dyDescent="0.25">
      <c r="A94" s="2">
        <v>89</v>
      </c>
      <c r="B94" s="2" t="s">
        <v>128</v>
      </c>
      <c r="C94" s="2" t="s">
        <v>129</v>
      </c>
      <c r="D94" s="2" t="s">
        <v>113</v>
      </c>
      <c r="E94" s="13">
        <v>0.5</v>
      </c>
      <c r="F94" s="2"/>
      <c r="G94" s="3"/>
      <c r="H94" s="3"/>
      <c r="I94" s="2">
        <v>0</v>
      </c>
      <c r="J94" s="2">
        <v>0</v>
      </c>
      <c r="K94" s="2"/>
      <c r="L94" s="2"/>
      <c r="M94" s="2"/>
      <c r="N94" s="2"/>
      <c r="O94" s="8">
        <f t="shared" si="7"/>
        <v>0</v>
      </c>
      <c r="P94" s="2"/>
      <c r="Q94" s="2"/>
      <c r="R94" s="18"/>
      <c r="S94" s="2"/>
      <c r="T94" s="18"/>
      <c r="U94" s="18"/>
      <c r="V94" s="18"/>
      <c r="W94" s="18"/>
      <c r="X94" s="2"/>
      <c r="Y94" s="18"/>
      <c r="Z94" s="2"/>
      <c r="AA94" s="7">
        <f t="shared" si="8"/>
        <v>0</v>
      </c>
      <c r="AB94" s="8" t="s">
        <v>147</v>
      </c>
      <c r="AC94" s="8">
        <v>200</v>
      </c>
      <c r="AD94" s="8" t="s">
        <v>153</v>
      </c>
      <c r="AE94" s="8">
        <f t="shared" si="9"/>
        <v>0</v>
      </c>
      <c r="AF94"/>
    </row>
    <row r="95" spans="1:32" x14ac:dyDescent="0.25">
      <c r="A95" s="2">
        <v>90</v>
      </c>
      <c r="B95" s="2" t="s">
        <v>128</v>
      </c>
      <c r="C95" s="2" t="s">
        <v>129</v>
      </c>
      <c r="D95" s="2" t="s">
        <v>114</v>
      </c>
      <c r="E95" s="13">
        <v>0.5</v>
      </c>
      <c r="F95" s="2"/>
      <c r="G95" s="3"/>
      <c r="H95" s="3"/>
      <c r="I95" s="2">
        <v>0</v>
      </c>
      <c r="J95" s="2">
        <v>0</v>
      </c>
      <c r="K95" s="2"/>
      <c r="L95" s="2"/>
      <c r="M95" s="2"/>
      <c r="N95" s="2"/>
      <c r="O95" s="8">
        <f t="shared" si="7"/>
        <v>0</v>
      </c>
      <c r="P95" s="2"/>
      <c r="Q95" s="2"/>
      <c r="R95" s="18"/>
      <c r="S95" s="2"/>
      <c r="T95" s="2"/>
      <c r="U95" s="18"/>
      <c r="V95" s="18"/>
      <c r="W95" s="18"/>
      <c r="X95" s="2"/>
      <c r="Y95" s="18"/>
      <c r="Z95" s="2"/>
      <c r="AA95" s="7">
        <f t="shared" si="8"/>
        <v>0</v>
      </c>
      <c r="AB95" s="8" t="s">
        <v>147</v>
      </c>
      <c r="AC95" s="8">
        <v>200</v>
      </c>
      <c r="AD95" s="8" t="s">
        <v>153</v>
      </c>
      <c r="AE95" s="8">
        <f t="shared" si="9"/>
        <v>0</v>
      </c>
      <c r="AF95"/>
    </row>
    <row r="96" spans="1:32" x14ac:dyDescent="0.25">
      <c r="A96" s="2">
        <v>91</v>
      </c>
      <c r="B96" s="2" t="s">
        <v>128</v>
      </c>
      <c r="C96" s="2" t="s">
        <v>129</v>
      </c>
      <c r="D96" s="2" t="s">
        <v>115</v>
      </c>
      <c r="E96" s="13">
        <v>0.5</v>
      </c>
      <c r="F96" s="2"/>
      <c r="G96" s="3"/>
      <c r="H96" s="3"/>
      <c r="I96" s="2">
        <v>0</v>
      </c>
      <c r="J96" s="2">
        <v>-40</v>
      </c>
      <c r="K96" s="2"/>
      <c r="L96" s="2"/>
      <c r="M96" s="2"/>
      <c r="N96" s="2"/>
      <c r="O96" s="8">
        <f t="shared" si="7"/>
        <v>-40</v>
      </c>
      <c r="P96" s="2"/>
      <c r="Q96" s="2"/>
      <c r="R96" s="18"/>
      <c r="S96" s="2"/>
      <c r="T96" s="2"/>
      <c r="U96" s="18"/>
      <c r="V96" s="18"/>
      <c r="W96" s="18"/>
      <c r="X96" s="2"/>
      <c r="Y96" s="18"/>
      <c r="Z96" s="2"/>
      <c r="AA96" s="7">
        <f t="shared" si="8"/>
        <v>0</v>
      </c>
      <c r="AB96" s="8" t="s">
        <v>147</v>
      </c>
      <c r="AC96" s="8">
        <v>200</v>
      </c>
      <c r="AD96" s="8" t="s">
        <v>153</v>
      </c>
      <c r="AE96" s="8">
        <f t="shared" si="9"/>
        <v>-0.2</v>
      </c>
      <c r="AF96"/>
    </row>
    <row r="97" spans="1:32" x14ac:dyDescent="0.25">
      <c r="A97" s="2">
        <v>92</v>
      </c>
      <c r="B97" s="2" t="s">
        <v>128</v>
      </c>
      <c r="C97" s="2" t="s">
        <v>129</v>
      </c>
      <c r="D97" s="2" t="s">
        <v>116</v>
      </c>
      <c r="E97" s="13">
        <v>0.5</v>
      </c>
      <c r="F97" s="2"/>
      <c r="G97" s="3"/>
      <c r="H97" s="3"/>
      <c r="I97" s="2">
        <v>0</v>
      </c>
      <c r="J97" s="2">
        <v>0</v>
      </c>
      <c r="K97" s="2"/>
      <c r="L97" s="2"/>
      <c r="M97" s="2"/>
      <c r="N97" s="2"/>
      <c r="O97" s="8">
        <f t="shared" si="7"/>
        <v>0</v>
      </c>
      <c r="P97" s="2"/>
      <c r="Q97" s="2"/>
      <c r="R97" s="18"/>
      <c r="S97" s="2"/>
      <c r="T97" s="2"/>
      <c r="U97" s="18"/>
      <c r="V97" s="18"/>
      <c r="W97" s="18"/>
      <c r="X97" s="2"/>
      <c r="Y97" s="18"/>
      <c r="Z97" s="2"/>
      <c r="AA97" s="7">
        <f t="shared" si="8"/>
        <v>0</v>
      </c>
      <c r="AB97" s="8" t="s">
        <v>147</v>
      </c>
      <c r="AC97" s="8">
        <v>200</v>
      </c>
      <c r="AD97" s="8" t="s">
        <v>153</v>
      </c>
      <c r="AE97" s="8">
        <f t="shared" si="9"/>
        <v>0</v>
      </c>
      <c r="AF97"/>
    </row>
    <row r="98" spans="1:32" x14ac:dyDescent="0.25">
      <c r="A98" s="2">
        <v>93</v>
      </c>
      <c r="B98" s="2" t="s">
        <v>128</v>
      </c>
      <c r="C98" s="2" t="s">
        <v>129</v>
      </c>
      <c r="D98" s="2" t="s">
        <v>117</v>
      </c>
      <c r="E98" s="13">
        <v>0.625</v>
      </c>
      <c r="F98" s="2"/>
      <c r="G98" s="3"/>
      <c r="H98" s="3"/>
      <c r="I98" s="2">
        <v>0</v>
      </c>
      <c r="J98" s="2">
        <v>0</v>
      </c>
      <c r="K98" s="2"/>
      <c r="L98" s="2"/>
      <c r="M98" s="2"/>
      <c r="N98" s="2"/>
      <c r="O98" s="8">
        <f t="shared" si="7"/>
        <v>0</v>
      </c>
      <c r="P98" s="2"/>
      <c r="Q98" s="2"/>
      <c r="R98" s="18"/>
      <c r="S98" s="2"/>
      <c r="T98" s="18"/>
      <c r="U98" s="18"/>
      <c r="V98" s="18"/>
      <c r="W98" s="18"/>
      <c r="X98" s="2"/>
      <c r="Y98" s="18"/>
      <c r="Z98" s="2"/>
      <c r="AA98" s="7">
        <f t="shared" si="8"/>
        <v>0</v>
      </c>
      <c r="AB98" s="8" t="s">
        <v>147</v>
      </c>
      <c r="AC98" s="8">
        <v>150</v>
      </c>
      <c r="AD98" s="8" t="s">
        <v>153</v>
      </c>
      <c r="AE98" s="8">
        <f t="shared" si="9"/>
        <v>0</v>
      </c>
    </row>
    <row r="99" spans="1:32" x14ac:dyDescent="0.25">
      <c r="A99" s="2">
        <v>94</v>
      </c>
      <c r="B99" s="2" t="s">
        <v>128</v>
      </c>
      <c r="C99" s="2" t="s">
        <v>129</v>
      </c>
      <c r="D99" s="2" t="s">
        <v>118</v>
      </c>
      <c r="E99" s="13">
        <v>0.625</v>
      </c>
      <c r="F99" s="2"/>
      <c r="G99" s="3"/>
      <c r="H99" s="3"/>
      <c r="I99" s="2">
        <v>0</v>
      </c>
      <c r="J99" s="2">
        <v>0</v>
      </c>
      <c r="K99" s="2"/>
      <c r="L99" s="2"/>
      <c r="M99" s="2"/>
      <c r="N99" s="2"/>
      <c r="O99" s="8">
        <f t="shared" si="7"/>
        <v>0</v>
      </c>
      <c r="P99" s="2"/>
      <c r="Q99" s="2"/>
      <c r="R99" s="18"/>
      <c r="S99" s="18"/>
      <c r="T99" s="18"/>
      <c r="U99" s="18"/>
      <c r="V99" s="18"/>
      <c r="W99" s="18"/>
      <c r="X99" s="2"/>
      <c r="Y99" s="18"/>
      <c r="Z99" s="2"/>
      <c r="AA99" s="7">
        <f t="shared" si="8"/>
        <v>0</v>
      </c>
      <c r="AB99" s="8" t="s">
        <v>147</v>
      </c>
      <c r="AC99" s="8">
        <v>150</v>
      </c>
      <c r="AD99" s="8" t="s">
        <v>153</v>
      </c>
      <c r="AE99" s="8">
        <f t="shared" si="9"/>
        <v>0</v>
      </c>
    </row>
    <row r="100" spans="1:32" x14ac:dyDescent="0.25">
      <c r="A100" s="2">
        <v>95</v>
      </c>
      <c r="B100" s="2" t="s">
        <v>128</v>
      </c>
      <c r="C100" s="2" t="s">
        <v>129</v>
      </c>
      <c r="D100" s="2" t="s">
        <v>119</v>
      </c>
      <c r="E100" s="13">
        <v>0.625</v>
      </c>
      <c r="F100" s="2"/>
      <c r="G100" s="3"/>
      <c r="H100" s="3"/>
      <c r="I100" s="2">
        <v>0</v>
      </c>
      <c r="J100" s="2">
        <v>0</v>
      </c>
      <c r="K100" s="2"/>
      <c r="L100" s="2"/>
      <c r="M100" s="2"/>
      <c r="N100" s="2"/>
      <c r="O100" s="8">
        <f t="shared" si="7"/>
        <v>0</v>
      </c>
      <c r="P100" s="2"/>
      <c r="Q100" s="2"/>
      <c r="R100" s="18"/>
      <c r="S100" s="18"/>
      <c r="T100" s="2"/>
      <c r="U100" s="18"/>
      <c r="V100" s="18"/>
      <c r="W100" s="18"/>
      <c r="X100" s="2"/>
      <c r="Y100" s="18"/>
      <c r="Z100" s="2"/>
      <c r="AA100" s="7">
        <f t="shared" si="8"/>
        <v>0</v>
      </c>
      <c r="AB100" s="8" t="s">
        <v>147</v>
      </c>
      <c r="AC100" s="8">
        <v>150</v>
      </c>
      <c r="AD100" s="8" t="s">
        <v>153</v>
      </c>
      <c r="AE100" s="8">
        <f t="shared" si="9"/>
        <v>0</v>
      </c>
    </row>
    <row r="101" spans="1:32" x14ac:dyDescent="0.25">
      <c r="A101" s="2">
        <v>96</v>
      </c>
      <c r="B101" s="2" t="s">
        <v>128</v>
      </c>
      <c r="C101" s="2" t="s">
        <v>129</v>
      </c>
      <c r="D101" s="2" t="s">
        <v>120</v>
      </c>
      <c r="E101" s="13">
        <v>0.625</v>
      </c>
      <c r="F101" s="2"/>
      <c r="G101" s="3"/>
      <c r="H101" s="3"/>
      <c r="I101" s="2">
        <v>0</v>
      </c>
      <c r="J101" s="2">
        <v>0</v>
      </c>
      <c r="K101" s="2"/>
      <c r="L101" s="2"/>
      <c r="M101" s="2"/>
      <c r="N101" s="2"/>
      <c r="O101" s="8">
        <f t="shared" si="7"/>
        <v>0</v>
      </c>
      <c r="P101" s="2"/>
      <c r="Q101" s="2"/>
      <c r="R101" s="18"/>
      <c r="S101" s="18"/>
      <c r="T101" s="2"/>
      <c r="U101" s="18"/>
      <c r="V101" s="18"/>
      <c r="W101" s="18"/>
      <c r="X101" s="2"/>
      <c r="Y101" s="18"/>
      <c r="Z101" s="2"/>
      <c r="AA101" s="7">
        <f t="shared" si="8"/>
        <v>0</v>
      </c>
      <c r="AB101" s="8" t="s">
        <v>147</v>
      </c>
      <c r="AC101" s="8">
        <v>150</v>
      </c>
      <c r="AD101" s="8" t="s">
        <v>153</v>
      </c>
      <c r="AE101" s="8">
        <f t="shared" si="9"/>
        <v>0</v>
      </c>
    </row>
    <row r="102" spans="1:32" x14ac:dyDescent="0.25">
      <c r="A102" s="2">
        <v>97</v>
      </c>
      <c r="B102" s="2" t="s">
        <v>128</v>
      </c>
      <c r="C102" s="2" t="s">
        <v>129</v>
      </c>
      <c r="D102" s="2" t="s">
        <v>121</v>
      </c>
      <c r="E102" s="13">
        <v>0.75</v>
      </c>
      <c r="F102" s="2"/>
      <c r="G102" s="3"/>
      <c r="H102" s="3"/>
      <c r="I102" s="2">
        <v>0</v>
      </c>
      <c r="J102" s="2">
        <v>0</v>
      </c>
      <c r="K102" s="2"/>
      <c r="L102" s="2"/>
      <c r="M102" s="2"/>
      <c r="N102" s="2"/>
      <c r="O102" s="8">
        <f t="shared" ref="O102:O133" si="10">+I102+J102+K102+L102+M102+N102-SUM(P102:Z102)</f>
        <v>0</v>
      </c>
      <c r="P102" s="2"/>
      <c r="Q102" s="2"/>
      <c r="R102" s="18"/>
      <c r="S102" s="18"/>
      <c r="T102" s="2"/>
      <c r="U102" s="18"/>
      <c r="V102" s="18"/>
      <c r="W102" s="18"/>
      <c r="X102" s="2"/>
      <c r="Y102" s="18"/>
      <c r="Z102" s="2"/>
      <c r="AA102" s="7">
        <f t="shared" ref="AA102:AA133" si="11">+G102*SUM(I102:N102)</f>
        <v>0</v>
      </c>
      <c r="AB102" s="8" t="s">
        <v>147</v>
      </c>
      <c r="AC102" s="8">
        <v>80</v>
      </c>
      <c r="AD102" s="8" t="s">
        <v>153</v>
      </c>
      <c r="AE102" s="8">
        <f t="shared" si="9"/>
        <v>0</v>
      </c>
    </row>
    <row r="103" spans="1:32" x14ac:dyDescent="0.25">
      <c r="A103" s="2">
        <v>98</v>
      </c>
      <c r="B103" s="2" t="s">
        <v>128</v>
      </c>
      <c r="C103" s="2" t="s">
        <v>129</v>
      </c>
      <c r="D103" s="2" t="s">
        <v>122</v>
      </c>
      <c r="E103" s="13">
        <v>0.75</v>
      </c>
      <c r="F103" s="2"/>
      <c r="G103" s="3"/>
      <c r="H103" s="3"/>
      <c r="I103" s="2">
        <v>0</v>
      </c>
      <c r="J103" s="2">
        <v>0</v>
      </c>
      <c r="K103" s="2"/>
      <c r="L103" s="2"/>
      <c r="M103" s="2"/>
      <c r="N103" s="2"/>
      <c r="O103" s="8">
        <f t="shared" si="10"/>
        <v>0</v>
      </c>
      <c r="P103" s="2"/>
      <c r="Q103" s="2"/>
      <c r="R103" s="18"/>
      <c r="S103" s="18"/>
      <c r="T103" s="2"/>
      <c r="U103" s="18"/>
      <c r="V103" s="18"/>
      <c r="W103" s="18"/>
      <c r="X103" s="2"/>
      <c r="Y103" s="18"/>
      <c r="Z103" s="2"/>
      <c r="AA103" s="7">
        <f t="shared" si="11"/>
        <v>0</v>
      </c>
      <c r="AB103" s="8" t="s">
        <v>147</v>
      </c>
      <c r="AC103" s="8">
        <v>80</v>
      </c>
      <c r="AD103" s="8" t="s">
        <v>153</v>
      </c>
      <c r="AE103" s="8">
        <f t="shared" si="9"/>
        <v>0</v>
      </c>
    </row>
    <row r="104" spans="1:32" x14ac:dyDescent="0.25">
      <c r="A104" s="2">
        <v>99</v>
      </c>
      <c r="B104" s="2" t="s">
        <v>128</v>
      </c>
      <c r="C104" s="2" t="s">
        <v>129</v>
      </c>
      <c r="D104" s="2" t="s">
        <v>123</v>
      </c>
      <c r="E104" s="13">
        <v>0.75</v>
      </c>
      <c r="F104" s="2"/>
      <c r="G104" s="3"/>
      <c r="H104" s="3"/>
      <c r="I104" s="2">
        <v>0</v>
      </c>
      <c r="J104" s="2">
        <v>0</v>
      </c>
      <c r="K104" s="2"/>
      <c r="L104" s="2"/>
      <c r="M104" s="2"/>
      <c r="N104" s="2"/>
      <c r="O104" s="8">
        <f t="shared" si="10"/>
        <v>0</v>
      </c>
      <c r="P104" s="2"/>
      <c r="Q104" s="2"/>
      <c r="R104" s="18"/>
      <c r="S104" s="18"/>
      <c r="T104" s="2"/>
      <c r="U104" s="18"/>
      <c r="V104" s="18"/>
      <c r="W104" s="18"/>
      <c r="X104" s="2"/>
      <c r="Y104" s="18"/>
      <c r="Z104" s="2"/>
      <c r="AA104" s="7">
        <f t="shared" si="11"/>
        <v>0</v>
      </c>
      <c r="AB104" s="8" t="s">
        <v>147</v>
      </c>
      <c r="AC104" s="8">
        <v>80</v>
      </c>
      <c r="AD104" s="8" t="s">
        <v>153</v>
      </c>
      <c r="AE104" s="8">
        <f t="shared" si="9"/>
        <v>0</v>
      </c>
    </row>
    <row r="105" spans="1:32" x14ac:dyDescent="0.25">
      <c r="A105" s="2">
        <v>100</v>
      </c>
      <c r="B105" s="2" t="s">
        <v>128</v>
      </c>
      <c r="C105" s="2" t="s">
        <v>129</v>
      </c>
      <c r="D105" s="2" t="s">
        <v>124</v>
      </c>
      <c r="E105" s="13">
        <v>0.75</v>
      </c>
      <c r="F105" s="2"/>
      <c r="G105" s="3"/>
      <c r="H105" s="3"/>
      <c r="I105" s="2">
        <v>0</v>
      </c>
      <c r="J105" s="2">
        <v>0</v>
      </c>
      <c r="K105" s="2"/>
      <c r="L105" s="2"/>
      <c r="M105" s="2"/>
      <c r="N105" s="2"/>
      <c r="O105" s="8">
        <f t="shared" si="10"/>
        <v>0</v>
      </c>
      <c r="P105" s="2"/>
      <c r="Q105" s="2"/>
      <c r="R105" s="18"/>
      <c r="S105" s="18"/>
      <c r="T105" s="2"/>
      <c r="U105" s="18"/>
      <c r="V105" s="18"/>
      <c r="W105" s="18"/>
      <c r="X105" s="2"/>
      <c r="Y105" s="18"/>
      <c r="Z105" s="2"/>
      <c r="AA105" s="7">
        <f t="shared" si="11"/>
        <v>0</v>
      </c>
      <c r="AB105" s="8" t="s">
        <v>147</v>
      </c>
      <c r="AC105" s="8">
        <v>80</v>
      </c>
      <c r="AD105" s="8" t="s">
        <v>153</v>
      </c>
      <c r="AE105" s="8">
        <f t="shared" si="9"/>
        <v>0</v>
      </c>
    </row>
    <row r="106" spans="1:32" x14ac:dyDescent="0.25">
      <c r="A106" s="2">
        <v>101</v>
      </c>
      <c r="B106" s="2" t="s">
        <v>128</v>
      </c>
      <c r="C106" s="2" t="s">
        <v>129</v>
      </c>
      <c r="D106" s="2" t="s">
        <v>125</v>
      </c>
      <c r="E106" s="13">
        <v>0.875</v>
      </c>
      <c r="F106" s="2"/>
      <c r="G106" s="3"/>
      <c r="H106" s="3"/>
      <c r="I106" s="2">
        <v>0</v>
      </c>
      <c r="J106" s="2">
        <v>0</v>
      </c>
      <c r="K106" s="2"/>
      <c r="L106" s="2"/>
      <c r="M106" s="2"/>
      <c r="N106" s="2"/>
      <c r="O106" s="8">
        <f t="shared" si="10"/>
        <v>0</v>
      </c>
      <c r="P106" s="2"/>
      <c r="Q106" s="2"/>
      <c r="R106" s="18"/>
      <c r="S106" s="18"/>
      <c r="T106" s="18"/>
      <c r="U106" s="18"/>
      <c r="V106" s="18"/>
      <c r="W106" s="18"/>
      <c r="X106" s="2"/>
      <c r="Y106" s="18"/>
      <c r="Z106" s="2"/>
      <c r="AA106" s="7">
        <f t="shared" si="11"/>
        <v>0</v>
      </c>
      <c r="AB106" s="8" t="s">
        <v>147</v>
      </c>
      <c r="AC106" s="8">
        <v>50</v>
      </c>
      <c r="AD106" s="8" t="s">
        <v>153</v>
      </c>
      <c r="AE106" s="8">
        <f t="shared" si="9"/>
        <v>0</v>
      </c>
    </row>
    <row r="107" spans="1:32" x14ac:dyDescent="0.25">
      <c r="A107" s="2">
        <v>102</v>
      </c>
      <c r="B107" s="2" t="s">
        <v>128</v>
      </c>
      <c r="C107" s="2" t="s">
        <v>129</v>
      </c>
      <c r="D107" s="2" t="s">
        <v>126</v>
      </c>
      <c r="E107" s="13">
        <v>0.875</v>
      </c>
      <c r="F107" s="2"/>
      <c r="G107" s="3"/>
      <c r="H107" s="3"/>
      <c r="I107" s="2">
        <v>0</v>
      </c>
      <c r="J107" s="2">
        <v>0</v>
      </c>
      <c r="K107" s="2"/>
      <c r="L107" s="2"/>
      <c r="M107" s="2"/>
      <c r="N107" s="2"/>
      <c r="O107" s="8">
        <f t="shared" si="10"/>
        <v>0</v>
      </c>
      <c r="P107" s="2"/>
      <c r="Q107" s="2"/>
      <c r="R107" s="18"/>
      <c r="S107" s="18"/>
      <c r="T107" s="18"/>
      <c r="U107" s="18"/>
      <c r="V107" s="18"/>
      <c r="W107" s="18"/>
      <c r="X107" s="2"/>
      <c r="Y107" s="18"/>
      <c r="Z107" s="2"/>
      <c r="AA107" s="7">
        <f t="shared" si="11"/>
        <v>0</v>
      </c>
      <c r="AB107" s="8" t="s">
        <v>155</v>
      </c>
      <c r="AC107" s="8">
        <v>50</v>
      </c>
      <c r="AD107" s="8" t="s">
        <v>153</v>
      </c>
      <c r="AE107" s="8">
        <f t="shared" si="9"/>
        <v>0</v>
      </c>
    </row>
    <row r="108" spans="1:32" x14ac:dyDescent="0.25">
      <c r="A108" s="2">
        <v>103</v>
      </c>
      <c r="B108" s="2" t="s">
        <v>128</v>
      </c>
      <c r="C108" s="2" t="s">
        <v>129</v>
      </c>
      <c r="D108" s="2" t="s">
        <v>127</v>
      </c>
      <c r="E108" s="13">
        <v>0.875</v>
      </c>
      <c r="F108" s="2"/>
      <c r="G108" s="3"/>
      <c r="H108" s="3"/>
      <c r="I108" s="2">
        <v>0</v>
      </c>
      <c r="J108" s="2">
        <v>0</v>
      </c>
      <c r="K108" s="2"/>
      <c r="L108" s="2"/>
      <c r="M108" s="2"/>
      <c r="N108" s="2"/>
      <c r="O108" s="8">
        <f t="shared" si="10"/>
        <v>0</v>
      </c>
      <c r="P108" s="2"/>
      <c r="Q108" s="2"/>
      <c r="R108" s="18"/>
      <c r="S108" s="18"/>
      <c r="T108" s="2"/>
      <c r="U108" s="18"/>
      <c r="V108" s="18"/>
      <c r="W108" s="18"/>
      <c r="X108" s="2"/>
      <c r="Y108" s="18"/>
      <c r="Z108" s="2"/>
      <c r="AA108" s="7">
        <f t="shared" si="11"/>
        <v>0</v>
      </c>
      <c r="AB108" s="8" t="s">
        <v>155</v>
      </c>
      <c r="AC108" s="8">
        <v>50</v>
      </c>
      <c r="AD108" s="8" t="s">
        <v>153</v>
      </c>
      <c r="AE108" s="8">
        <f t="shared" si="9"/>
        <v>0</v>
      </c>
    </row>
    <row r="109" spans="1:32" x14ac:dyDescent="0.25">
      <c r="A109" s="2">
        <v>104</v>
      </c>
      <c r="B109" s="2" t="s">
        <v>130</v>
      </c>
      <c r="C109" s="2" t="s">
        <v>0</v>
      </c>
      <c r="D109" s="2" t="s">
        <v>131</v>
      </c>
      <c r="E109" s="13">
        <v>0.375</v>
      </c>
      <c r="F109" s="2"/>
      <c r="G109" s="3"/>
      <c r="H109" s="3"/>
      <c r="I109" s="2">
        <v>0</v>
      </c>
      <c r="J109" s="2">
        <v>0</v>
      </c>
      <c r="K109" s="2"/>
      <c r="L109" s="2"/>
      <c r="M109" s="2"/>
      <c r="N109" s="2"/>
      <c r="O109" s="8">
        <f t="shared" si="10"/>
        <v>0</v>
      </c>
      <c r="P109" s="2"/>
      <c r="Q109" s="2"/>
      <c r="R109" s="18"/>
      <c r="S109" s="18"/>
      <c r="T109" s="2"/>
      <c r="U109" s="18"/>
      <c r="V109" s="18"/>
      <c r="W109" s="18"/>
      <c r="X109" s="2"/>
      <c r="Y109" s="18"/>
      <c r="Z109" s="2"/>
      <c r="AA109" s="7">
        <f t="shared" si="11"/>
        <v>0</v>
      </c>
      <c r="AB109" s="8" t="s">
        <v>148</v>
      </c>
      <c r="AC109" s="8">
        <v>250</v>
      </c>
      <c r="AD109" s="8" t="s">
        <v>154</v>
      </c>
      <c r="AE109" s="8">
        <f t="shared" si="9"/>
        <v>0</v>
      </c>
    </row>
    <row r="110" spans="1:32" x14ac:dyDescent="0.25">
      <c r="A110" s="2">
        <v>105</v>
      </c>
      <c r="B110" s="2" t="s">
        <v>130</v>
      </c>
      <c r="C110" s="2" t="s">
        <v>0</v>
      </c>
      <c r="D110" s="2" t="s">
        <v>132</v>
      </c>
      <c r="E110" s="13">
        <v>0.375</v>
      </c>
      <c r="F110" s="2"/>
      <c r="G110" s="3"/>
      <c r="H110" s="3"/>
      <c r="I110" s="2">
        <v>0</v>
      </c>
      <c r="J110" s="2">
        <v>0</v>
      </c>
      <c r="K110" s="2"/>
      <c r="L110" s="2"/>
      <c r="M110" s="2"/>
      <c r="N110" s="2"/>
      <c r="O110" s="8">
        <f t="shared" si="10"/>
        <v>0</v>
      </c>
      <c r="P110" s="2"/>
      <c r="Q110" s="2"/>
      <c r="R110" s="18"/>
      <c r="S110" s="18"/>
      <c r="T110" s="18"/>
      <c r="U110" s="18"/>
      <c r="V110" s="18"/>
      <c r="W110" s="18"/>
      <c r="X110" s="2"/>
      <c r="Y110" s="18"/>
      <c r="Z110" s="2"/>
      <c r="AA110" s="7">
        <f t="shared" si="11"/>
        <v>0</v>
      </c>
      <c r="AB110" s="8" t="s">
        <v>148</v>
      </c>
      <c r="AC110" s="8">
        <v>250</v>
      </c>
      <c r="AD110" s="8" t="s">
        <v>154</v>
      </c>
      <c r="AE110" s="8">
        <f t="shared" si="9"/>
        <v>0</v>
      </c>
    </row>
    <row r="111" spans="1:32" x14ac:dyDescent="0.25">
      <c r="A111" s="2">
        <v>106</v>
      </c>
      <c r="B111" s="2" t="s">
        <v>130</v>
      </c>
      <c r="C111" s="2" t="s">
        <v>0</v>
      </c>
      <c r="D111" s="2" t="s">
        <v>133</v>
      </c>
      <c r="E111" s="13">
        <v>0.375</v>
      </c>
      <c r="F111" s="2"/>
      <c r="G111" s="3"/>
      <c r="H111" s="3"/>
      <c r="I111" s="2">
        <v>0</v>
      </c>
      <c r="J111" s="2">
        <v>0</v>
      </c>
      <c r="K111" s="2"/>
      <c r="L111" s="2"/>
      <c r="M111" s="2"/>
      <c r="N111" s="2"/>
      <c r="O111" s="8">
        <f t="shared" si="10"/>
        <v>0</v>
      </c>
      <c r="P111" s="2"/>
      <c r="Q111" s="2"/>
      <c r="R111" s="18"/>
      <c r="S111" s="18"/>
      <c r="T111" s="18"/>
      <c r="U111" s="18"/>
      <c r="V111" s="18"/>
      <c r="W111" s="18"/>
      <c r="X111" s="2"/>
      <c r="Y111" s="18"/>
      <c r="Z111" s="2"/>
      <c r="AA111" s="7">
        <f t="shared" si="11"/>
        <v>0</v>
      </c>
      <c r="AB111" s="8" t="s">
        <v>148</v>
      </c>
      <c r="AC111" s="8">
        <v>250</v>
      </c>
      <c r="AD111" s="8" t="s">
        <v>154</v>
      </c>
      <c r="AE111" s="8">
        <f t="shared" si="9"/>
        <v>0</v>
      </c>
    </row>
    <row r="112" spans="1:32" x14ac:dyDescent="0.25">
      <c r="A112" s="2">
        <v>107</v>
      </c>
      <c r="B112" s="2" t="s">
        <v>130</v>
      </c>
      <c r="C112" s="2" t="s">
        <v>0</v>
      </c>
      <c r="D112" s="2" t="s">
        <v>134</v>
      </c>
      <c r="E112" s="13">
        <v>0.75</v>
      </c>
      <c r="F112" s="2"/>
      <c r="G112" s="3"/>
      <c r="H112" s="3"/>
      <c r="I112" s="2">
        <v>0</v>
      </c>
      <c r="J112" s="2">
        <v>0</v>
      </c>
      <c r="K112" s="2"/>
      <c r="L112" s="2"/>
      <c r="M112" s="2"/>
      <c r="N112" s="2"/>
      <c r="O112" s="8">
        <f t="shared" si="10"/>
        <v>0</v>
      </c>
      <c r="P112" s="2"/>
      <c r="Q112" s="2"/>
      <c r="R112" s="18"/>
      <c r="S112" s="18"/>
      <c r="T112" s="2"/>
      <c r="U112" s="18"/>
      <c r="V112" s="18"/>
      <c r="W112" s="18"/>
      <c r="X112" s="2"/>
      <c r="Y112" s="18"/>
      <c r="Z112" s="2"/>
      <c r="AA112" s="7">
        <f t="shared" si="11"/>
        <v>0</v>
      </c>
      <c r="AB112" s="8" t="s">
        <v>150</v>
      </c>
      <c r="AC112" s="8">
        <v>200</v>
      </c>
      <c r="AD112" s="8" t="s">
        <v>154</v>
      </c>
      <c r="AE112" s="8">
        <f t="shared" si="9"/>
        <v>0</v>
      </c>
    </row>
    <row r="113" spans="1:31" x14ac:dyDescent="0.25">
      <c r="A113" s="2">
        <v>108</v>
      </c>
      <c r="B113" s="2" t="s">
        <v>130</v>
      </c>
      <c r="C113" s="2" t="s">
        <v>0</v>
      </c>
      <c r="D113" s="2" t="s">
        <v>135</v>
      </c>
      <c r="E113" s="13">
        <v>0.75</v>
      </c>
      <c r="F113" s="2"/>
      <c r="G113" s="3"/>
      <c r="H113" s="3"/>
      <c r="I113" s="2">
        <v>0</v>
      </c>
      <c r="J113" s="2">
        <v>0</v>
      </c>
      <c r="K113" s="2"/>
      <c r="L113" s="2"/>
      <c r="M113" s="2"/>
      <c r="N113" s="2"/>
      <c r="O113" s="8">
        <f t="shared" si="10"/>
        <v>0</v>
      </c>
      <c r="P113" s="2"/>
      <c r="Q113" s="2"/>
      <c r="R113" s="18"/>
      <c r="S113" s="18"/>
      <c r="T113" s="2"/>
      <c r="U113" s="18"/>
      <c r="V113" s="18"/>
      <c r="W113" s="18"/>
      <c r="X113" s="2"/>
      <c r="Y113" s="18"/>
      <c r="Z113" s="2"/>
      <c r="AA113" s="7">
        <f t="shared" si="11"/>
        <v>0</v>
      </c>
      <c r="AB113" s="8" t="s">
        <v>150</v>
      </c>
      <c r="AC113" s="8">
        <v>200</v>
      </c>
      <c r="AD113" s="8" t="s">
        <v>154</v>
      </c>
      <c r="AE113" s="8">
        <f t="shared" si="9"/>
        <v>0</v>
      </c>
    </row>
    <row r="114" spans="1:31" x14ac:dyDescent="0.25">
      <c r="A114" s="2">
        <v>109</v>
      </c>
      <c r="B114" s="2" t="s">
        <v>130</v>
      </c>
      <c r="C114" s="2" t="s">
        <v>0</v>
      </c>
      <c r="D114" s="2" t="s">
        <v>136</v>
      </c>
      <c r="E114" s="13">
        <v>0.75</v>
      </c>
      <c r="F114" s="2"/>
      <c r="G114" s="3"/>
      <c r="H114" s="3"/>
      <c r="I114" s="2">
        <v>0</v>
      </c>
      <c r="J114" s="2">
        <v>0</v>
      </c>
      <c r="K114" s="2"/>
      <c r="L114" s="2"/>
      <c r="M114" s="2"/>
      <c r="N114" s="2"/>
      <c r="O114" s="8">
        <f t="shared" si="10"/>
        <v>0</v>
      </c>
      <c r="P114" s="2"/>
      <c r="Q114" s="2"/>
      <c r="R114" s="18"/>
      <c r="S114" s="18"/>
      <c r="T114" s="2"/>
      <c r="U114" s="18"/>
      <c r="V114" s="18"/>
      <c r="W114" s="18"/>
      <c r="X114" s="2"/>
      <c r="Y114" s="18"/>
      <c r="Z114" s="2"/>
      <c r="AA114" s="7">
        <f t="shared" si="11"/>
        <v>0</v>
      </c>
      <c r="AB114" s="8" t="s">
        <v>150</v>
      </c>
      <c r="AC114" s="8">
        <v>200</v>
      </c>
      <c r="AD114" s="8" t="s">
        <v>154</v>
      </c>
      <c r="AE114" s="8">
        <f t="shared" si="9"/>
        <v>0</v>
      </c>
    </row>
    <row r="115" spans="1:31" x14ac:dyDescent="0.25">
      <c r="A115" s="2">
        <v>110</v>
      </c>
      <c r="B115" s="2" t="s">
        <v>130</v>
      </c>
      <c r="C115" s="2" t="s">
        <v>0</v>
      </c>
      <c r="D115" s="2" t="s">
        <v>137</v>
      </c>
      <c r="E115" s="13">
        <v>0.75</v>
      </c>
      <c r="F115" s="2"/>
      <c r="G115" s="3"/>
      <c r="H115" s="3"/>
      <c r="I115" s="2">
        <v>0</v>
      </c>
      <c r="J115" s="2">
        <v>0</v>
      </c>
      <c r="K115" s="2"/>
      <c r="L115" s="2"/>
      <c r="M115" s="2"/>
      <c r="N115" s="2"/>
      <c r="O115" s="8">
        <f t="shared" si="10"/>
        <v>0</v>
      </c>
      <c r="P115" s="2"/>
      <c r="Q115" s="2"/>
      <c r="R115" s="18"/>
      <c r="S115" s="18"/>
      <c r="T115" s="2"/>
      <c r="U115" s="18"/>
      <c r="V115" s="18"/>
      <c r="W115" s="18"/>
      <c r="X115" s="2"/>
      <c r="Y115" s="18"/>
      <c r="Z115" s="2"/>
      <c r="AA115" s="7">
        <f t="shared" si="11"/>
        <v>0</v>
      </c>
      <c r="AB115" s="8" t="s">
        <v>150</v>
      </c>
      <c r="AC115" s="8">
        <v>200</v>
      </c>
      <c r="AD115" s="8" t="s">
        <v>154</v>
      </c>
      <c r="AE115" s="8">
        <f t="shared" si="9"/>
        <v>0</v>
      </c>
    </row>
    <row r="116" spans="1:31" x14ac:dyDescent="0.25">
      <c r="A116" s="2">
        <v>111</v>
      </c>
      <c r="B116" s="2" t="s">
        <v>130</v>
      </c>
      <c r="C116" s="2" t="s">
        <v>0</v>
      </c>
      <c r="D116" s="2" t="s">
        <v>138</v>
      </c>
      <c r="E116" s="13">
        <v>0.75</v>
      </c>
      <c r="F116" s="2"/>
      <c r="G116" s="3"/>
      <c r="H116" s="3"/>
      <c r="I116" s="2">
        <v>0</v>
      </c>
      <c r="J116" s="2">
        <v>0</v>
      </c>
      <c r="K116" s="2"/>
      <c r="L116" s="2"/>
      <c r="M116" s="2"/>
      <c r="N116" s="2"/>
      <c r="O116" s="8">
        <f t="shared" si="10"/>
        <v>0</v>
      </c>
      <c r="P116" s="2"/>
      <c r="Q116" s="2"/>
      <c r="R116" s="18"/>
      <c r="S116" s="18"/>
      <c r="T116" s="2"/>
      <c r="U116" s="18"/>
      <c r="V116" s="18"/>
      <c r="W116" s="18"/>
      <c r="X116" s="2"/>
      <c r="Y116" s="18"/>
      <c r="Z116" s="2"/>
      <c r="AA116" s="7">
        <f t="shared" si="11"/>
        <v>0</v>
      </c>
      <c r="AB116" s="8" t="s">
        <v>150</v>
      </c>
      <c r="AC116" s="8">
        <v>200</v>
      </c>
      <c r="AD116" s="8" t="s">
        <v>154</v>
      </c>
      <c r="AE116" s="8">
        <f t="shared" si="9"/>
        <v>0</v>
      </c>
    </row>
    <row r="117" spans="1:31" x14ac:dyDescent="0.25">
      <c r="A117" s="2">
        <v>112</v>
      </c>
      <c r="B117" s="2" t="s">
        <v>130</v>
      </c>
      <c r="C117" s="2" t="s">
        <v>0</v>
      </c>
      <c r="D117" s="2" t="s">
        <v>139</v>
      </c>
      <c r="E117" s="13">
        <v>0.75</v>
      </c>
      <c r="F117" s="2"/>
      <c r="G117" s="3"/>
      <c r="H117" s="3"/>
      <c r="I117" s="2">
        <v>0</v>
      </c>
      <c r="J117" s="2">
        <v>0</v>
      </c>
      <c r="K117" s="2"/>
      <c r="L117" s="2"/>
      <c r="M117" s="2"/>
      <c r="N117" s="2"/>
      <c r="O117" s="8">
        <f t="shared" si="10"/>
        <v>0</v>
      </c>
      <c r="P117" s="2"/>
      <c r="Q117" s="2"/>
      <c r="R117" s="18"/>
      <c r="S117" s="18"/>
      <c r="T117" s="2"/>
      <c r="U117" s="18"/>
      <c r="V117" s="18"/>
      <c r="W117" s="18"/>
      <c r="X117" s="2"/>
      <c r="Y117" s="18"/>
      <c r="Z117" s="2"/>
      <c r="AA117" s="7">
        <f t="shared" si="11"/>
        <v>0</v>
      </c>
      <c r="AB117" s="8" t="s">
        <v>150</v>
      </c>
      <c r="AC117" s="8">
        <v>200</v>
      </c>
      <c r="AD117" s="8" t="s">
        <v>154</v>
      </c>
      <c r="AE117" s="8">
        <f t="shared" si="9"/>
        <v>0</v>
      </c>
    </row>
    <row r="118" spans="1:31" x14ac:dyDescent="0.25">
      <c r="A118" s="2">
        <v>113</v>
      </c>
      <c r="B118" s="2" t="s">
        <v>130</v>
      </c>
      <c r="C118" s="2" t="s">
        <v>0</v>
      </c>
      <c r="D118" s="2" t="s">
        <v>140</v>
      </c>
      <c r="E118" s="13">
        <v>0.75</v>
      </c>
      <c r="F118" s="2"/>
      <c r="G118" s="3"/>
      <c r="H118" s="3"/>
      <c r="I118" s="2">
        <v>1248</v>
      </c>
      <c r="J118" s="2">
        <v>0</v>
      </c>
      <c r="K118" s="2"/>
      <c r="L118" s="2"/>
      <c r="M118" s="2"/>
      <c r="N118" s="2"/>
      <c r="O118" s="8">
        <f t="shared" si="10"/>
        <v>245</v>
      </c>
      <c r="P118" s="2"/>
      <c r="Q118" s="2"/>
      <c r="R118" s="18"/>
      <c r="S118" s="18"/>
      <c r="T118" s="2"/>
      <c r="U118" s="18"/>
      <c r="V118" s="18"/>
      <c r="W118" s="18">
        <v>288</v>
      </c>
      <c r="X118" s="2">
        <v>528</v>
      </c>
      <c r="Y118" s="18">
        <v>187</v>
      </c>
      <c r="Z118" s="2"/>
      <c r="AA118" s="7">
        <f t="shared" si="11"/>
        <v>0</v>
      </c>
      <c r="AB118" s="8" t="s">
        <v>150</v>
      </c>
      <c r="AC118" s="8">
        <v>200</v>
      </c>
      <c r="AD118" s="8" t="s">
        <v>154</v>
      </c>
      <c r="AE118" s="8">
        <f t="shared" si="9"/>
        <v>6.24</v>
      </c>
    </row>
    <row r="119" spans="1:31" x14ac:dyDescent="0.25">
      <c r="A119" s="2">
        <v>114</v>
      </c>
      <c r="B119" s="2" t="s">
        <v>130</v>
      </c>
      <c r="C119" s="2" t="s">
        <v>0</v>
      </c>
      <c r="D119" s="2" t="s">
        <v>141</v>
      </c>
      <c r="E119" s="13">
        <v>0.875</v>
      </c>
      <c r="F119" s="2"/>
      <c r="G119" s="3"/>
      <c r="H119" s="3"/>
      <c r="I119" s="2">
        <v>0</v>
      </c>
      <c r="J119" s="2">
        <v>0</v>
      </c>
      <c r="K119" s="2"/>
      <c r="L119" s="2"/>
      <c r="M119" s="2"/>
      <c r="N119" s="2"/>
      <c r="O119" s="8">
        <f t="shared" si="10"/>
        <v>0</v>
      </c>
      <c r="P119" s="2"/>
      <c r="Q119" s="2"/>
      <c r="R119" s="18"/>
      <c r="S119" s="18"/>
      <c r="T119" s="2"/>
      <c r="U119" s="18"/>
      <c r="V119" s="18"/>
      <c r="W119" s="18"/>
      <c r="X119" s="2"/>
      <c r="Y119" s="18"/>
      <c r="Z119" s="2"/>
      <c r="AA119" s="7">
        <f t="shared" si="11"/>
        <v>0</v>
      </c>
      <c r="AB119" s="8" t="s">
        <v>150</v>
      </c>
      <c r="AC119" s="8">
        <v>200</v>
      </c>
      <c r="AD119" s="8" t="s">
        <v>154</v>
      </c>
      <c r="AE119" s="8">
        <f t="shared" si="9"/>
        <v>0</v>
      </c>
    </row>
    <row r="120" spans="1:31" x14ac:dyDescent="0.25">
      <c r="A120" s="2">
        <v>115</v>
      </c>
      <c r="B120" s="2" t="s">
        <v>130</v>
      </c>
      <c r="C120" s="2" t="s">
        <v>0</v>
      </c>
      <c r="D120" s="2" t="s">
        <v>142</v>
      </c>
      <c r="E120" s="13">
        <v>0.875</v>
      </c>
      <c r="F120" s="2"/>
      <c r="G120" s="3"/>
      <c r="H120" s="3"/>
      <c r="I120" s="2">
        <v>0</v>
      </c>
      <c r="J120" s="2">
        <v>0</v>
      </c>
      <c r="K120" s="2"/>
      <c r="L120" s="2"/>
      <c r="M120" s="2"/>
      <c r="N120" s="2"/>
      <c r="O120" s="8">
        <f t="shared" si="10"/>
        <v>0</v>
      </c>
      <c r="P120" s="2"/>
      <c r="Q120" s="2"/>
      <c r="R120" s="18"/>
      <c r="S120" s="18"/>
      <c r="T120" s="2"/>
      <c r="U120" s="18"/>
      <c r="V120" s="18"/>
      <c r="W120" s="18"/>
      <c r="X120" s="2"/>
      <c r="Y120" s="18"/>
      <c r="Z120" s="2"/>
      <c r="AA120" s="7">
        <f t="shared" si="11"/>
        <v>0</v>
      </c>
      <c r="AB120" s="8" t="s">
        <v>150</v>
      </c>
      <c r="AC120" s="8">
        <v>200</v>
      </c>
      <c r="AD120" s="8" t="s">
        <v>154</v>
      </c>
      <c r="AE120" s="8">
        <f t="shared" si="9"/>
        <v>0</v>
      </c>
    </row>
    <row r="121" spans="1:31" x14ac:dyDescent="0.25">
      <c r="A121" s="2">
        <v>116</v>
      </c>
      <c r="B121" s="2" t="s">
        <v>130</v>
      </c>
      <c r="C121" s="2" t="s">
        <v>0</v>
      </c>
      <c r="D121" s="2" t="s">
        <v>143</v>
      </c>
      <c r="E121" s="13">
        <v>0.875</v>
      </c>
      <c r="F121" s="2"/>
      <c r="G121" s="3"/>
      <c r="H121" s="3"/>
      <c r="I121" s="2">
        <v>0</v>
      </c>
      <c r="J121" s="2">
        <v>0</v>
      </c>
      <c r="K121" s="2"/>
      <c r="L121" s="2"/>
      <c r="M121" s="2"/>
      <c r="N121" s="2"/>
      <c r="O121" s="8">
        <f t="shared" si="10"/>
        <v>0</v>
      </c>
      <c r="P121" s="2"/>
      <c r="Q121" s="2"/>
      <c r="R121" s="18"/>
      <c r="S121" s="18"/>
      <c r="T121" s="18"/>
      <c r="U121" s="18"/>
      <c r="V121" s="18"/>
      <c r="W121" s="18"/>
      <c r="X121" s="2"/>
      <c r="Y121" s="18"/>
      <c r="Z121" s="2"/>
      <c r="AA121" s="7">
        <f t="shared" si="11"/>
        <v>0</v>
      </c>
      <c r="AB121" s="8" t="s">
        <v>150</v>
      </c>
      <c r="AC121" s="8">
        <v>200</v>
      </c>
      <c r="AD121" s="8" t="s">
        <v>154</v>
      </c>
      <c r="AE121" s="8">
        <f t="shared" si="9"/>
        <v>0</v>
      </c>
    </row>
    <row r="122" spans="1:31" x14ac:dyDescent="0.25">
      <c r="A122" s="2">
        <v>117</v>
      </c>
      <c r="B122" s="2" t="s">
        <v>130</v>
      </c>
      <c r="C122" s="2" t="s">
        <v>0</v>
      </c>
      <c r="D122" s="2" t="s">
        <v>144</v>
      </c>
      <c r="E122" s="13">
        <v>0.875</v>
      </c>
      <c r="F122" s="2"/>
      <c r="G122" s="3"/>
      <c r="H122" s="3"/>
      <c r="I122" s="2">
        <v>0</v>
      </c>
      <c r="J122" s="2">
        <v>0</v>
      </c>
      <c r="K122" s="2"/>
      <c r="L122" s="2"/>
      <c r="M122" s="2"/>
      <c r="N122" s="2"/>
      <c r="O122" s="8">
        <f t="shared" si="10"/>
        <v>0</v>
      </c>
      <c r="P122" s="2"/>
      <c r="Q122" s="2"/>
      <c r="R122" s="18"/>
      <c r="S122" s="18"/>
      <c r="T122" s="18"/>
      <c r="U122" s="18"/>
      <c r="V122" s="18"/>
      <c r="W122" s="18"/>
      <c r="X122" s="2"/>
      <c r="Y122" s="18"/>
      <c r="Z122" s="2"/>
      <c r="AA122" s="7">
        <f t="shared" si="11"/>
        <v>0</v>
      </c>
      <c r="AB122" s="8" t="s">
        <v>150</v>
      </c>
      <c r="AC122" s="8">
        <v>200</v>
      </c>
      <c r="AD122" s="8" t="s">
        <v>154</v>
      </c>
      <c r="AE122" s="8">
        <f t="shared" si="9"/>
        <v>0</v>
      </c>
    </row>
    <row r="123" spans="1:31" x14ac:dyDescent="0.25">
      <c r="A123" s="2">
        <v>118</v>
      </c>
      <c r="B123" s="2" t="s">
        <v>188</v>
      </c>
      <c r="C123" s="2" t="s">
        <v>129</v>
      </c>
      <c r="D123" s="2" t="s">
        <v>160</v>
      </c>
      <c r="E123" s="13">
        <v>0.3125</v>
      </c>
      <c r="F123" s="2"/>
      <c r="G123" s="3"/>
      <c r="H123" s="3">
        <v>0.2</v>
      </c>
      <c r="I123" s="2">
        <v>0</v>
      </c>
      <c r="J123" s="2">
        <v>0</v>
      </c>
      <c r="K123" s="2"/>
      <c r="L123" s="2"/>
      <c r="M123" s="2"/>
      <c r="N123" s="2"/>
      <c r="O123" s="8">
        <f t="shared" si="10"/>
        <v>0</v>
      </c>
      <c r="P123" s="2"/>
      <c r="Q123" s="2"/>
      <c r="R123" s="18"/>
      <c r="S123" s="2"/>
      <c r="T123" s="18"/>
      <c r="U123" s="18"/>
      <c r="V123" s="18"/>
      <c r="W123" s="18"/>
      <c r="X123" s="2"/>
      <c r="Y123" s="18"/>
      <c r="Z123" s="2"/>
      <c r="AA123" s="7">
        <f t="shared" si="11"/>
        <v>0</v>
      </c>
      <c r="AB123" s="8" t="s">
        <v>148</v>
      </c>
      <c r="AC123" s="12">
        <v>500</v>
      </c>
      <c r="AD123" s="8" t="s">
        <v>189</v>
      </c>
      <c r="AE123" s="8">
        <f t="shared" ref="AE123:AE149" si="12">+SUM(I123:N123)/AC123</f>
        <v>0</v>
      </c>
    </row>
    <row r="124" spans="1:31" x14ac:dyDescent="0.25">
      <c r="A124" s="2">
        <v>119</v>
      </c>
      <c r="B124" s="2" t="s">
        <v>188</v>
      </c>
      <c r="C124" s="2" t="s">
        <v>129</v>
      </c>
      <c r="D124" s="2" t="s">
        <v>161</v>
      </c>
      <c r="E124" s="13">
        <v>0.3125</v>
      </c>
      <c r="F124" s="2"/>
      <c r="G124" s="3"/>
      <c r="H124" s="3">
        <v>0.2</v>
      </c>
      <c r="I124" s="2">
        <v>0</v>
      </c>
      <c r="J124" s="2">
        <v>0</v>
      </c>
      <c r="K124" s="2"/>
      <c r="L124" s="2"/>
      <c r="M124" s="2"/>
      <c r="N124" s="2"/>
      <c r="O124" s="8">
        <f t="shared" si="10"/>
        <v>0</v>
      </c>
      <c r="P124" s="2"/>
      <c r="Q124" s="2"/>
      <c r="R124" s="18"/>
      <c r="S124" s="2"/>
      <c r="T124" s="18"/>
      <c r="U124" s="18"/>
      <c r="V124" s="18"/>
      <c r="W124" s="18"/>
      <c r="X124" s="2"/>
      <c r="Y124" s="18"/>
      <c r="Z124" s="2"/>
      <c r="AA124" s="7">
        <f t="shared" si="11"/>
        <v>0</v>
      </c>
      <c r="AB124" s="8" t="s">
        <v>148</v>
      </c>
      <c r="AC124" s="12">
        <v>500</v>
      </c>
      <c r="AD124" s="8" t="s">
        <v>189</v>
      </c>
      <c r="AE124" s="8">
        <f t="shared" si="12"/>
        <v>0</v>
      </c>
    </row>
    <row r="125" spans="1:31" x14ac:dyDescent="0.25">
      <c r="A125" s="2">
        <v>120</v>
      </c>
      <c r="B125" s="2" t="s">
        <v>188</v>
      </c>
      <c r="C125" s="2" t="s">
        <v>129</v>
      </c>
      <c r="D125" s="2" t="s">
        <v>162</v>
      </c>
      <c r="E125" s="13">
        <v>0.3125</v>
      </c>
      <c r="F125" s="2"/>
      <c r="G125" s="3"/>
      <c r="H125" s="3">
        <v>0.2</v>
      </c>
      <c r="I125" s="2">
        <v>0</v>
      </c>
      <c r="J125" s="2">
        <v>0</v>
      </c>
      <c r="K125" s="2"/>
      <c r="L125" s="2"/>
      <c r="M125" s="2"/>
      <c r="N125" s="2"/>
      <c r="O125" s="8">
        <f t="shared" si="10"/>
        <v>0</v>
      </c>
      <c r="P125" s="2"/>
      <c r="Q125" s="2"/>
      <c r="R125" s="18"/>
      <c r="S125" s="2"/>
      <c r="T125" s="18"/>
      <c r="U125" s="18"/>
      <c r="V125" s="18"/>
      <c r="W125" s="18"/>
      <c r="X125" s="2"/>
      <c r="Y125" s="18"/>
      <c r="Z125" s="2"/>
      <c r="AA125" s="7">
        <f t="shared" si="11"/>
        <v>0</v>
      </c>
      <c r="AB125" s="8" t="s">
        <v>148</v>
      </c>
      <c r="AC125" s="12">
        <v>500</v>
      </c>
      <c r="AD125" s="8" t="s">
        <v>189</v>
      </c>
      <c r="AE125" s="8">
        <f t="shared" si="12"/>
        <v>0</v>
      </c>
    </row>
    <row r="126" spans="1:31" x14ac:dyDescent="0.25">
      <c r="A126" s="2">
        <v>121</v>
      </c>
      <c r="B126" s="2" t="s">
        <v>188</v>
      </c>
      <c r="C126" s="2" t="s">
        <v>129</v>
      </c>
      <c r="D126" s="2" t="s">
        <v>163</v>
      </c>
      <c r="E126" s="13">
        <v>0.3125</v>
      </c>
      <c r="F126" s="2"/>
      <c r="G126" s="3"/>
      <c r="H126" s="3">
        <v>0.2</v>
      </c>
      <c r="I126" s="2">
        <v>0</v>
      </c>
      <c r="J126" s="2">
        <v>0</v>
      </c>
      <c r="K126" s="2"/>
      <c r="L126" s="2"/>
      <c r="M126" s="2"/>
      <c r="N126" s="2"/>
      <c r="O126" s="8">
        <f t="shared" si="10"/>
        <v>0</v>
      </c>
      <c r="P126" s="2"/>
      <c r="Q126" s="2"/>
      <c r="R126" s="18"/>
      <c r="S126" s="2"/>
      <c r="T126" s="18"/>
      <c r="U126" s="18"/>
      <c r="V126" s="18"/>
      <c r="W126" s="18"/>
      <c r="X126" s="2"/>
      <c r="Y126" s="18"/>
      <c r="Z126" s="2"/>
      <c r="AA126" s="7">
        <f t="shared" si="11"/>
        <v>0</v>
      </c>
      <c r="AB126" s="8" t="s">
        <v>148</v>
      </c>
      <c r="AC126" s="12">
        <v>500</v>
      </c>
      <c r="AD126" s="8" t="s">
        <v>189</v>
      </c>
      <c r="AE126" s="8">
        <f t="shared" si="12"/>
        <v>0</v>
      </c>
    </row>
    <row r="127" spans="1:31" x14ac:dyDescent="0.25">
      <c r="A127" s="2">
        <v>122</v>
      </c>
      <c r="B127" s="2" t="s">
        <v>188</v>
      </c>
      <c r="C127" s="2" t="s">
        <v>129</v>
      </c>
      <c r="D127" s="2" t="s">
        <v>164</v>
      </c>
      <c r="E127" s="13">
        <v>0.3125</v>
      </c>
      <c r="F127" s="2"/>
      <c r="G127" s="3"/>
      <c r="H127" s="3">
        <v>0.2</v>
      </c>
      <c r="I127" s="2">
        <v>0</v>
      </c>
      <c r="J127" s="2">
        <v>0</v>
      </c>
      <c r="K127" s="2"/>
      <c r="L127" s="2"/>
      <c r="M127" s="2"/>
      <c r="N127" s="2"/>
      <c r="O127" s="8">
        <f t="shared" si="10"/>
        <v>0</v>
      </c>
      <c r="P127" s="2"/>
      <c r="Q127" s="2"/>
      <c r="R127" s="18"/>
      <c r="S127" s="2"/>
      <c r="T127" s="18"/>
      <c r="U127" s="18"/>
      <c r="V127" s="18"/>
      <c r="W127" s="18"/>
      <c r="X127" s="2"/>
      <c r="Y127" s="18"/>
      <c r="Z127" s="2"/>
      <c r="AA127" s="7">
        <f t="shared" si="11"/>
        <v>0</v>
      </c>
      <c r="AB127" s="8" t="s">
        <v>148</v>
      </c>
      <c r="AC127" s="12">
        <v>500</v>
      </c>
      <c r="AD127" s="8" t="s">
        <v>189</v>
      </c>
      <c r="AE127" s="8">
        <f t="shared" si="12"/>
        <v>0</v>
      </c>
    </row>
    <row r="128" spans="1:31" x14ac:dyDescent="0.25">
      <c r="A128" s="2">
        <v>123</v>
      </c>
      <c r="B128" s="2" t="s">
        <v>188</v>
      </c>
      <c r="C128" s="2" t="s">
        <v>129</v>
      </c>
      <c r="D128" s="2" t="s">
        <v>165</v>
      </c>
      <c r="E128" s="13">
        <v>0.3125</v>
      </c>
      <c r="F128" s="2"/>
      <c r="G128" s="3"/>
      <c r="H128" s="3">
        <v>0.2</v>
      </c>
      <c r="I128" s="2">
        <v>0</v>
      </c>
      <c r="J128" s="2">
        <v>0</v>
      </c>
      <c r="K128" s="2"/>
      <c r="L128" s="2"/>
      <c r="M128" s="2"/>
      <c r="N128" s="2"/>
      <c r="O128" s="8">
        <f t="shared" si="10"/>
        <v>0</v>
      </c>
      <c r="P128" s="2"/>
      <c r="Q128" s="2"/>
      <c r="R128" s="18"/>
      <c r="S128" s="2"/>
      <c r="T128" s="18"/>
      <c r="U128" s="18"/>
      <c r="V128" s="18"/>
      <c r="W128" s="18"/>
      <c r="X128" s="2"/>
      <c r="Y128" s="18"/>
      <c r="Z128" s="2"/>
      <c r="AA128" s="7">
        <f t="shared" si="11"/>
        <v>0</v>
      </c>
      <c r="AB128" s="8" t="s">
        <v>148</v>
      </c>
      <c r="AC128" s="12">
        <v>500</v>
      </c>
      <c r="AD128" s="8" t="s">
        <v>189</v>
      </c>
      <c r="AE128" s="8">
        <f t="shared" si="12"/>
        <v>0</v>
      </c>
    </row>
    <row r="129" spans="1:31" x14ac:dyDescent="0.25">
      <c r="A129" s="2">
        <v>124</v>
      </c>
      <c r="B129" s="2" t="s">
        <v>188</v>
      </c>
      <c r="C129" s="2" t="s">
        <v>129</v>
      </c>
      <c r="D129" s="2" t="s">
        <v>166</v>
      </c>
      <c r="E129" s="13">
        <v>0.3125</v>
      </c>
      <c r="F129" s="2"/>
      <c r="G129" s="3"/>
      <c r="H129" s="3">
        <v>0.16</v>
      </c>
      <c r="I129" s="2">
        <v>0</v>
      </c>
      <c r="J129" s="2">
        <v>0</v>
      </c>
      <c r="K129" s="2"/>
      <c r="L129" s="2"/>
      <c r="M129" s="2"/>
      <c r="N129" s="2"/>
      <c r="O129" s="8">
        <f t="shared" si="10"/>
        <v>0</v>
      </c>
      <c r="P129" s="2"/>
      <c r="Q129" s="2"/>
      <c r="R129" s="18"/>
      <c r="S129" s="2"/>
      <c r="T129" s="18"/>
      <c r="U129" s="18"/>
      <c r="V129" s="18"/>
      <c r="W129" s="18"/>
      <c r="X129" s="2"/>
      <c r="Y129" s="18"/>
      <c r="Z129" s="2"/>
      <c r="AA129" s="7">
        <f t="shared" si="11"/>
        <v>0</v>
      </c>
      <c r="AB129" s="8" t="s">
        <v>148</v>
      </c>
      <c r="AC129" s="12">
        <v>500</v>
      </c>
      <c r="AD129" s="8" t="s">
        <v>189</v>
      </c>
      <c r="AE129" s="8">
        <f t="shared" si="12"/>
        <v>0</v>
      </c>
    </row>
    <row r="130" spans="1:31" x14ac:dyDescent="0.25">
      <c r="A130" s="2">
        <v>125</v>
      </c>
      <c r="B130" s="2" t="s">
        <v>188</v>
      </c>
      <c r="C130" s="2" t="s">
        <v>129</v>
      </c>
      <c r="D130" s="2" t="s">
        <v>167</v>
      </c>
      <c r="E130" s="13">
        <v>0.3125</v>
      </c>
      <c r="F130" s="2"/>
      <c r="G130" s="3"/>
      <c r="H130" s="3">
        <v>0.16</v>
      </c>
      <c r="I130" s="2">
        <v>0</v>
      </c>
      <c r="J130" s="2">
        <v>0</v>
      </c>
      <c r="K130" s="2"/>
      <c r="L130" s="2"/>
      <c r="M130" s="2"/>
      <c r="N130" s="2"/>
      <c r="O130" s="8">
        <f t="shared" si="10"/>
        <v>0</v>
      </c>
      <c r="P130" s="2"/>
      <c r="Q130" s="2"/>
      <c r="R130" s="18"/>
      <c r="S130" s="2"/>
      <c r="T130" s="18"/>
      <c r="U130" s="18"/>
      <c r="V130" s="18"/>
      <c r="W130" s="18"/>
      <c r="X130" s="2"/>
      <c r="Y130" s="18"/>
      <c r="Z130" s="2"/>
      <c r="AA130" s="7">
        <f t="shared" si="11"/>
        <v>0</v>
      </c>
      <c r="AB130" s="8" t="s">
        <v>148</v>
      </c>
      <c r="AC130" s="12">
        <v>500</v>
      </c>
      <c r="AD130" s="8" t="s">
        <v>189</v>
      </c>
      <c r="AE130" s="8">
        <f t="shared" si="12"/>
        <v>0</v>
      </c>
    </row>
    <row r="131" spans="1:31" x14ac:dyDescent="0.25">
      <c r="A131" s="2">
        <v>126</v>
      </c>
      <c r="B131" s="2" t="s">
        <v>188</v>
      </c>
      <c r="C131" s="2" t="s">
        <v>129</v>
      </c>
      <c r="D131" s="2" t="s">
        <v>168</v>
      </c>
      <c r="E131" s="13">
        <v>0.3125</v>
      </c>
      <c r="F131" s="2"/>
      <c r="G131" s="3"/>
      <c r="H131" s="3">
        <v>0.21</v>
      </c>
      <c r="I131" s="2">
        <v>0</v>
      </c>
      <c r="J131" s="2">
        <v>0</v>
      </c>
      <c r="K131" s="2"/>
      <c r="L131" s="2"/>
      <c r="M131" s="2"/>
      <c r="N131" s="2"/>
      <c r="O131" s="8">
        <f t="shared" si="10"/>
        <v>0</v>
      </c>
      <c r="P131" s="2"/>
      <c r="Q131" s="2"/>
      <c r="R131" s="18"/>
      <c r="S131" s="2"/>
      <c r="T131" s="18"/>
      <c r="U131" s="18"/>
      <c r="V131" s="18"/>
      <c r="W131" s="18"/>
      <c r="X131" s="2"/>
      <c r="Y131" s="18"/>
      <c r="Z131" s="2"/>
      <c r="AA131" s="7">
        <f t="shared" si="11"/>
        <v>0</v>
      </c>
      <c r="AB131" s="8" t="s">
        <v>148</v>
      </c>
      <c r="AC131" s="12">
        <v>500</v>
      </c>
      <c r="AD131" s="8" t="s">
        <v>189</v>
      </c>
      <c r="AE131" s="8">
        <f t="shared" si="12"/>
        <v>0</v>
      </c>
    </row>
    <row r="132" spans="1:31" x14ac:dyDescent="0.25">
      <c r="A132" s="2">
        <v>127</v>
      </c>
      <c r="B132" s="2" t="s">
        <v>188</v>
      </c>
      <c r="C132" s="2" t="s">
        <v>129</v>
      </c>
      <c r="D132" s="2" t="s">
        <v>169</v>
      </c>
      <c r="E132" s="13">
        <v>0.3125</v>
      </c>
      <c r="F132" s="2"/>
      <c r="G132" s="3"/>
      <c r="H132" s="3">
        <v>0.21</v>
      </c>
      <c r="I132" s="2">
        <v>0</v>
      </c>
      <c r="J132" s="2">
        <v>0</v>
      </c>
      <c r="K132" s="2"/>
      <c r="L132" s="2"/>
      <c r="M132" s="2"/>
      <c r="N132" s="2"/>
      <c r="O132" s="8">
        <f t="shared" si="10"/>
        <v>0</v>
      </c>
      <c r="P132" s="2"/>
      <c r="Q132" s="2"/>
      <c r="R132" s="18"/>
      <c r="S132" s="2"/>
      <c r="T132" s="18"/>
      <c r="U132" s="18"/>
      <c r="V132" s="18"/>
      <c r="W132" s="18"/>
      <c r="X132" s="2"/>
      <c r="Y132" s="18"/>
      <c r="Z132" s="2"/>
      <c r="AA132" s="7">
        <f t="shared" si="11"/>
        <v>0</v>
      </c>
      <c r="AB132" s="8" t="s">
        <v>148</v>
      </c>
      <c r="AC132" s="12">
        <v>500</v>
      </c>
      <c r="AD132" s="8" t="s">
        <v>189</v>
      </c>
      <c r="AE132" s="8">
        <f t="shared" si="12"/>
        <v>0</v>
      </c>
    </row>
    <row r="133" spans="1:31" x14ac:dyDescent="0.25">
      <c r="A133" s="2">
        <v>128</v>
      </c>
      <c r="B133" s="2" t="s">
        <v>188</v>
      </c>
      <c r="C133" s="2" t="s">
        <v>129</v>
      </c>
      <c r="D133" s="2" t="s">
        <v>170</v>
      </c>
      <c r="E133" s="13">
        <v>0.3125</v>
      </c>
      <c r="F133" s="2"/>
      <c r="G133" s="3"/>
      <c r="H133" s="3">
        <v>0.25</v>
      </c>
      <c r="I133" s="2">
        <v>0</v>
      </c>
      <c r="J133" s="2">
        <v>0</v>
      </c>
      <c r="K133" s="2"/>
      <c r="L133" s="2"/>
      <c r="M133" s="2"/>
      <c r="N133" s="2"/>
      <c r="O133" s="8">
        <f t="shared" si="10"/>
        <v>0</v>
      </c>
      <c r="P133" s="2"/>
      <c r="Q133" s="2"/>
      <c r="R133" s="18"/>
      <c r="S133" s="2"/>
      <c r="T133" s="18"/>
      <c r="U133" s="18"/>
      <c r="V133" s="18"/>
      <c r="W133" s="18"/>
      <c r="X133" s="2"/>
      <c r="Y133" s="18"/>
      <c r="Z133" s="2"/>
      <c r="AA133" s="7">
        <f t="shared" si="11"/>
        <v>0</v>
      </c>
      <c r="AB133" s="8" t="s">
        <v>148</v>
      </c>
      <c r="AC133" s="12">
        <v>500</v>
      </c>
      <c r="AD133" s="8" t="s">
        <v>189</v>
      </c>
      <c r="AE133" s="8">
        <f t="shared" si="12"/>
        <v>0</v>
      </c>
    </row>
    <row r="134" spans="1:31" x14ac:dyDescent="0.25">
      <c r="A134" s="2">
        <v>129</v>
      </c>
      <c r="B134" s="2" t="s">
        <v>188</v>
      </c>
      <c r="C134" s="2" t="s">
        <v>129</v>
      </c>
      <c r="D134" s="2" t="s">
        <v>171</v>
      </c>
      <c r="E134" s="13">
        <v>0.3125</v>
      </c>
      <c r="F134" s="2"/>
      <c r="G134" s="3"/>
      <c r="H134" s="3">
        <v>0.25</v>
      </c>
      <c r="I134" s="2">
        <v>0</v>
      </c>
      <c r="J134" s="2">
        <v>0</v>
      </c>
      <c r="K134" s="2"/>
      <c r="L134" s="2"/>
      <c r="M134" s="2"/>
      <c r="N134" s="2"/>
      <c r="O134" s="8">
        <f t="shared" ref="O134:O149" si="13">+I134+J134+K134+L134+M134+N134-SUM(P134:Z134)</f>
        <v>0</v>
      </c>
      <c r="P134" s="2"/>
      <c r="Q134" s="2"/>
      <c r="R134" s="18"/>
      <c r="S134" s="2"/>
      <c r="T134" s="18"/>
      <c r="U134" s="18"/>
      <c r="V134" s="18"/>
      <c r="W134" s="18"/>
      <c r="X134" s="2"/>
      <c r="Y134" s="18"/>
      <c r="Z134" s="2"/>
      <c r="AA134" s="7">
        <f t="shared" ref="AA134:AA149" si="14">+G134*SUM(I134:N134)</f>
        <v>0</v>
      </c>
      <c r="AB134" s="8" t="s">
        <v>148</v>
      </c>
      <c r="AC134" s="12">
        <v>500</v>
      </c>
      <c r="AD134" s="8" t="s">
        <v>189</v>
      </c>
      <c r="AE134" s="8">
        <f t="shared" si="12"/>
        <v>0</v>
      </c>
    </row>
    <row r="135" spans="1:31" x14ac:dyDescent="0.25">
      <c r="A135" s="2">
        <v>130</v>
      </c>
      <c r="B135" s="2" t="s">
        <v>188</v>
      </c>
      <c r="C135" s="2" t="s">
        <v>129</v>
      </c>
      <c r="D135" s="2" t="s">
        <v>172</v>
      </c>
      <c r="E135" s="13">
        <v>0.3125</v>
      </c>
      <c r="F135" s="2"/>
      <c r="G135" s="3"/>
      <c r="H135" s="3">
        <v>0.21</v>
      </c>
      <c r="I135" s="2">
        <v>0</v>
      </c>
      <c r="J135" s="2">
        <v>0</v>
      </c>
      <c r="K135" s="2"/>
      <c r="L135" s="2"/>
      <c r="M135" s="2"/>
      <c r="N135" s="2"/>
      <c r="O135" s="8">
        <f t="shared" si="13"/>
        <v>0</v>
      </c>
      <c r="P135" s="2"/>
      <c r="Q135" s="2"/>
      <c r="R135" s="18"/>
      <c r="S135" s="2"/>
      <c r="T135" s="18"/>
      <c r="U135" s="18"/>
      <c r="V135" s="18"/>
      <c r="W135" s="18"/>
      <c r="X135" s="2"/>
      <c r="Y135" s="18"/>
      <c r="Z135" s="2"/>
      <c r="AA135" s="7">
        <f t="shared" si="14"/>
        <v>0</v>
      </c>
      <c r="AB135" s="8" t="s">
        <v>148</v>
      </c>
      <c r="AC135" s="12">
        <v>500</v>
      </c>
      <c r="AD135" s="8" t="s">
        <v>189</v>
      </c>
      <c r="AE135" s="8">
        <f t="shared" si="12"/>
        <v>0</v>
      </c>
    </row>
    <row r="136" spans="1:31" x14ac:dyDescent="0.25">
      <c r="A136" s="2">
        <v>131</v>
      </c>
      <c r="B136" s="2" t="s">
        <v>188</v>
      </c>
      <c r="C136" s="2" t="s">
        <v>129</v>
      </c>
      <c r="D136" s="2" t="s">
        <v>173</v>
      </c>
      <c r="E136" s="13">
        <v>0.3125</v>
      </c>
      <c r="F136" s="2"/>
      <c r="G136" s="3"/>
      <c r="H136" s="3">
        <v>0.21</v>
      </c>
      <c r="I136" s="2">
        <v>0</v>
      </c>
      <c r="J136" s="2">
        <v>0</v>
      </c>
      <c r="K136" s="2"/>
      <c r="L136" s="2"/>
      <c r="M136" s="2"/>
      <c r="N136" s="2"/>
      <c r="O136" s="8">
        <f t="shared" si="13"/>
        <v>0</v>
      </c>
      <c r="P136" s="2"/>
      <c r="Q136" s="2"/>
      <c r="R136" s="18"/>
      <c r="S136" s="2"/>
      <c r="T136" s="18"/>
      <c r="U136" s="18"/>
      <c r="V136" s="18"/>
      <c r="W136" s="18"/>
      <c r="X136" s="2"/>
      <c r="Y136" s="18"/>
      <c r="Z136" s="2"/>
      <c r="AA136" s="7">
        <f t="shared" si="14"/>
        <v>0</v>
      </c>
      <c r="AB136" s="8" t="s">
        <v>148</v>
      </c>
      <c r="AC136" s="12">
        <v>500</v>
      </c>
      <c r="AD136" s="8" t="s">
        <v>189</v>
      </c>
      <c r="AE136" s="8">
        <f t="shared" si="12"/>
        <v>0</v>
      </c>
    </row>
    <row r="137" spans="1:31" x14ac:dyDescent="0.25">
      <c r="A137" s="2">
        <v>132</v>
      </c>
      <c r="B137" s="2" t="s">
        <v>188</v>
      </c>
      <c r="C137" s="2" t="s">
        <v>129</v>
      </c>
      <c r="D137" s="2" t="s">
        <v>174</v>
      </c>
      <c r="E137" s="13">
        <v>0.3125</v>
      </c>
      <c r="F137" s="2"/>
      <c r="G137" s="3"/>
      <c r="H137" s="3">
        <v>0.21</v>
      </c>
      <c r="I137" s="2">
        <v>0</v>
      </c>
      <c r="J137" s="2">
        <v>0</v>
      </c>
      <c r="K137" s="2"/>
      <c r="L137" s="2"/>
      <c r="M137" s="2"/>
      <c r="N137" s="2"/>
      <c r="O137" s="8">
        <f t="shared" si="13"/>
        <v>0</v>
      </c>
      <c r="P137" s="2"/>
      <c r="Q137" s="2"/>
      <c r="R137" s="18"/>
      <c r="S137" s="2"/>
      <c r="T137" s="18"/>
      <c r="U137" s="18"/>
      <c r="V137" s="18"/>
      <c r="W137" s="18"/>
      <c r="X137" s="2"/>
      <c r="Y137" s="18"/>
      <c r="Z137" s="2"/>
      <c r="AA137" s="7">
        <f t="shared" si="14"/>
        <v>0</v>
      </c>
      <c r="AB137" s="8" t="s">
        <v>148</v>
      </c>
      <c r="AC137" s="12">
        <v>500</v>
      </c>
      <c r="AD137" s="8" t="s">
        <v>189</v>
      </c>
      <c r="AE137" s="8">
        <f t="shared" si="12"/>
        <v>0</v>
      </c>
    </row>
    <row r="138" spans="1:31" x14ac:dyDescent="0.25">
      <c r="A138" s="2">
        <v>133</v>
      </c>
      <c r="B138" s="2" t="s">
        <v>188</v>
      </c>
      <c r="C138" s="2" t="s">
        <v>129</v>
      </c>
      <c r="D138" s="2" t="s">
        <v>175</v>
      </c>
      <c r="E138" s="13">
        <v>0.3125</v>
      </c>
      <c r="F138" s="2"/>
      <c r="G138" s="3"/>
      <c r="H138" s="3">
        <v>0.21</v>
      </c>
      <c r="I138" s="2">
        <v>0</v>
      </c>
      <c r="J138" s="2">
        <v>0</v>
      </c>
      <c r="K138" s="2"/>
      <c r="L138" s="2"/>
      <c r="M138" s="2"/>
      <c r="N138" s="2"/>
      <c r="O138" s="8">
        <f t="shared" si="13"/>
        <v>0</v>
      </c>
      <c r="P138" s="2"/>
      <c r="Q138" s="2"/>
      <c r="R138" s="18"/>
      <c r="S138" s="2"/>
      <c r="T138" s="18"/>
      <c r="U138" s="18"/>
      <c r="V138" s="18"/>
      <c r="W138" s="18"/>
      <c r="X138" s="2"/>
      <c r="Y138" s="18"/>
      <c r="Z138" s="2"/>
      <c r="AA138" s="7">
        <f t="shared" si="14"/>
        <v>0</v>
      </c>
      <c r="AB138" s="8" t="s">
        <v>148</v>
      </c>
      <c r="AC138" s="12">
        <v>500</v>
      </c>
      <c r="AD138" s="8" t="s">
        <v>189</v>
      </c>
      <c r="AE138" s="8">
        <f t="shared" si="12"/>
        <v>0</v>
      </c>
    </row>
    <row r="139" spans="1:31" x14ac:dyDescent="0.25">
      <c r="A139" s="2">
        <v>134</v>
      </c>
      <c r="B139" s="2" t="s">
        <v>188</v>
      </c>
      <c r="C139" s="2" t="s">
        <v>129</v>
      </c>
      <c r="D139" s="2" t="s">
        <v>176</v>
      </c>
      <c r="E139" s="13">
        <v>0.3125</v>
      </c>
      <c r="F139" s="2"/>
      <c r="G139" s="3"/>
      <c r="H139" s="3">
        <v>0.16</v>
      </c>
      <c r="I139" s="2">
        <v>0</v>
      </c>
      <c r="J139" s="2">
        <v>0</v>
      </c>
      <c r="K139" s="2"/>
      <c r="L139" s="2"/>
      <c r="M139" s="2"/>
      <c r="N139" s="2"/>
      <c r="O139" s="8">
        <f t="shared" si="13"/>
        <v>0</v>
      </c>
      <c r="P139" s="2"/>
      <c r="Q139" s="2"/>
      <c r="R139" s="18"/>
      <c r="S139" s="2"/>
      <c r="T139" s="18"/>
      <c r="U139" s="18"/>
      <c r="V139" s="18"/>
      <c r="W139" s="18"/>
      <c r="X139" s="2"/>
      <c r="Y139" s="18"/>
      <c r="Z139" s="2"/>
      <c r="AA139" s="7">
        <f t="shared" si="14"/>
        <v>0</v>
      </c>
      <c r="AB139" s="8" t="s">
        <v>148</v>
      </c>
      <c r="AC139" s="12">
        <v>500</v>
      </c>
      <c r="AD139" s="8" t="s">
        <v>189</v>
      </c>
      <c r="AE139" s="8">
        <f t="shared" si="12"/>
        <v>0</v>
      </c>
    </row>
    <row r="140" spans="1:31" x14ac:dyDescent="0.25">
      <c r="A140" s="2">
        <v>135</v>
      </c>
      <c r="B140" s="2" t="s">
        <v>188</v>
      </c>
      <c r="C140" s="2" t="s">
        <v>129</v>
      </c>
      <c r="D140" s="2" t="s">
        <v>177</v>
      </c>
      <c r="E140" s="13">
        <v>0.3125</v>
      </c>
      <c r="F140" s="2"/>
      <c r="G140" s="3"/>
      <c r="H140" s="3">
        <v>0.16</v>
      </c>
      <c r="I140" s="2">
        <v>0</v>
      </c>
      <c r="J140" s="2">
        <v>0</v>
      </c>
      <c r="K140" s="2"/>
      <c r="L140" s="2"/>
      <c r="M140" s="2"/>
      <c r="N140" s="2"/>
      <c r="O140" s="8">
        <f t="shared" si="13"/>
        <v>0</v>
      </c>
      <c r="P140" s="2"/>
      <c r="Q140" s="2"/>
      <c r="R140" s="18"/>
      <c r="S140" s="2"/>
      <c r="T140" s="18"/>
      <c r="U140" s="18"/>
      <c r="V140" s="18"/>
      <c r="W140" s="18"/>
      <c r="X140" s="2"/>
      <c r="Y140" s="18"/>
      <c r="Z140" s="2"/>
      <c r="AA140" s="7">
        <f t="shared" si="14"/>
        <v>0</v>
      </c>
      <c r="AB140" s="8" t="s">
        <v>148</v>
      </c>
      <c r="AC140" s="12">
        <v>500</v>
      </c>
      <c r="AD140" s="8" t="s">
        <v>189</v>
      </c>
      <c r="AE140" s="8">
        <f t="shared" si="12"/>
        <v>0</v>
      </c>
    </row>
    <row r="141" spans="1:31" x14ac:dyDescent="0.25">
      <c r="A141" s="2">
        <v>136</v>
      </c>
      <c r="B141" s="2" t="s">
        <v>188</v>
      </c>
      <c r="C141" s="2" t="s">
        <v>129</v>
      </c>
      <c r="D141" s="2" t="s">
        <v>178</v>
      </c>
      <c r="E141" s="13">
        <v>0.3125</v>
      </c>
      <c r="F141" s="2"/>
      <c r="G141" s="3"/>
      <c r="H141" s="3">
        <v>0.21</v>
      </c>
      <c r="I141" s="2">
        <v>0</v>
      </c>
      <c r="J141" s="2">
        <v>0</v>
      </c>
      <c r="K141" s="2"/>
      <c r="L141" s="2"/>
      <c r="M141" s="2"/>
      <c r="N141" s="2"/>
      <c r="O141" s="8">
        <f t="shared" si="13"/>
        <v>0</v>
      </c>
      <c r="P141" s="2"/>
      <c r="Q141" s="2"/>
      <c r="R141" s="18"/>
      <c r="S141" s="2"/>
      <c r="T141" s="18"/>
      <c r="U141" s="18"/>
      <c r="V141" s="18"/>
      <c r="W141" s="18"/>
      <c r="X141" s="2"/>
      <c r="Y141" s="18"/>
      <c r="Z141" s="2"/>
      <c r="AA141" s="7">
        <f t="shared" si="14"/>
        <v>0</v>
      </c>
      <c r="AB141" s="8" t="s">
        <v>148</v>
      </c>
      <c r="AC141" s="12">
        <v>500</v>
      </c>
      <c r="AD141" s="8" t="s">
        <v>189</v>
      </c>
      <c r="AE141" s="8">
        <f t="shared" si="12"/>
        <v>0</v>
      </c>
    </row>
    <row r="142" spans="1:31" x14ac:dyDescent="0.25">
      <c r="A142" s="2">
        <v>137</v>
      </c>
      <c r="B142" s="2" t="s">
        <v>188</v>
      </c>
      <c r="C142" s="2" t="s">
        <v>129</v>
      </c>
      <c r="D142" s="2" t="s">
        <v>179</v>
      </c>
      <c r="E142" s="13">
        <v>0.3125</v>
      </c>
      <c r="F142" s="2"/>
      <c r="G142" s="3"/>
      <c r="H142" s="3">
        <v>0.16</v>
      </c>
      <c r="I142" s="2">
        <v>0</v>
      </c>
      <c r="J142" s="2">
        <v>0</v>
      </c>
      <c r="K142" s="2"/>
      <c r="L142" s="2"/>
      <c r="M142" s="2"/>
      <c r="N142" s="2"/>
      <c r="O142" s="8">
        <f t="shared" si="13"/>
        <v>0</v>
      </c>
      <c r="P142" s="2"/>
      <c r="Q142" s="2"/>
      <c r="R142" s="18"/>
      <c r="S142" s="2"/>
      <c r="T142" s="18"/>
      <c r="U142" s="18"/>
      <c r="V142" s="18"/>
      <c r="W142" s="18"/>
      <c r="X142" s="2"/>
      <c r="Y142" s="18"/>
      <c r="Z142" s="2"/>
      <c r="AA142" s="7">
        <f t="shared" si="14"/>
        <v>0</v>
      </c>
      <c r="AB142" s="8" t="s">
        <v>148</v>
      </c>
      <c r="AC142" s="12">
        <v>500</v>
      </c>
      <c r="AD142" s="8" t="s">
        <v>189</v>
      </c>
      <c r="AE142" s="8">
        <f t="shared" si="12"/>
        <v>0</v>
      </c>
    </row>
    <row r="143" spans="1:31" x14ac:dyDescent="0.25">
      <c r="A143" s="2">
        <v>138</v>
      </c>
      <c r="B143" s="2" t="s">
        <v>188</v>
      </c>
      <c r="C143" s="2" t="s">
        <v>129</v>
      </c>
      <c r="D143" s="2" t="s">
        <v>180</v>
      </c>
      <c r="E143" s="13">
        <v>0.3125</v>
      </c>
      <c r="F143" s="2"/>
      <c r="G143" s="3"/>
      <c r="H143" s="3">
        <v>0.16</v>
      </c>
      <c r="I143" s="2">
        <v>0</v>
      </c>
      <c r="J143" s="2">
        <v>0</v>
      </c>
      <c r="K143" s="2"/>
      <c r="L143" s="2"/>
      <c r="M143" s="2"/>
      <c r="N143" s="2"/>
      <c r="O143" s="8">
        <f t="shared" si="13"/>
        <v>0</v>
      </c>
      <c r="P143" s="2"/>
      <c r="Q143" s="2"/>
      <c r="R143" s="18"/>
      <c r="S143" s="2"/>
      <c r="T143" s="18"/>
      <c r="U143" s="18"/>
      <c r="V143" s="18"/>
      <c r="W143" s="18"/>
      <c r="X143" s="2"/>
      <c r="Y143" s="18"/>
      <c r="Z143" s="2"/>
      <c r="AA143" s="7">
        <f t="shared" si="14"/>
        <v>0</v>
      </c>
      <c r="AB143" s="8" t="s">
        <v>148</v>
      </c>
      <c r="AC143" s="12">
        <v>500</v>
      </c>
      <c r="AD143" s="8" t="s">
        <v>189</v>
      </c>
      <c r="AE143" s="8">
        <f t="shared" si="12"/>
        <v>0</v>
      </c>
    </row>
    <row r="144" spans="1:31" x14ac:dyDescent="0.25">
      <c r="A144" s="2">
        <v>139</v>
      </c>
      <c r="B144" s="2" t="s">
        <v>188</v>
      </c>
      <c r="C144" s="2" t="s">
        <v>129</v>
      </c>
      <c r="D144" s="2" t="s">
        <v>181</v>
      </c>
      <c r="E144" s="13">
        <v>0.3125</v>
      </c>
      <c r="F144" s="2"/>
      <c r="G144" s="3"/>
      <c r="H144" s="3">
        <v>0.21</v>
      </c>
      <c r="I144" s="2">
        <v>0</v>
      </c>
      <c r="J144" s="2">
        <v>0</v>
      </c>
      <c r="K144" s="2"/>
      <c r="L144" s="2"/>
      <c r="M144" s="2"/>
      <c r="N144" s="2"/>
      <c r="O144" s="8">
        <f t="shared" si="13"/>
        <v>0</v>
      </c>
      <c r="P144" s="2"/>
      <c r="Q144" s="2"/>
      <c r="R144" s="18"/>
      <c r="S144" s="2"/>
      <c r="T144" s="18"/>
      <c r="U144" s="18"/>
      <c r="V144" s="18"/>
      <c r="W144" s="18"/>
      <c r="X144" s="2"/>
      <c r="Y144" s="18"/>
      <c r="Z144" s="2"/>
      <c r="AA144" s="7">
        <f t="shared" si="14"/>
        <v>0</v>
      </c>
      <c r="AB144" s="8" t="s">
        <v>148</v>
      </c>
      <c r="AC144" s="12">
        <v>500</v>
      </c>
      <c r="AD144" s="8" t="s">
        <v>189</v>
      </c>
      <c r="AE144" s="8">
        <f t="shared" si="12"/>
        <v>0</v>
      </c>
    </row>
    <row r="145" spans="1:31" x14ac:dyDescent="0.25">
      <c r="A145" s="2">
        <v>140</v>
      </c>
      <c r="B145" s="2" t="s">
        <v>188</v>
      </c>
      <c r="C145" s="2" t="s">
        <v>129</v>
      </c>
      <c r="D145" s="2" t="s">
        <v>182</v>
      </c>
      <c r="E145" s="13">
        <v>0.3125</v>
      </c>
      <c r="F145" s="2"/>
      <c r="G145" s="3"/>
      <c r="H145" s="3">
        <v>0.21</v>
      </c>
      <c r="I145" s="2">
        <v>0</v>
      </c>
      <c r="J145" s="2">
        <v>0</v>
      </c>
      <c r="K145" s="2"/>
      <c r="L145" s="2"/>
      <c r="M145" s="2"/>
      <c r="N145" s="2"/>
      <c r="O145" s="8">
        <f t="shared" si="13"/>
        <v>0</v>
      </c>
      <c r="P145" s="2"/>
      <c r="Q145" s="2"/>
      <c r="R145" s="18"/>
      <c r="S145" s="2"/>
      <c r="T145" s="18"/>
      <c r="U145" s="18"/>
      <c r="V145" s="18"/>
      <c r="W145" s="18"/>
      <c r="X145" s="2"/>
      <c r="Y145" s="18"/>
      <c r="Z145" s="2"/>
      <c r="AA145" s="7">
        <f t="shared" si="14"/>
        <v>0</v>
      </c>
      <c r="AB145" s="8" t="s">
        <v>148</v>
      </c>
      <c r="AC145" s="12">
        <v>500</v>
      </c>
      <c r="AD145" s="8" t="s">
        <v>189</v>
      </c>
      <c r="AE145" s="8">
        <f t="shared" si="12"/>
        <v>0</v>
      </c>
    </row>
    <row r="146" spans="1:31" x14ac:dyDescent="0.25">
      <c r="A146" s="2">
        <v>141</v>
      </c>
      <c r="B146" s="2" t="s">
        <v>188</v>
      </c>
      <c r="C146" s="2" t="s">
        <v>129</v>
      </c>
      <c r="D146" s="2" t="s">
        <v>183</v>
      </c>
      <c r="E146" s="13">
        <v>0.3125</v>
      </c>
      <c r="F146" s="2"/>
      <c r="G146" s="3"/>
      <c r="H146" s="3">
        <v>0.21</v>
      </c>
      <c r="I146" s="2">
        <v>0</v>
      </c>
      <c r="J146" s="2">
        <v>0</v>
      </c>
      <c r="K146" s="2"/>
      <c r="L146" s="2"/>
      <c r="M146" s="2"/>
      <c r="N146" s="2"/>
      <c r="O146" s="8">
        <f t="shared" si="13"/>
        <v>0</v>
      </c>
      <c r="P146" s="2"/>
      <c r="Q146" s="2"/>
      <c r="R146" s="18"/>
      <c r="S146" s="2"/>
      <c r="T146" s="18"/>
      <c r="U146" s="18"/>
      <c r="V146" s="18"/>
      <c r="W146" s="18"/>
      <c r="X146" s="2"/>
      <c r="Y146" s="18"/>
      <c r="Z146" s="2"/>
      <c r="AA146" s="7">
        <f t="shared" si="14"/>
        <v>0</v>
      </c>
      <c r="AB146" s="8" t="s">
        <v>148</v>
      </c>
      <c r="AC146" s="12">
        <v>500</v>
      </c>
      <c r="AD146" s="8" t="s">
        <v>189</v>
      </c>
      <c r="AE146" s="8">
        <f t="shared" si="12"/>
        <v>0</v>
      </c>
    </row>
    <row r="147" spans="1:31" x14ac:dyDescent="0.25">
      <c r="A147" s="2">
        <v>142</v>
      </c>
      <c r="B147" s="2" t="s">
        <v>188</v>
      </c>
      <c r="C147" s="2" t="s">
        <v>129</v>
      </c>
      <c r="D147" s="2" t="s">
        <v>184</v>
      </c>
      <c r="E147" s="13">
        <v>0.3125</v>
      </c>
      <c r="F147" s="2"/>
      <c r="G147" s="3"/>
      <c r="H147" s="3">
        <v>0.21</v>
      </c>
      <c r="I147" s="2">
        <v>0</v>
      </c>
      <c r="J147" s="2">
        <v>0</v>
      </c>
      <c r="K147" s="2"/>
      <c r="L147" s="2"/>
      <c r="M147" s="2"/>
      <c r="N147" s="2"/>
      <c r="O147" s="8">
        <f t="shared" si="13"/>
        <v>0</v>
      </c>
      <c r="P147" s="2"/>
      <c r="Q147" s="2"/>
      <c r="R147" s="18"/>
      <c r="S147" s="2"/>
      <c r="T147" s="18"/>
      <c r="U147" s="18"/>
      <c r="V147" s="18"/>
      <c r="W147" s="18"/>
      <c r="X147" s="2"/>
      <c r="Y147" s="18"/>
      <c r="Z147" s="2"/>
      <c r="AA147" s="7">
        <f t="shared" si="14"/>
        <v>0</v>
      </c>
      <c r="AB147" s="8" t="s">
        <v>148</v>
      </c>
      <c r="AC147" s="12">
        <v>500</v>
      </c>
      <c r="AD147" s="8" t="s">
        <v>189</v>
      </c>
      <c r="AE147" s="8">
        <f t="shared" si="12"/>
        <v>0</v>
      </c>
    </row>
    <row r="148" spans="1:31" x14ac:dyDescent="0.25">
      <c r="A148" s="2">
        <v>143</v>
      </c>
      <c r="B148" s="2" t="s">
        <v>188</v>
      </c>
      <c r="C148" s="2" t="s">
        <v>129</v>
      </c>
      <c r="D148" s="2" t="s">
        <v>185</v>
      </c>
      <c r="E148" s="13">
        <v>0.3125</v>
      </c>
      <c r="F148" s="2"/>
      <c r="G148" s="3"/>
      <c r="H148" s="3">
        <v>0.19</v>
      </c>
      <c r="I148" s="2">
        <v>0</v>
      </c>
      <c r="J148" s="2">
        <v>0</v>
      </c>
      <c r="K148" s="2"/>
      <c r="L148" s="2"/>
      <c r="M148" s="2"/>
      <c r="N148" s="2"/>
      <c r="O148" s="8">
        <f t="shared" si="13"/>
        <v>0</v>
      </c>
      <c r="P148" s="2"/>
      <c r="Q148" s="2"/>
      <c r="R148" s="18"/>
      <c r="S148" s="2"/>
      <c r="T148" s="18"/>
      <c r="U148" s="18"/>
      <c r="V148" s="18"/>
      <c r="W148" s="18"/>
      <c r="X148" s="2"/>
      <c r="Y148" s="18"/>
      <c r="Z148" s="2"/>
      <c r="AA148" s="7">
        <f t="shared" si="14"/>
        <v>0</v>
      </c>
      <c r="AB148" s="8" t="s">
        <v>148</v>
      </c>
      <c r="AC148" s="12">
        <v>500</v>
      </c>
      <c r="AD148" s="8" t="s">
        <v>189</v>
      </c>
      <c r="AE148" s="8">
        <f t="shared" si="12"/>
        <v>0</v>
      </c>
    </row>
    <row r="149" spans="1:31" x14ac:dyDescent="0.25">
      <c r="A149" s="2">
        <v>144</v>
      </c>
      <c r="B149" s="2" t="s">
        <v>188</v>
      </c>
      <c r="C149" s="2" t="s">
        <v>129</v>
      </c>
      <c r="D149" s="2" t="s">
        <v>186</v>
      </c>
      <c r="E149" s="13">
        <v>0.3125</v>
      </c>
      <c r="F149" s="2"/>
      <c r="G149" s="3"/>
      <c r="H149" s="3">
        <v>0.19</v>
      </c>
      <c r="I149" s="2">
        <v>0</v>
      </c>
      <c r="J149" s="2">
        <v>0</v>
      </c>
      <c r="K149" s="2"/>
      <c r="L149" s="2"/>
      <c r="M149" s="2"/>
      <c r="N149" s="2"/>
      <c r="O149" s="8">
        <f t="shared" si="13"/>
        <v>0</v>
      </c>
      <c r="P149" s="2"/>
      <c r="Q149" s="2"/>
      <c r="R149" s="18"/>
      <c r="S149" s="2"/>
      <c r="T149" s="18"/>
      <c r="U149" s="18"/>
      <c r="V149" s="18"/>
      <c r="W149" s="18"/>
      <c r="X149" s="2"/>
      <c r="Y149" s="18"/>
      <c r="Z149" s="2"/>
      <c r="AA149" s="7">
        <f t="shared" si="14"/>
        <v>0</v>
      </c>
      <c r="AB149" s="8" t="s">
        <v>148</v>
      </c>
      <c r="AC149" s="12">
        <v>500</v>
      </c>
      <c r="AD149" s="8" t="s">
        <v>189</v>
      </c>
      <c r="AE149" s="8">
        <f t="shared" si="12"/>
        <v>0</v>
      </c>
    </row>
    <row r="150" spans="1:31" x14ac:dyDescent="0.25">
      <c r="H150" s="4" t="s">
        <v>19</v>
      </c>
      <c r="I150" s="9">
        <f t="shared" ref="I150:AA150" si="15">SUM(I6:I122)</f>
        <v>14720</v>
      </c>
      <c r="J150" s="9">
        <f t="shared" si="15"/>
        <v>4680</v>
      </c>
      <c r="K150" s="9"/>
      <c r="L150" s="9">
        <f t="shared" si="15"/>
        <v>0</v>
      </c>
      <c r="M150" s="9">
        <f t="shared" si="15"/>
        <v>0</v>
      </c>
      <c r="N150" s="9">
        <f t="shared" si="15"/>
        <v>0</v>
      </c>
      <c r="O150" s="11">
        <f t="shared" si="15"/>
        <v>-7668</v>
      </c>
      <c r="P150" s="9">
        <f t="shared" si="15"/>
        <v>0</v>
      </c>
      <c r="Q150" s="9">
        <f t="shared" si="15"/>
        <v>6962</v>
      </c>
      <c r="R150" s="9">
        <f t="shared" si="15"/>
        <v>3210</v>
      </c>
      <c r="S150" s="9">
        <f t="shared" si="15"/>
        <v>1230</v>
      </c>
      <c r="T150" s="9">
        <f t="shared" si="15"/>
        <v>886</v>
      </c>
      <c r="U150" s="9">
        <f t="shared" si="15"/>
        <v>0</v>
      </c>
      <c r="V150" s="9">
        <f t="shared" si="15"/>
        <v>7182</v>
      </c>
      <c r="W150" s="9">
        <f t="shared" si="15"/>
        <v>3232</v>
      </c>
      <c r="X150" s="9">
        <f t="shared" si="15"/>
        <v>2547</v>
      </c>
      <c r="Y150" s="9">
        <f t="shared" si="15"/>
        <v>1687</v>
      </c>
      <c r="Z150" s="9">
        <f t="shared" si="15"/>
        <v>132</v>
      </c>
      <c r="AA150" s="9">
        <f t="shared" si="15"/>
        <v>0</v>
      </c>
      <c r="AE150" s="12">
        <f>SUM(AE6:AE122)</f>
        <v>117.30433333333333</v>
      </c>
    </row>
    <row r="151" spans="1:31" x14ac:dyDescent="0.25">
      <c r="H151" s="4" t="s">
        <v>21</v>
      </c>
      <c r="I151" s="99">
        <f>+I150+J150+K150+L150+M150+N150</f>
        <v>19400</v>
      </c>
      <c r="J151" s="99"/>
      <c r="K151" s="99"/>
      <c r="L151" s="99"/>
      <c r="M151" s="99"/>
      <c r="N151" s="99"/>
      <c r="P151" s="123">
        <f>+P150+Q150</f>
        <v>6962</v>
      </c>
      <c r="Q151" s="124"/>
      <c r="R151" s="123">
        <f>+R150+S150</f>
        <v>4440</v>
      </c>
      <c r="S151" s="124"/>
      <c r="T151" s="123">
        <f>+T150+U150</f>
        <v>886</v>
      </c>
      <c r="U151" s="124"/>
      <c r="V151" s="123">
        <f t="shared" ref="V151" si="16">+V150+W150</f>
        <v>10414</v>
      </c>
      <c r="W151" s="124"/>
      <c r="X151" s="123">
        <f t="shared" ref="X151" si="17">+X150+Y150</f>
        <v>4234</v>
      </c>
      <c r="Y151" s="124"/>
      <c r="Z151" s="10">
        <f>+Z150</f>
        <v>132</v>
      </c>
    </row>
    <row r="152" spans="1:31" x14ac:dyDescent="0.25">
      <c r="I152" s="33"/>
      <c r="J152" s="33">
        <f t="shared" ref="J152:N152" si="18">+J150</f>
        <v>4680</v>
      </c>
      <c r="K152" s="33">
        <f t="shared" si="18"/>
        <v>0</v>
      </c>
      <c r="L152" s="33">
        <f t="shared" si="18"/>
        <v>0</v>
      </c>
      <c r="M152" s="33">
        <f t="shared" si="18"/>
        <v>0</v>
      </c>
      <c r="N152" s="33">
        <f t="shared" si="18"/>
        <v>0</v>
      </c>
    </row>
    <row r="153" spans="1:31" x14ac:dyDescent="0.25">
      <c r="P153" s="18" t="s">
        <v>15</v>
      </c>
      <c r="Q153" s="18" t="s">
        <v>16</v>
      </c>
      <c r="R153" s="18" t="s">
        <v>15</v>
      </c>
      <c r="S153" s="18" t="s">
        <v>16</v>
      </c>
      <c r="T153" s="18" t="s">
        <v>15</v>
      </c>
      <c r="U153" s="18" t="s">
        <v>16</v>
      </c>
      <c r="V153" s="18" t="s">
        <v>15</v>
      </c>
      <c r="W153" s="18" t="s">
        <v>16</v>
      </c>
      <c r="X153" s="82" t="s">
        <v>15</v>
      </c>
      <c r="Y153" s="18" t="s">
        <v>16</v>
      </c>
      <c r="Z153" s="18"/>
      <c r="AA153" s="18"/>
    </row>
    <row r="154" spans="1:31" x14ac:dyDescent="0.25">
      <c r="C154" s="2" t="s">
        <v>217</v>
      </c>
      <c r="D154" s="2" t="s">
        <v>218</v>
      </c>
      <c r="E154" s="2" t="s">
        <v>219</v>
      </c>
      <c r="P154" s="39">
        <f>P150/$E$155</f>
        <v>0</v>
      </c>
      <c r="Q154" s="39">
        <f>Q150/$E$155</f>
        <v>2.3727080635266855</v>
      </c>
      <c r="R154" s="39">
        <f>R150/$E$155</f>
        <v>1.0939949560357167</v>
      </c>
      <c r="S154" s="39">
        <f>S150/$E$156</f>
        <v>1.48425244358634</v>
      </c>
      <c r="T154" s="39">
        <f>T150/$E$155</f>
        <v>0.3019562402017586</v>
      </c>
      <c r="U154" s="39">
        <f>U150/$E$155</f>
        <v>0</v>
      </c>
      <c r="V154" s="39">
        <f>V150/$E$155</f>
        <v>2.4476859109808466</v>
      </c>
      <c r="W154" s="39">
        <f>W150/$E$155</f>
        <v>1.101492740781133</v>
      </c>
      <c r="X154" s="84">
        <f t="shared" ref="X154:Y154" si="19">X150/$E$156</f>
        <v>3.0734885965970795</v>
      </c>
      <c r="Y154" s="39">
        <f t="shared" si="19"/>
        <v>2.0357185953903705</v>
      </c>
      <c r="Z154" s="39"/>
      <c r="AA154" s="39"/>
    </row>
    <row r="155" spans="1:31" x14ac:dyDescent="0.25">
      <c r="B155" s="31" t="s">
        <v>212</v>
      </c>
      <c r="C155" s="35">
        <f>27994+1248+100</f>
        <v>29342</v>
      </c>
      <c r="D155" s="2">
        <f>+C155/5</f>
        <v>5868.4</v>
      </c>
      <c r="E155" s="2">
        <f>+D155/2</f>
        <v>2934.2</v>
      </c>
      <c r="F155" s="35">
        <f>27994+1248</f>
        <v>29242</v>
      </c>
      <c r="H155" s="22"/>
      <c r="P155" s="100">
        <v>46265</v>
      </c>
      <c r="Q155" s="98"/>
      <c r="R155" s="100">
        <v>46266</v>
      </c>
      <c r="S155" s="98"/>
      <c r="T155" s="100">
        <v>46267</v>
      </c>
      <c r="U155" s="98"/>
      <c r="V155" s="100">
        <v>46268</v>
      </c>
      <c r="W155" s="98"/>
      <c r="X155" s="100">
        <v>46269</v>
      </c>
      <c r="Y155" s="98"/>
      <c r="Z155" s="100"/>
      <c r="AA155" s="98"/>
    </row>
    <row r="156" spans="1:31" x14ac:dyDescent="0.25">
      <c r="B156" s="31" t="s">
        <v>213</v>
      </c>
      <c r="C156" s="35">
        <v>8287</v>
      </c>
      <c r="D156" s="2">
        <f>+C156/5</f>
        <v>1657.4</v>
      </c>
      <c r="E156" s="2">
        <f>+D156/2</f>
        <v>828.7</v>
      </c>
      <c r="F156" s="35">
        <v>9838</v>
      </c>
    </row>
    <row r="157" spans="1:31" x14ac:dyDescent="0.25">
      <c r="B157" s="31" t="s">
        <v>214</v>
      </c>
      <c r="C157" s="2">
        <f>+C155-C156</f>
        <v>21055</v>
      </c>
      <c r="D157" s="2"/>
      <c r="E157" s="2"/>
      <c r="F157" s="1">
        <f>+F155-F156</f>
        <v>19404</v>
      </c>
    </row>
    <row r="158" spans="1:31" x14ac:dyDescent="0.25">
      <c r="B158" s="31" t="s">
        <v>215</v>
      </c>
      <c r="C158" s="32">
        <f>+C157/C155</f>
        <v>0.71757208097607528</v>
      </c>
      <c r="D158" s="2"/>
      <c r="E158" s="2"/>
      <c r="F158" s="1">
        <f>+F157/F155</f>
        <v>0.66356610354968881</v>
      </c>
    </row>
    <row r="159" spans="1:31" x14ac:dyDescent="0.25">
      <c r="B159" s="31" t="s">
        <v>216</v>
      </c>
      <c r="C159" s="32">
        <f>+C156/C155</f>
        <v>0.28242791902392472</v>
      </c>
      <c r="D159" s="2"/>
      <c r="E159" s="2"/>
    </row>
    <row r="162" spans="2:9" x14ac:dyDescent="0.25">
      <c r="B162" s="91" t="s">
        <v>238</v>
      </c>
      <c r="C162" s="42">
        <v>46265</v>
      </c>
      <c r="D162" s="42">
        <v>46266</v>
      </c>
      <c r="E162" s="42">
        <v>46267</v>
      </c>
      <c r="F162" s="42">
        <v>46268</v>
      </c>
      <c r="G162" s="42">
        <v>46269</v>
      </c>
      <c r="H162" s="42">
        <v>46270</v>
      </c>
      <c r="I162" s="42">
        <v>46269</v>
      </c>
    </row>
    <row r="163" spans="2:9" x14ac:dyDescent="0.25">
      <c r="B163" s="91"/>
      <c r="C163" s="44" t="s">
        <v>240</v>
      </c>
      <c r="D163" s="44" t="s">
        <v>223</v>
      </c>
      <c r="E163" s="44" t="s">
        <v>224</v>
      </c>
      <c r="F163" s="44" t="s">
        <v>225</v>
      </c>
      <c r="G163" s="44" t="s">
        <v>226</v>
      </c>
      <c r="I163" s="44" t="s">
        <v>229</v>
      </c>
    </row>
    <row r="164" spans="2:9" x14ac:dyDescent="0.25">
      <c r="B164" s="40" t="s">
        <v>220</v>
      </c>
      <c r="C164" s="32">
        <v>0.33725083946559975</v>
      </c>
      <c r="D164" s="39">
        <v>0.43</v>
      </c>
      <c r="E164" s="39">
        <v>0.49</v>
      </c>
      <c r="F164" s="45">
        <v>0.62</v>
      </c>
      <c r="G164" s="45">
        <v>0.74</v>
      </c>
      <c r="I164" s="39">
        <v>0.72</v>
      </c>
    </row>
    <row r="165" spans="2:9" x14ac:dyDescent="0.25">
      <c r="B165" s="41" t="s">
        <v>221</v>
      </c>
      <c r="C165" s="39">
        <v>0.66274916053440025</v>
      </c>
      <c r="D165" s="39">
        <v>0.56999999999999995</v>
      </c>
      <c r="E165" s="39">
        <v>0.56999999999999995</v>
      </c>
      <c r="F165" s="45">
        <v>0.38</v>
      </c>
      <c r="G165" s="45">
        <v>0.26</v>
      </c>
      <c r="I165" s="39">
        <v>0.28000000000000003</v>
      </c>
    </row>
  </sheetData>
  <autoFilter ref="B5:AE151" xr:uid="{00000000-0009-0000-0000-00000B000000}"/>
  <mergeCells count="22">
    <mergeCell ref="R155:S155"/>
    <mergeCell ref="T155:U155"/>
    <mergeCell ref="V155:W155"/>
    <mergeCell ref="X155:Y155"/>
    <mergeCell ref="Z155:AA155"/>
    <mergeCell ref="B162:B163"/>
    <mergeCell ref="C2:D2"/>
    <mergeCell ref="B3:B4"/>
    <mergeCell ref="J4:N4"/>
    <mergeCell ref="P4:Q4"/>
    <mergeCell ref="P155:Q155"/>
    <mergeCell ref="E3:F4"/>
    <mergeCell ref="R4:S4"/>
    <mergeCell ref="V4:W4"/>
    <mergeCell ref="X4:Y4"/>
    <mergeCell ref="I151:N151"/>
    <mergeCell ref="P151:Q151"/>
    <mergeCell ref="R151:S151"/>
    <mergeCell ref="T151:U151"/>
    <mergeCell ref="V151:W151"/>
    <mergeCell ref="X151:Y151"/>
    <mergeCell ref="T4:U4"/>
  </mergeCells>
  <conditionalFormatting sqref="P154:AA154">
    <cfRule type="cellIs" dxfId="8" priority="1" operator="between">
      <formula>1</formula>
      <formula>5</formula>
    </cfRule>
    <cfRule type="cellIs" dxfId="7" priority="2" operator="between">
      <formula>0.85</formula>
      <formula>0.99</formula>
    </cfRule>
    <cfRule type="cellIs" dxfId="6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36" orientation="landscape"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A1:AI170"/>
  <sheetViews>
    <sheetView zoomScale="70" zoomScaleNormal="70" workbookViewId="0">
      <pane xSplit="15" topLeftCell="P1" activePane="topRight" state="frozen"/>
      <selection activeCell="J1" sqref="J1:N1048576"/>
      <selection pane="topRight" activeCell="V48" sqref="V48"/>
    </sheetView>
  </sheetViews>
  <sheetFormatPr baseColWidth="10" defaultColWidth="8.7109375" defaultRowHeight="15" x14ac:dyDescent="0.25"/>
  <cols>
    <col min="1" max="1" width="8.7109375" style="1"/>
    <col min="2" max="2" width="23.710937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3" style="1" bestFit="1" customWidth="1"/>
    <col min="7" max="7" width="10.5703125" style="1" hidden="1" customWidth="1"/>
    <col min="8" max="8" width="15.42578125" style="1" hidden="1" customWidth="1"/>
    <col min="9" max="9" width="12" style="1" bestFit="1" customWidth="1"/>
    <col min="10" max="10" width="10.140625" style="1" customWidth="1"/>
    <col min="11" max="12" width="9.5703125" style="1" hidden="1" customWidth="1"/>
    <col min="13" max="13" width="8.42578125" style="1" hidden="1" customWidth="1"/>
    <col min="14" max="14" width="9.5703125" style="1" hidden="1" customWidth="1"/>
    <col min="15" max="15" width="10.140625" style="1" customWidth="1"/>
    <col min="16" max="17" width="9.140625" style="1" customWidth="1"/>
    <col min="18" max="22" width="8.7109375" style="1" customWidth="1"/>
    <col min="23" max="23" width="8.7109375" style="16" customWidth="1"/>
    <col min="24" max="26" width="8.7109375" style="1" customWidth="1"/>
    <col min="27" max="27" width="8.7109375" style="1"/>
    <col min="28" max="28" width="14.42578125" style="1" bestFit="1" customWidth="1"/>
    <col min="29" max="29" width="13" style="1" customWidth="1"/>
    <col min="30" max="30" width="11.5703125" style="1" bestFit="1" customWidth="1"/>
    <col min="31" max="31" width="12.140625" style="1" bestFit="1" customWidth="1"/>
    <col min="32" max="32" width="8.7109375" style="1"/>
    <col min="33" max="33" width="14.42578125" style="1" bestFit="1" customWidth="1"/>
    <col min="34" max="34" width="18.42578125" style="1" bestFit="1" customWidth="1"/>
    <col min="35" max="16384" width="8.7109375" style="1"/>
  </cols>
  <sheetData>
    <row r="1" spans="1:35" s="87" customFormat="1" x14ac:dyDescent="0.25">
      <c r="G1" s="1"/>
      <c r="H1" s="1"/>
      <c r="K1" s="1"/>
      <c r="L1" s="1"/>
      <c r="M1" s="1"/>
      <c r="N1" s="1"/>
    </row>
    <row r="2" spans="1:35" s="87" customFormat="1" x14ac:dyDescent="0.25">
      <c r="G2" s="1"/>
      <c r="H2" s="1"/>
      <c r="K2" s="1"/>
      <c r="L2" s="1"/>
      <c r="M2" s="1"/>
      <c r="N2" s="1"/>
    </row>
    <row r="3" spans="1:35" s="87" customFormat="1" x14ac:dyDescent="0.25">
      <c r="G3" s="1"/>
      <c r="H3" s="1"/>
      <c r="K3" s="1"/>
      <c r="L3" s="1"/>
      <c r="M3" s="1"/>
      <c r="N3" s="1"/>
    </row>
    <row r="4" spans="1:35" s="87" customFormat="1" x14ac:dyDescent="0.25">
      <c r="G4" s="1"/>
      <c r="H4" s="1"/>
      <c r="K4" s="1"/>
      <c r="L4" s="1"/>
      <c r="M4" s="1"/>
      <c r="N4" s="1"/>
    </row>
    <row r="5" spans="1:35" s="87" customFormat="1" x14ac:dyDescent="0.25">
      <c r="G5" s="1"/>
      <c r="H5" s="1"/>
      <c r="K5" s="1"/>
      <c r="L5" s="1"/>
      <c r="M5" s="1"/>
      <c r="N5" s="1"/>
    </row>
    <row r="6" spans="1:35" x14ac:dyDescent="0.25">
      <c r="R6" s="16"/>
      <c r="U6" s="16"/>
      <c r="V6" s="16"/>
      <c r="Y6" s="16"/>
    </row>
    <row r="7" spans="1:35" ht="15" customHeight="1" x14ac:dyDescent="0.25">
      <c r="B7" s="4" t="s">
        <v>17</v>
      </c>
      <c r="C7" s="92" t="s">
        <v>18</v>
      </c>
      <c r="D7" s="92"/>
      <c r="J7" s="86"/>
      <c r="K7" s="85"/>
      <c r="L7" s="85"/>
      <c r="M7" s="85"/>
      <c r="N7" s="85"/>
      <c r="O7" s="86"/>
      <c r="R7" s="16"/>
      <c r="U7" s="16"/>
      <c r="V7" s="16"/>
      <c r="Y7" s="16"/>
    </row>
    <row r="8" spans="1:35" ht="15" customHeight="1" x14ac:dyDescent="0.25">
      <c r="B8" s="93">
        <f ca="1">TODAY()</f>
        <v>46308</v>
      </c>
      <c r="C8" s="4" t="s">
        <v>15</v>
      </c>
      <c r="D8" s="2" t="s">
        <v>209</v>
      </c>
      <c r="E8" s="94" t="s">
        <v>239</v>
      </c>
      <c r="F8" s="95"/>
      <c r="I8" s="4" t="s">
        <v>4</v>
      </c>
      <c r="J8" s="86"/>
      <c r="K8" s="85"/>
      <c r="L8" s="85"/>
      <c r="M8" s="85"/>
      <c r="N8" s="85"/>
      <c r="O8" s="86"/>
      <c r="R8" s="16"/>
      <c r="U8" s="16"/>
      <c r="V8" s="16"/>
      <c r="Y8" s="16"/>
    </row>
    <row r="9" spans="1:35" x14ac:dyDescent="0.25">
      <c r="B9" s="93"/>
      <c r="C9" s="4" t="s">
        <v>16</v>
      </c>
      <c r="D9" s="2"/>
      <c r="E9" s="96"/>
      <c r="F9" s="97"/>
      <c r="I9" s="4" t="s">
        <v>5</v>
      </c>
      <c r="J9" s="98"/>
      <c r="K9" s="98"/>
      <c r="L9" s="98"/>
      <c r="M9" s="98"/>
      <c r="N9" s="98"/>
      <c r="P9" s="122">
        <v>46272</v>
      </c>
      <c r="Q9" s="122"/>
      <c r="R9" s="122">
        <f>+P9+1</f>
        <v>46273</v>
      </c>
      <c r="S9" s="122"/>
      <c r="T9" s="122">
        <f t="shared" ref="T9" si="0">+R9+1</f>
        <v>46274</v>
      </c>
      <c r="U9" s="122"/>
      <c r="V9" s="122">
        <f t="shared" ref="V9" si="1">+T9+1</f>
        <v>46275</v>
      </c>
      <c r="W9" s="122"/>
      <c r="X9" s="122">
        <f t="shared" ref="X9" si="2">+V9+1</f>
        <v>46276</v>
      </c>
      <c r="Y9" s="122"/>
      <c r="Z9" s="6" t="s">
        <v>10</v>
      </c>
    </row>
    <row r="10" spans="1:3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187</v>
      </c>
      <c r="I10" s="5">
        <v>37</v>
      </c>
      <c r="J10" s="4">
        <v>36</v>
      </c>
      <c r="K10" s="4"/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4" t="s">
        <v>16</v>
      </c>
      <c r="R10" s="17" t="s">
        <v>15</v>
      </c>
      <c r="S10" s="4" t="s">
        <v>16</v>
      </c>
      <c r="T10" s="4" t="s">
        <v>15</v>
      </c>
      <c r="U10" s="17" t="s">
        <v>16</v>
      </c>
      <c r="V10" s="17" t="s">
        <v>15</v>
      </c>
      <c r="W10" s="17" t="s">
        <v>16</v>
      </c>
      <c r="X10" s="4" t="s">
        <v>15</v>
      </c>
      <c r="Y10" s="17" t="s">
        <v>16</v>
      </c>
      <c r="Z10" s="4" t="s">
        <v>20</v>
      </c>
      <c r="AA10" s="4" t="s">
        <v>8</v>
      </c>
      <c r="AB10" s="4" t="s">
        <v>22</v>
      </c>
      <c r="AC10" s="4" t="s">
        <v>145</v>
      </c>
      <c r="AD10" s="4" t="s">
        <v>23</v>
      </c>
      <c r="AE10" s="4" t="s">
        <v>156</v>
      </c>
      <c r="AF10"/>
      <c r="AG10" t="s">
        <v>157</v>
      </c>
      <c r="AH10" t="s">
        <v>159</v>
      </c>
      <c r="AI10"/>
    </row>
    <row r="11" spans="1:35" x14ac:dyDescent="0.25">
      <c r="A11" s="2">
        <v>1</v>
      </c>
      <c r="B11" s="2" t="s">
        <v>24</v>
      </c>
      <c r="C11" s="2" t="s">
        <v>129</v>
      </c>
      <c r="D11" s="2" t="s">
        <v>25</v>
      </c>
      <c r="E11" s="13">
        <v>0.25</v>
      </c>
      <c r="F11" s="2">
        <v>2.8000000000000001E-2</v>
      </c>
      <c r="G11" s="3"/>
      <c r="H11" s="3"/>
      <c r="I11" s="2">
        <v>700</v>
      </c>
      <c r="J11" s="2">
        <f>VLOOKUP(D11,'SEMANA 36'!D6:O149,12,0)</f>
        <v>-700</v>
      </c>
      <c r="K11" s="2"/>
      <c r="L11" s="2"/>
      <c r="M11" s="2"/>
      <c r="N11" s="2"/>
      <c r="O11" s="8">
        <f t="shared" ref="O11:O74" si="3">+I11+J11+K11+L11+M11+N11-SUM(P11:Z11)</f>
        <v>0</v>
      </c>
      <c r="P11" s="2"/>
      <c r="Q11" s="2"/>
      <c r="R11" s="18"/>
      <c r="S11" s="2"/>
      <c r="T11" s="18"/>
      <c r="U11" s="18"/>
      <c r="V11" s="18"/>
      <c r="W11" s="18"/>
      <c r="X11" s="2"/>
      <c r="Y11" s="18"/>
      <c r="Z11" s="2"/>
      <c r="AA11" s="7">
        <f t="shared" ref="AA11:AA42" si="4">+G11*SUM(I11:N11)</f>
        <v>0</v>
      </c>
      <c r="AB11" s="8" t="s">
        <v>146</v>
      </c>
      <c r="AC11" s="8">
        <v>150</v>
      </c>
      <c r="AD11" s="8" t="s">
        <v>152</v>
      </c>
      <c r="AE11" s="8">
        <f t="shared" ref="AE11:AE26" si="5">+SUM(I11:N11)/AC11</f>
        <v>0</v>
      </c>
      <c r="AF11"/>
      <c r="AG11" s="15">
        <v>0</v>
      </c>
      <c r="AH11">
        <v>0</v>
      </c>
      <c r="AI11"/>
    </row>
    <row r="12" spans="1:35" x14ac:dyDescent="0.25">
      <c r="A12" s="2">
        <v>2</v>
      </c>
      <c r="B12" s="2" t="s">
        <v>24</v>
      </c>
      <c r="C12" s="2" t="s">
        <v>129</v>
      </c>
      <c r="D12" s="2" t="s">
        <v>26</v>
      </c>
      <c r="E12" s="13">
        <v>0.25</v>
      </c>
      <c r="F12" s="2">
        <v>2.8000000000000001E-2</v>
      </c>
      <c r="G12" s="3"/>
      <c r="H12" s="3"/>
      <c r="I12" s="2">
        <v>2300</v>
      </c>
      <c r="J12" s="2">
        <f>VLOOKUP(D12,'SEMANA 36'!D7:O150,12,0)</f>
        <v>-2200</v>
      </c>
      <c r="K12" s="2"/>
      <c r="L12" s="2"/>
      <c r="M12" s="2"/>
      <c r="N12" s="2"/>
      <c r="O12" s="8">
        <f t="shared" si="3"/>
        <v>-900</v>
      </c>
      <c r="P12" s="2"/>
      <c r="Q12" s="2"/>
      <c r="R12" s="18"/>
      <c r="S12" s="2"/>
      <c r="T12" s="18">
        <v>1000</v>
      </c>
      <c r="U12" s="18"/>
      <c r="V12" s="18"/>
      <c r="W12" s="18"/>
      <c r="X12" s="2"/>
      <c r="Y12" s="18"/>
      <c r="Z12" s="2"/>
      <c r="AA12" s="7">
        <f t="shared" si="4"/>
        <v>0</v>
      </c>
      <c r="AB12" s="8" t="s">
        <v>146</v>
      </c>
      <c r="AC12" s="8">
        <v>200</v>
      </c>
      <c r="AD12" s="8" t="s">
        <v>152</v>
      </c>
      <c r="AE12" s="8">
        <f t="shared" si="5"/>
        <v>0.5</v>
      </c>
      <c r="AF12"/>
      <c r="AG12" s="15" t="s">
        <v>146</v>
      </c>
      <c r="AH12">
        <v>52</v>
      </c>
      <c r="AI12"/>
    </row>
    <row r="13" spans="1:35" x14ac:dyDescent="0.25">
      <c r="A13" s="2">
        <v>3</v>
      </c>
      <c r="B13" s="2" t="s">
        <v>24</v>
      </c>
      <c r="C13" s="2" t="s">
        <v>129</v>
      </c>
      <c r="D13" s="2" t="s">
        <v>27</v>
      </c>
      <c r="E13" s="13">
        <v>0.25</v>
      </c>
      <c r="F13" s="2">
        <v>2.8000000000000001E-2</v>
      </c>
      <c r="G13" s="3"/>
      <c r="H13" s="3"/>
      <c r="I13" s="2">
        <v>0</v>
      </c>
      <c r="J13" s="2">
        <f>VLOOKUP(D13,'SEMANA 36'!D8:O151,12,0)</f>
        <v>-850</v>
      </c>
      <c r="K13" s="2"/>
      <c r="L13" s="2"/>
      <c r="M13" s="2"/>
      <c r="N13" s="2"/>
      <c r="O13" s="8">
        <f t="shared" si="3"/>
        <v>-850</v>
      </c>
      <c r="P13" s="2"/>
      <c r="Q13" s="2"/>
      <c r="R13" s="18"/>
      <c r="S13" s="2"/>
      <c r="T13" s="18"/>
      <c r="U13" s="18"/>
      <c r="V13" s="18"/>
      <c r="W13" s="18"/>
      <c r="X13" s="2"/>
      <c r="Y13" s="18"/>
      <c r="Z13" s="2"/>
      <c r="AA13" s="7">
        <f t="shared" si="4"/>
        <v>0</v>
      </c>
      <c r="AB13" s="8" t="s">
        <v>146</v>
      </c>
      <c r="AC13" s="8">
        <v>200</v>
      </c>
      <c r="AD13" s="8" t="s">
        <v>152</v>
      </c>
      <c r="AE13" s="8">
        <f t="shared" si="5"/>
        <v>-4.25</v>
      </c>
      <c r="AF13"/>
      <c r="AG13" s="15" t="s">
        <v>155</v>
      </c>
      <c r="AH13">
        <v>0</v>
      </c>
      <c r="AI13"/>
    </row>
    <row r="14" spans="1:35" x14ac:dyDescent="0.25">
      <c r="A14" s="2">
        <v>4</v>
      </c>
      <c r="B14" s="2" t="s">
        <v>24</v>
      </c>
      <c r="C14" s="2" t="s">
        <v>129</v>
      </c>
      <c r="D14" s="2" t="s">
        <v>28</v>
      </c>
      <c r="E14" s="13">
        <v>0.375</v>
      </c>
      <c r="F14" s="2">
        <v>2.8000000000000001E-2</v>
      </c>
      <c r="G14" s="3"/>
      <c r="H14" s="3"/>
      <c r="I14" s="2">
        <v>0</v>
      </c>
      <c r="J14" s="2">
        <f>VLOOKUP(D14,'SEMANA 36'!D9:O152,12,0)</f>
        <v>-474</v>
      </c>
      <c r="K14" s="2"/>
      <c r="L14" s="2"/>
      <c r="M14" s="2"/>
      <c r="N14" s="2"/>
      <c r="O14" s="8">
        <f t="shared" si="3"/>
        <v>-474</v>
      </c>
      <c r="P14" s="2"/>
      <c r="Q14" s="2"/>
      <c r="R14" s="18"/>
      <c r="S14" s="2"/>
      <c r="T14" s="18"/>
      <c r="U14" s="18"/>
      <c r="V14" s="18"/>
      <c r="W14" s="18"/>
      <c r="X14" s="2"/>
      <c r="Y14" s="18"/>
      <c r="Z14" s="2"/>
      <c r="AA14" s="7">
        <f t="shared" si="4"/>
        <v>0</v>
      </c>
      <c r="AB14" s="8" t="s">
        <v>146</v>
      </c>
      <c r="AC14" s="8">
        <v>100</v>
      </c>
      <c r="AD14" s="8" t="s">
        <v>152</v>
      </c>
      <c r="AE14" s="8">
        <f t="shared" si="5"/>
        <v>-4.74</v>
      </c>
      <c r="AF14"/>
      <c r="AG14" s="15" t="s">
        <v>147</v>
      </c>
      <c r="AH14">
        <v>116</v>
      </c>
      <c r="AI14"/>
    </row>
    <row r="15" spans="1:35" x14ac:dyDescent="0.25">
      <c r="A15" s="2">
        <v>5</v>
      </c>
      <c r="B15" s="2" t="s">
        <v>24</v>
      </c>
      <c r="C15" s="2" t="s">
        <v>129</v>
      </c>
      <c r="D15" s="2" t="s">
        <v>29</v>
      </c>
      <c r="E15" s="13">
        <v>0.375</v>
      </c>
      <c r="F15" s="2">
        <v>2.8000000000000001E-2</v>
      </c>
      <c r="G15" s="3"/>
      <c r="H15" s="3"/>
      <c r="I15" s="2">
        <v>2400</v>
      </c>
      <c r="J15" s="2">
        <f>VLOOKUP(D15,'SEMANA 36'!D10:O153,12,0)</f>
        <v>-2460</v>
      </c>
      <c r="K15" s="2"/>
      <c r="L15" s="2"/>
      <c r="M15" s="2"/>
      <c r="N15" s="2"/>
      <c r="O15" s="8">
        <f t="shared" si="3"/>
        <v>-172</v>
      </c>
      <c r="P15" s="2"/>
      <c r="Q15" s="2"/>
      <c r="R15" s="18">
        <v>112</v>
      </c>
      <c r="S15" s="2"/>
      <c r="T15" s="18"/>
      <c r="U15" s="18"/>
      <c r="V15" s="18"/>
      <c r="W15" s="18"/>
      <c r="X15" s="2"/>
      <c r="Y15" s="18"/>
      <c r="Z15" s="2"/>
      <c r="AA15" s="7">
        <f t="shared" si="4"/>
        <v>0</v>
      </c>
      <c r="AB15" s="8" t="s">
        <v>146</v>
      </c>
      <c r="AC15" s="8">
        <v>150</v>
      </c>
      <c r="AD15" s="8" t="s">
        <v>152</v>
      </c>
      <c r="AE15" s="8">
        <f t="shared" si="5"/>
        <v>-0.4</v>
      </c>
      <c r="AF15"/>
      <c r="AG15" s="15" t="s">
        <v>150</v>
      </c>
      <c r="AH15">
        <v>2</v>
      </c>
      <c r="AI15"/>
    </row>
    <row r="16" spans="1:35" x14ac:dyDescent="0.25">
      <c r="A16" s="2">
        <v>6</v>
      </c>
      <c r="B16" s="2" t="s">
        <v>24</v>
      </c>
      <c r="C16" s="2" t="s">
        <v>129</v>
      </c>
      <c r="D16" s="2" t="s">
        <v>30</v>
      </c>
      <c r="E16" s="13">
        <v>0.375</v>
      </c>
      <c r="F16" s="2">
        <v>2.8000000000000001E-2</v>
      </c>
      <c r="G16" s="3"/>
      <c r="H16" s="3"/>
      <c r="I16" s="2">
        <v>0</v>
      </c>
      <c r="J16" s="2">
        <f>VLOOKUP(D16,'SEMANA 36'!D11:O154,12,0)</f>
        <v>0</v>
      </c>
      <c r="K16" s="2"/>
      <c r="L16" s="2"/>
      <c r="M16" s="2"/>
      <c r="N16" s="2"/>
      <c r="O16" s="8">
        <f t="shared" si="3"/>
        <v>0</v>
      </c>
      <c r="P16" s="2"/>
      <c r="Q16" s="2"/>
      <c r="R16" s="18"/>
      <c r="S16" s="2"/>
      <c r="T16" s="2"/>
      <c r="U16" s="18"/>
      <c r="V16" s="18"/>
      <c r="W16" s="18"/>
      <c r="X16" s="2"/>
      <c r="Y16" s="18"/>
      <c r="Z16" s="2"/>
      <c r="AA16" s="7">
        <f t="shared" si="4"/>
        <v>0</v>
      </c>
      <c r="AB16" s="8" t="s">
        <v>146</v>
      </c>
      <c r="AC16" s="8">
        <v>150</v>
      </c>
      <c r="AD16" s="8" t="s">
        <v>152</v>
      </c>
      <c r="AE16" s="8">
        <f t="shared" si="5"/>
        <v>0</v>
      </c>
      <c r="AF16"/>
      <c r="AG16" s="15" t="s">
        <v>149</v>
      </c>
      <c r="AH16">
        <v>10</v>
      </c>
      <c r="AI16"/>
    </row>
    <row r="17" spans="1:35" x14ac:dyDescent="0.25">
      <c r="A17" s="2">
        <v>7</v>
      </c>
      <c r="B17" s="2" t="s">
        <v>24</v>
      </c>
      <c r="C17" s="2" t="s">
        <v>129</v>
      </c>
      <c r="D17" s="2" t="s">
        <v>31</v>
      </c>
      <c r="E17" s="13">
        <v>0.375</v>
      </c>
      <c r="F17" s="2">
        <v>2.8000000000000001E-2</v>
      </c>
      <c r="G17" s="3"/>
      <c r="H17" s="3"/>
      <c r="I17" s="2">
        <v>400</v>
      </c>
      <c r="J17" s="2">
        <f>VLOOKUP(D17,'SEMANA 36'!D12:O155,12,0)</f>
        <v>-1185</v>
      </c>
      <c r="K17" s="2"/>
      <c r="L17" s="2"/>
      <c r="M17" s="2"/>
      <c r="N17" s="2"/>
      <c r="O17" s="8">
        <f t="shared" si="3"/>
        <v>-785</v>
      </c>
      <c r="P17" s="2"/>
      <c r="Q17" s="2"/>
      <c r="R17" s="18"/>
      <c r="S17" s="2"/>
      <c r="T17" s="18"/>
      <c r="U17" s="18"/>
      <c r="V17" s="18"/>
      <c r="W17" s="18"/>
      <c r="X17" s="2"/>
      <c r="Y17" s="18"/>
      <c r="Z17" s="2"/>
      <c r="AA17" s="7">
        <f t="shared" si="4"/>
        <v>0</v>
      </c>
      <c r="AB17" s="8" t="s">
        <v>146</v>
      </c>
      <c r="AC17" s="8">
        <v>50</v>
      </c>
      <c r="AD17" s="8" t="s">
        <v>152</v>
      </c>
      <c r="AE17" s="8">
        <f t="shared" si="5"/>
        <v>-15.7</v>
      </c>
      <c r="AF17"/>
      <c r="AG17" s="15" t="s">
        <v>158</v>
      </c>
      <c r="AH17">
        <v>180</v>
      </c>
      <c r="AI17"/>
    </row>
    <row r="18" spans="1:35" x14ac:dyDescent="0.25">
      <c r="A18" s="2">
        <v>8</v>
      </c>
      <c r="B18" s="2" t="s">
        <v>24</v>
      </c>
      <c r="C18" s="2" t="s">
        <v>129</v>
      </c>
      <c r="D18" s="2" t="s">
        <v>32</v>
      </c>
      <c r="E18" s="13">
        <v>0.375</v>
      </c>
      <c r="F18" s="2">
        <v>2.8000000000000001E-2</v>
      </c>
      <c r="G18" s="3"/>
      <c r="H18" s="3"/>
      <c r="I18" s="2">
        <v>0</v>
      </c>
      <c r="J18" s="2">
        <f>VLOOKUP(D18,'SEMANA 36'!D13:O156,12,0)</f>
        <v>-1230</v>
      </c>
      <c r="K18" s="2"/>
      <c r="L18" s="2"/>
      <c r="M18" s="2"/>
      <c r="N18" s="2"/>
      <c r="O18" s="8">
        <f t="shared" si="3"/>
        <v>-1230</v>
      </c>
      <c r="P18" s="2"/>
      <c r="Q18" s="2"/>
      <c r="R18" s="18"/>
      <c r="S18" s="2"/>
      <c r="T18" s="18"/>
      <c r="U18" s="18"/>
      <c r="V18" s="18"/>
      <c r="W18" s="18"/>
      <c r="X18" s="2"/>
      <c r="Y18" s="18"/>
      <c r="Z18" s="2"/>
      <c r="AA18" s="7">
        <f t="shared" si="4"/>
        <v>0</v>
      </c>
      <c r="AB18" s="8" t="s">
        <v>146</v>
      </c>
      <c r="AC18" s="8">
        <v>100</v>
      </c>
      <c r="AD18" s="8" t="s">
        <v>152</v>
      </c>
      <c r="AE18" s="8">
        <f t="shared" si="5"/>
        <v>-12.3</v>
      </c>
      <c r="AF18"/>
      <c r="AG18"/>
      <c r="AH18"/>
      <c r="AI18"/>
    </row>
    <row r="19" spans="1:35" x14ac:dyDescent="0.25">
      <c r="A19" s="2">
        <v>9</v>
      </c>
      <c r="B19" s="2" t="s">
        <v>24</v>
      </c>
      <c r="C19" s="2" t="s">
        <v>129</v>
      </c>
      <c r="D19" s="2" t="s">
        <v>33</v>
      </c>
      <c r="E19" s="13">
        <v>0.375</v>
      </c>
      <c r="F19" s="2">
        <v>2.8000000000000001E-2</v>
      </c>
      <c r="G19" s="3"/>
      <c r="H19" s="3"/>
      <c r="I19" s="2">
        <v>600</v>
      </c>
      <c r="J19" s="2">
        <f>VLOOKUP(D19,'SEMANA 36'!D14:O157,12,0)</f>
        <v>-496</v>
      </c>
      <c r="K19" s="2"/>
      <c r="L19" s="2"/>
      <c r="M19" s="2"/>
      <c r="N19" s="2"/>
      <c r="O19" s="8">
        <f t="shared" si="3"/>
        <v>0</v>
      </c>
      <c r="P19" s="2"/>
      <c r="Q19" s="2"/>
      <c r="R19" s="18"/>
      <c r="S19" s="2"/>
      <c r="T19" s="18"/>
      <c r="U19" s="18"/>
      <c r="V19" s="18"/>
      <c r="W19" s="18"/>
      <c r="X19" s="2"/>
      <c r="Y19" s="18"/>
      <c r="Z19" s="2">
        <v>104</v>
      </c>
      <c r="AA19" s="7">
        <f t="shared" si="4"/>
        <v>0</v>
      </c>
      <c r="AB19" s="8" t="s">
        <v>146</v>
      </c>
      <c r="AC19" s="8">
        <v>50</v>
      </c>
      <c r="AD19" s="8" t="s">
        <v>152</v>
      </c>
      <c r="AE19" s="8">
        <f t="shared" si="5"/>
        <v>2.08</v>
      </c>
      <c r="AF19"/>
      <c r="AG19"/>
      <c r="AH19"/>
      <c r="AI19"/>
    </row>
    <row r="20" spans="1:35" x14ac:dyDescent="0.25">
      <c r="A20" s="2">
        <v>10</v>
      </c>
      <c r="B20" s="2" t="s">
        <v>24</v>
      </c>
      <c r="C20" s="2" t="s">
        <v>129</v>
      </c>
      <c r="D20" s="2" t="s">
        <v>34</v>
      </c>
      <c r="E20" s="13">
        <v>0.375</v>
      </c>
      <c r="F20" s="2">
        <v>2.8000000000000001E-2</v>
      </c>
      <c r="G20" s="3"/>
      <c r="H20" s="3"/>
      <c r="I20" s="2">
        <v>1100</v>
      </c>
      <c r="J20" s="2">
        <f>VLOOKUP(D20,'SEMANA 36'!D15:O158,12,0)</f>
        <v>-1100</v>
      </c>
      <c r="K20" s="2"/>
      <c r="L20" s="2"/>
      <c r="M20" s="2"/>
      <c r="N20" s="2"/>
      <c r="O20" s="8">
        <f t="shared" si="3"/>
        <v>0</v>
      </c>
      <c r="P20" s="2"/>
      <c r="Q20" s="2"/>
      <c r="R20" s="18"/>
      <c r="S20" s="2"/>
      <c r="T20" s="18"/>
      <c r="U20" s="18"/>
      <c r="V20" s="18"/>
      <c r="W20" s="18"/>
      <c r="X20" s="2"/>
      <c r="Y20" s="18"/>
      <c r="Z20" s="2"/>
      <c r="AA20" s="7">
        <f t="shared" si="4"/>
        <v>0</v>
      </c>
      <c r="AB20" s="8" t="s">
        <v>147</v>
      </c>
      <c r="AC20" s="8">
        <v>60</v>
      </c>
      <c r="AD20" s="8" t="s">
        <v>152</v>
      </c>
      <c r="AE20" s="8">
        <f t="shared" si="5"/>
        <v>0</v>
      </c>
      <c r="AF20"/>
      <c r="AG20"/>
      <c r="AH20"/>
      <c r="AI20"/>
    </row>
    <row r="21" spans="1:35" x14ac:dyDescent="0.25">
      <c r="A21" s="2">
        <v>11</v>
      </c>
      <c r="B21" s="2" t="s">
        <v>24</v>
      </c>
      <c r="C21" s="2" t="s">
        <v>129</v>
      </c>
      <c r="D21" s="2" t="s">
        <v>35</v>
      </c>
      <c r="E21" s="13">
        <v>0.5</v>
      </c>
      <c r="F21" s="2">
        <v>2.8000000000000001E-2</v>
      </c>
      <c r="G21" s="3"/>
      <c r="H21" s="3"/>
      <c r="I21" s="2">
        <v>550</v>
      </c>
      <c r="J21" s="2">
        <f>VLOOKUP(D21,'SEMANA 36'!D16:O159,12,0)</f>
        <v>6287</v>
      </c>
      <c r="K21" s="2"/>
      <c r="L21" s="2"/>
      <c r="M21" s="2"/>
      <c r="N21" s="2"/>
      <c r="O21" s="8">
        <f t="shared" si="3"/>
        <v>-3</v>
      </c>
      <c r="P21" s="2"/>
      <c r="Q21" s="2"/>
      <c r="R21" s="18"/>
      <c r="S21" s="2"/>
      <c r="T21" s="18">
        <v>2150</v>
      </c>
      <c r="U21" s="18">
        <v>1200</v>
      </c>
      <c r="V21" s="18">
        <v>1500</v>
      </c>
      <c r="W21" s="18">
        <v>760</v>
      </c>
      <c r="X21" s="2">
        <v>1230</v>
      </c>
      <c r="Y21" s="18"/>
      <c r="Z21" s="2"/>
      <c r="AA21" s="7">
        <f t="shared" si="4"/>
        <v>0</v>
      </c>
      <c r="AB21" s="8" t="s">
        <v>148</v>
      </c>
      <c r="AC21" s="8">
        <v>100</v>
      </c>
      <c r="AD21" s="8" t="s">
        <v>152</v>
      </c>
      <c r="AE21" s="8">
        <f t="shared" si="5"/>
        <v>68.37</v>
      </c>
      <c r="AF21"/>
      <c r="AG21"/>
      <c r="AH21"/>
      <c r="AI21"/>
    </row>
    <row r="22" spans="1:35" x14ac:dyDescent="0.25">
      <c r="A22" s="2">
        <v>12</v>
      </c>
      <c r="B22" s="2" t="s">
        <v>24</v>
      </c>
      <c r="C22" s="2" t="s">
        <v>129</v>
      </c>
      <c r="D22" s="2" t="s">
        <v>36</v>
      </c>
      <c r="E22" s="13">
        <v>0.5</v>
      </c>
      <c r="F22" s="2">
        <v>2.8000000000000001E-2</v>
      </c>
      <c r="G22" s="3"/>
      <c r="H22" s="3"/>
      <c r="I22" s="2">
        <v>0</v>
      </c>
      <c r="J22" s="2">
        <f>VLOOKUP(D22,'SEMANA 36'!D17:O160,12,0)</f>
        <v>-56</v>
      </c>
      <c r="K22" s="2"/>
      <c r="L22" s="2"/>
      <c r="M22" s="2"/>
      <c r="N22" s="2"/>
      <c r="O22" s="8">
        <f t="shared" si="3"/>
        <v>-56</v>
      </c>
      <c r="P22" s="2"/>
      <c r="Q22" s="2"/>
      <c r="R22" s="18"/>
      <c r="S22" s="2"/>
      <c r="T22" s="18"/>
      <c r="U22" s="18"/>
      <c r="V22" s="18"/>
      <c r="W22" s="18"/>
      <c r="X22" s="2"/>
      <c r="Y22" s="18"/>
      <c r="Z22" s="2"/>
      <c r="AA22" s="7">
        <f t="shared" si="4"/>
        <v>0</v>
      </c>
      <c r="AB22" s="8" t="s">
        <v>149</v>
      </c>
      <c r="AC22" s="8">
        <v>100</v>
      </c>
      <c r="AD22" s="8" t="s">
        <v>152</v>
      </c>
      <c r="AE22" s="8">
        <f t="shared" si="5"/>
        <v>-0.56000000000000005</v>
      </c>
      <c r="AF22"/>
      <c r="AG22"/>
      <c r="AH22"/>
      <c r="AI22"/>
    </row>
    <row r="23" spans="1:35" x14ac:dyDescent="0.25">
      <c r="A23" s="2">
        <v>13</v>
      </c>
      <c r="B23" s="2" t="s">
        <v>24</v>
      </c>
      <c r="C23" s="2" t="s">
        <v>129</v>
      </c>
      <c r="D23" s="2" t="s">
        <v>37</v>
      </c>
      <c r="E23" s="13">
        <v>0.5</v>
      </c>
      <c r="F23" s="2">
        <v>2.8000000000000001E-2</v>
      </c>
      <c r="G23" s="3"/>
      <c r="H23" s="3"/>
      <c r="I23" s="2">
        <v>0</v>
      </c>
      <c r="J23" s="2">
        <f>VLOOKUP(D23,'SEMANA 36'!D18:O161,12,0)</f>
        <v>0</v>
      </c>
      <c r="K23" s="2"/>
      <c r="L23" s="2"/>
      <c r="M23" s="2"/>
      <c r="N23" s="2"/>
      <c r="O23" s="8">
        <f t="shared" si="3"/>
        <v>0</v>
      </c>
      <c r="P23" s="2"/>
      <c r="Q23" s="2"/>
      <c r="R23" s="18"/>
      <c r="S23" s="2"/>
      <c r="T23" s="18"/>
      <c r="U23" s="18"/>
      <c r="V23" s="18"/>
      <c r="W23" s="18"/>
      <c r="X23" s="2"/>
      <c r="Y23" s="18"/>
      <c r="Z23" s="2"/>
      <c r="AA23" s="7">
        <f t="shared" si="4"/>
        <v>0</v>
      </c>
      <c r="AB23" s="8" t="s">
        <v>149</v>
      </c>
      <c r="AC23" s="8">
        <v>100</v>
      </c>
      <c r="AD23" s="8" t="s">
        <v>152</v>
      </c>
      <c r="AE23" s="8">
        <f t="shared" si="5"/>
        <v>0</v>
      </c>
      <c r="AF23"/>
      <c r="AG23"/>
      <c r="AH23"/>
      <c r="AI23"/>
    </row>
    <row r="24" spans="1:35" x14ac:dyDescent="0.25">
      <c r="A24" s="2">
        <v>14</v>
      </c>
      <c r="B24" s="2" t="s">
        <v>24</v>
      </c>
      <c r="C24" s="2" t="s">
        <v>129</v>
      </c>
      <c r="D24" s="2" t="s">
        <v>38</v>
      </c>
      <c r="E24" s="13">
        <v>0.5</v>
      </c>
      <c r="F24" s="2">
        <v>2.8000000000000001E-2</v>
      </c>
      <c r="G24" s="3"/>
      <c r="H24" s="3"/>
      <c r="I24" s="2">
        <v>450</v>
      </c>
      <c r="J24" s="2">
        <f>VLOOKUP(D24,'SEMANA 36'!D19:O162,12,0)</f>
        <v>0</v>
      </c>
      <c r="K24" s="2"/>
      <c r="L24" s="2"/>
      <c r="M24" s="2"/>
      <c r="N24" s="2"/>
      <c r="O24" s="8">
        <f t="shared" si="3"/>
        <v>-50</v>
      </c>
      <c r="P24" s="2"/>
      <c r="Q24" s="2"/>
      <c r="R24" s="18"/>
      <c r="S24" s="2"/>
      <c r="T24" s="2">
        <v>500</v>
      </c>
      <c r="U24" s="18"/>
      <c r="V24" s="18"/>
      <c r="W24" s="18"/>
      <c r="X24" s="2"/>
      <c r="Y24" s="18"/>
      <c r="Z24" s="2"/>
      <c r="AA24" s="7">
        <f t="shared" si="4"/>
        <v>0</v>
      </c>
      <c r="AB24" s="8" t="s">
        <v>149</v>
      </c>
      <c r="AC24" s="8">
        <v>100</v>
      </c>
      <c r="AD24" s="8" t="s">
        <v>152</v>
      </c>
      <c r="AE24" s="8">
        <f t="shared" si="5"/>
        <v>4.5</v>
      </c>
      <c r="AF24"/>
      <c r="AG24"/>
      <c r="AH24"/>
      <c r="AI24"/>
    </row>
    <row r="25" spans="1:35" x14ac:dyDescent="0.25">
      <c r="A25" s="2">
        <v>15</v>
      </c>
      <c r="B25" s="2" t="s">
        <v>24</v>
      </c>
      <c r="C25" s="2" t="s">
        <v>129</v>
      </c>
      <c r="D25" s="2" t="s">
        <v>39</v>
      </c>
      <c r="E25" s="13">
        <v>0.5</v>
      </c>
      <c r="F25" s="2">
        <v>2.8000000000000001E-2</v>
      </c>
      <c r="G25" s="3"/>
      <c r="H25" s="3"/>
      <c r="I25" s="2">
        <v>0</v>
      </c>
      <c r="J25" s="2">
        <f>VLOOKUP(D25,'SEMANA 36'!D20:O163,12,0)</f>
        <v>0</v>
      </c>
      <c r="K25" s="2"/>
      <c r="L25" s="2"/>
      <c r="M25" s="2"/>
      <c r="N25" s="2"/>
      <c r="O25" s="8">
        <f t="shared" si="3"/>
        <v>0</v>
      </c>
      <c r="P25" s="2"/>
      <c r="Q25" s="2"/>
      <c r="R25" s="18"/>
      <c r="S25" s="2"/>
      <c r="T25" s="18"/>
      <c r="U25" s="18"/>
      <c r="V25" s="18"/>
      <c r="W25" s="17"/>
      <c r="X25" s="4"/>
      <c r="Y25" s="18"/>
      <c r="Z25" s="2"/>
      <c r="AA25" s="7">
        <f t="shared" si="4"/>
        <v>0</v>
      </c>
      <c r="AB25" s="8" t="s">
        <v>149</v>
      </c>
      <c r="AC25" s="8">
        <v>80</v>
      </c>
      <c r="AD25" s="8" t="s">
        <v>152</v>
      </c>
      <c r="AE25" s="8">
        <f t="shared" si="5"/>
        <v>0</v>
      </c>
      <c r="AF25"/>
      <c r="AG25"/>
      <c r="AH25"/>
      <c r="AI25"/>
    </row>
    <row r="26" spans="1:35" x14ac:dyDescent="0.25">
      <c r="A26" s="2">
        <v>16</v>
      </c>
      <c r="B26" s="2" t="s">
        <v>24</v>
      </c>
      <c r="C26" s="2" t="s">
        <v>129</v>
      </c>
      <c r="D26" s="2" t="s">
        <v>40</v>
      </c>
      <c r="E26" s="13">
        <v>0.5</v>
      </c>
      <c r="F26" s="2">
        <v>2.8000000000000001E-2</v>
      </c>
      <c r="G26" s="3"/>
      <c r="H26" s="3"/>
      <c r="I26" s="2">
        <v>0</v>
      </c>
      <c r="J26" s="2">
        <f>VLOOKUP(D26,'SEMANA 36'!D21:O164,12,0)</f>
        <v>0</v>
      </c>
      <c r="K26" s="2"/>
      <c r="L26" s="2"/>
      <c r="M26" s="2"/>
      <c r="N26" s="2"/>
      <c r="O26" s="8">
        <f t="shared" si="3"/>
        <v>0</v>
      </c>
      <c r="P26" s="2"/>
      <c r="Q26" s="2"/>
      <c r="R26" s="18"/>
      <c r="S26" s="2"/>
      <c r="T26" s="2"/>
      <c r="U26" s="18"/>
      <c r="V26" s="18"/>
      <c r="W26" s="18"/>
      <c r="X26" s="2"/>
      <c r="Y26" s="18"/>
      <c r="Z26" s="2"/>
      <c r="AA26" s="7">
        <f t="shared" si="4"/>
        <v>0</v>
      </c>
      <c r="AB26" s="8" t="s">
        <v>149</v>
      </c>
      <c r="AC26" s="8">
        <v>100</v>
      </c>
      <c r="AD26" s="8" t="s">
        <v>152</v>
      </c>
      <c r="AE26" s="8">
        <f t="shared" si="5"/>
        <v>0</v>
      </c>
      <c r="AF26"/>
      <c r="AG26"/>
      <c r="AH26"/>
      <c r="AI26"/>
    </row>
    <row r="27" spans="1:35" x14ac:dyDescent="0.25">
      <c r="A27" s="2">
        <v>17</v>
      </c>
      <c r="B27" s="2" t="s">
        <v>24</v>
      </c>
      <c r="C27" s="2" t="s">
        <v>129</v>
      </c>
      <c r="D27" s="2" t="s">
        <v>41</v>
      </c>
      <c r="E27" s="13">
        <v>0.5</v>
      </c>
      <c r="F27" s="2">
        <v>2.8000000000000001E-2</v>
      </c>
      <c r="G27" s="3"/>
      <c r="H27" s="3"/>
      <c r="I27" s="2">
        <v>0</v>
      </c>
      <c r="J27" s="2">
        <f>VLOOKUP(D27,'SEMANA 36'!D22:O165,12,0)</f>
        <v>0</v>
      </c>
      <c r="K27" s="2"/>
      <c r="L27" s="2"/>
      <c r="M27" s="2"/>
      <c r="N27" s="2"/>
      <c r="O27" s="8">
        <f t="shared" si="3"/>
        <v>0</v>
      </c>
      <c r="P27" s="2"/>
      <c r="Q27" s="2"/>
      <c r="R27" s="18"/>
      <c r="S27" s="2"/>
      <c r="T27" s="18"/>
      <c r="U27" s="18"/>
      <c r="V27" s="18"/>
      <c r="W27" s="18"/>
      <c r="X27" s="2"/>
      <c r="Y27" s="18"/>
      <c r="Z27" s="2"/>
      <c r="AA27" s="7">
        <f t="shared" si="4"/>
        <v>0</v>
      </c>
      <c r="AB27" s="8">
        <v>0</v>
      </c>
      <c r="AC27" s="8">
        <v>0</v>
      </c>
      <c r="AD27" s="8" t="s">
        <v>152</v>
      </c>
      <c r="AE27" s="8">
        <v>0</v>
      </c>
      <c r="AF27"/>
      <c r="AG27"/>
      <c r="AH27"/>
      <c r="AI27"/>
    </row>
    <row r="28" spans="1:35" x14ac:dyDescent="0.25">
      <c r="A28" s="2">
        <v>18</v>
      </c>
      <c r="B28" s="2" t="s">
        <v>24</v>
      </c>
      <c r="C28" s="2" t="s">
        <v>129</v>
      </c>
      <c r="D28" s="2" t="s">
        <v>42</v>
      </c>
      <c r="E28" s="13">
        <v>0.5</v>
      </c>
      <c r="F28" s="2">
        <v>2.8000000000000001E-2</v>
      </c>
      <c r="G28" s="3"/>
      <c r="H28" s="3"/>
      <c r="I28" s="2">
        <v>0</v>
      </c>
      <c r="J28" s="2">
        <f>VLOOKUP(D28,'SEMANA 36'!D23:O166,12,0)</f>
        <v>0</v>
      </c>
      <c r="K28" s="2"/>
      <c r="L28" s="2"/>
      <c r="M28" s="2"/>
      <c r="N28" s="2"/>
      <c r="O28" s="8">
        <f t="shared" si="3"/>
        <v>0</v>
      </c>
      <c r="P28" s="2"/>
      <c r="Q28" s="2"/>
      <c r="R28" s="18"/>
      <c r="S28" s="2"/>
      <c r="T28" s="18"/>
      <c r="U28" s="18"/>
      <c r="V28" s="18"/>
      <c r="W28" s="18"/>
      <c r="X28" s="2"/>
      <c r="Y28" s="18"/>
      <c r="Z28" s="2"/>
      <c r="AA28" s="7">
        <f t="shared" si="4"/>
        <v>0</v>
      </c>
      <c r="AB28" s="8">
        <v>0</v>
      </c>
      <c r="AC28" s="8">
        <v>0</v>
      </c>
      <c r="AD28" s="8" t="s">
        <v>152</v>
      </c>
      <c r="AE28" s="8">
        <v>0</v>
      </c>
      <c r="AF28"/>
    </row>
    <row r="29" spans="1:35" x14ac:dyDescent="0.25">
      <c r="A29" s="2">
        <v>19</v>
      </c>
      <c r="B29" s="2" t="s">
        <v>24</v>
      </c>
      <c r="C29" s="2" t="s">
        <v>129</v>
      </c>
      <c r="D29" s="2" t="s">
        <v>43</v>
      </c>
      <c r="E29" s="13">
        <v>0.5</v>
      </c>
      <c r="F29" s="2">
        <v>2.8000000000000001E-2</v>
      </c>
      <c r="G29" s="3"/>
      <c r="H29" s="3"/>
      <c r="I29" s="2">
        <v>0</v>
      </c>
      <c r="J29" s="2">
        <f>VLOOKUP(D29,'SEMANA 36'!D24:O167,12,0)</f>
        <v>0</v>
      </c>
      <c r="K29" s="2"/>
      <c r="L29" s="2"/>
      <c r="M29" s="2"/>
      <c r="N29" s="2"/>
      <c r="O29" s="8">
        <f t="shared" si="3"/>
        <v>0</v>
      </c>
      <c r="P29" s="2"/>
      <c r="Q29" s="2"/>
      <c r="R29" s="18"/>
      <c r="S29" s="2"/>
      <c r="T29" s="18"/>
      <c r="U29" s="18"/>
      <c r="V29" s="18"/>
      <c r="W29" s="18"/>
      <c r="X29" s="2"/>
      <c r="Y29" s="18"/>
      <c r="Z29" s="2"/>
      <c r="AA29" s="7">
        <f t="shared" si="4"/>
        <v>0</v>
      </c>
      <c r="AB29" s="8">
        <v>0</v>
      </c>
      <c r="AC29" s="8">
        <v>0</v>
      </c>
      <c r="AD29" s="8" t="s">
        <v>152</v>
      </c>
      <c r="AE29" s="8">
        <v>0</v>
      </c>
      <c r="AF29"/>
    </row>
    <row r="30" spans="1:35" x14ac:dyDescent="0.25">
      <c r="A30" s="2">
        <v>20</v>
      </c>
      <c r="B30" s="2" t="s">
        <v>24</v>
      </c>
      <c r="C30" s="2" t="s">
        <v>129</v>
      </c>
      <c r="D30" s="2" t="s">
        <v>44</v>
      </c>
      <c r="E30" s="13">
        <v>0.5</v>
      </c>
      <c r="F30" s="2">
        <v>2.8000000000000001E-2</v>
      </c>
      <c r="G30" s="3"/>
      <c r="H30" s="3"/>
      <c r="I30" s="2">
        <v>0</v>
      </c>
      <c r="J30" s="2">
        <f>VLOOKUP(D30,'SEMANA 36'!D25:O168,12,0)</f>
        <v>0</v>
      </c>
      <c r="K30" s="2"/>
      <c r="L30" s="2"/>
      <c r="M30" s="2"/>
      <c r="N30" s="2"/>
      <c r="O30" s="8">
        <f t="shared" si="3"/>
        <v>0</v>
      </c>
      <c r="P30" s="2"/>
      <c r="Q30" s="2"/>
      <c r="R30" s="18"/>
      <c r="S30" s="2"/>
      <c r="T30" s="18"/>
      <c r="U30" s="18"/>
      <c r="V30" s="18"/>
      <c r="W30" s="18"/>
      <c r="X30" s="2"/>
      <c r="Y30" s="18"/>
      <c r="Z30" s="2"/>
      <c r="AA30" s="7">
        <f t="shared" si="4"/>
        <v>0</v>
      </c>
      <c r="AB30" s="8">
        <v>0</v>
      </c>
      <c r="AC30" s="8">
        <v>0</v>
      </c>
      <c r="AD30" s="8" t="s">
        <v>152</v>
      </c>
      <c r="AE30" s="8">
        <v>0</v>
      </c>
      <c r="AF30"/>
    </row>
    <row r="31" spans="1:35" x14ac:dyDescent="0.25">
      <c r="A31" s="2">
        <v>21</v>
      </c>
      <c r="B31" s="2" t="s">
        <v>24</v>
      </c>
      <c r="C31" s="2" t="s">
        <v>129</v>
      </c>
      <c r="D31" s="2" t="s">
        <v>45</v>
      </c>
      <c r="E31" s="13">
        <v>0.5</v>
      </c>
      <c r="F31" s="2">
        <v>2.8000000000000001E-2</v>
      </c>
      <c r="G31" s="3"/>
      <c r="H31" s="3"/>
      <c r="I31" s="2">
        <v>0</v>
      </c>
      <c r="J31" s="2">
        <f>VLOOKUP(D31,'SEMANA 36'!D26:O169,12,0)</f>
        <v>0</v>
      </c>
      <c r="K31" s="2"/>
      <c r="L31" s="2"/>
      <c r="M31" s="2"/>
      <c r="N31" s="2"/>
      <c r="O31" s="8">
        <f t="shared" si="3"/>
        <v>0</v>
      </c>
      <c r="P31" s="2"/>
      <c r="Q31" s="2"/>
      <c r="R31" s="18"/>
      <c r="S31" s="2"/>
      <c r="T31" s="18"/>
      <c r="U31" s="18"/>
      <c r="V31" s="18"/>
      <c r="W31" s="18"/>
      <c r="X31" s="2"/>
      <c r="Y31" s="18"/>
      <c r="Z31" s="2"/>
      <c r="AA31" s="7">
        <f t="shared" si="4"/>
        <v>0</v>
      </c>
      <c r="AB31" s="8">
        <v>0</v>
      </c>
      <c r="AC31" s="8">
        <v>0</v>
      </c>
      <c r="AD31" s="8" t="s">
        <v>152</v>
      </c>
      <c r="AE31" s="8">
        <v>0</v>
      </c>
      <c r="AF31"/>
    </row>
    <row r="32" spans="1:35" x14ac:dyDescent="0.25">
      <c r="A32" s="2">
        <v>22</v>
      </c>
      <c r="B32" s="2" t="s">
        <v>24</v>
      </c>
      <c r="C32" s="2" t="s">
        <v>129</v>
      </c>
      <c r="D32" s="2" t="s">
        <v>46</v>
      </c>
      <c r="E32" s="13">
        <v>0.5</v>
      </c>
      <c r="F32" s="2">
        <v>2.8000000000000001E-2</v>
      </c>
      <c r="G32" s="3"/>
      <c r="H32" s="3"/>
      <c r="I32" s="2">
        <v>0</v>
      </c>
      <c r="J32" s="2">
        <f>VLOOKUP(D32,'SEMANA 36'!D27:O170,12,0)</f>
        <v>0</v>
      </c>
      <c r="K32" s="2"/>
      <c r="L32" s="2"/>
      <c r="M32" s="2"/>
      <c r="N32" s="2"/>
      <c r="O32" s="8">
        <f t="shared" si="3"/>
        <v>0</v>
      </c>
      <c r="P32" s="2"/>
      <c r="Q32" s="2"/>
      <c r="R32" s="18"/>
      <c r="S32" s="2"/>
      <c r="T32" s="18"/>
      <c r="U32" s="18"/>
      <c r="V32" s="18"/>
      <c r="W32" s="18"/>
      <c r="X32" s="2"/>
      <c r="Y32" s="18"/>
      <c r="Z32" s="2"/>
      <c r="AA32" s="7">
        <f t="shared" si="4"/>
        <v>0</v>
      </c>
      <c r="AB32" s="8">
        <v>0</v>
      </c>
      <c r="AC32" s="8">
        <v>0</v>
      </c>
      <c r="AD32" s="8" t="s">
        <v>152</v>
      </c>
      <c r="AE32" s="8">
        <v>0</v>
      </c>
      <c r="AF32"/>
    </row>
    <row r="33" spans="1:32" x14ac:dyDescent="0.25">
      <c r="A33" s="2">
        <v>23</v>
      </c>
      <c r="B33" s="2" t="s">
        <v>24</v>
      </c>
      <c r="C33" s="2" t="s">
        <v>129</v>
      </c>
      <c r="D33" s="2" t="s">
        <v>47</v>
      </c>
      <c r="E33" s="13">
        <v>0.5</v>
      </c>
      <c r="F33" s="2">
        <v>2.8000000000000001E-2</v>
      </c>
      <c r="G33" s="3"/>
      <c r="H33" s="3"/>
      <c r="I33" s="2">
        <v>0</v>
      </c>
      <c r="J33" s="2">
        <f>VLOOKUP(D33,'SEMANA 36'!D28:O171,12,0)</f>
        <v>0</v>
      </c>
      <c r="K33" s="2"/>
      <c r="L33" s="2"/>
      <c r="M33" s="2"/>
      <c r="N33" s="2"/>
      <c r="O33" s="8">
        <f t="shared" si="3"/>
        <v>0</v>
      </c>
      <c r="P33" s="2"/>
      <c r="Q33" s="2"/>
      <c r="R33" s="18"/>
      <c r="S33" s="2"/>
      <c r="T33" s="18"/>
      <c r="U33" s="18"/>
      <c r="V33" s="18"/>
      <c r="W33" s="18"/>
      <c r="X33" s="2"/>
      <c r="Y33" s="18"/>
      <c r="Z33" s="2"/>
      <c r="AA33" s="7">
        <f t="shared" si="4"/>
        <v>0</v>
      </c>
      <c r="AB33" s="8">
        <v>0</v>
      </c>
      <c r="AC33" s="8">
        <v>0</v>
      </c>
      <c r="AD33" s="8" t="s">
        <v>152</v>
      </c>
      <c r="AE33" s="8">
        <v>0</v>
      </c>
      <c r="AF33"/>
    </row>
    <row r="34" spans="1:32" x14ac:dyDescent="0.25">
      <c r="A34" s="2">
        <v>24</v>
      </c>
      <c r="B34" s="2" t="s">
        <v>24</v>
      </c>
      <c r="C34" s="2" t="s">
        <v>129</v>
      </c>
      <c r="D34" s="2" t="s">
        <v>48</v>
      </c>
      <c r="E34" s="13">
        <v>0.5</v>
      </c>
      <c r="F34" s="2">
        <v>2.8000000000000001E-2</v>
      </c>
      <c r="G34" s="3"/>
      <c r="H34" s="3"/>
      <c r="I34" s="2">
        <v>0</v>
      </c>
      <c r="J34" s="2">
        <f>VLOOKUP(D34,'SEMANA 36'!D29:O172,12,0)</f>
        <v>0</v>
      </c>
      <c r="K34" s="2"/>
      <c r="L34" s="2"/>
      <c r="M34" s="2"/>
      <c r="N34" s="2"/>
      <c r="O34" s="8">
        <f t="shared" si="3"/>
        <v>0</v>
      </c>
      <c r="P34" s="2"/>
      <c r="Q34" s="2"/>
      <c r="R34" s="18"/>
      <c r="S34" s="2"/>
      <c r="T34" s="18"/>
      <c r="U34" s="18"/>
      <c r="V34" s="18"/>
      <c r="W34" s="18"/>
      <c r="X34" s="2"/>
      <c r="Y34" s="18"/>
      <c r="Z34" s="2"/>
      <c r="AA34" s="7">
        <f t="shared" si="4"/>
        <v>0</v>
      </c>
      <c r="AB34" s="8">
        <v>0</v>
      </c>
      <c r="AC34" s="8">
        <v>0</v>
      </c>
      <c r="AD34" s="8" t="s">
        <v>152</v>
      </c>
      <c r="AE34" s="8">
        <v>0</v>
      </c>
      <c r="AF34"/>
    </row>
    <row r="35" spans="1:32" x14ac:dyDescent="0.25">
      <c r="A35" s="2">
        <v>25</v>
      </c>
      <c r="B35" s="2" t="s">
        <v>24</v>
      </c>
      <c r="C35" s="2" t="s">
        <v>129</v>
      </c>
      <c r="D35" s="2" t="s">
        <v>49</v>
      </c>
      <c r="E35" s="13">
        <v>0.5</v>
      </c>
      <c r="F35" s="2">
        <v>2.8000000000000001E-2</v>
      </c>
      <c r="G35" s="3"/>
      <c r="H35" s="3"/>
      <c r="I35" s="2">
        <v>0</v>
      </c>
      <c r="J35" s="2">
        <f>VLOOKUP(D35,'SEMANA 36'!D30:O173,12,0)</f>
        <v>0</v>
      </c>
      <c r="K35" s="2"/>
      <c r="L35" s="2"/>
      <c r="M35" s="2"/>
      <c r="N35" s="2"/>
      <c r="O35" s="8">
        <f t="shared" si="3"/>
        <v>0</v>
      </c>
      <c r="P35" s="2"/>
      <c r="Q35" s="2"/>
      <c r="R35" s="18"/>
      <c r="S35" s="2"/>
      <c r="T35" s="18"/>
      <c r="U35" s="18"/>
      <c r="V35" s="18"/>
      <c r="W35" s="18"/>
      <c r="X35" s="2"/>
      <c r="Y35" s="18"/>
      <c r="Z35" s="2"/>
      <c r="AA35" s="7">
        <f t="shared" si="4"/>
        <v>0</v>
      </c>
      <c r="AB35" s="8">
        <v>0</v>
      </c>
      <c r="AC35" s="8">
        <v>0</v>
      </c>
      <c r="AD35" s="8" t="s">
        <v>152</v>
      </c>
      <c r="AE35" s="8">
        <v>0</v>
      </c>
      <c r="AF35"/>
    </row>
    <row r="36" spans="1:32" x14ac:dyDescent="0.25">
      <c r="A36" s="2">
        <v>26</v>
      </c>
      <c r="B36" s="2" t="s">
        <v>24</v>
      </c>
      <c r="C36" s="2" t="s">
        <v>129</v>
      </c>
      <c r="D36" s="2" t="s">
        <v>50</v>
      </c>
      <c r="E36" s="13">
        <v>0.5</v>
      </c>
      <c r="F36" s="2">
        <v>2.8000000000000001E-2</v>
      </c>
      <c r="G36" s="3"/>
      <c r="H36" s="3"/>
      <c r="I36" s="2">
        <v>0</v>
      </c>
      <c r="J36" s="2">
        <f>VLOOKUP(D36,'SEMANA 36'!D31:O174,12,0)</f>
        <v>0</v>
      </c>
      <c r="K36" s="2"/>
      <c r="L36" s="2"/>
      <c r="M36" s="2"/>
      <c r="N36" s="2"/>
      <c r="O36" s="8">
        <f t="shared" si="3"/>
        <v>0</v>
      </c>
      <c r="P36" s="2"/>
      <c r="Q36" s="2"/>
      <c r="R36" s="18"/>
      <c r="S36" s="2"/>
      <c r="T36" s="18"/>
      <c r="U36" s="18"/>
      <c r="V36" s="18"/>
      <c r="W36" s="18"/>
      <c r="X36" s="2"/>
      <c r="Y36" s="18"/>
      <c r="Z36" s="2"/>
      <c r="AA36" s="7">
        <f t="shared" si="4"/>
        <v>0</v>
      </c>
      <c r="AB36" s="8">
        <v>0</v>
      </c>
      <c r="AC36" s="8">
        <v>0</v>
      </c>
      <c r="AD36" s="8" t="s">
        <v>152</v>
      </c>
      <c r="AE36" s="8">
        <v>0</v>
      </c>
      <c r="AF36"/>
    </row>
    <row r="37" spans="1:32" x14ac:dyDescent="0.25">
      <c r="A37" s="2">
        <v>27</v>
      </c>
      <c r="B37" s="2" t="s">
        <v>24</v>
      </c>
      <c r="C37" s="2" t="s">
        <v>129</v>
      </c>
      <c r="D37" s="2" t="s">
        <v>51</v>
      </c>
      <c r="E37" s="13">
        <v>0.5</v>
      </c>
      <c r="F37" s="2">
        <v>2.8000000000000001E-2</v>
      </c>
      <c r="G37" s="3"/>
      <c r="H37" s="3"/>
      <c r="I37" s="2">
        <v>0</v>
      </c>
      <c r="J37" s="2">
        <f>VLOOKUP(D37,'SEMANA 36'!D32:O175,12,0)</f>
        <v>0</v>
      </c>
      <c r="K37" s="2"/>
      <c r="L37" s="2"/>
      <c r="M37" s="2"/>
      <c r="N37" s="2"/>
      <c r="O37" s="8">
        <f t="shared" si="3"/>
        <v>0</v>
      </c>
      <c r="P37" s="2"/>
      <c r="Q37" s="2"/>
      <c r="R37" s="18"/>
      <c r="S37" s="2"/>
      <c r="T37" s="18"/>
      <c r="U37" s="18"/>
      <c r="V37" s="18"/>
      <c r="W37" s="18"/>
      <c r="X37" s="2"/>
      <c r="Y37" s="18"/>
      <c r="Z37" s="2"/>
      <c r="AA37" s="7">
        <f t="shared" si="4"/>
        <v>0</v>
      </c>
      <c r="AB37" s="8">
        <v>0</v>
      </c>
      <c r="AC37" s="8">
        <v>0</v>
      </c>
      <c r="AD37" s="8" t="s">
        <v>152</v>
      </c>
      <c r="AE37" s="8">
        <v>0</v>
      </c>
      <c r="AF37"/>
    </row>
    <row r="38" spans="1:32" x14ac:dyDescent="0.25">
      <c r="A38" s="2">
        <v>28</v>
      </c>
      <c r="B38" s="2" t="s">
        <v>24</v>
      </c>
      <c r="C38" s="2" t="s">
        <v>129</v>
      </c>
      <c r="D38" s="2" t="s">
        <v>52</v>
      </c>
      <c r="E38" s="13">
        <v>0.5</v>
      </c>
      <c r="F38" s="2">
        <v>2.8000000000000001E-2</v>
      </c>
      <c r="G38" s="3"/>
      <c r="H38" s="3"/>
      <c r="I38" s="2">
        <v>0</v>
      </c>
      <c r="J38" s="2">
        <f>VLOOKUP(D38,'SEMANA 36'!D33:O176,12,0)</f>
        <v>0</v>
      </c>
      <c r="K38" s="2"/>
      <c r="L38" s="2"/>
      <c r="M38" s="2"/>
      <c r="N38" s="2"/>
      <c r="O38" s="8">
        <f t="shared" si="3"/>
        <v>0</v>
      </c>
      <c r="P38" s="2"/>
      <c r="Q38" s="2"/>
      <c r="R38" s="18"/>
      <c r="S38" s="2"/>
      <c r="T38" s="18"/>
      <c r="U38" s="18"/>
      <c r="V38" s="18"/>
      <c r="W38" s="18"/>
      <c r="X38" s="2"/>
      <c r="Y38" s="18"/>
      <c r="Z38" s="2"/>
      <c r="AA38" s="7">
        <f t="shared" si="4"/>
        <v>0</v>
      </c>
      <c r="AB38" s="8">
        <v>0</v>
      </c>
      <c r="AC38" s="8">
        <v>0</v>
      </c>
      <c r="AD38" s="8" t="s">
        <v>152</v>
      </c>
      <c r="AE38" s="8">
        <v>0</v>
      </c>
      <c r="AF38"/>
    </row>
    <row r="39" spans="1:32" x14ac:dyDescent="0.25">
      <c r="A39" s="2">
        <v>29</v>
      </c>
      <c r="B39" s="2" t="s">
        <v>24</v>
      </c>
      <c r="C39" s="2" t="s">
        <v>129</v>
      </c>
      <c r="D39" s="2" t="s">
        <v>53</v>
      </c>
      <c r="E39" s="13">
        <v>0.5</v>
      </c>
      <c r="F39" s="2">
        <v>2.8000000000000001E-2</v>
      </c>
      <c r="G39" s="3"/>
      <c r="H39" s="3"/>
      <c r="I39" s="2">
        <v>0</v>
      </c>
      <c r="J39" s="2">
        <f>VLOOKUP(D39,'SEMANA 36'!D34:O177,12,0)</f>
        <v>0</v>
      </c>
      <c r="K39" s="2"/>
      <c r="L39" s="2"/>
      <c r="M39" s="2"/>
      <c r="N39" s="2"/>
      <c r="O39" s="8">
        <f t="shared" si="3"/>
        <v>0</v>
      </c>
      <c r="P39" s="2"/>
      <c r="Q39" s="2"/>
      <c r="R39" s="18"/>
      <c r="S39" s="2"/>
      <c r="T39" s="18"/>
      <c r="U39" s="18"/>
      <c r="V39" s="18"/>
      <c r="W39" s="18"/>
      <c r="X39" s="2"/>
      <c r="Y39" s="18"/>
      <c r="Z39" s="2"/>
      <c r="AA39" s="7">
        <f t="shared" si="4"/>
        <v>0</v>
      </c>
      <c r="AB39" s="8">
        <v>0</v>
      </c>
      <c r="AC39" s="8">
        <v>0</v>
      </c>
      <c r="AD39" s="8" t="s">
        <v>152</v>
      </c>
      <c r="AE39" s="8">
        <v>0</v>
      </c>
      <c r="AF39"/>
    </row>
    <row r="40" spans="1:32" x14ac:dyDescent="0.25">
      <c r="A40" s="2">
        <v>30</v>
      </c>
      <c r="B40" s="2" t="s">
        <v>24</v>
      </c>
      <c r="C40" s="2" t="s">
        <v>129</v>
      </c>
      <c r="D40" s="2" t="s">
        <v>54</v>
      </c>
      <c r="E40" s="13">
        <v>0.5</v>
      </c>
      <c r="F40" s="2">
        <v>2.8000000000000001E-2</v>
      </c>
      <c r="G40" s="3"/>
      <c r="H40" s="3"/>
      <c r="I40" s="2">
        <v>0</v>
      </c>
      <c r="J40" s="2">
        <f>VLOOKUP(D40,'SEMANA 36'!D35:O178,12,0)</f>
        <v>0</v>
      </c>
      <c r="K40" s="2"/>
      <c r="L40" s="2"/>
      <c r="M40" s="2"/>
      <c r="N40" s="2"/>
      <c r="O40" s="8">
        <f t="shared" si="3"/>
        <v>0</v>
      </c>
      <c r="P40" s="2"/>
      <c r="Q40" s="2"/>
      <c r="R40" s="18"/>
      <c r="S40" s="2"/>
      <c r="T40" s="18"/>
      <c r="U40" s="18"/>
      <c r="V40" s="18"/>
      <c r="W40" s="18"/>
      <c r="X40" s="2"/>
      <c r="Y40" s="18"/>
      <c r="Z40" s="2"/>
      <c r="AA40" s="7">
        <f t="shared" si="4"/>
        <v>0</v>
      </c>
      <c r="AB40" s="8">
        <v>0</v>
      </c>
      <c r="AC40" s="8">
        <v>0</v>
      </c>
      <c r="AD40" s="8" t="s">
        <v>152</v>
      </c>
      <c r="AE40" s="8">
        <v>0</v>
      </c>
      <c r="AF40"/>
    </row>
    <row r="41" spans="1:32" x14ac:dyDescent="0.25">
      <c r="A41" s="2">
        <v>31</v>
      </c>
      <c r="B41" s="2" t="s">
        <v>24</v>
      </c>
      <c r="C41" s="2" t="s">
        <v>129</v>
      </c>
      <c r="D41" s="2" t="s">
        <v>55</v>
      </c>
      <c r="E41" s="13">
        <v>0.625</v>
      </c>
      <c r="F41" s="2">
        <v>3.5000000000000003E-2</v>
      </c>
      <c r="G41" s="3"/>
      <c r="H41" s="3"/>
      <c r="I41" s="2">
        <v>0</v>
      </c>
      <c r="J41" s="2">
        <f>VLOOKUP(D41,'SEMANA 36'!D36:O179,12,0)</f>
        <v>0</v>
      </c>
      <c r="K41" s="2"/>
      <c r="L41" s="2"/>
      <c r="M41" s="2"/>
      <c r="N41" s="2"/>
      <c r="O41" s="8">
        <f t="shared" si="3"/>
        <v>0</v>
      </c>
      <c r="P41" s="2"/>
      <c r="Q41" s="2"/>
      <c r="R41" s="18"/>
      <c r="S41" s="2"/>
      <c r="T41" s="2"/>
      <c r="U41" s="18"/>
      <c r="V41" s="18"/>
      <c r="W41" s="18"/>
      <c r="X41" s="2"/>
      <c r="Y41" s="18"/>
      <c r="Z41" s="2"/>
      <c r="AA41" s="7">
        <f t="shared" si="4"/>
        <v>0</v>
      </c>
      <c r="AB41" s="8" t="s">
        <v>149</v>
      </c>
      <c r="AC41" s="8">
        <v>200</v>
      </c>
      <c r="AD41" s="8" t="s">
        <v>152</v>
      </c>
      <c r="AE41" s="8">
        <f t="shared" ref="AE41:AE50" si="6">+SUM(I41:N41)/AC41</f>
        <v>0</v>
      </c>
      <c r="AF41"/>
    </row>
    <row r="42" spans="1:32" x14ac:dyDescent="0.25">
      <c r="A42" s="2">
        <v>32</v>
      </c>
      <c r="B42" s="2" t="s">
        <v>24</v>
      </c>
      <c r="C42" s="2" t="s">
        <v>129</v>
      </c>
      <c r="D42" s="2" t="s">
        <v>56</v>
      </c>
      <c r="E42" s="13">
        <v>0.625</v>
      </c>
      <c r="F42" s="2">
        <v>3.5000000000000003E-2</v>
      </c>
      <c r="G42" s="3"/>
      <c r="H42" s="3"/>
      <c r="I42" s="2">
        <v>0</v>
      </c>
      <c r="J42" s="2">
        <f>VLOOKUP(D42,'SEMANA 36'!D37:O180,12,0)</f>
        <v>-34</v>
      </c>
      <c r="K42" s="2"/>
      <c r="L42" s="2"/>
      <c r="M42" s="2"/>
      <c r="N42" s="2"/>
      <c r="O42" s="8">
        <f t="shared" si="3"/>
        <v>-34</v>
      </c>
      <c r="P42" s="2"/>
      <c r="Q42" s="2"/>
      <c r="R42" s="18"/>
      <c r="S42" s="2"/>
      <c r="T42" s="18"/>
      <c r="U42" s="18"/>
      <c r="V42" s="18"/>
      <c r="W42" s="18"/>
      <c r="X42" s="2"/>
      <c r="Y42" s="18"/>
      <c r="Z42" s="2"/>
      <c r="AA42" s="7">
        <f t="shared" si="4"/>
        <v>0</v>
      </c>
      <c r="AB42" s="8" t="s">
        <v>149</v>
      </c>
      <c r="AC42" s="8">
        <v>100</v>
      </c>
      <c r="AD42" s="8" t="s">
        <v>152</v>
      </c>
      <c r="AE42" s="8">
        <f t="shared" si="6"/>
        <v>-0.34</v>
      </c>
      <c r="AF42"/>
    </row>
    <row r="43" spans="1:32" x14ac:dyDescent="0.25">
      <c r="A43" s="2">
        <v>33</v>
      </c>
      <c r="B43" s="2" t="s">
        <v>24</v>
      </c>
      <c r="C43" s="2" t="s">
        <v>129</v>
      </c>
      <c r="D43" s="2" t="s">
        <v>57</v>
      </c>
      <c r="E43" s="13">
        <v>0.625</v>
      </c>
      <c r="F43" s="2">
        <v>3.5000000000000003E-2</v>
      </c>
      <c r="G43" s="3"/>
      <c r="H43" s="3"/>
      <c r="I43" s="2">
        <v>0</v>
      </c>
      <c r="J43" s="2">
        <f>VLOOKUP(D43,'SEMANA 36'!D38:O181,12,0)</f>
        <v>-261</v>
      </c>
      <c r="K43" s="2"/>
      <c r="L43" s="2"/>
      <c r="M43" s="2"/>
      <c r="N43" s="2"/>
      <c r="O43" s="8">
        <f t="shared" si="3"/>
        <v>-261</v>
      </c>
      <c r="P43" s="2"/>
      <c r="Q43" s="2"/>
      <c r="R43" s="18"/>
      <c r="S43" s="2"/>
      <c r="T43" s="18"/>
      <c r="U43" s="18"/>
      <c r="V43" s="18"/>
      <c r="W43" s="18"/>
      <c r="X43" s="2"/>
      <c r="Y43" s="18"/>
      <c r="Z43" s="2"/>
      <c r="AA43" s="7">
        <f t="shared" ref="AA43:AA74" si="7">+G43*SUM(I43:N43)</f>
        <v>0</v>
      </c>
      <c r="AB43" s="8" t="s">
        <v>149</v>
      </c>
      <c r="AC43" s="8">
        <v>100</v>
      </c>
      <c r="AD43" s="8" t="s">
        <v>152</v>
      </c>
      <c r="AE43" s="8">
        <f t="shared" si="6"/>
        <v>-2.61</v>
      </c>
      <c r="AF43"/>
    </row>
    <row r="44" spans="1:32" x14ac:dyDescent="0.25">
      <c r="A44" s="2">
        <v>34</v>
      </c>
      <c r="B44" s="2" t="s">
        <v>24</v>
      </c>
      <c r="C44" s="2" t="s">
        <v>129</v>
      </c>
      <c r="D44" s="2" t="s">
        <v>58</v>
      </c>
      <c r="E44" s="13">
        <v>0.75</v>
      </c>
      <c r="F44" s="2">
        <v>3.5000000000000003E-2</v>
      </c>
      <c r="G44" s="3"/>
      <c r="H44" s="3"/>
      <c r="I44" s="2">
        <v>1700</v>
      </c>
      <c r="J44" s="2">
        <f>VLOOKUP(D44,'SEMANA 36'!D39:O182,12,0)</f>
        <v>188</v>
      </c>
      <c r="K44" s="2"/>
      <c r="L44" s="2"/>
      <c r="M44" s="2"/>
      <c r="N44" s="2"/>
      <c r="O44" s="8">
        <f t="shared" si="3"/>
        <v>-323</v>
      </c>
      <c r="P44" s="2"/>
      <c r="Q44" s="2"/>
      <c r="R44" s="18">
        <v>1416</v>
      </c>
      <c r="S44" s="2"/>
      <c r="T44" s="18">
        <v>795</v>
      </c>
      <c r="U44" s="18"/>
      <c r="V44" s="18"/>
      <c r="W44" s="18"/>
      <c r="X44" s="2"/>
      <c r="Y44" s="18"/>
      <c r="Z44" s="2"/>
      <c r="AA44" s="7">
        <f t="shared" si="7"/>
        <v>0</v>
      </c>
      <c r="AB44" s="8" t="s">
        <v>150</v>
      </c>
      <c r="AC44" s="8">
        <v>2000</v>
      </c>
      <c r="AD44" s="8" t="s">
        <v>152</v>
      </c>
      <c r="AE44" s="8">
        <f t="shared" si="6"/>
        <v>0.94399999999999995</v>
      </c>
      <c r="AF44"/>
    </row>
    <row r="45" spans="1:32" x14ac:dyDescent="0.25">
      <c r="A45" s="2">
        <v>35</v>
      </c>
      <c r="B45" s="2" t="s">
        <v>24</v>
      </c>
      <c r="C45" s="2" t="s">
        <v>129</v>
      </c>
      <c r="D45" s="2" t="s">
        <v>59</v>
      </c>
      <c r="E45" s="13">
        <v>0.75</v>
      </c>
      <c r="F45" s="2">
        <v>3.5000000000000003E-2</v>
      </c>
      <c r="G45" s="3"/>
      <c r="H45" s="3"/>
      <c r="I45" s="2">
        <v>1500</v>
      </c>
      <c r="J45" s="2">
        <f>VLOOKUP(D45,'SEMANA 36'!D40:O183,12,0)</f>
        <v>-54</v>
      </c>
      <c r="K45" s="2"/>
      <c r="L45" s="2"/>
      <c r="M45" s="2"/>
      <c r="N45" s="2"/>
      <c r="O45" s="8">
        <f t="shared" si="3"/>
        <v>-81</v>
      </c>
      <c r="P45" s="2"/>
      <c r="Q45" s="2">
        <v>1527</v>
      </c>
      <c r="R45" s="18"/>
      <c r="S45" s="2"/>
      <c r="T45" s="18"/>
      <c r="U45" s="18"/>
      <c r="V45" s="18"/>
      <c r="W45" s="18"/>
      <c r="X45" s="2"/>
      <c r="Y45" s="18"/>
      <c r="Z45" s="2"/>
      <c r="AA45" s="7">
        <f t="shared" si="7"/>
        <v>0</v>
      </c>
      <c r="AB45" s="8" t="s">
        <v>150</v>
      </c>
      <c r="AC45" s="8">
        <v>500</v>
      </c>
      <c r="AD45" s="8" t="s">
        <v>152</v>
      </c>
      <c r="AE45" s="8">
        <f t="shared" si="6"/>
        <v>2.8919999999999999</v>
      </c>
      <c r="AF45"/>
    </row>
    <row r="46" spans="1:32" x14ac:dyDescent="0.25">
      <c r="A46" s="2">
        <v>36</v>
      </c>
      <c r="B46" s="2" t="s">
        <v>24</v>
      </c>
      <c r="C46" s="2" t="s">
        <v>129</v>
      </c>
      <c r="D46" s="2" t="s">
        <v>60</v>
      </c>
      <c r="E46" s="13">
        <v>0.75</v>
      </c>
      <c r="F46" s="2">
        <v>3.5000000000000003E-2</v>
      </c>
      <c r="G46" s="3"/>
      <c r="H46" s="3"/>
      <c r="I46" s="2">
        <v>0</v>
      </c>
      <c r="J46" s="2">
        <f>VLOOKUP(D46,'SEMANA 36'!D41:O184,12,0)</f>
        <v>1060</v>
      </c>
      <c r="K46" s="2"/>
      <c r="L46" s="2"/>
      <c r="M46" s="2"/>
      <c r="N46" s="2"/>
      <c r="O46" s="8">
        <f t="shared" si="3"/>
        <v>-28</v>
      </c>
      <c r="P46" s="2">
        <v>876</v>
      </c>
      <c r="Q46" s="2">
        <v>212</v>
      </c>
      <c r="R46" s="18"/>
      <c r="S46" s="2"/>
      <c r="T46" s="18"/>
      <c r="U46" s="18"/>
      <c r="V46" s="18"/>
      <c r="W46" s="18"/>
      <c r="X46" s="2"/>
      <c r="Y46" s="18"/>
      <c r="Z46" s="2"/>
      <c r="AA46" s="7">
        <f t="shared" si="7"/>
        <v>0</v>
      </c>
      <c r="AB46" s="8" t="s">
        <v>150</v>
      </c>
      <c r="AC46" s="8">
        <v>250</v>
      </c>
      <c r="AD46" s="8" t="s">
        <v>152</v>
      </c>
      <c r="AE46" s="8">
        <f t="shared" si="6"/>
        <v>4.24</v>
      </c>
      <c r="AF46"/>
    </row>
    <row r="47" spans="1:32" x14ac:dyDescent="0.25">
      <c r="A47" s="2">
        <v>37</v>
      </c>
      <c r="B47" s="2" t="s">
        <v>24</v>
      </c>
      <c r="C47" s="2" t="s">
        <v>129</v>
      </c>
      <c r="D47" s="2" t="s">
        <v>61</v>
      </c>
      <c r="E47" s="13">
        <v>0.75</v>
      </c>
      <c r="F47" s="2">
        <v>3.5000000000000003E-2</v>
      </c>
      <c r="G47" s="3"/>
      <c r="H47" s="3"/>
      <c r="I47" s="2">
        <v>1350</v>
      </c>
      <c r="J47" s="2">
        <f>VLOOKUP(D47,'SEMANA 36'!D42:O185,12,0)</f>
        <v>-136</v>
      </c>
      <c r="K47" s="2"/>
      <c r="L47" s="2"/>
      <c r="M47" s="2"/>
      <c r="N47" s="2"/>
      <c r="O47" s="8">
        <f t="shared" si="3"/>
        <v>-44</v>
      </c>
      <c r="P47" s="2">
        <v>935</v>
      </c>
      <c r="Q47" s="2"/>
      <c r="R47" s="18"/>
      <c r="S47" s="2"/>
      <c r="T47" s="18"/>
      <c r="U47" s="18"/>
      <c r="V47" s="18"/>
      <c r="W47" s="18">
        <v>323</v>
      </c>
      <c r="X47" s="2"/>
      <c r="Y47" s="18"/>
      <c r="Z47" s="2"/>
      <c r="AA47" s="7">
        <f t="shared" si="7"/>
        <v>0</v>
      </c>
      <c r="AB47" s="8" t="s">
        <v>150</v>
      </c>
      <c r="AC47" s="8">
        <v>300</v>
      </c>
      <c r="AD47" s="8" t="s">
        <v>152</v>
      </c>
      <c r="AE47" s="8">
        <f t="shared" si="6"/>
        <v>4.0466666666666669</v>
      </c>
      <c r="AF47"/>
    </row>
    <row r="48" spans="1:32" x14ac:dyDescent="0.25">
      <c r="A48" s="2">
        <v>38</v>
      </c>
      <c r="B48" s="2" t="s">
        <v>24</v>
      </c>
      <c r="C48" s="2" t="s">
        <v>129</v>
      </c>
      <c r="D48" s="2" t="s">
        <v>62</v>
      </c>
      <c r="E48" s="13">
        <v>0.75</v>
      </c>
      <c r="F48" s="2">
        <v>3.5000000000000003E-2</v>
      </c>
      <c r="G48" s="3"/>
      <c r="H48" s="3"/>
      <c r="I48" s="2">
        <v>400</v>
      </c>
      <c r="J48" s="2">
        <f>VLOOKUP(D48,'SEMANA 36'!D43:O186,12,0)</f>
        <v>-333</v>
      </c>
      <c r="K48" s="2"/>
      <c r="L48" s="2"/>
      <c r="M48" s="2"/>
      <c r="N48" s="2"/>
      <c r="O48" s="8">
        <f t="shared" si="3"/>
        <v>-362</v>
      </c>
      <c r="P48" s="2"/>
      <c r="Q48" s="2">
        <v>362</v>
      </c>
      <c r="R48" s="18"/>
      <c r="S48" s="2"/>
      <c r="T48" s="18"/>
      <c r="U48" s="18"/>
      <c r="V48" s="18"/>
      <c r="W48" s="18"/>
      <c r="X48" s="2"/>
      <c r="Y48" s="18"/>
      <c r="Z48" s="2">
        <v>67</v>
      </c>
      <c r="AA48" s="7">
        <f t="shared" si="7"/>
        <v>0</v>
      </c>
      <c r="AB48" s="8" t="s">
        <v>150</v>
      </c>
      <c r="AC48" s="8">
        <v>300</v>
      </c>
      <c r="AD48" s="8" t="s">
        <v>152</v>
      </c>
      <c r="AE48" s="8">
        <f t="shared" si="6"/>
        <v>0.22333333333333333</v>
      </c>
      <c r="AF48"/>
    </row>
    <row r="49" spans="1:32" x14ac:dyDescent="0.25">
      <c r="A49" s="2">
        <v>39</v>
      </c>
      <c r="B49" s="2" t="s">
        <v>24</v>
      </c>
      <c r="C49" s="2" t="s">
        <v>129</v>
      </c>
      <c r="D49" s="2" t="s">
        <v>63</v>
      </c>
      <c r="E49" s="13">
        <v>0.75</v>
      </c>
      <c r="F49" s="2">
        <v>3.5000000000000003E-2</v>
      </c>
      <c r="G49" s="3"/>
      <c r="H49" s="3"/>
      <c r="I49" s="2">
        <v>600</v>
      </c>
      <c r="J49" s="2">
        <f>VLOOKUP(D49,'SEMANA 36'!D44:O187,12,0)</f>
        <v>0</v>
      </c>
      <c r="K49" s="2"/>
      <c r="L49" s="2"/>
      <c r="M49" s="2"/>
      <c r="N49" s="2"/>
      <c r="O49" s="8">
        <f t="shared" si="3"/>
        <v>-80</v>
      </c>
      <c r="P49" s="2"/>
      <c r="Q49" s="2"/>
      <c r="R49" s="18"/>
      <c r="S49" s="2"/>
      <c r="T49" s="18">
        <v>680</v>
      </c>
      <c r="U49" s="18"/>
      <c r="V49" s="18"/>
      <c r="W49" s="18"/>
      <c r="X49" s="2"/>
      <c r="Y49" s="18"/>
      <c r="Z49" s="2"/>
      <c r="AA49" s="7">
        <f t="shared" si="7"/>
        <v>0</v>
      </c>
      <c r="AB49" s="8" t="s">
        <v>150</v>
      </c>
      <c r="AC49" s="8">
        <v>2000</v>
      </c>
      <c r="AD49" s="8" t="s">
        <v>152</v>
      </c>
      <c r="AE49" s="8">
        <f t="shared" si="6"/>
        <v>0.3</v>
      </c>
      <c r="AF49"/>
    </row>
    <row r="50" spans="1:32" x14ac:dyDescent="0.25">
      <c r="A50" s="2">
        <v>40</v>
      </c>
      <c r="B50" s="2" t="s">
        <v>24</v>
      </c>
      <c r="C50" s="2" t="s">
        <v>129</v>
      </c>
      <c r="D50" s="2" t="s">
        <v>64</v>
      </c>
      <c r="E50" s="13">
        <v>0.75</v>
      </c>
      <c r="F50" s="2">
        <v>3.5000000000000003E-2</v>
      </c>
      <c r="G50" s="3"/>
      <c r="H50" s="3"/>
      <c r="I50" s="2">
        <v>800</v>
      </c>
      <c r="J50" s="2">
        <f>VLOOKUP(D50,'SEMANA 36'!D45:O188,12,0)</f>
        <v>191</v>
      </c>
      <c r="K50" s="2"/>
      <c r="L50" s="2"/>
      <c r="M50" s="2"/>
      <c r="N50" s="2"/>
      <c r="O50" s="8">
        <f t="shared" si="3"/>
        <v>0</v>
      </c>
      <c r="P50" s="2"/>
      <c r="Q50" s="2"/>
      <c r="R50" s="18"/>
      <c r="S50" s="2"/>
      <c r="T50" s="18"/>
      <c r="U50" s="18">
        <v>926</v>
      </c>
      <c r="V50" s="18"/>
      <c r="W50" s="18"/>
      <c r="X50" s="2"/>
      <c r="Y50" s="18"/>
      <c r="Z50" s="2">
        <v>65</v>
      </c>
      <c r="AA50" s="7">
        <f t="shared" si="7"/>
        <v>0</v>
      </c>
      <c r="AB50" s="8" t="s">
        <v>150</v>
      </c>
      <c r="AC50" s="8">
        <v>1000</v>
      </c>
      <c r="AD50" s="8" t="s">
        <v>152</v>
      </c>
      <c r="AE50" s="8">
        <f t="shared" si="6"/>
        <v>0.99099999999999999</v>
      </c>
      <c r="AF50"/>
    </row>
    <row r="51" spans="1:32" x14ac:dyDescent="0.25">
      <c r="A51" s="2">
        <v>41</v>
      </c>
      <c r="B51" s="2" t="s">
        <v>24</v>
      </c>
      <c r="C51" s="2" t="s">
        <v>129</v>
      </c>
      <c r="D51" s="2" t="s">
        <v>65</v>
      </c>
      <c r="E51" s="13">
        <v>0.75</v>
      </c>
      <c r="F51" s="2">
        <v>3.5000000000000003E-2</v>
      </c>
      <c r="G51" s="3"/>
      <c r="H51" s="3"/>
      <c r="I51" s="2">
        <v>0</v>
      </c>
      <c r="J51" s="2">
        <f>VLOOKUP(D51,'SEMANA 36'!D46:O189,12,0)</f>
        <v>0</v>
      </c>
      <c r="K51" s="2"/>
      <c r="L51" s="2"/>
      <c r="M51" s="2"/>
      <c r="N51" s="2"/>
      <c r="O51" s="8">
        <f t="shared" si="3"/>
        <v>0</v>
      </c>
      <c r="P51" s="2"/>
      <c r="Q51" s="2"/>
      <c r="R51" s="18"/>
      <c r="S51" s="2"/>
      <c r="T51" s="18"/>
      <c r="U51" s="18"/>
      <c r="V51" s="18"/>
      <c r="W51" s="18"/>
      <c r="X51" s="2"/>
      <c r="Y51" s="18"/>
      <c r="Z51" s="2"/>
      <c r="AA51" s="7">
        <f t="shared" si="7"/>
        <v>0</v>
      </c>
      <c r="AB51" s="8">
        <v>0</v>
      </c>
      <c r="AC51" s="8">
        <v>0</v>
      </c>
      <c r="AD51" s="8" t="s">
        <v>152</v>
      </c>
      <c r="AE51" s="8">
        <v>0</v>
      </c>
      <c r="AF51"/>
    </row>
    <row r="52" spans="1:32" x14ac:dyDescent="0.25">
      <c r="A52" s="2">
        <v>42</v>
      </c>
      <c r="B52" s="2" t="s">
        <v>24</v>
      </c>
      <c r="C52" s="2" t="s">
        <v>129</v>
      </c>
      <c r="D52" s="2" t="s">
        <v>66</v>
      </c>
      <c r="E52" s="13">
        <v>0.75</v>
      </c>
      <c r="F52" s="2">
        <v>3.5000000000000003E-2</v>
      </c>
      <c r="G52" s="3"/>
      <c r="H52" s="3"/>
      <c r="I52" s="2">
        <v>0</v>
      </c>
      <c r="J52" s="2">
        <f>VLOOKUP(D52,'SEMANA 36'!D47:O190,12,0)</f>
        <v>0</v>
      </c>
      <c r="K52" s="2"/>
      <c r="L52" s="2"/>
      <c r="M52" s="2"/>
      <c r="N52" s="2"/>
      <c r="O52" s="8">
        <f t="shared" si="3"/>
        <v>0</v>
      </c>
      <c r="P52" s="2"/>
      <c r="Q52" s="2"/>
      <c r="R52" s="18"/>
      <c r="S52" s="2"/>
      <c r="T52" s="18"/>
      <c r="U52" s="18"/>
      <c r="V52" s="18"/>
      <c r="W52" s="18"/>
      <c r="X52" s="2"/>
      <c r="Y52" s="18"/>
      <c r="Z52" s="2"/>
      <c r="AA52" s="7">
        <f t="shared" si="7"/>
        <v>0</v>
      </c>
      <c r="AB52" s="8">
        <v>0</v>
      </c>
      <c r="AC52" s="8">
        <v>0</v>
      </c>
      <c r="AD52" s="8" t="s">
        <v>152</v>
      </c>
      <c r="AE52" s="8">
        <v>0</v>
      </c>
      <c r="AF52"/>
    </row>
    <row r="53" spans="1:32" x14ac:dyDescent="0.25">
      <c r="A53" s="2">
        <v>43</v>
      </c>
      <c r="B53" s="2" t="s">
        <v>24</v>
      </c>
      <c r="C53" s="2" t="s">
        <v>129</v>
      </c>
      <c r="D53" s="2" t="s">
        <v>67</v>
      </c>
      <c r="E53" s="13">
        <v>0.75</v>
      </c>
      <c r="F53" s="2">
        <v>3.5000000000000003E-2</v>
      </c>
      <c r="G53" s="3"/>
      <c r="H53" s="3"/>
      <c r="I53" s="2">
        <v>0</v>
      </c>
      <c r="J53" s="2">
        <f>VLOOKUP(D53,'SEMANA 36'!D48:O191,12,0)</f>
        <v>0</v>
      </c>
      <c r="K53" s="2"/>
      <c r="L53" s="2"/>
      <c r="M53" s="2"/>
      <c r="N53" s="2"/>
      <c r="O53" s="8">
        <f t="shared" si="3"/>
        <v>0</v>
      </c>
      <c r="P53" s="2"/>
      <c r="Q53" s="2"/>
      <c r="R53" s="18"/>
      <c r="S53" s="2"/>
      <c r="T53" s="18"/>
      <c r="U53" s="18"/>
      <c r="V53" s="18"/>
      <c r="W53" s="18"/>
      <c r="X53" s="2"/>
      <c r="Y53" s="18"/>
      <c r="Z53" s="2"/>
      <c r="AA53" s="7">
        <f t="shared" si="7"/>
        <v>0</v>
      </c>
      <c r="AB53" s="8">
        <v>0</v>
      </c>
      <c r="AC53" s="8">
        <v>0</v>
      </c>
      <c r="AD53" s="8" t="s">
        <v>152</v>
      </c>
      <c r="AE53" s="8">
        <v>0</v>
      </c>
      <c r="AF53"/>
    </row>
    <row r="54" spans="1:32" x14ac:dyDescent="0.25">
      <c r="A54" s="2">
        <v>44</v>
      </c>
      <c r="B54" s="2" t="s">
        <v>24</v>
      </c>
      <c r="C54" s="2" t="s">
        <v>129</v>
      </c>
      <c r="D54" s="2" t="s">
        <v>68</v>
      </c>
      <c r="E54" s="13">
        <v>0.75</v>
      </c>
      <c r="F54" s="2">
        <v>3.5000000000000003E-2</v>
      </c>
      <c r="G54" s="3"/>
      <c r="H54" s="3"/>
      <c r="I54" s="2">
        <v>0</v>
      </c>
      <c r="J54" s="2">
        <f>VLOOKUP(D54,'SEMANA 36'!D49:O192,12,0)</f>
        <v>0</v>
      </c>
      <c r="K54" s="2"/>
      <c r="L54" s="2"/>
      <c r="M54" s="2"/>
      <c r="N54" s="2"/>
      <c r="O54" s="8">
        <f t="shared" si="3"/>
        <v>0</v>
      </c>
      <c r="P54" s="2"/>
      <c r="Q54" s="2"/>
      <c r="R54" s="18"/>
      <c r="S54" s="2"/>
      <c r="T54" s="18"/>
      <c r="U54" s="18"/>
      <c r="V54" s="18"/>
      <c r="W54" s="18"/>
      <c r="X54" s="2"/>
      <c r="Y54" s="18"/>
      <c r="Z54" s="2"/>
      <c r="AA54" s="7">
        <f t="shared" si="7"/>
        <v>0</v>
      </c>
      <c r="AB54" s="8">
        <v>0</v>
      </c>
      <c r="AC54" s="8">
        <v>0</v>
      </c>
      <c r="AD54" s="8" t="s">
        <v>152</v>
      </c>
      <c r="AE54" s="8">
        <v>0</v>
      </c>
      <c r="AF54"/>
    </row>
    <row r="55" spans="1:32" x14ac:dyDescent="0.25">
      <c r="A55" s="2">
        <v>45</v>
      </c>
      <c r="B55" s="2" t="s">
        <v>24</v>
      </c>
      <c r="C55" s="2" t="s">
        <v>129</v>
      </c>
      <c r="D55" s="2" t="s">
        <v>69</v>
      </c>
      <c r="E55" s="13">
        <v>0.75</v>
      </c>
      <c r="F55" s="2">
        <v>3.5000000000000003E-2</v>
      </c>
      <c r="G55" s="3"/>
      <c r="H55" s="3"/>
      <c r="I55" s="2">
        <v>0</v>
      </c>
      <c r="J55" s="2">
        <f>VLOOKUP(D55,'SEMANA 36'!D50:O193,12,0)</f>
        <v>0</v>
      </c>
      <c r="K55" s="2"/>
      <c r="L55" s="2"/>
      <c r="M55" s="2"/>
      <c r="N55" s="2"/>
      <c r="O55" s="8">
        <f t="shared" si="3"/>
        <v>0</v>
      </c>
      <c r="P55" s="2"/>
      <c r="Q55" s="2"/>
      <c r="R55" s="18"/>
      <c r="S55" s="2"/>
      <c r="T55" s="18"/>
      <c r="U55" s="18"/>
      <c r="V55" s="18"/>
      <c r="W55" s="18"/>
      <c r="X55" s="2"/>
      <c r="Y55" s="18"/>
      <c r="Z55" s="2"/>
      <c r="AA55" s="7">
        <f t="shared" si="7"/>
        <v>0</v>
      </c>
      <c r="AB55" s="8">
        <v>0</v>
      </c>
      <c r="AC55" s="8">
        <v>0</v>
      </c>
      <c r="AD55" s="8" t="s">
        <v>152</v>
      </c>
      <c r="AE55" s="8">
        <v>0</v>
      </c>
      <c r="AF55"/>
    </row>
    <row r="56" spans="1:32" x14ac:dyDescent="0.25">
      <c r="A56" s="2">
        <v>46</v>
      </c>
      <c r="B56" s="2" t="s">
        <v>24</v>
      </c>
      <c r="C56" s="2" t="s">
        <v>129</v>
      </c>
      <c r="D56" s="2" t="s">
        <v>70</v>
      </c>
      <c r="E56" s="13">
        <v>0.75</v>
      </c>
      <c r="F56" s="2">
        <v>3.5000000000000003E-2</v>
      </c>
      <c r="G56" s="3"/>
      <c r="H56" s="3"/>
      <c r="I56" s="2">
        <v>0</v>
      </c>
      <c r="J56" s="2">
        <f>VLOOKUP(D56,'SEMANA 36'!D51:O194,12,0)</f>
        <v>0</v>
      </c>
      <c r="K56" s="2"/>
      <c r="L56" s="2"/>
      <c r="M56" s="2"/>
      <c r="N56" s="2"/>
      <c r="O56" s="8">
        <f t="shared" si="3"/>
        <v>0</v>
      </c>
      <c r="P56" s="2"/>
      <c r="Q56" s="2"/>
      <c r="R56" s="18"/>
      <c r="S56" s="2"/>
      <c r="T56" s="18"/>
      <c r="U56" s="18"/>
      <c r="V56" s="18"/>
      <c r="W56" s="18"/>
      <c r="X56" s="2"/>
      <c r="Y56" s="18"/>
      <c r="Z56" s="2"/>
      <c r="AA56" s="7">
        <f t="shared" si="7"/>
        <v>0</v>
      </c>
      <c r="AB56" s="8">
        <v>0</v>
      </c>
      <c r="AC56" s="8">
        <v>0</v>
      </c>
      <c r="AD56" s="8" t="s">
        <v>152</v>
      </c>
      <c r="AE56" s="8">
        <v>0</v>
      </c>
      <c r="AF56"/>
    </row>
    <row r="57" spans="1:32" x14ac:dyDescent="0.25">
      <c r="A57" s="2">
        <v>47</v>
      </c>
      <c r="B57" s="2" t="s">
        <v>24</v>
      </c>
      <c r="C57" s="2" t="s">
        <v>129</v>
      </c>
      <c r="D57" s="2" t="s">
        <v>71</v>
      </c>
      <c r="E57" s="13">
        <v>0.75</v>
      </c>
      <c r="F57" s="2">
        <v>3.5000000000000003E-2</v>
      </c>
      <c r="G57" s="3"/>
      <c r="H57" s="3"/>
      <c r="I57" s="2">
        <v>0</v>
      </c>
      <c r="J57" s="2">
        <f>VLOOKUP(D57,'SEMANA 36'!D52:O195,12,0)</f>
        <v>0</v>
      </c>
      <c r="K57" s="2"/>
      <c r="L57" s="2"/>
      <c r="M57" s="2"/>
      <c r="N57" s="2"/>
      <c r="O57" s="8">
        <f t="shared" si="3"/>
        <v>0</v>
      </c>
      <c r="P57" s="2"/>
      <c r="Q57" s="2"/>
      <c r="R57" s="18"/>
      <c r="S57" s="2"/>
      <c r="T57" s="18"/>
      <c r="U57" s="18"/>
      <c r="V57" s="18"/>
      <c r="W57" s="18"/>
      <c r="X57" s="2"/>
      <c r="Y57" s="18"/>
      <c r="Z57" s="2"/>
      <c r="AA57" s="7">
        <f t="shared" si="7"/>
        <v>0</v>
      </c>
      <c r="AB57" s="8">
        <v>0</v>
      </c>
      <c r="AC57" s="8">
        <v>0</v>
      </c>
      <c r="AD57" s="8" t="s">
        <v>152</v>
      </c>
      <c r="AE57" s="8">
        <v>0</v>
      </c>
      <c r="AF57"/>
    </row>
    <row r="58" spans="1:32" x14ac:dyDescent="0.25">
      <c r="A58" s="2">
        <v>48</v>
      </c>
      <c r="B58" s="2" t="s">
        <v>24</v>
      </c>
      <c r="C58" s="2" t="s">
        <v>129</v>
      </c>
      <c r="D58" s="2" t="s">
        <v>72</v>
      </c>
      <c r="E58" s="13">
        <v>0.75</v>
      </c>
      <c r="F58" s="2">
        <v>3.5000000000000003E-2</v>
      </c>
      <c r="G58" s="3"/>
      <c r="H58" s="3"/>
      <c r="I58" s="2">
        <v>0</v>
      </c>
      <c r="J58" s="2">
        <f>VLOOKUP(D58,'SEMANA 36'!D53:O196,12,0)</f>
        <v>0</v>
      </c>
      <c r="K58" s="2"/>
      <c r="L58" s="2"/>
      <c r="M58" s="2"/>
      <c r="N58" s="2"/>
      <c r="O58" s="8">
        <f t="shared" si="3"/>
        <v>0</v>
      </c>
      <c r="P58" s="2"/>
      <c r="Q58" s="2"/>
      <c r="R58" s="18"/>
      <c r="S58" s="2"/>
      <c r="T58" s="18"/>
      <c r="U58" s="18"/>
      <c r="V58" s="18"/>
      <c r="W58" s="18"/>
      <c r="X58" s="2"/>
      <c r="Y58" s="18"/>
      <c r="Z58" s="2"/>
      <c r="AA58" s="7">
        <f t="shared" si="7"/>
        <v>0</v>
      </c>
      <c r="AB58" s="8">
        <v>0</v>
      </c>
      <c r="AC58" s="8">
        <v>0</v>
      </c>
      <c r="AD58" s="8" t="s">
        <v>152</v>
      </c>
      <c r="AE58" s="8">
        <v>0</v>
      </c>
      <c r="AF58"/>
    </row>
    <row r="59" spans="1:32" x14ac:dyDescent="0.25">
      <c r="A59" s="2">
        <v>49</v>
      </c>
      <c r="B59" s="2" t="s">
        <v>24</v>
      </c>
      <c r="C59" s="2" t="s">
        <v>129</v>
      </c>
      <c r="D59" s="2" t="s">
        <v>73</v>
      </c>
      <c r="E59" s="13">
        <v>0.75</v>
      </c>
      <c r="F59" s="2">
        <v>3.5000000000000003E-2</v>
      </c>
      <c r="G59" s="3"/>
      <c r="H59" s="3"/>
      <c r="I59" s="2">
        <v>0</v>
      </c>
      <c r="J59" s="2">
        <f>VLOOKUP(D59,'SEMANA 36'!D54:O197,12,0)</f>
        <v>0</v>
      </c>
      <c r="K59" s="2"/>
      <c r="L59" s="2"/>
      <c r="M59" s="2"/>
      <c r="N59" s="2"/>
      <c r="O59" s="8">
        <f t="shared" si="3"/>
        <v>0</v>
      </c>
      <c r="P59" s="2"/>
      <c r="Q59" s="2"/>
      <c r="R59" s="18"/>
      <c r="S59" s="2"/>
      <c r="T59" s="18"/>
      <c r="U59" s="18"/>
      <c r="V59" s="18"/>
      <c r="W59" s="18"/>
      <c r="X59" s="2"/>
      <c r="Y59" s="18"/>
      <c r="Z59" s="2"/>
      <c r="AA59" s="7">
        <f t="shared" si="7"/>
        <v>0</v>
      </c>
      <c r="AB59" s="8">
        <v>0</v>
      </c>
      <c r="AC59" s="8">
        <v>0</v>
      </c>
      <c r="AD59" s="8" t="s">
        <v>152</v>
      </c>
      <c r="AE59" s="8">
        <v>0</v>
      </c>
      <c r="AF59"/>
    </row>
    <row r="60" spans="1:32" x14ac:dyDescent="0.25">
      <c r="A60" s="2">
        <v>50</v>
      </c>
      <c r="B60" s="2" t="s">
        <v>24</v>
      </c>
      <c r="C60" s="2" t="s">
        <v>129</v>
      </c>
      <c r="D60" s="2" t="s">
        <v>74</v>
      </c>
      <c r="E60" s="13">
        <v>0.75</v>
      </c>
      <c r="F60" s="2">
        <v>3.5000000000000003E-2</v>
      </c>
      <c r="G60" s="3"/>
      <c r="H60" s="3"/>
      <c r="I60" s="2">
        <v>0</v>
      </c>
      <c r="J60" s="2">
        <f>VLOOKUP(D60,'SEMANA 36'!D55:O198,12,0)</f>
        <v>0</v>
      </c>
      <c r="K60" s="2"/>
      <c r="L60" s="2"/>
      <c r="M60" s="2"/>
      <c r="N60" s="2"/>
      <c r="O60" s="8">
        <f t="shared" si="3"/>
        <v>0</v>
      </c>
      <c r="P60" s="2"/>
      <c r="Q60" s="2"/>
      <c r="R60" s="18"/>
      <c r="S60" s="2"/>
      <c r="T60" s="18"/>
      <c r="U60" s="18"/>
      <c r="V60" s="18"/>
      <c r="W60" s="18"/>
      <c r="X60" s="2"/>
      <c r="Y60" s="18"/>
      <c r="Z60" s="2"/>
      <c r="AA60" s="7">
        <f t="shared" si="7"/>
        <v>0</v>
      </c>
      <c r="AB60" s="8">
        <v>0</v>
      </c>
      <c r="AC60" s="8">
        <v>0</v>
      </c>
      <c r="AD60" s="8" t="s">
        <v>152</v>
      </c>
      <c r="AE60" s="8">
        <v>0</v>
      </c>
      <c r="AF60"/>
    </row>
    <row r="61" spans="1:32" x14ac:dyDescent="0.25">
      <c r="A61" s="2">
        <v>51</v>
      </c>
      <c r="B61" s="2" t="s">
        <v>24</v>
      </c>
      <c r="C61" s="2" t="s">
        <v>129</v>
      </c>
      <c r="D61" s="2" t="s">
        <v>75</v>
      </c>
      <c r="E61" s="13">
        <v>0.75</v>
      </c>
      <c r="F61" s="2">
        <v>3.5000000000000003E-2</v>
      </c>
      <c r="G61" s="3"/>
      <c r="H61" s="3"/>
      <c r="I61" s="2">
        <v>0</v>
      </c>
      <c r="J61" s="2">
        <f>VLOOKUP(D61,'SEMANA 36'!D56:O199,12,0)</f>
        <v>0</v>
      </c>
      <c r="K61" s="2"/>
      <c r="L61" s="2"/>
      <c r="M61" s="2"/>
      <c r="N61" s="2"/>
      <c r="O61" s="8">
        <f t="shared" si="3"/>
        <v>0</v>
      </c>
      <c r="P61" s="2"/>
      <c r="Q61" s="2"/>
      <c r="R61" s="18"/>
      <c r="S61" s="2"/>
      <c r="T61" s="18"/>
      <c r="U61" s="18"/>
      <c r="V61" s="18"/>
      <c r="W61" s="18"/>
      <c r="X61" s="2"/>
      <c r="Y61" s="18"/>
      <c r="Z61" s="2"/>
      <c r="AA61" s="7">
        <f t="shared" si="7"/>
        <v>0</v>
      </c>
      <c r="AB61" s="8">
        <v>0</v>
      </c>
      <c r="AC61" s="8">
        <v>0</v>
      </c>
      <c r="AD61" s="8" t="s">
        <v>152</v>
      </c>
      <c r="AE61" s="8">
        <v>0</v>
      </c>
      <c r="AF61"/>
    </row>
    <row r="62" spans="1:32" x14ac:dyDescent="0.25">
      <c r="A62" s="2">
        <v>52</v>
      </c>
      <c r="B62" s="2" t="s">
        <v>24</v>
      </c>
      <c r="C62" s="2" t="s">
        <v>129</v>
      </c>
      <c r="D62" s="2" t="s">
        <v>76</v>
      </c>
      <c r="E62" s="13">
        <v>0.875</v>
      </c>
      <c r="F62" s="2">
        <v>4.4999999999999998E-2</v>
      </c>
      <c r="G62" s="3"/>
      <c r="H62" s="3"/>
      <c r="I62" s="2">
        <v>0</v>
      </c>
      <c r="J62" s="2">
        <f>VLOOKUP(D62,'SEMANA 36'!D57:O200,12,0)</f>
        <v>-955</v>
      </c>
      <c r="K62" s="2"/>
      <c r="L62" s="2"/>
      <c r="M62" s="2"/>
      <c r="N62" s="2"/>
      <c r="O62" s="8">
        <f t="shared" si="3"/>
        <v>-2866</v>
      </c>
      <c r="P62" s="2"/>
      <c r="Q62" s="2"/>
      <c r="R62" s="18">
        <v>500</v>
      </c>
      <c r="S62" s="2"/>
      <c r="T62" s="18">
        <v>1000</v>
      </c>
      <c r="U62" s="18">
        <v>411</v>
      </c>
      <c r="V62" s="18"/>
      <c r="W62" s="18"/>
      <c r="X62" s="2"/>
      <c r="Y62" s="18"/>
      <c r="Z62" s="2"/>
      <c r="AA62" s="7">
        <f t="shared" si="7"/>
        <v>0</v>
      </c>
      <c r="AB62" s="8" t="s">
        <v>150</v>
      </c>
      <c r="AC62" s="8">
        <v>1000</v>
      </c>
      <c r="AD62" s="8" t="s">
        <v>152</v>
      </c>
      <c r="AE62" s="8">
        <f t="shared" ref="AE62:AE68" si="8">+SUM(I62:N62)/AC62</f>
        <v>-0.95499999999999996</v>
      </c>
      <c r="AF62"/>
    </row>
    <row r="63" spans="1:32" x14ac:dyDescent="0.25">
      <c r="A63" s="2">
        <v>53</v>
      </c>
      <c r="B63" s="2" t="s">
        <v>24</v>
      </c>
      <c r="C63" s="2" t="s">
        <v>129</v>
      </c>
      <c r="D63" s="2" t="s">
        <v>77</v>
      </c>
      <c r="E63" s="13">
        <v>0.875</v>
      </c>
      <c r="F63" s="2">
        <v>4.4999999999999998E-2</v>
      </c>
      <c r="G63" s="3"/>
      <c r="H63" s="3"/>
      <c r="I63" s="2">
        <v>1400</v>
      </c>
      <c r="J63" s="2">
        <f>VLOOKUP(D63,'SEMANA 36'!D58:O201,12,0)</f>
        <v>0</v>
      </c>
      <c r="K63" s="2"/>
      <c r="L63" s="2"/>
      <c r="M63" s="2"/>
      <c r="N63" s="2"/>
      <c r="O63" s="8">
        <f t="shared" si="3"/>
        <v>-89</v>
      </c>
      <c r="P63" s="2"/>
      <c r="Q63" s="2"/>
      <c r="R63" s="18"/>
      <c r="S63" s="2"/>
      <c r="T63" s="18"/>
      <c r="U63" s="18">
        <v>250</v>
      </c>
      <c r="V63" s="18">
        <v>1165</v>
      </c>
      <c r="W63" s="18">
        <v>74</v>
      </c>
      <c r="X63" s="2"/>
      <c r="Y63" s="18"/>
      <c r="Z63" s="2"/>
      <c r="AA63" s="7">
        <f t="shared" si="7"/>
        <v>0</v>
      </c>
      <c r="AB63" s="8" t="s">
        <v>151</v>
      </c>
      <c r="AC63" s="8">
        <v>200</v>
      </c>
      <c r="AD63" s="8" t="s">
        <v>152</v>
      </c>
      <c r="AE63" s="8">
        <f t="shared" si="8"/>
        <v>7</v>
      </c>
      <c r="AF63"/>
    </row>
    <row r="64" spans="1:32" x14ac:dyDescent="0.25">
      <c r="A64" s="2">
        <v>54</v>
      </c>
      <c r="B64" s="2" t="s">
        <v>24</v>
      </c>
      <c r="C64" s="2" t="s">
        <v>129</v>
      </c>
      <c r="D64" s="2" t="s">
        <v>78</v>
      </c>
      <c r="E64" s="13">
        <v>0.875</v>
      </c>
      <c r="F64" s="2">
        <v>4.4999999999999998E-2</v>
      </c>
      <c r="G64" s="3"/>
      <c r="H64" s="3"/>
      <c r="I64" s="2">
        <v>800</v>
      </c>
      <c r="J64" s="2">
        <f>VLOOKUP(D64,'SEMANA 36'!D59:O202,12,0)</f>
        <v>-609</v>
      </c>
      <c r="K64" s="2"/>
      <c r="L64" s="2"/>
      <c r="M64" s="2"/>
      <c r="N64" s="2"/>
      <c r="O64" s="8">
        <f t="shared" si="3"/>
        <v>-99</v>
      </c>
      <c r="P64" s="2"/>
      <c r="Q64" s="2"/>
      <c r="R64" s="18">
        <v>290</v>
      </c>
      <c r="S64" s="2"/>
      <c r="T64" s="18"/>
      <c r="U64" s="18"/>
      <c r="V64" s="18"/>
      <c r="W64" s="18"/>
      <c r="X64" s="2"/>
      <c r="Y64" s="18"/>
      <c r="Z64" s="2"/>
      <c r="AA64" s="7">
        <f t="shared" si="7"/>
        <v>0</v>
      </c>
      <c r="AB64" s="8" t="s">
        <v>150</v>
      </c>
      <c r="AC64" s="8">
        <v>1000</v>
      </c>
      <c r="AD64" s="8" t="s">
        <v>152</v>
      </c>
      <c r="AE64" s="8">
        <f t="shared" si="8"/>
        <v>0.191</v>
      </c>
      <c r="AF64"/>
    </row>
    <row r="65" spans="1:32" x14ac:dyDescent="0.25">
      <c r="A65" s="2">
        <v>55</v>
      </c>
      <c r="B65" s="2" t="s">
        <v>24</v>
      </c>
      <c r="C65" s="2" t="s">
        <v>129</v>
      </c>
      <c r="D65" s="2" t="s">
        <v>79</v>
      </c>
      <c r="E65" s="13">
        <v>0.875</v>
      </c>
      <c r="F65" s="2">
        <v>4.4999999999999998E-2</v>
      </c>
      <c r="G65" s="3"/>
      <c r="H65" s="3"/>
      <c r="I65" s="2">
        <v>400</v>
      </c>
      <c r="J65" s="2">
        <f>VLOOKUP(D65,'SEMANA 36'!D60:O203,12,0)</f>
        <v>100</v>
      </c>
      <c r="K65" s="2"/>
      <c r="L65" s="2"/>
      <c r="M65" s="2"/>
      <c r="N65" s="2"/>
      <c r="O65" s="8">
        <f t="shared" si="3"/>
        <v>0</v>
      </c>
      <c r="P65" s="2"/>
      <c r="Q65" s="2"/>
      <c r="R65" s="18"/>
      <c r="S65" s="2"/>
      <c r="T65" s="18"/>
      <c r="U65" s="18"/>
      <c r="V65" s="18"/>
      <c r="W65" s="18"/>
      <c r="X65" s="2"/>
      <c r="Y65" s="18"/>
      <c r="Z65" s="2">
        <v>500</v>
      </c>
      <c r="AA65" s="7">
        <f t="shared" si="7"/>
        <v>0</v>
      </c>
      <c r="AB65" s="8" t="s">
        <v>151</v>
      </c>
      <c r="AC65" s="8">
        <v>500</v>
      </c>
      <c r="AD65" s="8" t="s">
        <v>152</v>
      </c>
      <c r="AE65" s="8">
        <f t="shared" si="8"/>
        <v>1</v>
      </c>
      <c r="AF65"/>
    </row>
    <row r="66" spans="1:32" x14ac:dyDescent="0.25">
      <c r="A66" s="2">
        <v>56</v>
      </c>
      <c r="B66" s="2" t="s">
        <v>24</v>
      </c>
      <c r="C66" s="2" t="s">
        <v>129</v>
      </c>
      <c r="D66" s="2" t="s">
        <v>80</v>
      </c>
      <c r="E66" s="13">
        <v>0.875</v>
      </c>
      <c r="F66" s="2">
        <v>4.4999999999999998E-2</v>
      </c>
      <c r="G66" s="3"/>
      <c r="H66" s="3"/>
      <c r="I66" s="2">
        <v>0</v>
      </c>
      <c r="J66" s="2">
        <f>VLOOKUP(D66,'SEMANA 36'!D61:O204,12,0)</f>
        <v>-150</v>
      </c>
      <c r="K66" s="2"/>
      <c r="L66" s="2"/>
      <c r="M66" s="2"/>
      <c r="N66" s="2"/>
      <c r="O66" s="8">
        <f t="shared" si="3"/>
        <v>-246</v>
      </c>
      <c r="P66" s="2"/>
      <c r="Q66" s="2"/>
      <c r="R66" s="18">
        <v>96</v>
      </c>
      <c r="S66" s="2"/>
      <c r="T66" s="2"/>
      <c r="U66" s="18"/>
      <c r="V66" s="18"/>
      <c r="W66" s="18"/>
      <c r="X66" s="2"/>
      <c r="Y66" s="18"/>
      <c r="Z66" s="2"/>
      <c r="AA66" s="7">
        <f t="shared" si="7"/>
        <v>0</v>
      </c>
      <c r="AB66" s="8" t="s">
        <v>150</v>
      </c>
      <c r="AC66" s="8">
        <v>1000</v>
      </c>
      <c r="AD66" s="8" t="s">
        <v>152</v>
      </c>
      <c r="AE66" s="8">
        <f t="shared" si="8"/>
        <v>-0.15</v>
      </c>
      <c r="AF66"/>
    </row>
    <row r="67" spans="1:32" x14ac:dyDescent="0.25">
      <c r="A67" s="2">
        <v>57</v>
      </c>
      <c r="B67" s="2" t="s">
        <v>24</v>
      </c>
      <c r="C67" s="2" t="s">
        <v>129</v>
      </c>
      <c r="D67" s="2" t="s">
        <v>81</v>
      </c>
      <c r="E67" s="13">
        <v>0.875</v>
      </c>
      <c r="F67" s="2">
        <v>4.4999999999999998E-2</v>
      </c>
      <c r="G67" s="3"/>
      <c r="H67" s="3"/>
      <c r="I67" s="2">
        <v>0</v>
      </c>
      <c r="J67" s="2">
        <f>VLOOKUP(D67,'SEMANA 36'!D62:O205,12,0)</f>
        <v>-70</v>
      </c>
      <c r="K67" s="2"/>
      <c r="L67" s="2"/>
      <c r="M67" s="2"/>
      <c r="N67" s="2"/>
      <c r="O67" s="8">
        <f t="shared" si="3"/>
        <v>-70</v>
      </c>
      <c r="P67" s="2"/>
      <c r="Q67" s="2"/>
      <c r="R67" s="18"/>
      <c r="S67" s="2"/>
      <c r="T67" s="2"/>
      <c r="U67" s="18"/>
      <c r="V67" s="18"/>
      <c r="W67" s="18"/>
      <c r="X67" s="2"/>
      <c r="Y67" s="18"/>
      <c r="Z67" s="2"/>
      <c r="AA67" s="7">
        <f t="shared" si="7"/>
        <v>0</v>
      </c>
      <c r="AB67" s="8" t="s">
        <v>151</v>
      </c>
      <c r="AC67" s="8">
        <v>200</v>
      </c>
      <c r="AD67" s="8" t="s">
        <v>152</v>
      </c>
      <c r="AE67" s="8">
        <f t="shared" si="8"/>
        <v>-0.35</v>
      </c>
      <c r="AF67"/>
    </row>
    <row r="68" spans="1:32" x14ac:dyDescent="0.25">
      <c r="A68" s="2">
        <v>58</v>
      </c>
      <c r="B68" s="2" t="s">
        <v>24</v>
      </c>
      <c r="C68" s="2" t="s">
        <v>129</v>
      </c>
      <c r="D68" s="2" t="s">
        <v>82</v>
      </c>
      <c r="E68" s="13">
        <v>0.875</v>
      </c>
      <c r="F68" s="2">
        <v>4.4999999999999998E-2</v>
      </c>
      <c r="G68" s="3"/>
      <c r="H68" s="3"/>
      <c r="I68" s="2">
        <v>700</v>
      </c>
      <c r="J68" s="2">
        <f>VLOOKUP(D68,'SEMANA 36'!D63:O206,12,0)</f>
        <v>116</v>
      </c>
      <c r="K68" s="2"/>
      <c r="L68" s="2"/>
      <c r="M68" s="2"/>
      <c r="N68" s="2"/>
      <c r="O68" s="8">
        <f t="shared" si="3"/>
        <v>-53</v>
      </c>
      <c r="P68" s="2"/>
      <c r="Q68" s="2"/>
      <c r="R68" s="18">
        <v>709</v>
      </c>
      <c r="S68" s="2"/>
      <c r="T68" s="2"/>
      <c r="U68" s="18"/>
      <c r="V68" s="18"/>
      <c r="W68" s="18">
        <v>160</v>
      </c>
      <c r="X68" s="2"/>
      <c r="Y68" s="18"/>
      <c r="Z68" s="2"/>
      <c r="AA68" s="7">
        <f t="shared" si="7"/>
        <v>0</v>
      </c>
      <c r="AB68" s="8" t="s">
        <v>151</v>
      </c>
      <c r="AC68" s="8">
        <v>500</v>
      </c>
      <c r="AD68" s="8" t="s">
        <v>152</v>
      </c>
      <c r="AE68" s="8">
        <f t="shared" si="8"/>
        <v>1.6319999999999999</v>
      </c>
      <c r="AF68"/>
    </row>
    <row r="69" spans="1:32" x14ac:dyDescent="0.25">
      <c r="A69" s="2">
        <v>59</v>
      </c>
      <c r="B69" s="2" t="s">
        <v>24</v>
      </c>
      <c r="C69" s="2" t="s">
        <v>129</v>
      </c>
      <c r="D69" s="2" t="s">
        <v>83</v>
      </c>
      <c r="E69" s="13">
        <v>0.875</v>
      </c>
      <c r="F69" s="2">
        <v>4.4999999999999998E-2</v>
      </c>
      <c r="G69" s="3"/>
      <c r="H69" s="3"/>
      <c r="I69" s="2">
        <v>0</v>
      </c>
      <c r="J69" s="2">
        <f>VLOOKUP(D69,'SEMANA 36'!D64:O207,12,0)</f>
        <v>0</v>
      </c>
      <c r="K69" s="2"/>
      <c r="L69" s="2"/>
      <c r="M69" s="2"/>
      <c r="N69" s="2"/>
      <c r="O69" s="8">
        <f t="shared" si="3"/>
        <v>0</v>
      </c>
      <c r="P69" s="2"/>
      <c r="Q69" s="2"/>
      <c r="R69" s="18"/>
      <c r="S69" s="2"/>
      <c r="T69" s="18"/>
      <c r="U69" s="18"/>
      <c r="V69" s="18"/>
      <c r="W69" s="18"/>
      <c r="X69" s="2"/>
      <c r="Y69" s="18"/>
      <c r="Z69" s="2"/>
      <c r="AA69" s="7">
        <f t="shared" si="7"/>
        <v>0</v>
      </c>
      <c r="AB69" s="8">
        <v>0</v>
      </c>
      <c r="AC69" s="8">
        <v>0</v>
      </c>
      <c r="AD69" s="8" t="s">
        <v>152</v>
      </c>
      <c r="AE69" s="8">
        <v>0</v>
      </c>
      <c r="AF69"/>
    </row>
    <row r="70" spans="1:32" x14ac:dyDescent="0.25">
      <c r="A70" s="2">
        <v>60</v>
      </c>
      <c r="B70" s="2" t="s">
        <v>24</v>
      </c>
      <c r="C70" s="2" t="s">
        <v>129</v>
      </c>
      <c r="D70" s="2" t="s">
        <v>84</v>
      </c>
      <c r="E70" s="13">
        <v>0.875</v>
      </c>
      <c r="F70" s="2">
        <v>4.4999999999999998E-2</v>
      </c>
      <c r="G70" s="3"/>
      <c r="H70" s="3"/>
      <c r="I70" s="2">
        <v>0</v>
      </c>
      <c r="J70" s="2">
        <f>VLOOKUP(D70,'SEMANA 36'!D65:O208,12,0)</f>
        <v>0</v>
      </c>
      <c r="K70" s="2"/>
      <c r="L70" s="2"/>
      <c r="M70" s="2"/>
      <c r="N70" s="2"/>
      <c r="O70" s="8">
        <f t="shared" si="3"/>
        <v>0</v>
      </c>
      <c r="P70" s="2"/>
      <c r="Q70" s="2"/>
      <c r="R70" s="18"/>
      <c r="S70" s="2"/>
      <c r="T70" s="18"/>
      <c r="U70" s="18"/>
      <c r="V70" s="18"/>
      <c r="W70" s="18"/>
      <c r="X70" s="2"/>
      <c r="Y70" s="18"/>
      <c r="Z70" s="2"/>
      <c r="AA70" s="7">
        <f t="shared" si="7"/>
        <v>0</v>
      </c>
      <c r="AB70" s="8">
        <v>0</v>
      </c>
      <c r="AC70" s="8">
        <v>0</v>
      </c>
      <c r="AD70" s="8" t="s">
        <v>152</v>
      </c>
      <c r="AE70" s="8">
        <v>0</v>
      </c>
      <c r="AF70"/>
    </row>
    <row r="71" spans="1:32" x14ac:dyDescent="0.25">
      <c r="A71" s="2">
        <v>61</v>
      </c>
      <c r="B71" s="2" t="s">
        <v>24</v>
      </c>
      <c r="C71" s="2" t="s">
        <v>129</v>
      </c>
      <c r="D71" s="2" t="s">
        <v>85</v>
      </c>
      <c r="E71" s="13">
        <v>0.875</v>
      </c>
      <c r="F71" s="2">
        <v>4.4999999999999998E-2</v>
      </c>
      <c r="G71" s="3"/>
      <c r="H71" s="3"/>
      <c r="I71" s="2">
        <v>0</v>
      </c>
      <c r="J71" s="2">
        <f>VLOOKUP(D71,'SEMANA 36'!D66:O209,12,0)</f>
        <v>0</v>
      </c>
      <c r="K71" s="2"/>
      <c r="L71" s="2"/>
      <c r="M71" s="2"/>
      <c r="N71" s="2"/>
      <c r="O71" s="8">
        <f t="shared" si="3"/>
        <v>0</v>
      </c>
      <c r="P71" s="2"/>
      <c r="Q71" s="2"/>
      <c r="R71" s="18"/>
      <c r="S71" s="2"/>
      <c r="T71" s="18"/>
      <c r="U71" s="18"/>
      <c r="V71" s="18"/>
      <c r="W71" s="18"/>
      <c r="X71" s="2"/>
      <c r="Y71" s="18"/>
      <c r="Z71" s="2"/>
      <c r="AA71" s="7">
        <f t="shared" si="7"/>
        <v>0</v>
      </c>
      <c r="AB71" s="8">
        <v>0</v>
      </c>
      <c r="AC71" s="8">
        <v>0</v>
      </c>
      <c r="AD71" s="8" t="s">
        <v>152</v>
      </c>
      <c r="AE71" s="8">
        <v>0</v>
      </c>
      <c r="AF71"/>
    </row>
    <row r="72" spans="1:32" x14ac:dyDescent="0.25">
      <c r="A72" s="2">
        <v>62</v>
      </c>
      <c r="B72" s="2" t="s">
        <v>24</v>
      </c>
      <c r="C72" s="2" t="s">
        <v>129</v>
      </c>
      <c r="D72" s="2" t="s">
        <v>86</v>
      </c>
      <c r="E72" s="13">
        <v>0.875</v>
      </c>
      <c r="F72" s="2">
        <v>4.4999999999999998E-2</v>
      </c>
      <c r="G72" s="3"/>
      <c r="H72" s="3"/>
      <c r="I72" s="2">
        <v>0</v>
      </c>
      <c r="J72" s="2">
        <f>VLOOKUP(D72,'SEMANA 36'!D67:O210,12,0)</f>
        <v>0</v>
      </c>
      <c r="K72" s="2"/>
      <c r="L72" s="2"/>
      <c r="M72" s="2"/>
      <c r="N72" s="2"/>
      <c r="O72" s="8">
        <f t="shared" si="3"/>
        <v>0</v>
      </c>
      <c r="P72" s="2"/>
      <c r="Q72" s="2"/>
      <c r="R72" s="18"/>
      <c r="S72" s="2"/>
      <c r="T72" s="18"/>
      <c r="U72" s="18"/>
      <c r="V72" s="18"/>
      <c r="W72" s="18"/>
      <c r="X72" s="2"/>
      <c r="Y72" s="18"/>
      <c r="Z72" s="2"/>
      <c r="AA72" s="7">
        <f t="shared" si="7"/>
        <v>0</v>
      </c>
      <c r="AB72" s="8" t="s">
        <v>151</v>
      </c>
      <c r="AC72" s="8">
        <v>200</v>
      </c>
      <c r="AD72" s="8" t="s">
        <v>152</v>
      </c>
      <c r="AE72" s="8">
        <f>+SUM(I72:N72)/AC72</f>
        <v>0</v>
      </c>
      <c r="AF72"/>
    </row>
    <row r="73" spans="1:32" x14ac:dyDescent="0.25">
      <c r="A73" s="2">
        <v>63</v>
      </c>
      <c r="B73" s="2" t="s">
        <v>24</v>
      </c>
      <c r="C73" s="2" t="s">
        <v>129</v>
      </c>
      <c r="D73" s="2" t="s">
        <v>87</v>
      </c>
      <c r="E73" s="13">
        <v>0.875</v>
      </c>
      <c r="F73" s="2">
        <v>4.4999999999999998E-2</v>
      </c>
      <c r="G73" s="3"/>
      <c r="H73" s="3"/>
      <c r="I73" s="2">
        <v>0</v>
      </c>
      <c r="J73" s="2">
        <f>VLOOKUP(D73,'SEMANA 36'!D68:O211,12,0)</f>
        <v>0</v>
      </c>
      <c r="K73" s="2"/>
      <c r="L73" s="2"/>
      <c r="M73" s="2"/>
      <c r="N73" s="2"/>
      <c r="O73" s="8">
        <f t="shared" si="3"/>
        <v>0</v>
      </c>
      <c r="P73" s="2"/>
      <c r="Q73" s="2"/>
      <c r="R73" s="18"/>
      <c r="S73" s="2"/>
      <c r="T73" s="18"/>
      <c r="U73" s="18"/>
      <c r="V73" s="18"/>
      <c r="W73" s="18"/>
      <c r="X73" s="2"/>
      <c r="Y73" s="18"/>
      <c r="Z73" s="2"/>
      <c r="AA73" s="7">
        <f t="shared" si="7"/>
        <v>0</v>
      </c>
      <c r="AB73" s="8">
        <v>0</v>
      </c>
      <c r="AC73" s="8">
        <v>0</v>
      </c>
      <c r="AD73" s="8" t="s">
        <v>152</v>
      </c>
      <c r="AE73" s="8">
        <v>0</v>
      </c>
      <c r="AF73"/>
    </row>
    <row r="74" spans="1:32" x14ac:dyDescent="0.25">
      <c r="A74" s="2">
        <v>64</v>
      </c>
      <c r="B74" s="2" t="s">
        <v>24</v>
      </c>
      <c r="C74" s="2" t="s">
        <v>129</v>
      </c>
      <c r="D74" s="2" t="s">
        <v>88</v>
      </c>
      <c r="E74" s="13">
        <v>0.875</v>
      </c>
      <c r="F74" s="2">
        <v>4.4999999999999998E-2</v>
      </c>
      <c r="G74" s="3"/>
      <c r="H74" s="3"/>
      <c r="I74" s="2">
        <v>0</v>
      </c>
      <c r="J74" s="2">
        <f>VLOOKUP(D74,'SEMANA 36'!D69:O212,12,0)</f>
        <v>0</v>
      </c>
      <c r="K74" s="2"/>
      <c r="L74" s="2"/>
      <c r="M74" s="2"/>
      <c r="N74" s="2"/>
      <c r="O74" s="8">
        <f t="shared" si="3"/>
        <v>0</v>
      </c>
      <c r="P74" s="2"/>
      <c r="Q74" s="2"/>
      <c r="R74" s="18"/>
      <c r="S74" s="2"/>
      <c r="T74" s="18"/>
      <c r="U74" s="18"/>
      <c r="V74" s="18"/>
      <c r="W74" s="18"/>
      <c r="X74" s="2"/>
      <c r="Y74" s="18"/>
      <c r="Z74" s="2"/>
      <c r="AA74" s="7">
        <f t="shared" si="7"/>
        <v>0</v>
      </c>
      <c r="AB74" s="8">
        <v>0</v>
      </c>
      <c r="AC74" s="8">
        <v>0</v>
      </c>
      <c r="AD74" s="8" t="s">
        <v>152</v>
      </c>
      <c r="AE74" s="8">
        <v>0</v>
      </c>
      <c r="AF74"/>
    </row>
    <row r="75" spans="1:32" x14ac:dyDescent="0.25">
      <c r="A75" s="2">
        <v>65</v>
      </c>
      <c r="B75" s="2" t="s">
        <v>24</v>
      </c>
      <c r="C75" s="2" t="s">
        <v>129</v>
      </c>
      <c r="D75" s="2" t="s">
        <v>89</v>
      </c>
      <c r="E75" s="13">
        <v>0.875</v>
      </c>
      <c r="F75" s="2">
        <v>4.4999999999999998E-2</v>
      </c>
      <c r="G75" s="3"/>
      <c r="H75" s="3"/>
      <c r="I75" s="2">
        <v>0</v>
      </c>
      <c r="J75" s="2">
        <f>VLOOKUP(D75,'SEMANA 36'!D70:O213,12,0)</f>
        <v>0</v>
      </c>
      <c r="K75" s="2"/>
      <c r="L75" s="2"/>
      <c r="M75" s="2"/>
      <c r="N75" s="2"/>
      <c r="O75" s="8">
        <f t="shared" ref="O75:O138" si="9">+I75+J75+K75+L75+M75+N75-SUM(P75:Z75)</f>
        <v>0</v>
      </c>
      <c r="P75" s="2"/>
      <c r="Q75" s="2"/>
      <c r="R75" s="18"/>
      <c r="S75" s="2"/>
      <c r="T75" s="18"/>
      <c r="U75" s="18"/>
      <c r="V75" s="18"/>
      <c r="W75" s="18"/>
      <c r="X75" s="2"/>
      <c r="Y75" s="18"/>
      <c r="Z75" s="2"/>
      <c r="AA75" s="7">
        <f t="shared" ref="AA75:AA106" si="10">+G75*SUM(I75:N75)</f>
        <v>0</v>
      </c>
      <c r="AB75" s="8" t="s">
        <v>151</v>
      </c>
      <c r="AC75" s="8">
        <v>200</v>
      </c>
      <c r="AD75" s="8" t="s">
        <v>152</v>
      </c>
      <c r="AE75" s="8">
        <f>+SUM(I75:N75)/AC75</f>
        <v>0</v>
      </c>
      <c r="AF75"/>
    </row>
    <row r="76" spans="1:32" x14ac:dyDescent="0.25">
      <c r="A76" s="2">
        <v>66</v>
      </c>
      <c r="B76" s="2" t="s">
        <v>24</v>
      </c>
      <c r="C76" s="2" t="s">
        <v>129</v>
      </c>
      <c r="D76" s="2" t="s">
        <v>90</v>
      </c>
      <c r="E76" s="13">
        <v>0.875</v>
      </c>
      <c r="F76" s="2">
        <v>4.4999999999999998E-2</v>
      </c>
      <c r="G76" s="3"/>
      <c r="H76" s="3"/>
      <c r="I76" s="2">
        <v>0</v>
      </c>
      <c r="J76" s="2">
        <f>VLOOKUP(D76,'SEMANA 36'!D71:O214,12,0)</f>
        <v>0</v>
      </c>
      <c r="K76" s="2"/>
      <c r="L76" s="2"/>
      <c r="M76" s="2"/>
      <c r="N76" s="2"/>
      <c r="O76" s="8">
        <f t="shared" si="9"/>
        <v>0</v>
      </c>
      <c r="P76" s="2"/>
      <c r="Q76" s="2"/>
      <c r="R76" s="18"/>
      <c r="S76" s="2"/>
      <c r="T76" s="18"/>
      <c r="U76" s="18"/>
      <c r="V76" s="18"/>
      <c r="W76" s="18"/>
      <c r="X76" s="2"/>
      <c r="Y76" s="18"/>
      <c r="Z76" s="2"/>
      <c r="AA76" s="7">
        <f t="shared" si="10"/>
        <v>0</v>
      </c>
      <c r="AB76" s="8" t="s">
        <v>151</v>
      </c>
      <c r="AC76" s="8">
        <v>500</v>
      </c>
      <c r="AD76" s="8" t="s">
        <v>152</v>
      </c>
      <c r="AE76" s="8">
        <f>+SUM(I76:N76)/AC76</f>
        <v>0</v>
      </c>
      <c r="AF76"/>
    </row>
    <row r="77" spans="1:32" x14ac:dyDescent="0.25">
      <c r="A77" s="2">
        <v>67</v>
      </c>
      <c r="B77" s="2" t="s">
        <v>24</v>
      </c>
      <c r="C77" s="2" t="s">
        <v>129</v>
      </c>
      <c r="D77" s="2" t="s">
        <v>91</v>
      </c>
      <c r="E77" s="13">
        <v>0.875</v>
      </c>
      <c r="F77" s="2">
        <v>4.4999999999999998E-2</v>
      </c>
      <c r="G77" s="3"/>
      <c r="H77" s="3"/>
      <c r="I77" s="2">
        <v>0</v>
      </c>
      <c r="J77" s="2">
        <f>VLOOKUP(D77,'SEMANA 36'!D72:O215,12,0)</f>
        <v>0</v>
      </c>
      <c r="K77" s="2"/>
      <c r="L77" s="2"/>
      <c r="M77" s="2"/>
      <c r="N77" s="2"/>
      <c r="O77" s="8">
        <f t="shared" si="9"/>
        <v>0</v>
      </c>
      <c r="P77" s="2"/>
      <c r="Q77" s="2"/>
      <c r="R77" s="18"/>
      <c r="S77" s="2"/>
      <c r="T77" s="18"/>
      <c r="U77" s="18"/>
      <c r="V77" s="18"/>
      <c r="W77" s="18"/>
      <c r="X77" s="2"/>
      <c r="Y77" s="18"/>
      <c r="Z77" s="2"/>
      <c r="AA77" s="7">
        <f t="shared" si="10"/>
        <v>0</v>
      </c>
      <c r="AB77" s="8" t="s">
        <v>151</v>
      </c>
      <c r="AC77" s="8">
        <v>200</v>
      </c>
      <c r="AD77" s="8" t="s">
        <v>152</v>
      </c>
      <c r="AE77" s="8">
        <f>+SUM(I77:N77)/AC77</f>
        <v>0</v>
      </c>
      <c r="AF77"/>
    </row>
    <row r="78" spans="1:32" x14ac:dyDescent="0.25">
      <c r="A78" s="2">
        <v>68</v>
      </c>
      <c r="B78" s="2" t="s">
        <v>24</v>
      </c>
      <c r="C78" s="2" t="s">
        <v>129</v>
      </c>
      <c r="D78" s="2" t="s">
        <v>92</v>
      </c>
      <c r="E78" s="13">
        <v>0.875</v>
      </c>
      <c r="F78" s="2">
        <v>4.4999999999999998E-2</v>
      </c>
      <c r="G78" s="3"/>
      <c r="H78" s="3"/>
      <c r="I78" s="2">
        <v>0</v>
      </c>
      <c r="J78" s="2">
        <f>VLOOKUP(D78,'SEMANA 36'!D73:O216,12,0)</f>
        <v>0</v>
      </c>
      <c r="K78" s="2"/>
      <c r="L78" s="2"/>
      <c r="M78" s="2"/>
      <c r="N78" s="2"/>
      <c r="O78" s="8">
        <f t="shared" si="9"/>
        <v>0</v>
      </c>
      <c r="P78" s="2"/>
      <c r="Q78" s="2"/>
      <c r="R78" s="18"/>
      <c r="S78" s="2"/>
      <c r="T78" s="18"/>
      <c r="U78" s="18"/>
      <c r="V78" s="18"/>
      <c r="W78" s="18"/>
      <c r="X78" s="2"/>
      <c r="Y78" s="18"/>
      <c r="Z78" s="2"/>
      <c r="AA78" s="7">
        <f t="shared" si="10"/>
        <v>0</v>
      </c>
      <c r="AB78" s="8">
        <v>0</v>
      </c>
      <c r="AC78" s="8">
        <v>0</v>
      </c>
      <c r="AD78" s="8" t="s">
        <v>152</v>
      </c>
      <c r="AE78" s="8">
        <v>0</v>
      </c>
      <c r="AF78"/>
    </row>
    <row r="79" spans="1:32" x14ac:dyDescent="0.25">
      <c r="A79" s="2">
        <v>69</v>
      </c>
      <c r="B79" s="2" t="s">
        <v>24</v>
      </c>
      <c r="C79" s="2" t="s">
        <v>129</v>
      </c>
      <c r="D79" s="2" t="s">
        <v>93</v>
      </c>
      <c r="E79" s="13">
        <v>0.875</v>
      </c>
      <c r="F79" s="2">
        <v>4.4999999999999998E-2</v>
      </c>
      <c r="G79" s="3"/>
      <c r="H79" s="3"/>
      <c r="I79" s="2">
        <v>0</v>
      </c>
      <c r="J79" s="2">
        <f>VLOOKUP(D79,'SEMANA 36'!D74:O217,12,0)</f>
        <v>0</v>
      </c>
      <c r="K79" s="2"/>
      <c r="L79" s="2"/>
      <c r="M79" s="2"/>
      <c r="N79" s="2"/>
      <c r="O79" s="8">
        <f t="shared" si="9"/>
        <v>0</v>
      </c>
      <c r="P79" s="2"/>
      <c r="Q79" s="2"/>
      <c r="R79" s="18"/>
      <c r="S79" s="2"/>
      <c r="T79" s="18"/>
      <c r="U79" s="18"/>
      <c r="V79" s="18"/>
      <c r="W79" s="18"/>
      <c r="X79" s="2"/>
      <c r="Y79" s="18"/>
      <c r="Z79" s="2"/>
      <c r="AA79" s="7">
        <f t="shared" si="10"/>
        <v>0</v>
      </c>
      <c r="AB79" s="8">
        <v>0</v>
      </c>
      <c r="AC79" s="8">
        <v>0</v>
      </c>
      <c r="AD79" s="8" t="s">
        <v>152</v>
      </c>
      <c r="AE79" s="8">
        <v>0</v>
      </c>
      <c r="AF79"/>
    </row>
    <row r="80" spans="1:32" x14ac:dyDescent="0.25">
      <c r="A80" s="2">
        <v>70</v>
      </c>
      <c r="B80" s="2" t="s">
        <v>24</v>
      </c>
      <c r="C80" s="2" t="s">
        <v>129</v>
      </c>
      <c r="D80" s="2" t="s">
        <v>94</v>
      </c>
      <c r="E80" s="13">
        <v>0.875</v>
      </c>
      <c r="F80" s="2">
        <v>4.4999999999999998E-2</v>
      </c>
      <c r="G80" s="3"/>
      <c r="H80" s="3"/>
      <c r="I80" s="2">
        <v>0</v>
      </c>
      <c r="J80" s="2">
        <f>VLOOKUP(D80,'SEMANA 36'!D75:O218,12,0)</f>
        <v>100</v>
      </c>
      <c r="K80" s="2"/>
      <c r="L80" s="2"/>
      <c r="M80" s="2"/>
      <c r="N80" s="2"/>
      <c r="O80" s="8">
        <f t="shared" si="9"/>
        <v>0</v>
      </c>
      <c r="P80" s="2"/>
      <c r="Q80" s="2"/>
      <c r="R80" s="18"/>
      <c r="S80" s="2"/>
      <c r="T80" s="18"/>
      <c r="U80" s="18"/>
      <c r="V80" s="18"/>
      <c r="W80" s="18"/>
      <c r="X80" s="2"/>
      <c r="Y80" s="18"/>
      <c r="Z80" s="2">
        <v>100</v>
      </c>
      <c r="AA80" s="7">
        <f t="shared" si="10"/>
        <v>0</v>
      </c>
      <c r="AB80" s="8">
        <v>0</v>
      </c>
      <c r="AC80" s="8">
        <v>0</v>
      </c>
      <c r="AD80" s="8" t="s">
        <v>152</v>
      </c>
      <c r="AE80" s="8">
        <v>0</v>
      </c>
      <c r="AF80"/>
    </row>
    <row r="81" spans="1:32" x14ac:dyDescent="0.25">
      <c r="A81" s="2">
        <v>71</v>
      </c>
      <c r="B81" s="2" t="s">
        <v>24</v>
      </c>
      <c r="C81" s="2" t="s">
        <v>129</v>
      </c>
      <c r="D81" s="2" t="s">
        <v>95</v>
      </c>
      <c r="E81" s="13">
        <v>0.875</v>
      </c>
      <c r="F81" s="2">
        <v>4.4999999999999998E-2</v>
      </c>
      <c r="G81" s="3"/>
      <c r="H81" s="3"/>
      <c r="I81" s="2">
        <v>0</v>
      </c>
      <c r="J81" s="2">
        <f>VLOOKUP(D81,'SEMANA 36'!D76:O219,12,0)</f>
        <v>0</v>
      </c>
      <c r="K81" s="2"/>
      <c r="L81" s="2"/>
      <c r="M81" s="2"/>
      <c r="N81" s="2"/>
      <c r="O81" s="8">
        <f t="shared" si="9"/>
        <v>0</v>
      </c>
      <c r="P81" s="2"/>
      <c r="Q81" s="2"/>
      <c r="R81" s="18"/>
      <c r="S81" s="2"/>
      <c r="T81" s="18"/>
      <c r="U81" s="18"/>
      <c r="V81" s="18"/>
      <c r="W81" s="18"/>
      <c r="X81" s="2"/>
      <c r="Y81" s="18"/>
      <c r="Z81" s="2"/>
      <c r="AA81" s="7">
        <f t="shared" si="10"/>
        <v>0</v>
      </c>
      <c r="AB81" s="8">
        <v>0</v>
      </c>
      <c r="AC81" s="8">
        <v>0</v>
      </c>
      <c r="AD81" s="8" t="s">
        <v>152</v>
      </c>
      <c r="AE81" s="8">
        <v>0</v>
      </c>
      <c r="AF81"/>
    </row>
    <row r="82" spans="1:32" x14ac:dyDescent="0.25">
      <c r="A82" s="2">
        <v>72</v>
      </c>
      <c r="B82" s="2" t="s">
        <v>24</v>
      </c>
      <c r="C82" s="2" t="s">
        <v>129</v>
      </c>
      <c r="D82" s="2" t="s">
        <v>96</v>
      </c>
      <c r="E82" s="13">
        <v>0.875</v>
      </c>
      <c r="F82" s="2">
        <v>4.4999999999999998E-2</v>
      </c>
      <c r="G82" s="3"/>
      <c r="H82" s="3"/>
      <c r="I82" s="2">
        <v>0</v>
      </c>
      <c r="J82" s="2">
        <f>VLOOKUP(D82,'SEMANA 36'!D77:O220,12,0)</f>
        <v>0</v>
      </c>
      <c r="K82" s="2"/>
      <c r="L82" s="2"/>
      <c r="M82" s="2"/>
      <c r="N82" s="2"/>
      <c r="O82" s="8">
        <f t="shared" si="9"/>
        <v>0</v>
      </c>
      <c r="P82" s="2"/>
      <c r="Q82" s="2"/>
      <c r="R82" s="18"/>
      <c r="S82" s="2"/>
      <c r="T82" s="18"/>
      <c r="U82" s="18"/>
      <c r="V82" s="18"/>
      <c r="W82" s="18"/>
      <c r="X82" s="2"/>
      <c r="Y82" s="18"/>
      <c r="Z82" s="2"/>
      <c r="AA82" s="7">
        <f t="shared" si="10"/>
        <v>0</v>
      </c>
      <c r="AB82" s="8">
        <v>0</v>
      </c>
      <c r="AC82" s="8">
        <v>0</v>
      </c>
      <c r="AD82" s="8" t="s">
        <v>152</v>
      </c>
      <c r="AE82" s="8">
        <v>0</v>
      </c>
      <c r="AF82"/>
    </row>
    <row r="83" spans="1:32" x14ac:dyDescent="0.25">
      <c r="A83" s="2">
        <v>73</v>
      </c>
      <c r="B83" s="2" t="s">
        <v>24</v>
      </c>
      <c r="C83" s="2" t="s">
        <v>129</v>
      </c>
      <c r="D83" s="2" t="s">
        <v>97</v>
      </c>
      <c r="E83" s="13">
        <v>0.875</v>
      </c>
      <c r="F83" s="2">
        <v>4.4999999999999998E-2</v>
      </c>
      <c r="G83" s="3"/>
      <c r="H83" s="3"/>
      <c r="I83" s="2">
        <v>0</v>
      </c>
      <c r="J83" s="2">
        <f>VLOOKUP(D83,'SEMANA 36'!D78:O221,12,0)</f>
        <v>0</v>
      </c>
      <c r="K83" s="2"/>
      <c r="L83" s="2"/>
      <c r="M83" s="2"/>
      <c r="N83" s="2"/>
      <c r="O83" s="8">
        <f t="shared" si="9"/>
        <v>0</v>
      </c>
      <c r="P83" s="2"/>
      <c r="Q83" s="2"/>
      <c r="R83" s="18"/>
      <c r="S83" s="2"/>
      <c r="T83" s="18"/>
      <c r="U83" s="18"/>
      <c r="V83" s="18"/>
      <c r="W83" s="18"/>
      <c r="X83" s="2"/>
      <c r="Y83" s="18"/>
      <c r="Z83" s="2"/>
      <c r="AA83" s="7">
        <f t="shared" si="10"/>
        <v>0</v>
      </c>
      <c r="AB83" s="8">
        <v>0</v>
      </c>
      <c r="AC83" s="8">
        <v>0</v>
      </c>
      <c r="AD83" s="8" t="s">
        <v>152</v>
      </c>
      <c r="AE83" s="8">
        <v>0</v>
      </c>
      <c r="AF83"/>
    </row>
    <row r="84" spans="1:32" x14ac:dyDescent="0.25">
      <c r="A84" s="2">
        <v>74</v>
      </c>
      <c r="B84" s="2" t="s">
        <v>24</v>
      </c>
      <c r="C84" s="2" t="s">
        <v>129</v>
      </c>
      <c r="D84" s="2" t="s">
        <v>98</v>
      </c>
      <c r="E84" s="13">
        <v>0.875</v>
      </c>
      <c r="F84" s="2">
        <v>4.4999999999999998E-2</v>
      </c>
      <c r="G84" s="3"/>
      <c r="H84" s="3"/>
      <c r="I84" s="2">
        <v>0</v>
      </c>
      <c r="J84" s="2">
        <f>VLOOKUP(D84,'SEMANA 36'!D79:O222,12,0)</f>
        <v>0</v>
      </c>
      <c r="K84" s="2"/>
      <c r="L84" s="2"/>
      <c r="M84" s="2"/>
      <c r="N84" s="2"/>
      <c r="O84" s="8">
        <f t="shared" si="9"/>
        <v>0</v>
      </c>
      <c r="P84" s="2"/>
      <c r="Q84" s="2"/>
      <c r="R84" s="18"/>
      <c r="S84" s="2"/>
      <c r="T84" s="18"/>
      <c r="U84" s="18"/>
      <c r="V84" s="18"/>
      <c r="W84" s="18"/>
      <c r="X84" s="2"/>
      <c r="Y84" s="18"/>
      <c r="Z84" s="2"/>
      <c r="AA84" s="7">
        <f t="shared" si="10"/>
        <v>0</v>
      </c>
      <c r="AB84" s="8">
        <v>0</v>
      </c>
      <c r="AC84" s="8">
        <v>0</v>
      </c>
      <c r="AD84" s="8" t="s">
        <v>152</v>
      </c>
      <c r="AE84" s="8">
        <v>0</v>
      </c>
      <c r="AF84"/>
    </row>
    <row r="85" spans="1:32" x14ac:dyDescent="0.25">
      <c r="A85" s="2">
        <v>75</v>
      </c>
      <c r="B85" s="2" t="s">
        <v>24</v>
      </c>
      <c r="C85" s="2" t="s">
        <v>129</v>
      </c>
      <c r="D85" s="2" t="s">
        <v>99</v>
      </c>
      <c r="E85" s="13">
        <v>0.875</v>
      </c>
      <c r="F85" s="2">
        <v>4.4999999999999998E-2</v>
      </c>
      <c r="G85" s="3"/>
      <c r="H85" s="3"/>
      <c r="I85" s="2">
        <v>0</v>
      </c>
      <c r="J85" s="2">
        <f>VLOOKUP(D85,'SEMANA 36'!D80:O223,12,0)</f>
        <v>0</v>
      </c>
      <c r="K85" s="2"/>
      <c r="L85" s="2"/>
      <c r="M85" s="2"/>
      <c r="N85" s="2"/>
      <c r="O85" s="8">
        <f t="shared" si="9"/>
        <v>0</v>
      </c>
      <c r="P85" s="2"/>
      <c r="Q85" s="2"/>
      <c r="R85" s="18"/>
      <c r="S85" s="2"/>
      <c r="T85" s="18"/>
      <c r="U85" s="18"/>
      <c r="V85" s="18"/>
      <c r="W85" s="18"/>
      <c r="X85" s="2"/>
      <c r="Y85" s="18"/>
      <c r="Z85" s="2"/>
      <c r="AA85" s="7">
        <f t="shared" si="10"/>
        <v>0</v>
      </c>
      <c r="AB85" s="8">
        <v>0</v>
      </c>
      <c r="AC85" s="8">
        <v>0</v>
      </c>
      <c r="AD85" s="8" t="s">
        <v>152</v>
      </c>
      <c r="AE85" s="8">
        <v>0</v>
      </c>
      <c r="AF85"/>
    </row>
    <row r="86" spans="1:32" x14ac:dyDescent="0.25">
      <c r="A86" s="2">
        <v>76</v>
      </c>
      <c r="B86" s="2" t="s">
        <v>24</v>
      </c>
      <c r="C86" s="2" t="s">
        <v>129</v>
      </c>
      <c r="D86" s="2" t="s">
        <v>100</v>
      </c>
      <c r="E86" s="13">
        <v>0.875</v>
      </c>
      <c r="F86" s="2">
        <v>4.4999999999999998E-2</v>
      </c>
      <c r="G86" s="3"/>
      <c r="H86" s="3"/>
      <c r="I86" s="2">
        <v>0</v>
      </c>
      <c r="J86" s="2">
        <f>VLOOKUP(D86,'SEMANA 36'!D81:O224,12,0)</f>
        <v>0</v>
      </c>
      <c r="K86" s="2"/>
      <c r="L86" s="2"/>
      <c r="M86" s="2"/>
      <c r="N86" s="2"/>
      <c r="O86" s="8">
        <f t="shared" si="9"/>
        <v>0</v>
      </c>
      <c r="P86" s="2"/>
      <c r="Q86" s="2"/>
      <c r="R86" s="18"/>
      <c r="S86" s="2"/>
      <c r="T86" s="18"/>
      <c r="U86" s="18"/>
      <c r="V86" s="18"/>
      <c r="W86" s="18"/>
      <c r="X86" s="2"/>
      <c r="Y86" s="18"/>
      <c r="Z86" s="2"/>
      <c r="AA86" s="7">
        <f t="shared" si="10"/>
        <v>0</v>
      </c>
      <c r="AB86" s="8">
        <v>0</v>
      </c>
      <c r="AC86" s="8">
        <v>0</v>
      </c>
      <c r="AD86" s="8" t="s">
        <v>152</v>
      </c>
      <c r="AE86" s="8">
        <v>0</v>
      </c>
      <c r="AF86"/>
    </row>
    <row r="87" spans="1:32" x14ac:dyDescent="0.25">
      <c r="A87" s="2">
        <v>77</v>
      </c>
      <c r="B87" s="2" t="s">
        <v>24</v>
      </c>
      <c r="C87" s="2" t="s">
        <v>129</v>
      </c>
      <c r="D87" s="2" t="s">
        <v>101</v>
      </c>
      <c r="E87" s="13">
        <v>0.875</v>
      </c>
      <c r="F87" s="2">
        <v>4.4999999999999998E-2</v>
      </c>
      <c r="G87" s="3"/>
      <c r="H87" s="3"/>
      <c r="I87" s="2">
        <v>0</v>
      </c>
      <c r="J87" s="2">
        <f>VLOOKUP(D87,'SEMANA 36'!D82:O225,12,0)</f>
        <v>0</v>
      </c>
      <c r="K87" s="2"/>
      <c r="L87" s="2"/>
      <c r="M87" s="2"/>
      <c r="N87" s="2"/>
      <c r="O87" s="8">
        <f t="shared" si="9"/>
        <v>0</v>
      </c>
      <c r="P87" s="2"/>
      <c r="Q87" s="2"/>
      <c r="R87" s="18"/>
      <c r="S87" s="2"/>
      <c r="T87" s="18"/>
      <c r="U87" s="18"/>
      <c r="V87" s="18"/>
      <c r="W87" s="18"/>
      <c r="X87" s="2"/>
      <c r="Y87" s="18"/>
      <c r="Z87" s="2"/>
      <c r="AA87" s="7">
        <f t="shared" si="10"/>
        <v>0</v>
      </c>
      <c r="AB87" s="8">
        <v>0</v>
      </c>
      <c r="AC87" s="8">
        <v>0</v>
      </c>
      <c r="AD87" s="8" t="s">
        <v>152</v>
      </c>
      <c r="AE87" s="8">
        <v>0</v>
      </c>
      <c r="AF87"/>
    </row>
    <row r="88" spans="1:32" x14ac:dyDescent="0.25">
      <c r="A88" s="2">
        <v>78</v>
      </c>
      <c r="B88" s="2" t="s">
        <v>24</v>
      </c>
      <c r="C88" s="2" t="s">
        <v>129</v>
      </c>
      <c r="D88" s="2" t="s">
        <v>102</v>
      </c>
      <c r="E88" s="13">
        <v>0.875</v>
      </c>
      <c r="F88" s="2">
        <v>4.4999999999999998E-2</v>
      </c>
      <c r="G88" s="3"/>
      <c r="H88" s="3"/>
      <c r="I88" s="2">
        <v>0</v>
      </c>
      <c r="J88" s="2">
        <f>VLOOKUP(D88,'SEMANA 36'!D83:O226,12,0)</f>
        <v>0</v>
      </c>
      <c r="K88" s="2"/>
      <c r="L88" s="2"/>
      <c r="M88" s="2"/>
      <c r="N88" s="2"/>
      <c r="O88" s="8">
        <f t="shared" si="9"/>
        <v>0</v>
      </c>
      <c r="P88" s="2"/>
      <c r="Q88" s="2"/>
      <c r="R88" s="18"/>
      <c r="S88" s="2"/>
      <c r="T88" s="18"/>
      <c r="U88" s="18"/>
      <c r="V88" s="18"/>
      <c r="W88" s="18"/>
      <c r="X88" s="2"/>
      <c r="Y88" s="18"/>
      <c r="Z88" s="2"/>
      <c r="AA88" s="7">
        <f t="shared" si="10"/>
        <v>0</v>
      </c>
      <c r="AB88" s="8">
        <v>0</v>
      </c>
      <c r="AC88" s="8">
        <v>0</v>
      </c>
      <c r="AD88" s="8" t="s">
        <v>152</v>
      </c>
      <c r="AE88" s="8">
        <v>0</v>
      </c>
      <c r="AF88"/>
    </row>
    <row r="89" spans="1:32" x14ac:dyDescent="0.25">
      <c r="A89" s="2">
        <v>79</v>
      </c>
      <c r="B89" s="2" t="s">
        <v>128</v>
      </c>
      <c r="C89" s="2" t="s">
        <v>129</v>
      </c>
      <c r="D89" s="2" t="s">
        <v>103</v>
      </c>
      <c r="E89" s="13">
        <v>0.25</v>
      </c>
      <c r="F89" s="2"/>
      <c r="G89" s="3"/>
      <c r="H89" s="3"/>
      <c r="I89" s="2">
        <v>0</v>
      </c>
      <c r="J89" s="2">
        <f>VLOOKUP(D89,'SEMANA 36'!D84:O227,12,0)</f>
        <v>-1262</v>
      </c>
      <c r="K89" s="2"/>
      <c r="L89" s="2"/>
      <c r="M89" s="2"/>
      <c r="N89" s="2"/>
      <c r="O89" s="8">
        <f t="shared" si="9"/>
        <v>-1262</v>
      </c>
      <c r="P89" s="2"/>
      <c r="Q89" s="2"/>
      <c r="R89" s="18"/>
      <c r="S89" s="2"/>
      <c r="T89" s="2"/>
      <c r="U89" s="18"/>
      <c r="V89" s="18"/>
      <c r="W89" s="18"/>
      <c r="X89" s="2"/>
      <c r="Y89" s="18"/>
      <c r="Z89" s="2"/>
      <c r="AA89" s="7">
        <f t="shared" si="10"/>
        <v>0</v>
      </c>
      <c r="AB89" s="8" t="s">
        <v>146</v>
      </c>
      <c r="AC89" s="8">
        <v>200</v>
      </c>
      <c r="AD89" s="8" t="s">
        <v>153</v>
      </c>
      <c r="AE89" s="8">
        <f>+SUM(I89:N89)/AC89</f>
        <v>-6.31</v>
      </c>
      <c r="AF89"/>
    </row>
    <row r="90" spans="1:32" x14ac:dyDescent="0.25">
      <c r="A90" s="2">
        <v>80</v>
      </c>
      <c r="B90" s="2" t="s">
        <v>128</v>
      </c>
      <c r="C90" s="2" t="s">
        <v>129</v>
      </c>
      <c r="D90" s="2" t="s">
        <v>104</v>
      </c>
      <c r="E90" s="13">
        <v>0.25</v>
      </c>
      <c r="F90" s="2"/>
      <c r="G90" s="3"/>
      <c r="H90" s="3"/>
      <c r="I90" s="2">
        <v>0</v>
      </c>
      <c r="J90" s="2">
        <f>VLOOKUP(D90,'SEMANA 36'!D85:O228,12,0)</f>
        <v>-1300</v>
      </c>
      <c r="K90" s="2"/>
      <c r="L90" s="2"/>
      <c r="M90" s="2"/>
      <c r="N90" s="2"/>
      <c r="O90" s="8">
        <f t="shared" si="9"/>
        <v>-1300</v>
      </c>
      <c r="P90" s="2"/>
      <c r="Q90" s="2"/>
      <c r="R90" s="18"/>
      <c r="S90" s="2"/>
      <c r="T90" s="18"/>
      <c r="U90" s="18"/>
      <c r="V90" s="18"/>
      <c r="W90" s="18"/>
      <c r="X90" s="2"/>
      <c r="Y90" s="18"/>
      <c r="Z90" s="2"/>
      <c r="AA90" s="7">
        <f t="shared" si="10"/>
        <v>0</v>
      </c>
      <c r="AB90" s="8" t="s">
        <v>146</v>
      </c>
      <c r="AC90" s="8">
        <v>200</v>
      </c>
      <c r="AD90" s="8" t="s">
        <v>153</v>
      </c>
      <c r="AE90" s="8">
        <f>+SUM(I90:N90)/AC90</f>
        <v>-6.5</v>
      </c>
      <c r="AF90"/>
    </row>
    <row r="91" spans="1:32" x14ac:dyDescent="0.25">
      <c r="A91" s="2">
        <v>81</v>
      </c>
      <c r="B91" s="2" t="s">
        <v>128</v>
      </c>
      <c r="C91" s="2" t="s">
        <v>129</v>
      </c>
      <c r="D91" s="2" t="s">
        <v>105</v>
      </c>
      <c r="E91" s="13">
        <v>0.25</v>
      </c>
      <c r="F91" s="2"/>
      <c r="G91" s="3"/>
      <c r="H91" s="3"/>
      <c r="I91" s="2">
        <v>0</v>
      </c>
      <c r="J91" s="2">
        <f>VLOOKUP(D91,'SEMANA 36'!D86:O229,12,0)</f>
        <v>0</v>
      </c>
      <c r="K91" s="2"/>
      <c r="L91" s="2"/>
      <c r="M91" s="2"/>
      <c r="N91" s="2"/>
      <c r="O91" s="8">
        <f t="shared" si="9"/>
        <v>0</v>
      </c>
      <c r="P91" s="2"/>
      <c r="Q91" s="2"/>
      <c r="R91" s="18"/>
      <c r="S91" s="2"/>
      <c r="T91" s="2"/>
      <c r="U91" s="18"/>
      <c r="V91" s="18"/>
      <c r="W91" s="18"/>
      <c r="X91" s="2"/>
      <c r="Y91" s="18"/>
      <c r="Z91" s="2"/>
      <c r="AA91" s="7">
        <f t="shared" si="10"/>
        <v>0</v>
      </c>
      <c r="AB91" s="8" t="s">
        <v>146</v>
      </c>
      <c r="AC91" s="8">
        <v>200</v>
      </c>
      <c r="AD91" s="8" t="s">
        <v>153</v>
      </c>
      <c r="AE91" s="8">
        <f>+SUM(I91:N91)/AC91</f>
        <v>0</v>
      </c>
      <c r="AF91"/>
    </row>
    <row r="92" spans="1:32" x14ac:dyDescent="0.25">
      <c r="A92" s="2">
        <v>82</v>
      </c>
      <c r="B92" s="2" t="s">
        <v>128</v>
      </c>
      <c r="C92" s="2" t="s">
        <v>129</v>
      </c>
      <c r="D92" s="2" t="s">
        <v>106</v>
      </c>
      <c r="E92" s="13">
        <v>0.375</v>
      </c>
      <c r="F92" s="2"/>
      <c r="G92" s="3"/>
      <c r="H92" s="3"/>
      <c r="I92" s="2">
        <v>0</v>
      </c>
      <c r="J92" s="2">
        <f>VLOOKUP(D92,'SEMANA 36'!D87:O230,12,0)</f>
        <v>0</v>
      </c>
      <c r="K92" s="2"/>
      <c r="L92" s="2"/>
      <c r="M92" s="2"/>
      <c r="N92" s="2"/>
      <c r="O92" s="8">
        <f t="shared" si="9"/>
        <v>0</v>
      </c>
      <c r="P92" s="2"/>
      <c r="Q92" s="2"/>
      <c r="R92" s="18"/>
      <c r="S92" s="2"/>
      <c r="T92" s="18"/>
      <c r="U92" s="18"/>
      <c r="V92" s="18"/>
      <c r="W92" s="18"/>
      <c r="X92" s="2"/>
      <c r="Y92" s="18"/>
      <c r="Z92" s="2"/>
      <c r="AA92" s="7">
        <f t="shared" si="10"/>
        <v>0</v>
      </c>
      <c r="AB92" s="8">
        <v>0</v>
      </c>
      <c r="AC92" s="8">
        <v>0</v>
      </c>
      <c r="AD92" s="8" t="s">
        <v>153</v>
      </c>
      <c r="AE92" s="8">
        <v>0</v>
      </c>
      <c r="AF92"/>
    </row>
    <row r="93" spans="1:32" x14ac:dyDescent="0.25">
      <c r="A93" s="2">
        <v>83</v>
      </c>
      <c r="B93" s="2" t="s">
        <v>128</v>
      </c>
      <c r="C93" s="2" t="s">
        <v>129</v>
      </c>
      <c r="D93" s="2" t="s">
        <v>107</v>
      </c>
      <c r="E93" s="13">
        <v>0.375</v>
      </c>
      <c r="F93" s="2"/>
      <c r="G93" s="3"/>
      <c r="H93" s="3"/>
      <c r="I93" s="2">
        <v>0</v>
      </c>
      <c r="J93" s="2">
        <f>VLOOKUP(D93,'SEMANA 36'!D88:O231,12,0)</f>
        <v>0</v>
      </c>
      <c r="K93" s="2"/>
      <c r="L93" s="2"/>
      <c r="M93" s="2"/>
      <c r="N93" s="2"/>
      <c r="O93" s="8">
        <f t="shared" si="9"/>
        <v>0</v>
      </c>
      <c r="P93" s="2"/>
      <c r="Q93" s="2"/>
      <c r="R93" s="18"/>
      <c r="S93" s="2"/>
      <c r="T93" s="18"/>
      <c r="U93" s="18"/>
      <c r="V93" s="18"/>
      <c r="W93" s="18"/>
      <c r="X93" s="2"/>
      <c r="Y93" s="18"/>
      <c r="Z93" s="2"/>
      <c r="AA93" s="7">
        <f t="shared" si="10"/>
        <v>0</v>
      </c>
      <c r="AB93" s="8">
        <v>0</v>
      </c>
      <c r="AC93" s="8">
        <v>0</v>
      </c>
      <c r="AD93" s="8" t="s">
        <v>153</v>
      </c>
      <c r="AE93" s="8">
        <v>0</v>
      </c>
      <c r="AF93"/>
    </row>
    <row r="94" spans="1:32" x14ac:dyDescent="0.25">
      <c r="A94" s="2">
        <v>84</v>
      </c>
      <c r="B94" s="2" t="s">
        <v>128</v>
      </c>
      <c r="C94" s="2" t="s">
        <v>129</v>
      </c>
      <c r="D94" s="2" t="s">
        <v>108</v>
      </c>
      <c r="E94" s="13">
        <v>0.375</v>
      </c>
      <c r="F94" s="2"/>
      <c r="G94" s="3"/>
      <c r="H94" s="3"/>
      <c r="I94" s="2">
        <v>0</v>
      </c>
      <c r="J94" s="2">
        <f>VLOOKUP(D94,'SEMANA 36'!D89:O232,12,0)</f>
        <v>0</v>
      </c>
      <c r="K94" s="2"/>
      <c r="L94" s="2"/>
      <c r="M94" s="2"/>
      <c r="N94" s="2"/>
      <c r="O94" s="8">
        <f t="shared" si="9"/>
        <v>0</v>
      </c>
      <c r="P94" s="2"/>
      <c r="Q94" s="2"/>
      <c r="R94" s="18"/>
      <c r="S94" s="2"/>
      <c r="T94" s="18"/>
      <c r="U94" s="18"/>
      <c r="V94" s="18"/>
      <c r="W94" s="18"/>
      <c r="X94" s="2"/>
      <c r="Y94" s="18"/>
      <c r="Z94" s="2"/>
      <c r="AA94" s="7">
        <f t="shared" si="10"/>
        <v>0</v>
      </c>
      <c r="AB94" s="8">
        <v>0</v>
      </c>
      <c r="AC94" s="8">
        <v>0</v>
      </c>
      <c r="AD94" s="8" t="s">
        <v>153</v>
      </c>
      <c r="AE94" s="8">
        <v>0</v>
      </c>
      <c r="AF94"/>
    </row>
    <row r="95" spans="1:32" x14ac:dyDescent="0.25">
      <c r="A95" s="2">
        <v>85</v>
      </c>
      <c r="B95" s="2" t="s">
        <v>128</v>
      </c>
      <c r="C95" s="2" t="s">
        <v>129</v>
      </c>
      <c r="D95" s="2" t="s">
        <v>109</v>
      </c>
      <c r="E95" s="13">
        <v>0.375</v>
      </c>
      <c r="F95" s="2"/>
      <c r="G95" s="3"/>
      <c r="H95" s="3"/>
      <c r="I95" s="2">
        <v>0</v>
      </c>
      <c r="J95" s="2">
        <f>VLOOKUP(D95,'SEMANA 36'!D90:O233,12,0)</f>
        <v>0</v>
      </c>
      <c r="K95" s="2"/>
      <c r="L95" s="2"/>
      <c r="M95" s="2"/>
      <c r="N95" s="2"/>
      <c r="O95" s="8">
        <f t="shared" si="9"/>
        <v>0</v>
      </c>
      <c r="P95" s="2"/>
      <c r="Q95" s="2"/>
      <c r="R95" s="18"/>
      <c r="S95" s="2"/>
      <c r="T95" s="18"/>
      <c r="U95" s="18"/>
      <c r="V95" s="18"/>
      <c r="W95" s="18"/>
      <c r="X95" s="2"/>
      <c r="Y95" s="18"/>
      <c r="Z95" s="2"/>
      <c r="AA95" s="7">
        <f t="shared" si="10"/>
        <v>0</v>
      </c>
      <c r="AB95" s="8">
        <v>0</v>
      </c>
      <c r="AC95" s="8">
        <v>0</v>
      </c>
      <c r="AD95" s="8" t="s">
        <v>153</v>
      </c>
      <c r="AE95" s="8">
        <v>0</v>
      </c>
      <c r="AF95"/>
    </row>
    <row r="96" spans="1:32" x14ac:dyDescent="0.25">
      <c r="A96" s="2">
        <v>86</v>
      </c>
      <c r="B96" s="2" t="s">
        <v>128</v>
      </c>
      <c r="C96" s="2" t="s">
        <v>129</v>
      </c>
      <c r="D96" s="2" t="s">
        <v>110</v>
      </c>
      <c r="E96" s="13">
        <v>0.5</v>
      </c>
      <c r="F96" s="2"/>
      <c r="G96" s="3"/>
      <c r="H96" s="3"/>
      <c r="I96" s="2">
        <v>0</v>
      </c>
      <c r="J96" s="2">
        <f>VLOOKUP(D96,'SEMANA 36'!D91:O234,12,0)</f>
        <v>0</v>
      </c>
      <c r="K96" s="2"/>
      <c r="L96" s="2"/>
      <c r="M96" s="2"/>
      <c r="N96" s="2"/>
      <c r="O96" s="8">
        <f t="shared" si="9"/>
        <v>0</v>
      </c>
      <c r="P96" s="2"/>
      <c r="Q96" s="2"/>
      <c r="R96" s="18"/>
      <c r="S96" s="2"/>
      <c r="T96" s="18"/>
      <c r="U96" s="18"/>
      <c r="V96" s="18"/>
      <c r="W96" s="18"/>
      <c r="X96" s="2"/>
      <c r="Y96" s="18"/>
      <c r="Z96" s="2"/>
      <c r="AA96" s="7">
        <f t="shared" si="10"/>
        <v>0</v>
      </c>
      <c r="AB96" s="8" t="s">
        <v>147</v>
      </c>
      <c r="AC96" s="8">
        <v>100</v>
      </c>
      <c r="AD96" s="8" t="s">
        <v>153</v>
      </c>
      <c r="AE96" s="8">
        <f t="shared" ref="AE96:AE127" si="11">+SUM(I96:N96)/AC96</f>
        <v>0</v>
      </c>
      <c r="AF96"/>
    </row>
    <row r="97" spans="1:32" x14ac:dyDescent="0.25">
      <c r="A97" s="2">
        <v>87</v>
      </c>
      <c r="B97" s="2" t="s">
        <v>128</v>
      </c>
      <c r="C97" s="2" t="s">
        <v>129</v>
      </c>
      <c r="D97" s="2" t="s">
        <v>111</v>
      </c>
      <c r="E97" s="13">
        <v>0.5</v>
      </c>
      <c r="F97" s="2"/>
      <c r="G97" s="3"/>
      <c r="H97" s="3"/>
      <c r="I97" s="2">
        <v>0</v>
      </c>
      <c r="J97" s="2">
        <f>VLOOKUP(D97,'SEMANA 36'!D92:O235,12,0)</f>
        <v>0</v>
      </c>
      <c r="K97" s="2"/>
      <c r="L97" s="2"/>
      <c r="M97" s="2"/>
      <c r="N97" s="2"/>
      <c r="O97" s="8">
        <f t="shared" si="9"/>
        <v>0</v>
      </c>
      <c r="P97" s="2"/>
      <c r="Q97" s="2"/>
      <c r="R97" s="18"/>
      <c r="S97" s="2"/>
      <c r="T97" s="18"/>
      <c r="U97" s="18"/>
      <c r="V97" s="18"/>
      <c r="W97" s="18"/>
      <c r="X97" s="2"/>
      <c r="Y97" s="18"/>
      <c r="Z97" s="2"/>
      <c r="AA97" s="7">
        <f t="shared" si="10"/>
        <v>0</v>
      </c>
      <c r="AB97" s="8" t="s">
        <v>147</v>
      </c>
      <c r="AC97" s="8">
        <v>200</v>
      </c>
      <c r="AD97" s="8" t="s">
        <v>153</v>
      </c>
      <c r="AE97" s="8">
        <f t="shared" si="11"/>
        <v>0</v>
      </c>
      <c r="AF97"/>
    </row>
    <row r="98" spans="1:32" x14ac:dyDescent="0.25">
      <c r="A98" s="2">
        <v>88</v>
      </c>
      <c r="B98" s="2" t="s">
        <v>128</v>
      </c>
      <c r="C98" s="2" t="s">
        <v>129</v>
      </c>
      <c r="D98" s="2" t="s">
        <v>112</v>
      </c>
      <c r="E98" s="13">
        <v>0.5</v>
      </c>
      <c r="F98" s="2"/>
      <c r="G98" s="3"/>
      <c r="H98" s="3"/>
      <c r="I98" s="2">
        <v>0</v>
      </c>
      <c r="J98" s="2">
        <f>VLOOKUP(D98,'SEMANA 36'!D93:O236,12,0)</f>
        <v>0</v>
      </c>
      <c r="K98" s="2"/>
      <c r="L98" s="2"/>
      <c r="M98" s="2"/>
      <c r="N98" s="2"/>
      <c r="O98" s="8">
        <f t="shared" si="9"/>
        <v>0</v>
      </c>
      <c r="P98" s="2"/>
      <c r="Q98" s="2"/>
      <c r="R98" s="18"/>
      <c r="S98" s="2"/>
      <c r="T98" s="2"/>
      <c r="U98" s="18"/>
      <c r="V98" s="18"/>
      <c r="W98" s="18"/>
      <c r="X98" s="2"/>
      <c r="Y98" s="18"/>
      <c r="Z98" s="2"/>
      <c r="AA98" s="7">
        <f t="shared" si="10"/>
        <v>0</v>
      </c>
      <c r="AB98" s="8" t="s">
        <v>147</v>
      </c>
      <c r="AC98" s="8">
        <v>200</v>
      </c>
      <c r="AD98" s="8" t="s">
        <v>153</v>
      </c>
      <c r="AE98" s="8">
        <f t="shared" si="11"/>
        <v>0</v>
      </c>
      <c r="AF98"/>
    </row>
    <row r="99" spans="1:32" x14ac:dyDescent="0.25">
      <c r="A99" s="2">
        <v>89</v>
      </c>
      <c r="B99" s="2" t="s">
        <v>128</v>
      </c>
      <c r="C99" s="2" t="s">
        <v>129</v>
      </c>
      <c r="D99" s="2" t="s">
        <v>113</v>
      </c>
      <c r="E99" s="13">
        <v>0.5</v>
      </c>
      <c r="F99" s="2"/>
      <c r="G99" s="3"/>
      <c r="H99" s="3"/>
      <c r="I99" s="2">
        <v>0</v>
      </c>
      <c r="J99" s="2">
        <f>VLOOKUP(D99,'SEMANA 36'!D94:O237,12,0)</f>
        <v>0</v>
      </c>
      <c r="K99" s="2"/>
      <c r="L99" s="2"/>
      <c r="M99" s="2"/>
      <c r="N99" s="2"/>
      <c r="O99" s="8">
        <f t="shared" si="9"/>
        <v>0</v>
      </c>
      <c r="P99" s="2"/>
      <c r="Q99" s="2"/>
      <c r="R99" s="18"/>
      <c r="S99" s="2"/>
      <c r="T99" s="18"/>
      <c r="U99" s="18"/>
      <c r="V99" s="18"/>
      <c r="W99" s="18"/>
      <c r="X99" s="2"/>
      <c r="Y99" s="18"/>
      <c r="Z99" s="2"/>
      <c r="AA99" s="7">
        <f t="shared" si="10"/>
        <v>0</v>
      </c>
      <c r="AB99" s="8" t="s">
        <v>147</v>
      </c>
      <c r="AC99" s="8">
        <v>200</v>
      </c>
      <c r="AD99" s="8" t="s">
        <v>153</v>
      </c>
      <c r="AE99" s="8">
        <f t="shared" si="11"/>
        <v>0</v>
      </c>
      <c r="AF99"/>
    </row>
    <row r="100" spans="1:32" x14ac:dyDescent="0.25">
      <c r="A100" s="2">
        <v>90</v>
      </c>
      <c r="B100" s="2" t="s">
        <v>128</v>
      </c>
      <c r="C100" s="2" t="s">
        <v>129</v>
      </c>
      <c r="D100" s="2" t="s">
        <v>114</v>
      </c>
      <c r="E100" s="13">
        <v>0.5</v>
      </c>
      <c r="F100" s="2"/>
      <c r="G100" s="3"/>
      <c r="H100" s="3"/>
      <c r="I100" s="2">
        <v>0</v>
      </c>
      <c r="J100" s="2">
        <f>VLOOKUP(D100,'SEMANA 36'!D95:O238,12,0)</f>
        <v>0</v>
      </c>
      <c r="K100" s="2"/>
      <c r="L100" s="2"/>
      <c r="M100" s="2"/>
      <c r="N100" s="2"/>
      <c r="O100" s="8">
        <f t="shared" si="9"/>
        <v>0</v>
      </c>
      <c r="P100" s="2"/>
      <c r="Q100" s="2"/>
      <c r="R100" s="18"/>
      <c r="S100" s="2"/>
      <c r="T100" s="2"/>
      <c r="U100" s="18"/>
      <c r="V100" s="18"/>
      <c r="W100" s="18"/>
      <c r="X100" s="2"/>
      <c r="Y100" s="18"/>
      <c r="Z100" s="2"/>
      <c r="AA100" s="7">
        <f t="shared" si="10"/>
        <v>0</v>
      </c>
      <c r="AB100" s="8" t="s">
        <v>147</v>
      </c>
      <c r="AC100" s="8">
        <v>200</v>
      </c>
      <c r="AD100" s="8" t="s">
        <v>153</v>
      </c>
      <c r="AE100" s="8">
        <f t="shared" si="11"/>
        <v>0</v>
      </c>
      <c r="AF100"/>
    </row>
    <row r="101" spans="1:32" x14ac:dyDescent="0.25">
      <c r="A101" s="2">
        <v>91</v>
      </c>
      <c r="B101" s="2" t="s">
        <v>128</v>
      </c>
      <c r="C101" s="2" t="s">
        <v>129</v>
      </c>
      <c r="D101" s="2" t="s">
        <v>115</v>
      </c>
      <c r="E101" s="13">
        <v>0.5</v>
      </c>
      <c r="F101" s="2"/>
      <c r="G101" s="3"/>
      <c r="H101" s="3"/>
      <c r="I101" s="2">
        <v>0</v>
      </c>
      <c r="J101" s="2">
        <f>VLOOKUP(D101,'SEMANA 36'!D96:O239,12,0)</f>
        <v>-40</v>
      </c>
      <c r="K101" s="2"/>
      <c r="L101" s="2"/>
      <c r="M101" s="2"/>
      <c r="N101" s="2"/>
      <c r="O101" s="8">
        <f t="shared" si="9"/>
        <v>-40</v>
      </c>
      <c r="P101" s="2"/>
      <c r="Q101" s="2"/>
      <c r="R101" s="18"/>
      <c r="S101" s="2"/>
      <c r="T101" s="2"/>
      <c r="U101" s="18"/>
      <c r="V101" s="18"/>
      <c r="W101" s="18"/>
      <c r="X101" s="2"/>
      <c r="Y101" s="18"/>
      <c r="Z101" s="2"/>
      <c r="AA101" s="7">
        <f t="shared" si="10"/>
        <v>0</v>
      </c>
      <c r="AB101" s="8" t="s">
        <v>147</v>
      </c>
      <c r="AC101" s="8">
        <v>200</v>
      </c>
      <c r="AD101" s="8" t="s">
        <v>153</v>
      </c>
      <c r="AE101" s="8">
        <f t="shared" si="11"/>
        <v>-0.2</v>
      </c>
      <c r="AF101"/>
    </row>
    <row r="102" spans="1:32" x14ac:dyDescent="0.25">
      <c r="A102" s="2">
        <v>92</v>
      </c>
      <c r="B102" s="2" t="s">
        <v>128</v>
      </c>
      <c r="C102" s="2" t="s">
        <v>129</v>
      </c>
      <c r="D102" s="2" t="s">
        <v>116</v>
      </c>
      <c r="E102" s="13">
        <v>0.5</v>
      </c>
      <c r="F102" s="2"/>
      <c r="G102" s="3"/>
      <c r="H102" s="3"/>
      <c r="I102" s="2">
        <v>0</v>
      </c>
      <c r="J102" s="2">
        <f>VLOOKUP(D102,'SEMANA 36'!D97:O240,12,0)</f>
        <v>0</v>
      </c>
      <c r="K102" s="2"/>
      <c r="L102" s="2"/>
      <c r="M102" s="2"/>
      <c r="N102" s="2"/>
      <c r="O102" s="8">
        <f t="shared" si="9"/>
        <v>0</v>
      </c>
      <c r="P102" s="2"/>
      <c r="Q102" s="2"/>
      <c r="R102" s="18"/>
      <c r="S102" s="2"/>
      <c r="T102" s="2"/>
      <c r="U102" s="18"/>
      <c r="V102" s="18"/>
      <c r="W102" s="18"/>
      <c r="X102" s="2"/>
      <c r="Y102" s="18"/>
      <c r="Z102" s="2"/>
      <c r="AA102" s="7">
        <f t="shared" si="10"/>
        <v>0</v>
      </c>
      <c r="AB102" s="8" t="s">
        <v>147</v>
      </c>
      <c r="AC102" s="8">
        <v>200</v>
      </c>
      <c r="AD102" s="8" t="s">
        <v>153</v>
      </c>
      <c r="AE102" s="8">
        <f t="shared" si="11"/>
        <v>0</v>
      </c>
      <c r="AF102"/>
    </row>
    <row r="103" spans="1:32" x14ac:dyDescent="0.25">
      <c r="A103" s="2">
        <v>93</v>
      </c>
      <c r="B103" s="2" t="s">
        <v>128</v>
      </c>
      <c r="C103" s="2" t="s">
        <v>129</v>
      </c>
      <c r="D103" s="2" t="s">
        <v>117</v>
      </c>
      <c r="E103" s="13">
        <v>0.625</v>
      </c>
      <c r="F103" s="2"/>
      <c r="G103" s="3"/>
      <c r="H103" s="3"/>
      <c r="I103" s="2">
        <v>0</v>
      </c>
      <c r="J103" s="2">
        <f>VLOOKUP(D103,'SEMANA 36'!D98:O241,12,0)</f>
        <v>0</v>
      </c>
      <c r="K103" s="2"/>
      <c r="L103" s="2"/>
      <c r="M103" s="2"/>
      <c r="N103" s="2"/>
      <c r="O103" s="8">
        <f t="shared" si="9"/>
        <v>0</v>
      </c>
      <c r="P103" s="2"/>
      <c r="Q103" s="2"/>
      <c r="R103" s="18"/>
      <c r="S103" s="2"/>
      <c r="T103" s="18"/>
      <c r="U103" s="18"/>
      <c r="V103" s="18"/>
      <c r="W103" s="18"/>
      <c r="X103" s="2"/>
      <c r="Y103" s="18"/>
      <c r="Z103" s="2"/>
      <c r="AA103" s="7">
        <f t="shared" si="10"/>
        <v>0</v>
      </c>
      <c r="AB103" s="8" t="s">
        <v>147</v>
      </c>
      <c r="AC103" s="8">
        <v>150</v>
      </c>
      <c r="AD103" s="8" t="s">
        <v>153</v>
      </c>
      <c r="AE103" s="8">
        <f t="shared" si="11"/>
        <v>0</v>
      </c>
    </row>
    <row r="104" spans="1:32" x14ac:dyDescent="0.25">
      <c r="A104" s="2">
        <v>94</v>
      </c>
      <c r="B104" s="2" t="s">
        <v>128</v>
      </c>
      <c r="C104" s="2" t="s">
        <v>129</v>
      </c>
      <c r="D104" s="2" t="s">
        <v>118</v>
      </c>
      <c r="E104" s="13">
        <v>0.625</v>
      </c>
      <c r="F104" s="2"/>
      <c r="G104" s="3"/>
      <c r="H104" s="3"/>
      <c r="I104" s="2">
        <v>0</v>
      </c>
      <c r="J104" s="2">
        <f>VLOOKUP(D104,'SEMANA 36'!D99:O242,12,0)</f>
        <v>0</v>
      </c>
      <c r="K104" s="2"/>
      <c r="L104" s="2"/>
      <c r="M104" s="2"/>
      <c r="N104" s="2"/>
      <c r="O104" s="8">
        <f t="shared" si="9"/>
        <v>0</v>
      </c>
      <c r="P104" s="2"/>
      <c r="Q104" s="2"/>
      <c r="R104" s="18"/>
      <c r="S104" s="18"/>
      <c r="T104" s="18"/>
      <c r="U104" s="18"/>
      <c r="V104" s="18"/>
      <c r="W104" s="18"/>
      <c r="X104" s="2"/>
      <c r="Y104" s="18"/>
      <c r="Z104" s="2"/>
      <c r="AA104" s="7">
        <f t="shared" si="10"/>
        <v>0</v>
      </c>
      <c r="AB104" s="8" t="s">
        <v>147</v>
      </c>
      <c r="AC104" s="8">
        <v>150</v>
      </c>
      <c r="AD104" s="8" t="s">
        <v>153</v>
      </c>
      <c r="AE104" s="8">
        <f t="shared" si="11"/>
        <v>0</v>
      </c>
    </row>
    <row r="105" spans="1:32" x14ac:dyDescent="0.25">
      <c r="A105" s="2">
        <v>95</v>
      </c>
      <c r="B105" s="2" t="s">
        <v>128</v>
      </c>
      <c r="C105" s="2" t="s">
        <v>129</v>
      </c>
      <c r="D105" s="2" t="s">
        <v>119</v>
      </c>
      <c r="E105" s="13">
        <v>0.625</v>
      </c>
      <c r="F105" s="2"/>
      <c r="G105" s="3"/>
      <c r="H105" s="3"/>
      <c r="I105" s="2">
        <v>0</v>
      </c>
      <c r="J105" s="2">
        <f>VLOOKUP(D105,'SEMANA 36'!D100:O243,12,0)</f>
        <v>0</v>
      </c>
      <c r="K105" s="2"/>
      <c r="L105" s="2"/>
      <c r="M105" s="2"/>
      <c r="N105" s="2"/>
      <c r="O105" s="8">
        <f t="shared" si="9"/>
        <v>0</v>
      </c>
      <c r="P105" s="2"/>
      <c r="Q105" s="2"/>
      <c r="R105" s="18"/>
      <c r="S105" s="18"/>
      <c r="T105" s="2"/>
      <c r="U105" s="18"/>
      <c r="V105" s="18"/>
      <c r="W105" s="18"/>
      <c r="X105" s="2"/>
      <c r="Y105" s="18"/>
      <c r="Z105" s="2"/>
      <c r="AA105" s="7">
        <f t="shared" si="10"/>
        <v>0</v>
      </c>
      <c r="AB105" s="8" t="s">
        <v>147</v>
      </c>
      <c r="AC105" s="8">
        <v>150</v>
      </c>
      <c r="AD105" s="8" t="s">
        <v>153</v>
      </c>
      <c r="AE105" s="8">
        <f t="shared" si="11"/>
        <v>0</v>
      </c>
    </row>
    <row r="106" spans="1:32" x14ac:dyDescent="0.25">
      <c r="A106" s="2">
        <v>96</v>
      </c>
      <c r="B106" s="2" t="s">
        <v>128</v>
      </c>
      <c r="C106" s="2" t="s">
        <v>129</v>
      </c>
      <c r="D106" s="2" t="s">
        <v>120</v>
      </c>
      <c r="E106" s="13">
        <v>0.625</v>
      </c>
      <c r="F106" s="2"/>
      <c r="G106" s="3"/>
      <c r="H106" s="3"/>
      <c r="I106" s="2">
        <v>0</v>
      </c>
      <c r="J106" s="2">
        <f>VLOOKUP(D106,'SEMANA 36'!D101:O244,12,0)</f>
        <v>0</v>
      </c>
      <c r="K106" s="2"/>
      <c r="L106" s="2"/>
      <c r="M106" s="2"/>
      <c r="N106" s="2"/>
      <c r="O106" s="8">
        <f t="shared" si="9"/>
        <v>0</v>
      </c>
      <c r="P106" s="2"/>
      <c r="Q106" s="2"/>
      <c r="R106" s="18"/>
      <c r="S106" s="18"/>
      <c r="T106" s="2"/>
      <c r="U106" s="18"/>
      <c r="V106" s="18"/>
      <c r="W106" s="18"/>
      <c r="X106" s="2"/>
      <c r="Y106" s="18"/>
      <c r="Z106" s="2"/>
      <c r="AA106" s="7">
        <f t="shared" si="10"/>
        <v>0</v>
      </c>
      <c r="AB106" s="8" t="s">
        <v>147</v>
      </c>
      <c r="AC106" s="8">
        <v>150</v>
      </c>
      <c r="AD106" s="8" t="s">
        <v>153</v>
      </c>
      <c r="AE106" s="8">
        <f t="shared" si="11"/>
        <v>0</v>
      </c>
    </row>
    <row r="107" spans="1:32" x14ac:dyDescent="0.25">
      <c r="A107" s="2">
        <v>97</v>
      </c>
      <c r="B107" s="2" t="s">
        <v>128</v>
      </c>
      <c r="C107" s="2" t="s">
        <v>129</v>
      </c>
      <c r="D107" s="2" t="s">
        <v>121</v>
      </c>
      <c r="E107" s="13">
        <v>0.75</v>
      </c>
      <c r="F107" s="2"/>
      <c r="G107" s="3"/>
      <c r="H107" s="3"/>
      <c r="I107" s="2">
        <v>0</v>
      </c>
      <c r="J107" s="2">
        <f>VLOOKUP(D107,'SEMANA 36'!D102:O245,12,0)</f>
        <v>0</v>
      </c>
      <c r="K107" s="2"/>
      <c r="L107" s="2"/>
      <c r="M107" s="2"/>
      <c r="N107" s="2"/>
      <c r="O107" s="8">
        <f t="shared" si="9"/>
        <v>-90</v>
      </c>
      <c r="P107" s="2"/>
      <c r="Q107" s="2"/>
      <c r="R107" s="18">
        <v>90</v>
      </c>
      <c r="S107" s="18"/>
      <c r="T107" s="2"/>
      <c r="U107" s="18"/>
      <c r="V107" s="18"/>
      <c r="W107" s="18"/>
      <c r="X107" s="2"/>
      <c r="Y107" s="18"/>
      <c r="Z107" s="2"/>
      <c r="AA107" s="7">
        <f t="shared" ref="AA107:AA138" si="12">+G107*SUM(I107:N107)</f>
        <v>0</v>
      </c>
      <c r="AB107" s="8" t="s">
        <v>147</v>
      </c>
      <c r="AC107" s="8">
        <v>80</v>
      </c>
      <c r="AD107" s="8" t="s">
        <v>153</v>
      </c>
      <c r="AE107" s="8">
        <f t="shared" si="11"/>
        <v>0</v>
      </c>
    </row>
    <row r="108" spans="1:32" x14ac:dyDescent="0.25">
      <c r="A108" s="2">
        <v>98</v>
      </c>
      <c r="B108" s="2" t="s">
        <v>128</v>
      </c>
      <c r="C108" s="2" t="s">
        <v>129</v>
      </c>
      <c r="D108" s="2" t="s">
        <v>122</v>
      </c>
      <c r="E108" s="13">
        <v>0.75</v>
      </c>
      <c r="F108" s="2"/>
      <c r="G108" s="3"/>
      <c r="H108" s="3"/>
      <c r="I108" s="2">
        <v>0</v>
      </c>
      <c r="J108" s="2">
        <f>VLOOKUP(D108,'SEMANA 36'!D103:O246,12,0)</f>
        <v>0</v>
      </c>
      <c r="K108" s="2"/>
      <c r="L108" s="2"/>
      <c r="M108" s="2"/>
      <c r="N108" s="2"/>
      <c r="O108" s="8">
        <f t="shared" si="9"/>
        <v>0</v>
      </c>
      <c r="P108" s="2"/>
      <c r="Q108" s="2"/>
      <c r="R108" s="18"/>
      <c r="S108" s="18"/>
      <c r="T108" s="2"/>
      <c r="U108" s="18"/>
      <c r="V108" s="18"/>
      <c r="W108" s="18"/>
      <c r="X108" s="2"/>
      <c r="Y108" s="18"/>
      <c r="Z108" s="2"/>
      <c r="AA108" s="7">
        <f t="shared" si="12"/>
        <v>0</v>
      </c>
      <c r="AB108" s="8" t="s">
        <v>147</v>
      </c>
      <c r="AC108" s="8">
        <v>80</v>
      </c>
      <c r="AD108" s="8" t="s">
        <v>153</v>
      </c>
      <c r="AE108" s="8">
        <f t="shared" si="11"/>
        <v>0</v>
      </c>
    </row>
    <row r="109" spans="1:32" x14ac:dyDescent="0.25">
      <c r="A109" s="2">
        <v>99</v>
      </c>
      <c r="B109" s="2" t="s">
        <v>128</v>
      </c>
      <c r="C109" s="2" t="s">
        <v>129</v>
      </c>
      <c r="D109" s="2" t="s">
        <v>123</v>
      </c>
      <c r="E109" s="13">
        <v>0.75</v>
      </c>
      <c r="F109" s="2"/>
      <c r="G109" s="3"/>
      <c r="H109" s="3"/>
      <c r="I109" s="2">
        <v>0</v>
      </c>
      <c r="J109" s="2">
        <f>VLOOKUP(D109,'SEMANA 36'!D104:O247,12,0)</f>
        <v>0</v>
      </c>
      <c r="K109" s="2"/>
      <c r="L109" s="2"/>
      <c r="M109" s="2"/>
      <c r="N109" s="2"/>
      <c r="O109" s="8">
        <f t="shared" si="9"/>
        <v>0</v>
      </c>
      <c r="P109" s="2"/>
      <c r="Q109" s="2"/>
      <c r="R109" s="18"/>
      <c r="S109" s="18"/>
      <c r="T109" s="2"/>
      <c r="U109" s="18"/>
      <c r="V109" s="18"/>
      <c r="W109" s="18"/>
      <c r="X109" s="2"/>
      <c r="Y109" s="18"/>
      <c r="Z109" s="2"/>
      <c r="AA109" s="7">
        <f t="shared" si="12"/>
        <v>0</v>
      </c>
      <c r="AB109" s="8" t="s">
        <v>147</v>
      </c>
      <c r="AC109" s="8">
        <v>80</v>
      </c>
      <c r="AD109" s="8" t="s">
        <v>153</v>
      </c>
      <c r="AE109" s="8">
        <f t="shared" si="11"/>
        <v>0</v>
      </c>
    </row>
    <row r="110" spans="1:32" x14ac:dyDescent="0.25">
      <c r="A110" s="2">
        <v>100</v>
      </c>
      <c r="B110" s="2" t="s">
        <v>128</v>
      </c>
      <c r="C110" s="2" t="s">
        <v>129</v>
      </c>
      <c r="D110" s="2" t="s">
        <v>124</v>
      </c>
      <c r="E110" s="13">
        <v>0.75</v>
      </c>
      <c r="F110" s="2"/>
      <c r="G110" s="3"/>
      <c r="H110" s="3"/>
      <c r="I110" s="2">
        <v>0</v>
      </c>
      <c r="J110" s="2">
        <f>VLOOKUP(D110,'SEMANA 36'!D105:O248,12,0)</f>
        <v>0</v>
      </c>
      <c r="K110" s="2"/>
      <c r="L110" s="2"/>
      <c r="M110" s="2"/>
      <c r="N110" s="2"/>
      <c r="O110" s="8">
        <f t="shared" si="9"/>
        <v>0</v>
      </c>
      <c r="P110" s="2"/>
      <c r="Q110" s="2"/>
      <c r="R110" s="18"/>
      <c r="S110" s="18"/>
      <c r="T110" s="2"/>
      <c r="U110" s="18"/>
      <c r="V110" s="18"/>
      <c r="W110" s="18"/>
      <c r="X110" s="2"/>
      <c r="Y110" s="18"/>
      <c r="Z110" s="2"/>
      <c r="AA110" s="7">
        <f t="shared" si="12"/>
        <v>0</v>
      </c>
      <c r="AB110" s="8" t="s">
        <v>147</v>
      </c>
      <c r="AC110" s="8">
        <v>80</v>
      </c>
      <c r="AD110" s="8" t="s">
        <v>153</v>
      </c>
      <c r="AE110" s="8">
        <f t="shared" si="11"/>
        <v>0</v>
      </c>
    </row>
    <row r="111" spans="1:32" x14ac:dyDescent="0.25">
      <c r="A111" s="2">
        <v>101</v>
      </c>
      <c r="B111" s="2" t="s">
        <v>128</v>
      </c>
      <c r="C111" s="2" t="s">
        <v>129</v>
      </c>
      <c r="D111" s="2" t="s">
        <v>125</v>
      </c>
      <c r="E111" s="13">
        <v>0.875</v>
      </c>
      <c r="F111" s="2"/>
      <c r="G111" s="3"/>
      <c r="H111" s="3"/>
      <c r="I111" s="2">
        <v>0</v>
      </c>
      <c r="J111" s="2">
        <f>VLOOKUP(D111,'SEMANA 36'!D106:O249,12,0)</f>
        <v>0</v>
      </c>
      <c r="K111" s="2"/>
      <c r="L111" s="2"/>
      <c r="M111" s="2"/>
      <c r="N111" s="2"/>
      <c r="O111" s="8">
        <f t="shared" si="9"/>
        <v>0</v>
      </c>
      <c r="P111" s="2"/>
      <c r="Q111" s="2"/>
      <c r="R111" s="18"/>
      <c r="S111" s="18"/>
      <c r="T111" s="18"/>
      <c r="U111" s="18"/>
      <c r="V111" s="18"/>
      <c r="W111" s="18"/>
      <c r="X111" s="2"/>
      <c r="Y111" s="18"/>
      <c r="Z111" s="2"/>
      <c r="AA111" s="7">
        <f t="shared" si="12"/>
        <v>0</v>
      </c>
      <c r="AB111" s="8" t="s">
        <v>147</v>
      </c>
      <c r="AC111" s="8">
        <v>50</v>
      </c>
      <c r="AD111" s="8" t="s">
        <v>153</v>
      </c>
      <c r="AE111" s="8">
        <f t="shared" si="11"/>
        <v>0</v>
      </c>
    </row>
    <row r="112" spans="1:32" x14ac:dyDescent="0.25">
      <c r="A112" s="2">
        <v>102</v>
      </c>
      <c r="B112" s="2" t="s">
        <v>128</v>
      </c>
      <c r="C112" s="2" t="s">
        <v>129</v>
      </c>
      <c r="D112" s="2" t="s">
        <v>126</v>
      </c>
      <c r="E112" s="13">
        <v>0.875</v>
      </c>
      <c r="F112" s="2"/>
      <c r="G112" s="3"/>
      <c r="H112" s="3"/>
      <c r="I112" s="2">
        <v>0</v>
      </c>
      <c r="J112" s="2">
        <f>VLOOKUP(D112,'SEMANA 36'!D107:O250,12,0)</f>
        <v>0</v>
      </c>
      <c r="K112" s="2"/>
      <c r="L112" s="2"/>
      <c r="M112" s="2"/>
      <c r="N112" s="2"/>
      <c r="O112" s="8">
        <f t="shared" si="9"/>
        <v>0</v>
      </c>
      <c r="P112" s="2"/>
      <c r="Q112" s="2"/>
      <c r="R112" s="18"/>
      <c r="S112" s="18"/>
      <c r="T112" s="18"/>
      <c r="U112" s="18"/>
      <c r="V112" s="18"/>
      <c r="W112" s="18"/>
      <c r="X112" s="2"/>
      <c r="Y112" s="18"/>
      <c r="Z112" s="2"/>
      <c r="AA112" s="7">
        <f t="shared" si="12"/>
        <v>0</v>
      </c>
      <c r="AB112" s="8" t="s">
        <v>155</v>
      </c>
      <c r="AC112" s="8">
        <v>50</v>
      </c>
      <c r="AD112" s="8" t="s">
        <v>153</v>
      </c>
      <c r="AE112" s="8">
        <f t="shared" si="11"/>
        <v>0</v>
      </c>
    </row>
    <row r="113" spans="1:31" x14ac:dyDescent="0.25">
      <c r="A113" s="2">
        <v>103</v>
      </c>
      <c r="B113" s="2" t="s">
        <v>128</v>
      </c>
      <c r="C113" s="2" t="s">
        <v>129</v>
      </c>
      <c r="D113" s="2" t="s">
        <v>127</v>
      </c>
      <c r="E113" s="13">
        <v>0.875</v>
      </c>
      <c r="F113" s="2"/>
      <c r="G113" s="3"/>
      <c r="H113" s="3"/>
      <c r="I113" s="2">
        <v>0</v>
      </c>
      <c r="J113" s="2">
        <f>VLOOKUP(D113,'SEMANA 36'!D108:O251,12,0)</f>
        <v>0</v>
      </c>
      <c r="K113" s="2"/>
      <c r="L113" s="2"/>
      <c r="M113" s="2"/>
      <c r="N113" s="2"/>
      <c r="O113" s="8">
        <f t="shared" si="9"/>
        <v>0</v>
      </c>
      <c r="P113" s="2"/>
      <c r="Q113" s="2"/>
      <c r="R113" s="18"/>
      <c r="S113" s="18"/>
      <c r="T113" s="2"/>
      <c r="U113" s="18"/>
      <c r="V113" s="18"/>
      <c r="W113" s="18"/>
      <c r="X113" s="2"/>
      <c r="Y113" s="18"/>
      <c r="Z113" s="2"/>
      <c r="AA113" s="7">
        <f t="shared" si="12"/>
        <v>0</v>
      </c>
      <c r="AB113" s="8" t="s">
        <v>155</v>
      </c>
      <c r="AC113" s="8">
        <v>50</v>
      </c>
      <c r="AD113" s="8" t="s">
        <v>153</v>
      </c>
      <c r="AE113" s="8">
        <f t="shared" si="11"/>
        <v>0</v>
      </c>
    </row>
    <row r="114" spans="1:31" x14ac:dyDescent="0.25">
      <c r="A114" s="2">
        <v>104</v>
      </c>
      <c r="B114" s="2" t="s">
        <v>130</v>
      </c>
      <c r="C114" s="2" t="s">
        <v>0</v>
      </c>
      <c r="D114" s="2" t="s">
        <v>131</v>
      </c>
      <c r="E114" s="13">
        <v>0.375</v>
      </c>
      <c r="F114" s="2"/>
      <c r="G114" s="3"/>
      <c r="H114" s="3"/>
      <c r="I114" s="2">
        <v>0</v>
      </c>
      <c r="J114" s="2">
        <f>VLOOKUP(D114,'SEMANA 36'!D109:O252,12,0)</f>
        <v>0</v>
      </c>
      <c r="K114" s="2"/>
      <c r="L114" s="2"/>
      <c r="M114" s="2"/>
      <c r="N114" s="2"/>
      <c r="O114" s="8">
        <f t="shared" si="9"/>
        <v>0</v>
      </c>
      <c r="P114" s="2"/>
      <c r="Q114" s="2"/>
      <c r="R114" s="18"/>
      <c r="S114" s="18"/>
      <c r="T114" s="2"/>
      <c r="U114" s="18"/>
      <c r="V114" s="18"/>
      <c r="W114" s="18"/>
      <c r="X114" s="2"/>
      <c r="Y114" s="18"/>
      <c r="Z114" s="2"/>
      <c r="AA114" s="7">
        <f t="shared" si="12"/>
        <v>0</v>
      </c>
      <c r="AB114" s="8" t="s">
        <v>148</v>
      </c>
      <c r="AC114" s="8">
        <v>250</v>
      </c>
      <c r="AD114" s="8" t="s">
        <v>154</v>
      </c>
      <c r="AE114" s="8">
        <f t="shared" si="11"/>
        <v>0</v>
      </c>
    </row>
    <row r="115" spans="1:31" x14ac:dyDescent="0.25">
      <c r="A115" s="2">
        <v>105</v>
      </c>
      <c r="B115" s="2" t="s">
        <v>130</v>
      </c>
      <c r="C115" s="2" t="s">
        <v>0</v>
      </c>
      <c r="D115" s="2" t="s">
        <v>132</v>
      </c>
      <c r="E115" s="13">
        <v>0.375</v>
      </c>
      <c r="F115" s="2"/>
      <c r="G115" s="3"/>
      <c r="H115" s="3"/>
      <c r="I115" s="2">
        <v>0</v>
      </c>
      <c r="J115" s="2">
        <f>VLOOKUP(D115,'SEMANA 36'!D110:O253,12,0)</f>
        <v>0</v>
      </c>
      <c r="K115" s="2"/>
      <c r="L115" s="2"/>
      <c r="M115" s="2"/>
      <c r="N115" s="2"/>
      <c r="O115" s="8">
        <f t="shared" si="9"/>
        <v>0</v>
      </c>
      <c r="P115" s="2"/>
      <c r="Q115" s="2"/>
      <c r="R115" s="18"/>
      <c r="S115" s="18"/>
      <c r="T115" s="18"/>
      <c r="U115" s="18"/>
      <c r="V115" s="18"/>
      <c r="W115" s="18"/>
      <c r="X115" s="2"/>
      <c r="Y115" s="18"/>
      <c r="Z115" s="2"/>
      <c r="AA115" s="7">
        <f t="shared" si="12"/>
        <v>0</v>
      </c>
      <c r="AB115" s="8" t="s">
        <v>148</v>
      </c>
      <c r="AC115" s="8">
        <v>250</v>
      </c>
      <c r="AD115" s="8" t="s">
        <v>154</v>
      </c>
      <c r="AE115" s="8">
        <f t="shared" si="11"/>
        <v>0</v>
      </c>
    </row>
    <row r="116" spans="1:31" x14ac:dyDescent="0.25">
      <c r="A116" s="2">
        <v>106</v>
      </c>
      <c r="B116" s="2" t="s">
        <v>130</v>
      </c>
      <c r="C116" s="2" t="s">
        <v>0</v>
      </c>
      <c r="D116" s="2" t="s">
        <v>133</v>
      </c>
      <c r="E116" s="13">
        <v>0.375</v>
      </c>
      <c r="F116" s="2"/>
      <c r="G116" s="3"/>
      <c r="H116" s="3"/>
      <c r="I116" s="2">
        <v>0</v>
      </c>
      <c r="J116" s="2">
        <f>VLOOKUP(D116,'SEMANA 36'!D111:O254,12,0)</f>
        <v>0</v>
      </c>
      <c r="K116" s="2"/>
      <c r="L116" s="2"/>
      <c r="M116" s="2"/>
      <c r="N116" s="2"/>
      <c r="O116" s="8">
        <f t="shared" si="9"/>
        <v>0</v>
      </c>
      <c r="P116" s="2"/>
      <c r="Q116" s="2"/>
      <c r="R116" s="18"/>
      <c r="S116" s="18"/>
      <c r="T116" s="18"/>
      <c r="U116" s="18"/>
      <c r="V116" s="18"/>
      <c r="W116" s="18"/>
      <c r="X116" s="2"/>
      <c r="Y116" s="18"/>
      <c r="Z116" s="2"/>
      <c r="AA116" s="7">
        <f t="shared" si="12"/>
        <v>0</v>
      </c>
      <c r="AB116" s="8" t="s">
        <v>148</v>
      </c>
      <c r="AC116" s="8">
        <v>250</v>
      </c>
      <c r="AD116" s="8" t="s">
        <v>154</v>
      </c>
      <c r="AE116" s="8">
        <f t="shared" si="11"/>
        <v>0</v>
      </c>
    </row>
    <row r="117" spans="1:31" x14ac:dyDescent="0.25">
      <c r="A117" s="2">
        <v>107</v>
      </c>
      <c r="B117" s="2" t="s">
        <v>130</v>
      </c>
      <c r="C117" s="2" t="s">
        <v>0</v>
      </c>
      <c r="D117" s="2" t="s">
        <v>134</v>
      </c>
      <c r="E117" s="13">
        <v>0.75</v>
      </c>
      <c r="F117" s="2"/>
      <c r="G117" s="3"/>
      <c r="H117" s="3"/>
      <c r="I117" s="2">
        <v>0</v>
      </c>
      <c r="J117" s="2">
        <f>VLOOKUP(D117,'SEMANA 36'!D112:O255,12,0)</f>
        <v>0</v>
      </c>
      <c r="K117" s="2"/>
      <c r="L117" s="2"/>
      <c r="M117" s="2"/>
      <c r="N117" s="2"/>
      <c r="O117" s="8">
        <f t="shared" si="9"/>
        <v>0</v>
      </c>
      <c r="P117" s="2"/>
      <c r="Q117" s="2"/>
      <c r="R117" s="18"/>
      <c r="S117" s="18"/>
      <c r="T117" s="2"/>
      <c r="U117" s="18"/>
      <c r="V117" s="18"/>
      <c r="W117" s="18"/>
      <c r="X117" s="2"/>
      <c r="Y117" s="18"/>
      <c r="Z117" s="2"/>
      <c r="AA117" s="7">
        <f t="shared" si="12"/>
        <v>0</v>
      </c>
      <c r="AB117" s="8" t="s">
        <v>150</v>
      </c>
      <c r="AC117" s="8">
        <v>200</v>
      </c>
      <c r="AD117" s="8" t="s">
        <v>154</v>
      </c>
      <c r="AE117" s="8">
        <f t="shared" si="11"/>
        <v>0</v>
      </c>
    </row>
    <row r="118" spans="1:31" x14ac:dyDescent="0.25">
      <c r="A118" s="2">
        <v>108</v>
      </c>
      <c r="B118" s="2" t="s">
        <v>130</v>
      </c>
      <c r="C118" s="2" t="s">
        <v>0</v>
      </c>
      <c r="D118" s="2" t="s">
        <v>135</v>
      </c>
      <c r="E118" s="13">
        <v>0.75</v>
      </c>
      <c r="F118" s="2"/>
      <c r="G118" s="3"/>
      <c r="H118" s="3"/>
      <c r="I118" s="2">
        <v>0</v>
      </c>
      <c r="J118" s="2">
        <f>VLOOKUP(D118,'SEMANA 36'!D113:O256,12,0)</f>
        <v>0</v>
      </c>
      <c r="K118" s="2"/>
      <c r="L118" s="2"/>
      <c r="M118" s="2"/>
      <c r="N118" s="2"/>
      <c r="O118" s="8">
        <f t="shared" si="9"/>
        <v>0</v>
      </c>
      <c r="P118" s="2"/>
      <c r="Q118" s="2"/>
      <c r="R118" s="18"/>
      <c r="S118" s="18"/>
      <c r="T118" s="2"/>
      <c r="U118" s="18"/>
      <c r="V118" s="18"/>
      <c r="W118" s="18"/>
      <c r="X118" s="2"/>
      <c r="Y118" s="18"/>
      <c r="Z118" s="2"/>
      <c r="AA118" s="7">
        <f t="shared" si="12"/>
        <v>0</v>
      </c>
      <c r="AB118" s="8" t="s">
        <v>150</v>
      </c>
      <c r="AC118" s="8">
        <v>200</v>
      </c>
      <c r="AD118" s="8" t="s">
        <v>154</v>
      </c>
      <c r="AE118" s="8">
        <f t="shared" si="11"/>
        <v>0</v>
      </c>
    </row>
    <row r="119" spans="1:31" x14ac:dyDescent="0.25">
      <c r="A119" s="2">
        <v>109</v>
      </c>
      <c r="B119" s="2" t="s">
        <v>130</v>
      </c>
      <c r="C119" s="2" t="s">
        <v>0</v>
      </c>
      <c r="D119" s="2" t="s">
        <v>136</v>
      </c>
      <c r="E119" s="13">
        <v>0.75</v>
      </c>
      <c r="F119" s="2"/>
      <c r="G119" s="3"/>
      <c r="H119" s="3"/>
      <c r="I119" s="2">
        <v>0</v>
      </c>
      <c r="J119" s="2">
        <f>VLOOKUP(D119,'SEMANA 36'!D114:O257,12,0)</f>
        <v>0</v>
      </c>
      <c r="K119" s="2"/>
      <c r="L119" s="2"/>
      <c r="M119" s="2"/>
      <c r="N119" s="2"/>
      <c r="O119" s="8">
        <f t="shared" si="9"/>
        <v>-18</v>
      </c>
      <c r="P119" s="2"/>
      <c r="Q119" s="2"/>
      <c r="R119" s="18">
        <v>18</v>
      </c>
      <c r="S119" s="18"/>
      <c r="T119" s="2"/>
      <c r="U119" s="18"/>
      <c r="V119" s="18"/>
      <c r="W119" s="18"/>
      <c r="X119" s="2"/>
      <c r="Y119" s="18"/>
      <c r="Z119" s="2"/>
      <c r="AA119" s="7">
        <f t="shared" si="12"/>
        <v>0</v>
      </c>
      <c r="AB119" s="8" t="s">
        <v>150</v>
      </c>
      <c r="AC119" s="8">
        <v>200</v>
      </c>
      <c r="AD119" s="8" t="s">
        <v>154</v>
      </c>
      <c r="AE119" s="8">
        <f t="shared" si="11"/>
        <v>0</v>
      </c>
    </row>
    <row r="120" spans="1:31" x14ac:dyDescent="0.25">
      <c r="A120" s="2">
        <v>110</v>
      </c>
      <c r="B120" s="2" t="s">
        <v>130</v>
      </c>
      <c r="C120" s="2" t="s">
        <v>0</v>
      </c>
      <c r="D120" s="2" t="s">
        <v>137</v>
      </c>
      <c r="E120" s="13">
        <v>0.75</v>
      </c>
      <c r="F120" s="2"/>
      <c r="G120" s="3"/>
      <c r="H120" s="3"/>
      <c r="I120" s="2">
        <v>0</v>
      </c>
      <c r="J120" s="2">
        <f>VLOOKUP(D120,'SEMANA 36'!D115:O258,12,0)</f>
        <v>0</v>
      </c>
      <c r="K120" s="2"/>
      <c r="L120" s="2"/>
      <c r="M120" s="2"/>
      <c r="N120" s="2"/>
      <c r="O120" s="8">
        <f t="shared" si="9"/>
        <v>0</v>
      </c>
      <c r="P120" s="2"/>
      <c r="Q120" s="2"/>
      <c r="R120" s="18"/>
      <c r="S120" s="18"/>
      <c r="T120" s="2"/>
      <c r="U120" s="18"/>
      <c r="V120" s="18"/>
      <c r="W120" s="18"/>
      <c r="X120" s="2"/>
      <c r="Y120" s="18"/>
      <c r="Z120" s="2"/>
      <c r="AA120" s="7">
        <f t="shared" si="12"/>
        <v>0</v>
      </c>
      <c r="AB120" s="8" t="s">
        <v>150</v>
      </c>
      <c r="AC120" s="8">
        <v>200</v>
      </c>
      <c r="AD120" s="8" t="s">
        <v>154</v>
      </c>
      <c r="AE120" s="8">
        <f t="shared" si="11"/>
        <v>0</v>
      </c>
    </row>
    <row r="121" spans="1:31" x14ac:dyDescent="0.25">
      <c r="A121" s="2">
        <v>111</v>
      </c>
      <c r="B121" s="2" t="s">
        <v>130</v>
      </c>
      <c r="C121" s="2" t="s">
        <v>0</v>
      </c>
      <c r="D121" s="2" t="s">
        <v>138</v>
      </c>
      <c r="E121" s="13">
        <v>0.75</v>
      </c>
      <c r="F121" s="2"/>
      <c r="G121" s="3"/>
      <c r="H121" s="3"/>
      <c r="I121" s="2">
        <v>0</v>
      </c>
      <c r="J121" s="2">
        <f>VLOOKUP(D121,'SEMANA 36'!D116:O259,12,0)</f>
        <v>0</v>
      </c>
      <c r="K121" s="2"/>
      <c r="L121" s="2"/>
      <c r="M121" s="2"/>
      <c r="N121" s="2"/>
      <c r="O121" s="8">
        <f t="shared" si="9"/>
        <v>0</v>
      </c>
      <c r="P121" s="2"/>
      <c r="Q121" s="2"/>
      <c r="R121" s="18"/>
      <c r="S121" s="18"/>
      <c r="T121" s="2"/>
      <c r="U121" s="18"/>
      <c r="V121" s="18"/>
      <c r="W121" s="18"/>
      <c r="X121" s="2"/>
      <c r="Y121" s="18"/>
      <c r="Z121" s="2"/>
      <c r="AA121" s="7">
        <f t="shared" si="12"/>
        <v>0</v>
      </c>
      <c r="AB121" s="8" t="s">
        <v>150</v>
      </c>
      <c r="AC121" s="8">
        <v>200</v>
      </c>
      <c r="AD121" s="8" t="s">
        <v>154</v>
      </c>
      <c r="AE121" s="8">
        <f t="shared" si="11"/>
        <v>0</v>
      </c>
    </row>
    <row r="122" spans="1:31" x14ac:dyDescent="0.25">
      <c r="A122" s="2">
        <v>112</v>
      </c>
      <c r="B122" s="2" t="s">
        <v>130</v>
      </c>
      <c r="C122" s="2" t="s">
        <v>0</v>
      </c>
      <c r="D122" s="2" t="s">
        <v>139</v>
      </c>
      <c r="E122" s="13">
        <v>0.75</v>
      </c>
      <c r="F122" s="2"/>
      <c r="G122" s="3"/>
      <c r="H122" s="3"/>
      <c r="I122" s="2">
        <v>0</v>
      </c>
      <c r="J122" s="2">
        <f>VLOOKUP(D122,'SEMANA 36'!D117:O260,12,0)</f>
        <v>0</v>
      </c>
      <c r="K122" s="2"/>
      <c r="L122" s="2"/>
      <c r="M122" s="2"/>
      <c r="N122" s="2"/>
      <c r="O122" s="8">
        <f t="shared" si="9"/>
        <v>0</v>
      </c>
      <c r="P122" s="2"/>
      <c r="Q122" s="2"/>
      <c r="R122" s="18"/>
      <c r="S122" s="18"/>
      <c r="T122" s="2"/>
      <c r="U122" s="18"/>
      <c r="V122" s="18"/>
      <c r="W122" s="18"/>
      <c r="X122" s="2"/>
      <c r="Y122" s="18"/>
      <c r="Z122" s="2"/>
      <c r="AA122" s="7">
        <f t="shared" si="12"/>
        <v>0</v>
      </c>
      <c r="AB122" s="8" t="s">
        <v>150</v>
      </c>
      <c r="AC122" s="8">
        <v>200</v>
      </c>
      <c r="AD122" s="8" t="s">
        <v>154</v>
      </c>
      <c r="AE122" s="8">
        <f t="shared" si="11"/>
        <v>0</v>
      </c>
    </row>
    <row r="123" spans="1:31" x14ac:dyDescent="0.25">
      <c r="A123" s="2">
        <v>113</v>
      </c>
      <c r="B123" s="2" t="s">
        <v>130</v>
      </c>
      <c r="C123" s="2" t="s">
        <v>0</v>
      </c>
      <c r="D123" s="2" t="s">
        <v>140</v>
      </c>
      <c r="E123" s="13">
        <v>0.75</v>
      </c>
      <c r="F123" s="2"/>
      <c r="G123" s="3"/>
      <c r="H123" s="3"/>
      <c r="I123" s="2">
        <f>456+504+15</f>
        <v>975</v>
      </c>
      <c r="J123" s="2">
        <f>VLOOKUP(D123,'SEMANA 36'!D118:O261,12,0)</f>
        <v>245</v>
      </c>
      <c r="K123" s="2"/>
      <c r="L123" s="2"/>
      <c r="M123" s="2"/>
      <c r="N123" s="2"/>
      <c r="O123" s="8">
        <f t="shared" si="9"/>
        <v>0</v>
      </c>
      <c r="P123" s="2"/>
      <c r="Q123" s="2"/>
      <c r="R123" s="18">
        <v>192</v>
      </c>
      <c r="S123" s="18"/>
      <c r="T123" s="2"/>
      <c r="U123" s="18"/>
      <c r="V123" s="18">
        <v>744</v>
      </c>
      <c r="W123" s="18">
        <v>212</v>
      </c>
      <c r="X123" s="2"/>
      <c r="Y123" s="18"/>
      <c r="Z123" s="2">
        <v>72</v>
      </c>
      <c r="AA123" s="7">
        <f t="shared" si="12"/>
        <v>0</v>
      </c>
      <c r="AB123" s="8" t="s">
        <v>150</v>
      </c>
      <c r="AC123" s="8">
        <v>200</v>
      </c>
      <c r="AD123" s="8" t="s">
        <v>154</v>
      </c>
      <c r="AE123" s="8">
        <f t="shared" si="11"/>
        <v>6.1</v>
      </c>
    </row>
    <row r="124" spans="1:31" x14ac:dyDescent="0.25">
      <c r="A124" s="2">
        <v>114</v>
      </c>
      <c r="B124" s="2" t="s">
        <v>130</v>
      </c>
      <c r="C124" s="2" t="s">
        <v>0</v>
      </c>
      <c r="D124" s="2" t="s">
        <v>141</v>
      </c>
      <c r="E124" s="13">
        <v>0.875</v>
      </c>
      <c r="F124" s="2"/>
      <c r="G124" s="3"/>
      <c r="H124" s="3"/>
      <c r="I124" s="2">
        <v>0</v>
      </c>
      <c r="J124" s="2">
        <f>VLOOKUP(D124,'SEMANA 36'!D119:O262,12,0)</f>
        <v>0</v>
      </c>
      <c r="K124" s="2"/>
      <c r="L124" s="2"/>
      <c r="M124" s="2"/>
      <c r="N124" s="2"/>
      <c r="O124" s="8">
        <f t="shared" si="9"/>
        <v>0</v>
      </c>
      <c r="P124" s="2"/>
      <c r="Q124" s="2"/>
      <c r="R124" s="18"/>
      <c r="S124" s="18"/>
      <c r="T124" s="2"/>
      <c r="U124" s="18"/>
      <c r="V124" s="18"/>
      <c r="W124" s="18"/>
      <c r="X124" s="2"/>
      <c r="Y124" s="18"/>
      <c r="Z124" s="2"/>
      <c r="AA124" s="7">
        <f t="shared" si="12"/>
        <v>0</v>
      </c>
      <c r="AB124" s="8" t="s">
        <v>150</v>
      </c>
      <c r="AC124" s="8">
        <v>200</v>
      </c>
      <c r="AD124" s="8" t="s">
        <v>154</v>
      </c>
      <c r="AE124" s="8">
        <f t="shared" si="11"/>
        <v>0</v>
      </c>
    </row>
    <row r="125" spans="1:31" x14ac:dyDescent="0.25">
      <c r="A125" s="2">
        <v>115</v>
      </c>
      <c r="B125" s="2" t="s">
        <v>130</v>
      </c>
      <c r="C125" s="2" t="s">
        <v>0</v>
      </c>
      <c r="D125" s="2" t="s">
        <v>142</v>
      </c>
      <c r="E125" s="13">
        <v>0.875</v>
      </c>
      <c r="F125" s="2"/>
      <c r="G125" s="3"/>
      <c r="H125" s="3"/>
      <c r="I125" s="2">
        <v>0</v>
      </c>
      <c r="J125" s="2">
        <f>VLOOKUP(D125,'SEMANA 36'!D120:O263,12,0)</f>
        <v>0</v>
      </c>
      <c r="K125" s="2"/>
      <c r="L125" s="2"/>
      <c r="M125" s="2"/>
      <c r="N125" s="2"/>
      <c r="O125" s="8">
        <f t="shared" si="9"/>
        <v>0</v>
      </c>
      <c r="P125" s="2"/>
      <c r="Q125" s="2"/>
      <c r="R125" s="18"/>
      <c r="S125" s="18"/>
      <c r="T125" s="2"/>
      <c r="U125" s="18"/>
      <c r="V125" s="18"/>
      <c r="W125" s="18"/>
      <c r="X125" s="2"/>
      <c r="Y125" s="18"/>
      <c r="Z125" s="2"/>
      <c r="AA125" s="7">
        <f t="shared" si="12"/>
        <v>0</v>
      </c>
      <c r="AB125" s="8" t="s">
        <v>150</v>
      </c>
      <c r="AC125" s="8">
        <v>200</v>
      </c>
      <c r="AD125" s="8" t="s">
        <v>154</v>
      </c>
      <c r="AE125" s="8">
        <f t="shared" si="11"/>
        <v>0</v>
      </c>
    </row>
    <row r="126" spans="1:31" x14ac:dyDescent="0.25">
      <c r="A126" s="2">
        <v>116</v>
      </c>
      <c r="B126" s="2" t="s">
        <v>130</v>
      </c>
      <c r="C126" s="2" t="s">
        <v>0</v>
      </c>
      <c r="D126" s="2" t="s">
        <v>143</v>
      </c>
      <c r="E126" s="13">
        <v>0.875</v>
      </c>
      <c r="F126" s="2"/>
      <c r="G126" s="3"/>
      <c r="H126" s="3"/>
      <c r="I126" s="2">
        <v>0</v>
      </c>
      <c r="J126" s="2">
        <f>VLOOKUP(D126,'SEMANA 36'!D121:O264,12,0)</f>
        <v>0</v>
      </c>
      <c r="K126" s="2"/>
      <c r="L126" s="2"/>
      <c r="M126" s="2"/>
      <c r="N126" s="2"/>
      <c r="O126" s="8">
        <f t="shared" si="9"/>
        <v>0</v>
      </c>
      <c r="P126" s="2"/>
      <c r="Q126" s="2"/>
      <c r="R126" s="18"/>
      <c r="S126" s="18"/>
      <c r="T126" s="18"/>
      <c r="U126" s="18"/>
      <c r="V126" s="18"/>
      <c r="W126" s="18"/>
      <c r="X126" s="2"/>
      <c r="Y126" s="18"/>
      <c r="Z126" s="2"/>
      <c r="AA126" s="7">
        <f t="shared" si="12"/>
        <v>0</v>
      </c>
      <c r="AB126" s="8" t="s">
        <v>150</v>
      </c>
      <c r="AC126" s="8">
        <v>200</v>
      </c>
      <c r="AD126" s="8" t="s">
        <v>154</v>
      </c>
      <c r="AE126" s="8">
        <f t="shared" si="11"/>
        <v>0</v>
      </c>
    </row>
    <row r="127" spans="1:31" x14ac:dyDescent="0.25">
      <c r="A127" s="2">
        <v>117</v>
      </c>
      <c r="B127" s="2" t="s">
        <v>130</v>
      </c>
      <c r="C127" s="2" t="s">
        <v>0</v>
      </c>
      <c r="D127" s="2" t="s">
        <v>144</v>
      </c>
      <c r="E127" s="13">
        <v>0.875</v>
      </c>
      <c r="F127" s="2"/>
      <c r="G127" s="3"/>
      <c r="H127" s="3"/>
      <c r="I127" s="2">
        <v>0</v>
      </c>
      <c r="J127" s="2">
        <f>VLOOKUP(D127,'SEMANA 36'!D122:O265,12,0)</f>
        <v>0</v>
      </c>
      <c r="K127" s="2"/>
      <c r="L127" s="2"/>
      <c r="M127" s="2"/>
      <c r="N127" s="2"/>
      <c r="O127" s="8">
        <f t="shared" si="9"/>
        <v>0</v>
      </c>
      <c r="P127" s="2"/>
      <c r="Q127" s="2"/>
      <c r="R127" s="18"/>
      <c r="S127" s="18"/>
      <c r="T127" s="18"/>
      <c r="U127" s="18"/>
      <c r="V127" s="18"/>
      <c r="W127" s="18"/>
      <c r="X127" s="2"/>
      <c r="Y127" s="18"/>
      <c r="Z127" s="2"/>
      <c r="AA127" s="7">
        <f t="shared" si="12"/>
        <v>0</v>
      </c>
      <c r="AB127" s="8" t="s">
        <v>150</v>
      </c>
      <c r="AC127" s="8">
        <v>200</v>
      </c>
      <c r="AD127" s="8" t="s">
        <v>154</v>
      </c>
      <c r="AE127" s="8">
        <f t="shared" si="11"/>
        <v>0</v>
      </c>
    </row>
    <row r="128" spans="1:31" x14ac:dyDescent="0.25">
      <c r="A128" s="2">
        <v>118</v>
      </c>
      <c r="B128" s="2" t="s">
        <v>188</v>
      </c>
      <c r="C128" s="2" t="s">
        <v>129</v>
      </c>
      <c r="D128" s="2" t="s">
        <v>160</v>
      </c>
      <c r="E128" s="13">
        <v>0.3125</v>
      </c>
      <c r="F128" s="2"/>
      <c r="G128" s="3"/>
      <c r="H128" s="3">
        <v>0.2</v>
      </c>
      <c r="I128" s="2">
        <v>0</v>
      </c>
      <c r="J128" s="2">
        <f>VLOOKUP(D128,'SEMANA 36'!D123:O266,12,0)</f>
        <v>0</v>
      </c>
      <c r="K128" s="2"/>
      <c r="L128" s="2"/>
      <c r="M128" s="2"/>
      <c r="N128" s="2"/>
      <c r="O128" s="8">
        <f t="shared" si="9"/>
        <v>0</v>
      </c>
      <c r="P128" s="2"/>
      <c r="Q128" s="2"/>
      <c r="R128" s="18"/>
      <c r="S128" s="2"/>
      <c r="T128" s="18"/>
      <c r="U128" s="18"/>
      <c r="V128" s="18"/>
      <c r="W128" s="18"/>
      <c r="X128" s="2"/>
      <c r="Y128" s="18"/>
      <c r="Z128" s="2"/>
      <c r="AA128" s="7">
        <f t="shared" si="12"/>
        <v>0</v>
      </c>
      <c r="AB128" s="8" t="s">
        <v>148</v>
      </c>
      <c r="AC128" s="12">
        <v>500</v>
      </c>
      <c r="AD128" s="8" t="s">
        <v>189</v>
      </c>
      <c r="AE128" s="8">
        <f t="shared" ref="AE128:AE154" si="13">+SUM(I128:N128)/AC128</f>
        <v>0</v>
      </c>
    </row>
    <row r="129" spans="1:31" x14ac:dyDescent="0.25">
      <c r="A129" s="2">
        <v>119</v>
      </c>
      <c r="B129" s="2" t="s">
        <v>188</v>
      </c>
      <c r="C129" s="2" t="s">
        <v>129</v>
      </c>
      <c r="D129" s="2" t="s">
        <v>161</v>
      </c>
      <c r="E129" s="13">
        <v>0.3125</v>
      </c>
      <c r="F129" s="2"/>
      <c r="G129" s="3"/>
      <c r="H129" s="3">
        <v>0.2</v>
      </c>
      <c r="I129" s="2">
        <v>0</v>
      </c>
      <c r="J129" s="2">
        <f>VLOOKUP(D129,'SEMANA 36'!D124:O267,12,0)</f>
        <v>0</v>
      </c>
      <c r="K129" s="2"/>
      <c r="L129" s="2"/>
      <c r="M129" s="2"/>
      <c r="N129" s="2"/>
      <c r="O129" s="8">
        <f t="shared" si="9"/>
        <v>0</v>
      </c>
      <c r="P129" s="2"/>
      <c r="Q129" s="2"/>
      <c r="R129" s="18"/>
      <c r="S129" s="2"/>
      <c r="T129" s="18"/>
      <c r="U129" s="18"/>
      <c r="V129" s="18"/>
      <c r="W129" s="18"/>
      <c r="X129" s="2"/>
      <c r="Y129" s="18"/>
      <c r="Z129" s="2"/>
      <c r="AA129" s="7">
        <f t="shared" si="12"/>
        <v>0</v>
      </c>
      <c r="AB129" s="8" t="s">
        <v>148</v>
      </c>
      <c r="AC129" s="12">
        <v>500</v>
      </c>
      <c r="AD129" s="8" t="s">
        <v>189</v>
      </c>
      <c r="AE129" s="8">
        <f t="shared" si="13"/>
        <v>0</v>
      </c>
    </row>
    <row r="130" spans="1:31" x14ac:dyDescent="0.25">
      <c r="A130" s="2">
        <v>120</v>
      </c>
      <c r="B130" s="2" t="s">
        <v>188</v>
      </c>
      <c r="C130" s="2" t="s">
        <v>129</v>
      </c>
      <c r="D130" s="2" t="s">
        <v>162</v>
      </c>
      <c r="E130" s="13">
        <v>0.3125</v>
      </c>
      <c r="F130" s="2"/>
      <c r="G130" s="3"/>
      <c r="H130" s="3">
        <v>0.2</v>
      </c>
      <c r="I130" s="2">
        <v>0</v>
      </c>
      <c r="J130" s="2">
        <f>VLOOKUP(D130,'SEMANA 36'!D125:O268,12,0)</f>
        <v>0</v>
      </c>
      <c r="K130" s="2"/>
      <c r="L130" s="2"/>
      <c r="M130" s="2"/>
      <c r="N130" s="2"/>
      <c r="O130" s="8">
        <f t="shared" si="9"/>
        <v>0</v>
      </c>
      <c r="P130" s="2"/>
      <c r="Q130" s="2"/>
      <c r="R130" s="18"/>
      <c r="S130" s="2"/>
      <c r="T130" s="18"/>
      <c r="U130" s="18"/>
      <c r="V130" s="18"/>
      <c r="W130" s="18"/>
      <c r="X130" s="2"/>
      <c r="Y130" s="18"/>
      <c r="Z130" s="2"/>
      <c r="AA130" s="7">
        <f t="shared" si="12"/>
        <v>0</v>
      </c>
      <c r="AB130" s="8" t="s">
        <v>148</v>
      </c>
      <c r="AC130" s="12">
        <v>500</v>
      </c>
      <c r="AD130" s="8" t="s">
        <v>189</v>
      </c>
      <c r="AE130" s="8">
        <f t="shared" si="13"/>
        <v>0</v>
      </c>
    </row>
    <row r="131" spans="1:31" x14ac:dyDescent="0.25">
      <c r="A131" s="2">
        <v>121</v>
      </c>
      <c r="B131" s="2" t="s">
        <v>188</v>
      </c>
      <c r="C131" s="2" t="s">
        <v>129</v>
      </c>
      <c r="D131" s="2" t="s">
        <v>163</v>
      </c>
      <c r="E131" s="13">
        <v>0.3125</v>
      </c>
      <c r="F131" s="2"/>
      <c r="G131" s="3"/>
      <c r="H131" s="3">
        <v>0.2</v>
      </c>
      <c r="I131" s="2">
        <v>0</v>
      </c>
      <c r="J131" s="2">
        <f>VLOOKUP(D131,'SEMANA 36'!D126:O269,12,0)</f>
        <v>0</v>
      </c>
      <c r="K131" s="2"/>
      <c r="L131" s="2"/>
      <c r="M131" s="2"/>
      <c r="N131" s="2"/>
      <c r="O131" s="8">
        <f t="shared" si="9"/>
        <v>0</v>
      </c>
      <c r="P131" s="2"/>
      <c r="Q131" s="2"/>
      <c r="R131" s="18"/>
      <c r="S131" s="2"/>
      <c r="T131" s="18"/>
      <c r="U131" s="18"/>
      <c r="V131" s="18"/>
      <c r="W131" s="18"/>
      <c r="X131" s="2"/>
      <c r="Y131" s="18"/>
      <c r="Z131" s="2"/>
      <c r="AA131" s="7">
        <f t="shared" si="12"/>
        <v>0</v>
      </c>
      <c r="AB131" s="8" t="s">
        <v>148</v>
      </c>
      <c r="AC131" s="12">
        <v>500</v>
      </c>
      <c r="AD131" s="8" t="s">
        <v>189</v>
      </c>
      <c r="AE131" s="8">
        <f t="shared" si="13"/>
        <v>0</v>
      </c>
    </row>
    <row r="132" spans="1:31" x14ac:dyDescent="0.25">
      <c r="A132" s="2">
        <v>122</v>
      </c>
      <c r="B132" s="2" t="s">
        <v>188</v>
      </c>
      <c r="C132" s="2" t="s">
        <v>129</v>
      </c>
      <c r="D132" s="2" t="s">
        <v>164</v>
      </c>
      <c r="E132" s="13">
        <v>0.3125</v>
      </c>
      <c r="F132" s="2"/>
      <c r="G132" s="3"/>
      <c r="H132" s="3">
        <v>0.2</v>
      </c>
      <c r="I132" s="2">
        <v>0</v>
      </c>
      <c r="J132" s="2">
        <f>VLOOKUP(D132,'SEMANA 36'!D127:O270,12,0)</f>
        <v>0</v>
      </c>
      <c r="K132" s="2"/>
      <c r="L132" s="2"/>
      <c r="M132" s="2"/>
      <c r="N132" s="2"/>
      <c r="O132" s="8">
        <f t="shared" si="9"/>
        <v>0</v>
      </c>
      <c r="P132" s="2"/>
      <c r="Q132" s="2"/>
      <c r="R132" s="18"/>
      <c r="S132" s="2"/>
      <c r="T132" s="18"/>
      <c r="U132" s="18"/>
      <c r="V132" s="18"/>
      <c r="W132" s="18"/>
      <c r="X132" s="2"/>
      <c r="Y132" s="18"/>
      <c r="Z132" s="2"/>
      <c r="AA132" s="7">
        <f t="shared" si="12"/>
        <v>0</v>
      </c>
      <c r="AB132" s="8" t="s">
        <v>148</v>
      </c>
      <c r="AC132" s="12">
        <v>500</v>
      </c>
      <c r="AD132" s="8" t="s">
        <v>189</v>
      </c>
      <c r="AE132" s="8">
        <f t="shared" si="13"/>
        <v>0</v>
      </c>
    </row>
    <row r="133" spans="1:31" x14ac:dyDescent="0.25">
      <c r="A133" s="2">
        <v>123</v>
      </c>
      <c r="B133" s="2" t="s">
        <v>188</v>
      </c>
      <c r="C133" s="2" t="s">
        <v>129</v>
      </c>
      <c r="D133" s="2" t="s">
        <v>165</v>
      </c>
      <c r="E133" s="13">
        <v>0.3125</v>
      </c>
      <c r="F133" s="2"/>
      <c r="G133" s="3"/>
      <c r="H133" s="3">
        <v>0.2</v>
      </c>
      <c r="I133" s="2">
        <v>0</v>
      </c>
      <c r="J133" s="2">
        <f>VLOOKUP(D133,'SEMANA 36'!D128:O271,12,0)</f>
        <v>0</v>
      </c>
      <c r="K133" s="2"/>
      <c r="L133" s="2"/>
      <c r="M133" s="2"/>
      <c r="N133" s="2"/>
      <c r="O133" s="8">
        <f t="shared" si="9"/>
        <v>0</v>
      </c>
      <c r="P133" s="2"/>
      <c r="Q133" s="2"/>
      <c r="R133" s="18"/>
      <c r="S133" s="2"/>
      <c r="T133" s="18"/>
      <c r="U133" s="18"/>
      <c r="V133" s="18"/>
      <c r="W133" s="18"/>
      <c r="X133" s="2"/>
      <c r="Y133" s="18"/>
      <c r="Z133" s="2"/>
      <c r="AA133" s="7">
        <f t="shared" si="12"/>
        <v>0</v>
      </c>
      <c r="AB133" s="8" t="s">
        <v>148</v>
      </c>
      <c r="AC133" s="12">
        <v>500</v>
      </c>
      <c r="AD133" s="8" t="s">
        <v>189</v>
      </c>
      <c r="AE133" s="8">
        <f t="shared" si="13"/>
        <v>0</v>
      </c>
    </row>
    <row r="134" spans="1:31" x14ac:dyDescent="0.25">
      <c r="A134" s="2">
        <v>124</v>
      </c>
      <c r="B134" s="2" t="s">
        <v>188</v>
      </c>
      <c r="C134" s="2" t="s">
        <v>129</v>
      </c>
      <c r="D134" s="2" t="s">
        <v>166</v>
      </c>
      <c r="E134" s="13">
        <v>0.3125</v>
      </c>
      <c r="F134" s="2"/>
      <c r="G134" s="3"/>
      <c r="H134" s="3">
        <v>0.16</v>
      </c>
      <c r="I134" s="2">
        <v>0</v>
      </c>
      <c r="J134" s="2">
        <f>VLOOKUP(D134,'SEMANA 36'!D129:O272,12,0)</f>
        <v>0</v>
      </c>
      <c r="K134" s="2"/>
      <c r="L134" s="2"/>
      <c r="M134" s="2"/>
      <c r="N134" s="2"/>
      <c r="O134" s="8">
        <f t="shared" si="9"/>
        <v>0</v>
      </c>
      <c r="P134" s="2"/>
      <c r="Q134" s="2"/>
      <c r="R134" s="18"/>
      <c r="S134" s="2"/>
      <c r="T134" s="18"/>
      <c r="U134" s="18"/>
      <c r="V134" s="18"/>
      <c r="W134" s="18"/>
      <c r="X134" s="2"/>
      <c r="Y134" s="18"/>
      <c r="Z134" s="2"/>
      <c r="AA134" s="7">
        <f t="shared" si="12"/>
        <v>0</v>
      </c>
      <c r="AB134" s="8" t="s">
        <v>148</v>
      </c>
      <c r="AC134" s="12">
        <v>500</v>
      </c>
      <c r="AD134" s="8" t="s">
        <v>189</v>
      </c>
      <c r="AE134" s="8">
        <f t="shared" si="13"/>
        <v>0</v>
      </c>
    </row>
    <row r="135" spans="1:31" x14ac:dyDescent="0.25">
      <c r="A135" s="2">
        <v>125</v>
      </c>
      <c r="B135" s="2" t="s">
        <v>188</v>
      </c>
      <c r="C135" s="2" t="s">
        <v>129</v>
      </c>
      <c r="D135" s="2" t="s">
        <v>167</v>
      </c>
      <c r="E135" s="13">
        <v>0.3125</v>
      </c>
      <c r="F135" s="2"/>
      <c r="G135" s="3"/>
      <c r="H135" s="3">
        <v>0.16</v>
      </c>
      <c r="I135" s="2">
        <v>0</v>
      </c>
      <c r="J135" s="2">
        <f>VLOOKUP(D135,'SEMANA 36'!D130:O273,12,0)</f>
        <v>0</v>
      </c>
      <c r="K135" s="2"/>
      <c r="L135" s="2"/>
      <c r="M135" s="2"/>
      <c r="N135" s="2"/>
      <c r="O135" s="8">
        <f t="shared" si="9"/>
        <v>0</v>
      </c>
      <c r="P135" s="2"/>
      <c r="Q135" s="2"/>
      <c r="R135" s="18"/>
      <c r="S135" s="2"/>
      <c r="T135" s="18"/>
      <c r="U135" s="18"/>
      <c r="V135" s="18"/>
      <c r="W135" s="18"/>
      <c r="X135" s="2"/>
      <c r="Y135" s="18"/>
      <c r="Z135" s="2"/>
      <c r="AA135" s="7">
        <f t="shared" si="12"/>
        <v>0</v>
      </c>
      <c r="AB135" s="8" t="s">
        <v>148</v>
      </c>
      <c r="AC135" s="12">
        <v>500</v>
      </c>
      <c r="AD135" s="8" t="s">
        <v>189</v>
      </c>
      <c r="AE135" s="8">
        <f t="shared" si="13"/>
        <v>0</v>
      </c>
    </row>
    <row r="136" spans="1:31" x14ac:dyDescent="0.25">
      <c r="A136" s="2">
        <v>126</v>
      </c>
      <c r="B136" s="2" t="s">
        <v>188</v>
      </c>
      <c r="C136" s="2" t="s">
        <v>129</v>
      </c>
      <c r="D136" s="2" t="s">
        <v>168</v>
      </c>
      <c r="E136" s="13">
        <v>0.3125</v>
      </c>
      <c r="F136" s="2"/>
      <c r="G136" s="3"/>
      <c r="H136" s="3">
        <v>0.21</v>
      </c>
      <c r="I136" s="2">
        <v>0</v>
      </c>
      <c r="J136" s="2">
        <f>VLOOKUP(D136,'SEMANA 36'!D131:O274,12,0)</f>
        <v>0</v>
      </c>
      <c r="K136" s="2"/>
      <c r="L136" s="2"/>
      <c r="M136" s="2"/>
      <c r="N136" s="2"/>
      <c r="O136" s="8">
        <f t="shared" si="9"/>
        <v>0</v>
      </c>
      <c r="P136" s="2"/>
      <c r="Q136" s="2"/>
      <c r="R136" s="18"/>
      <c r="S136" s="2"/>
      <c r="T136" s="18"/>
      <c r="U136" s="18"/>
      <c r="V136" s="18"/>
      <c r="W136" s="18"/>
      <c r="X136" s="2"/>
      <c r="Y136" s="18"/>
      <c r="Z136" s="2"/>
      <c r="AA136" s="7">
        <f t="shared" si="12"/>
        <v>0</v>
      </c>
      <c r="AB136" s="8" t="s">
        <v>148</v>
      </c>
      <c r="AC136" s="12">
        <v>500</v>
      </c>
      <c r="AD136" s="8" t="s">
        <v>189</v>
      </c>
      <c r="AE136" s="8">
        <f t="shared" si="13"/>
        <v>0</v>
      </c>
    </row>
    <row r="137" spans="1:31" x14ac:dyDescent="0.25">
      <c r="A137" s="2">
        <v>127</v>
      </c>
      <c r="B137" s="2" t="s">
        <v>188</v>
      </c>
      <c r="C137" s="2" t="s">
        <v>129</v>
      </c>
      <c r="D137" s="2" t="s">
        <v>169</v>
      </c>
      <c r="E137" s="13">
        <v>0.3125</v>
      </c>
      <c r="F137" s="2"/>
      <c r="G137" s="3"/>
      <c r="H137" s="3">
        <v>0.21</v>
      </c>
      <c r="I137" s="2">
        <v>0</v>
      </c>
      <c r="J137" s="2">
        <f>VLOOKUP(D137,'SEMANA 36'!D132:O275,12,0)</f>
        <v>0</v>
      </c>
      <c r="K137" s="2"/>
      <c r="L137" s="2"/>
      <c r="M137" s="2"/>
      <c r="N137" s="2"/>
      <c r="O137" s="8">
        <f t="shared" si="9"/>
        <v>0</v>
      </c>
      <c r="P137" s="2"/>
      <c r="Q137" s="2"/>
      <c r="R137" s="18"/>
      <c r="S137" s="2"/>
      <c r="T137" s="18"/>
      <c r="U137" s="18"/>
      <c r="V137" s="18"/>
      <c r="W137" s="18"/>
      <c r="X137" s="2"/>
      <c r="Y137" s="18"/>
      <c r="Z137" s="2"/>
      <c r="AA137" s="7">
        <f t="shared" si="12"/>
        <v>0</v>
      </c>
      <c r="AB137" s="8" t="s">
        <v>148</v>
      </c>
      <c r="AC137" s="12">
        <v>500</v>
      </c>
      <c r="AD137" s="8" t="s">
        <v>189</v>
      </c>
      <c r="AE137" s="8">
        <f t="shared" si="13"/>
        <v>0</v>
      </c>
    </row>
    <row r="138" spans="1:31" x14ac:dyDescent="0.25">
      <c r="A138" s="2">
        <v>128</v>
      </c>
      <c r="B138" s="2" t="s">
        <v>188</v>
      </c>
      <c r="C138" s="2" t="s">
        <v>129</v>
      </c>
      <c r="D138" s="2" t="s">
        <v>170</v>
      </c>
      <c r="E138" s="13">
        <v>0.3125</v>
      </c>
      <c r="F138" s="2"/>
      <c r="G138" s="3"/>
      <c r="H138" s="3">
        <v>0.25</v>
      </c>
      <c r="I138" s="2">
        <v>0</v>
      </c>
      <c r="J138" s="2">
        <f>VLOOKUP(D138,'SEMANA 36'!D133:O276,12,0)</f>
        <v>0</v>
      </c>
      <c r="K138" s="2"/>
      <c r="L138" s="2"/>
      <c r="M138" s="2"/>
      <c r="N138" s="2"/>
      <c r="O138" s="8">
        <f t="shared" si="9"/>
        <v>0</v>
      </c>
      <c r="P138" s="2"/>
      <c r="Q138" s="2"/>
      <c r="R138" s="18"/>
      <c r="S138" s="2"/>
      <c r="T138" s="18"/>
      <c r="U138" s="18"/>
      <c r="V138" s="18"/>
      <c r="W138" s="18"/>
      <c r="X138" s="2"/>
      <c r="Y138" s="18"/>
      <c r="Z138" s="2"/>
      <c r="AA138" s="7">
        <f t="shared" si="12"/>
        <v>0</v>
      </c>
      <c r="AB138" s="8" t="s">
        <v>148</v>
      </c>
      <c r="AC138" s="12">
        <v>500</v>
      </c>
      <c r="AD138" s="8" t="s">
        <v>189</v>
      </c>
      <c r="AE138" s="8">
        <f t="shared" si="13"/>
        <v>0</v>
      </c>
    </row>
    <row r="139" spans="1:31" x14ac:dyDescent="0.25">
      <c r="A139" s="2">
        <v>129</v>
      </c>
      <c r="B139" s="2" t="s">
        <v>188</v>
      </c>
      <c r="C139" s="2" t="s">
        <v>129</v>
      </c>
      <c r="D139" s="2" t="s">
        <v>171</v>
      </c>
      <c r="E139" s="13">
        <v>0.3125</v>
      </c>
      <c r="F139" s="2"/>
      <c r="G139" s="3"/>
      <c r="H139" s="3">
        <v>0.25</v>
      </c>
      <c r="I139" s="2">
        <v>0</v>
      </c>
      <c r="J139" s="2">
        <f>VLOOKUP(D139,'SEMANA 36'!D134:O277,12,0)</f>
        <v>0</v>
      </c>
      <c r="K139" s="2"/>
      <c r="L139" s="2"/>
      <c r="M139" s="2"/>
      <c r="N139" s="2"/>
      <c r="O139" s="8">
        <f t="shared" ref="O139:O154" si="14">+I139+J139+K139+L139+M139+N139-SUM(P139:Z139)</f>
        <v>0</v>
      </c>
      <c r="P139" s="2"/>
      <c r="Q139" s="2"/>
      <c r="R139" s="18"/>
      <c r="S139" s="2"/>
      <c r="T139" s="18"/>
      <c r="U139" s="18"/>
      <c r="V139" s="18"/>
      <c r="W139" s="18"/>
      <c r="X139" s="2"/>
      <c r="Y139" s="18"/>
      <c r="Z139" s="2"/>
      <c r="AA139" s="7">
        <f t="shared" ref="AA139:AA154" si="15">+G139*SUM(I139:N139)</f>
        <v>0</v>
      </c>
      <c r="AB139" s="8" t="s">
        <v>148</v>
      </c>
      <c r="AC139" s="12">
        <v>500</v>
      </c>
      <c r="AD139" s="8" t="s">
        <v>189</v>
      </c>
      <c r="AE139" s="8">
        <f t="shared" si="13"/>
        <v>0</v>
      </c>
    </row>
    <row r="140" spans="1:31" x14ac:dyDescent="0.25">
      <c r="A140" s="2">
        <v>130</v>
      </c>
      <c r="B140" s="2" t="s">
        <v>188</v>
      </c>
      <c r="C140" s="2" t="s">
        <v>129</v>
      </c>
      <c r="D140" s="2" t="s">
        <v>172</v>
      </c>
      <c r="E140" s="13">
        <v>0.3125</v>
      </c>
      <c r="F140" s="2"/>
      <c r="G140" s="3"/>
      <c r="H140" s="3">
        <v>0.21</v>
      </c>
      <c r="I140" s="2">
        <v>0</v>
      </c>
      <c r="J140" s="2">
        <f>VLOOKUP(D140,'SEMANA 36'!D135:O278,12,0)</f>
        <v>0</v>
      </c>
      <c r="K140" s="2"/>
      <c r="L140" s="2"/>
      <c r="M140" s="2"/>
      <c r="N140" s="2"/>
      <c r="O140" s="8">
        <f t="shared" si="14"/>
        <v>0</v>
      </c>
      <c r="P140" s="2"/>
      <c r="Q140" s="2"/>
      <c r="R140" s="18"/>
      <c r="S140" s="2"/>
      <c r="T140" s="18"/>
      <c r="U140" s="18"/>
      <c r="V140" s="18"/>
      <c r="W140" s="18"/>
      <c r="X140" s="2"/>
      <c r="Y140" s="18"/>
      <c r="Z140" s="2"/>
      <c r="AA140" s="7">
        <f t="shared" si="15"/>
        <v>0</v>
      </c>
      <c r="AB140" s="8" t="s">
        <v>148</v>
      </c>
      <c r="AC140" s="12">
        <v>500</v>
      </c>
      <c r="AD140" s="8" t="s">
        <v>189</v>
      </c>
      <c r="AE140" s="8">
        <f t="shared" si="13"/>
        <v>0</v>
      </c>
    </row>
    <row r="141" spans="1:31" x14ac:dyDescent="0.25">
      <c r="A141" s="2">
        <v>131</v>
      </c>
      <c r="B141" s="2" t="s">
        <v>188</v>
      </c>
      <c r="C141" s="2" t="s">
        <v>129</v>
      </c>
      <c r="D141" s="2" t="s">
        <v>173</v>
      </c>
      <c r="E141" s="13">
        <v>0.3125</v>
      </c>
      <c r="F141" s="2"/>
      <c r="G141" s="3"/>
      <c r="H141" s="3">
        <v>0.21</v>
      </c>
      <c r="I141" s="2">
        <v>0</v>
      </c>
      <c r="J141" s="2">
        <f>VLOOKUP(D141,'SEMANA 36'!D136:O279,12,0)</f>
        <v>0</v>
      </c>
      <c r="K141" s="2"/>
      <c r="L141" s="2"/>
      <c r="M141" s="2"/>
      <c r="N141" s="2"/>
      <c r="O141" s="8">
        <f t="shared" si="14"/>
        <v>0</v>
      </c>
      <c r="P141" s="2"/>
      <c r="Q141" s="2"/>
      <c r="R141" s="18"/>
      <c r="S141" s="2"/>
      <c r="T141" s="18"/>
      <c r="U141" s="18"/>
      <c r="V141" s="18"/>
      <c r="W141" s="18"/>
      <c r="X141" s="2"/>
      <c r="Y141" s="18"/>
      <c r="Z141" s="2"/>
      <c r="AA141" s="7">
        <f t="shared" si="15"/>
        <v>0</v>
      </c>
      <c r="AB141" s="8" t="s">
        <v>148</v>
      </c>
      <c r="AC141" s="12">
        <v>500</v>
      </c>
      <c r="AD141" s="8" t="s">
        <v>189</v>
      </c>
      <c r="AE141" s="8">
        <f t="shared" si="13"/>
        <v>0</v>
      </c>
    </row>
    <row r="142" spans="1:31" x14ac:dyDescent="0.25">
      <c r="A142" s="2">
        <v>132</v>
      </c>
      <c r="B142" s="2" t="s">
        <v>188</v>
      </c>
      <c r="C142" s="2" t="s">
        <v>129</v>
      </c>
      <c r="D142" s="2" t="s">
        <v>174</v>
      </c>
      <c r="E142" s="13">
        <v>0.3125</v>
      </c>
      <c r="F142" s="2"/>
      <c r="G142" s="3"/>
      <c r="H142" s="3">
        <v>0.21</v>
      </c>
      <c r="I142" s="2">
        <v>0</v>
      </c>
      <c r="J142" s="2">
        <f>VLOOKUP(D142,'SEMANA 36'!D137:O280,12,0)</f>
        <v>0</v>
      </c>
      <c r="K142" s="2"/>
      <c r="L142" s="2"/>
      <c r="M142" s="2"/>
      <c r="N142" s="2"/>
      <c r="O142" s="8">
        <f t="shared" si="14"/>
        <v>0</v>
      </c>
      <c r="P142" s="2"/>
      <c r="Q142" s="2"/>
      <c r="R142" s="18"/>
      <c r="S142" s="2"/>
      <c r="T142" s="18"/>
      <c r="U142" s="18"/>
      <c r="V142" s="18"/>
      <c r="W142" s="18"/>
      <c r="X142" s="2"/>
      <c r="Y142" s="18"/>
      <c r="Z142" s="2"/>
      <c r="AA142" s="7">
        <f t="shared" si="15"/>
        <v>0</v>
      </c>
      <c r="AB142" s="8" t="s">
        <v>148</v>
      </c>
      <c r="AC142" s="12">
        <v>500</v>
      </c>
      <c r="AD142" s="8" t="s">
        <v>189</v>
      </c>
      <c r="AE142" s="8">
        <f t="shared" si="13"/>
        <v>0</v>
      </c>
    </row>
    <row r="143" spans="1:31" x14ac:dyDescent="0.25">
      <c r="A143" s="2">
        <v>133</v>
      </c>
      <c r="B143" s="2" t="s">
        <v>188</v>
      </c>
      <c r="C143" s="2" t="s">
        <v>129</v>
      </c>
      <c r="D143" s="2" t="s">
        <v>175</v>
      </c>
      <c r="E143" s="13">
        <v>0.3125</v>
      </c>
      <c r="F143" s="2"/>
      <c r="G143" s="3"/>
      <c r="H143" s="3">
        <v>0.21</v>
      </c>
      <c r="I143" s="2">
        <v>0</v>
      </c>
      <c r="J143" s="2">
        <f>VLOOKUP(D143,'SEMANA 36'!D138:O281,12,0)</f>
        <v>0</v>
      </c>
      <c r="K143" s="2"/>
      <c r="L143" s="2"/>
      <c r="M143" s="2"/>
      <c r="N143" s="2"/>
      <c r="O143" s="8">
        <f t="shared" si="14"/>
        <v>0</v>
      </c>
      <c r="P143" s="2"/>
      <c r="Q143" s="2"/>
      <c r="R143" s="18"/>
      <c r="S143" s="2"/>
      <c r="T143" s="18"/>
      <c r="U143" s="18"/>
      <c r="V143" s="18"/>
      <c r="W143" s="18"/>
      <c r="X143" s="2"/>
      <c r="Y143" s="18"/>
      <c r="Z143" s="2"/>
      <c r="AA143" s="7">
        <f t="shared" si="15"/>
        <v>0</v>
      </c>
      <c r="AB143" s="8" t="s">
        <v>148</v>
      </c>
      <c r="AC143" s="12">
        <v>500</v>
      </c>
      <c r="AD143" s="8" t="s">
        <v>189</v>
      </c>
      <c r="AE143" s="8">
        <f t="shared" si="13"/>
        <v>0</v>
      </c>
    </row>
    <row r="144" spans="1:31" x14ac:dyDescent="0.25">
      <c r="A144" s="2">
        <v>134</v>
      </c>
      <c r="B144" s="2" t="s">
        <v>188</v>
      </c>
      <c r="C144" s="2" t="s">
        <v>129</v>
      </c>
      <c r="D144" s="2" t="s">
        <v>176</v>
      </c>
      <c r="E144" s="13">
        <v>0.3125</v>
      </c>
      <c r="F144" s="2"/>
      <c r="G144" s="3"/>
      <c r="H144" s="3">
        <v>0.16</v>
      </c>
      <c r="I144" s="2">
        <v>0</v>
      </c>
      <c r="J144" s="2">
        <f>VLOOKUP(D144,'SEMANA 36'!D139:O282,12,0)</f>
        <v>0</v>
      </c>
      <c r="K144" s="2"/>
      <c r="L144" s="2"/>
      <c r="M144" s="2"/>
      <c r="N144" s="2"/>
      <c r="O144" s="8">
        <f t="shared" si="14"/>
        <v>0</v>
      </c>
      <c r="P144" s="2"/>
      <c r="Q144" s="2"/>
      <c r="R144" s="18"/>
      <c r="S144" s="2"/>
      <c r="T144" s="18"/>
      <c r="U144" s="18"/>
      <c r="V144" s="18"/>
      <c r="W144" s="18"/>
      <c r="X144" s="2"/>
      <c r="Y144" s="18"/>
      <c r="Z144" s="2"/>
      <c r="AA144" s="7">
        <f t="shared" si="15"/>
        <v>0</v>
      </c>
      <c r="AB144" s="8" t="s">
        <v>148</v>
      </c>
      <c r="AC144" s="12">
        <v>500</v>
      </c>
      <c r="AD144" s="8" t="s">
        <v>189</v>
      </c>
      <c r="AE144" s="8">
        <f t="shared" si="13"/>
        <v>0</v>
      </c>
    </row>
    <row r="145" spans="1:31" x14ac:dyDescent="0.25">
      <c r="A145" s="2">
        <v>135</v>
      </c>
      <c r="B145" s="2" t="s">
        <v>188</v>
      </c>
      <c r="C145" s="2" t="s">
        <v>129</v>
      </c>
      <c r="D145" s="2" t="s">
        <v>177</v>
      </c>
      <c r="E145" s="13">
        <v>0.3125</v>
      </c>
      <c r="F145" s="2"/>
      <c r="G145" s="3"/>
      <c r="H145" s="3">
        <v>0.16</v>
      </c>
      <c r="I145" s="2">
        <v>0</v>
      </c>
      <c r="J145" s="2">
        <f>VLOOKUP(D145,'SEMANA 36'!D140:O283,12,0)</f>
        <v>0</v>
      </c>
      <c r="K145" s="2"/>
      <c r="L145" s="2"/>
      <c r="M145" s="2"/>
      <c r="N145" s="2"/>
      <c r="O145" s="8">
        <f t="shared" si="14"/>
        <v>0</v>
      </c>
      <c r="P145" s="2"/>
      <c r="Q145" s="2"/>
      <c r="R145" s="18"/>
      <c r="S145" s="2"/>
      <c r="T145" s="18"/>
      <c r="U145" s="18"/>
      <c r="V145" s="18"/>
      <c r="W145" s="18"/>
      <c r="X145" s="2"/>
      <c r="Y145" s="18"/>
      <c r="Z145" s="2"/>
      <c r="AA145" s="7">
        <f t="shared" si="15"/>
        <v>0</v>
      </c>
      <c r="AB145" s="8" t="s">
        <v>148</v>
      </c>
      <c r="AC145" s="12">
        <v>500</v>
      </c>
      <c r="AD145" s="8" t="s">
        <v>189</v>
      </c>
      <c r="AE145" s="8">
        <f t="shared" si="13"/>
        <v>0</v>
      </c>
    </row>
    <row r="146" spans="1:31" x14ac:dyDescent="0.25">
      <c r="A146" s="2">
        <v>136</v>
      </c>
      <c r="B146" s="2" t="s">
        <v>188</v>
      </c>
      <c r="C146" s="2" t="s">
        <v>129</v>
      </c>
      <c r="D146" s="2" t="s">
        <v>178</v>
      </c>
      <c r="E146" s="13">
        <v>0.3125</v>
      </c>
      <c r="F146" s="2"/>
      <c r="G146" s="3"/>
      <c r="H146" s="3">
        <v>0.21</v>
      </c>
      <c r="I146" s="2">
        <v>0</v>
      </c>
      <c r="J146" s="2">
        <f>VLOOKUP(D146,'SEMANA 36'!D141:O284,12,0)</f>
        <v>0</v>
      </c>
      <c r="K146" s="2"/>
      <c r="L146" s="2"/>
      <c r="M146" s="2"/>
      <c r="N146" s="2"/>
      <c r="O146" s="8">
        <f t="shared" si="14"/>
        <v>0</v>
      </c>
      <c r="P146" s="2"/>
      <c r="Q146" s="2"/>
      <c r="R146" s="18"/>
      <c r="S146" s="2"/>
      <c r="T146" s="18"/>
      <c r="U146" s="18"/>
      <c r="V146" s="18"/>
      <c r="W146" s="18"/>
      <c r="X146" s="2"/>
      <c r="Y146" s="18"/>
      <c r="Z146" s="2"/>
      <c r="AA146" s="7">
        <f t="shared" si="15"/>
        <v>0</v>
      </c>
      <c r="AB146" s="8" t="s">
        <v>148</v>
      </c>
      <c r="AC146" s="12">
        <v>500</v>
      </c>
      <c r="AD146" s="8" t="s">
        <v>189</v>
      </c>
      <c r="AE146" s="8">
        <f t="shared" si="13"/>
        <v>0</v>
      </c>
    </row>
    <row r="147" spans="1:31" x14ac:dyDescent="0.25">
      <c r="A147" s="2">
        <v>137</v>
      </c>
      <c r="B147" s="2" t="s">
        <v>188</v>
      </c>
      <c r="C147" s="2" t="s">
        <v>129</v>
      </c>
      <c r="D147" s="2" t="s">
        <v>179</v>
      </c>
      <c r="E147" s="13">
        <v>0.3125</v>
      </c>
      <c r="F147" s="2"/>
      <c r="G147" s="3"/>
      <c r="H147" s="3">
        <v>0.16</v>
      </c>
      <c r="I147" s="2">
        <v>0</v>
      </c>
      <c r="J147" s="2">
        <f>VLOOKUP(D147,'SEMANA 36'!D142:O285,12,0)</f>
        <v>0</v>
      </c>
      <c r="K147" s="2"/>
      <c r="L147" s="2"/>
      <c r="M147" s="2"/>
      <c r="N147" s="2"/>
      <c r="O147" s="8">
        <f t="shared" si="14"/>
        <v>0</v>
      </c>
      <c r="P147" s="2"/>
      <c r="Q147" s="2"/>
      <c r="R147" s="18"/>
      <c r="S147" s="2"/>
      <c r="T147" s="18"/>
      <c r="U147" s="18"/>
      <c r="V147" s="18"/>
      <c r="W147" s="18"/>
      <c r="X147" s="2"/>
      <c r="Y147" s="18"/>
      <c r="Z147" s="2"/>
      <c r="AA147" s="7">
        <f t="shared" si="15"/>
        <v>0</v>
      </c>
      <c r="AB147" s="8" t="s">
        <v>148</v>
      </c>
      <c r="AC147" s="12">
        <v>500</v>
      </c>
      <c r="AD147" s="8" t="s">
        <v>189</v>
      </c>
      <c r="AE147" s="8">
        <f t="shared" si="13"/>
        <v>0</v>
      </c>
    </row>
    <row r="148" spans="1:31" x14ac:dyDescent="0.25">
      <c r="A148" s="2">
        <v>138</v>
      </c>
      <c r="B148" s="2" t="s">
        <v>188</v>
      </c>
      <c r="C148" s="2" t="s">
        <v>129</v>
      </c>
      <c r="D148" s="2" t="s">
        <v>180</v>
      </c>
      <c r="E148" s="13">
        <v>0.3125</v>
      </c>
      <c r="F148" s="2"/>
      <c r="G148" s="3"/>
      <c r="H148" s="3">
        <v>0.16</v>
      </c>
      <c r="I148" s="2">
        <v>0</v>
      </c>
      <c r="J148" s="2">
        <f>VLOOKUP(D148,'SEMANA 36'!D143:O286,12,0)</f>
        <v>0</v>
      </c>
      <c r="K148" s="2"/>
      <c r="L148" s="2"/>
      <c r="M148" s="2"/>
      <c r="N148" s="2"/>
      <c r="O148" s="8">
        <f t="shared" si="14"/>
        <v>0</v>
      </c>
      <c r="P148" s="2"/>
      <c r="Q148" s="2"/>
      <c r="R148" s="18"/>
      <c r="S148" s="2"/>
      <c r="T148" s="18"/>
      <c r="U148" s="18"/>
      <c r="V148" s="18"/>
      <c r="W148" s="18"/>
      <c r="X148" s="2"/>
      <c r="Y148" s="18"/>
      <c r="Z148" s="2"/>
      <c r="AA148" s="7">
        <f t="shared" si="15"/>
        <v>0</v>
      </c>
      <c r="AB148" s="8" t="s">
        <v>148</v>
      </c>
      <c r="AC148" s="12">
        <v>500</v>
      </c>
      <c r="AD148" s="8" t="s">
        <v>189</v>
      </c>
      <c r="AE148" s="8">
        <f t="shared" si="13"/>
        <v>0</v>
      </c>
    </row>
    <row r="149" spans="1:31" x14ac:dyDescent="0.25">
      <c r="A149" s="2">
        <v>139</v>
      </c>
      <c r="B149" s="2" t="s">
        <v>188</v>
      </c>
      <c r="C149" s="2" t="s">
        <v>129</v>
      </c>
      <c r="D149" s="2" t="s">
        <v>181</v>
      </c>
      <c r="E149" s="13">
        <v>0.3125</v>
      </c>
      <c r="F149" s="2"/>
      <c r="G149" s="3"/>
      <c r="H149" s="3">
        <v>0.21</v>
      </c>
      <c r="I149" s="2">
        <v>0</v>
      </c>
      <c r="J149" s="2">
        <f>VLOOKUP(D149,'SEMANA 36'!D144:O287,12,0)</f>
        <v>0</v>
      </c>
      <c r="K149" s="2"/>
      <c r="L149" s="2"/>
      <c r="M149" s="2"/>
      <c r="N149" s="2"/>
      <c r="O149" s="8">
        <f t="shared" si="14"/>
        <v>0</v>
      </c>
      <c r="P149" s="2"/>
      <c r="Q149" s="2"/>
      <c r="R149" s="18"/>
      <c r="S149" s="2"/>
      <c r="T149" s="18"/>
      <c r="U149" s="18"/>
      <c r="V149" s="18"/>
      <c r="W149" s="18"/>
      <c r="X149" s="2"/>
      <c r="Y149" s="18"/>
      <c r="Z149" s="2"/>
      <c r="AA149" s="7">
        <f t="shared" si="15"/>
        <v>0</v>
      </c>
      <c r="AB149" s="8" t="s">
        <v>148</v>
      </c>
      <c r="AC149" s="12">
        <v>500</v>
      </c>
      <c r="AD149" s="8" t="s">
        <v>189</v>
      </c>
      <c r="AE149" s="8">
        <f t="shared" si="13"/>
        <v>0</v>
      </c>
    </row>
    <row r="150" spans="1:31" x14ac:dyDescent="0.25">
      <c r="A150" s="2">
        <v>140</v>
      </c>
      <c r="B150" s="2" t="s">
        <v>188</v>
      </c>
      <c r="C150" s="2" t="s">
        <v>129</v>
      </c>
      <c r="D150" s="2" t="s">
        <v>182</v>
      </c>
      <c r="E150" s="13">
        <v>0.3125</v>
      </c>
      <c r="F150" s="2"/>
      <c r="G150" s="3"/>
      <c r="H150" s="3">
        <v>0.21</v>
      </c>
      <c r="I150" s="2">
        <v>0</v>
      </c>
      <c r="J150" s="2">
        <f>VLOOKUP(D150,'SEMANA 36'!D145:O288,12,0)</f>
        <v>0</v>
      </c>
      <c r="K150" s="2"/>
      <c r="L150" s="2"/>
      <c r="M150" s="2"/>
      <c r="N150" s="2"/>
      <c r="O150" s="8">
        <f t="shared" si="14"/>
        <v>0</v>
      </c>
      <c r="P150" s="2"/>
      <c r="Q150" s="2"/>
      <c r="R150" s="18"/>
      <c r="S150" s="2"/>
      <c r="T150" s="18"/>
      <c r="U150" s="18"/>
      <c r="V150" s="18"/>
      <c r="W150" s="18"/>
      <c r="X150" s="2"/>
      <c r="Y150" s="18"/>
      <c r="Z150" s="2"/>
      <c r="AA150" s="7">
        <f t="shared" si="15"/>
        <v>0</v>
      </c>
      <c r="AB150" s="8" t="s">
        <v>148</v>
      </c>
      <c r="AC150" s="12">
        <v>500</v>
      </c>
      <c r="AD150" s="8" t="s">
        <v>189</v>
      </c>
      <c r="AE150" s="8">
        <f t="shared" si="13"/>
        <v>0</v>
      </c>
    </row>
    <row r="151" spans="1:31" x14ac:dyDescent="0.25">
      <c r="A151" s="2">
        <v>141</v>
      </c>
      <c r="B151" s="2" t="s">
        <v>188</v>
      </c>
      <c r="C151" s="2" t="s">
        <v>129</v>
      </c>
      <c r="D151" s="2" t="s">
        <v>183</v>
      </c>
      <c r="E151" s="13">
        <v>0.3125</v>
      </c>
      <c r="F151" s="2"/>
      <c r="G151" s="3"/>
      <c r="H151" s="3">
        <v>0.21</v>
      </c>
      <c r="I151" s="2">
        <v>0</v>
      </c>
      <c r="J151" s="2">
        <f>VLOOKUP(D151,'SEMANA 36'!D146:O289,12,0)</f>
        <v>0</v>
      </c>
      <c r="K151" s="2"/>
      <c r="L151" s="2"/>
      <c r="M151" s="2"/>
      <c r="N151" s="2"/>
      <c r="O151" s="8">
        <f t="shared" si="14"/>
        <v>0</v>
      </c>
      <c r="P151" s="2"/>
      <c r="Q151" s="2"/>
      <c r="R151" s="18"/>
      <c r="S151" s="2"/>
      <c r="T151" s="18"/>
      <c r="U151" s="18"/>
      <c r="V151" s="18"/>
      <c r="W151" s="18"/>
      <c r="X151" s="2"/>
      <c r="Y151" s="18"/>
      <c r="Z151" s="2"/>
      <c r="AA151" s="7">
        <f t="shared" si="15"/>
        <v>0</v>
      </c>
      <c r="AB151" s="8" t="s">
        <v>148</v>
      </c>
      <c r="AC151" s="12">
        <v>500</v>
      </c>
      <c r="AD151" s="8" t="s">
        <v>189</v>
      </c>
      <c r="AE151" s="8">
        <f t="shared" si="13"/>
        <v>0</v>
      </c>
    </row>
    <row r="152" spans="1:31" x14ac:dyDescent="0.25">
      <c r="A152" s="2">
        <v>142</v>
      </c>
      <c r="B152" s="2" t="s">
        <v>188</v>
      </c>
      <c r="C152" s="2" t="s">
        <v>129</v>
      </c>
      <c r="D152" s="2" t="s">
        <v>184</v>
      </c>
      <c r="E152" s="13">
        <v>0.3125</v>
      </c>
      <c r="F152" s="2"/>
      <c r="G152" s="3"/>
      <c r="H152" s="3">
        <v>0.21</v>
      </c>
      <c r="I152" s="2">
        <v>0</v>
      </c>
      <c r="J152" s="2">
        <f>VLOOKUP(D152,'SEMANA 36'!D147:O290,12,0)</f>
        <v>0</v>
      </c>
      <c r="K152" s="2"/>
      <c r="L152" s="2"/>
      <c r="M152" s="2"/>
      <c r="N152" s="2"/>
      <c r="O152" s="8">
        <f t="shared" si="14"/>
        <v>0</v>
      </c>
      <c r="P152" s="2"/>
      <c r="Q152" s="2"/>
      <c r="R152" s="18"/>
      <c r="S152" s="2"/>
      <c r="T152" s="18"/>
      <c r="U152" s="18"/>
      <c r="V152" s="18"/>
      <c r="W152" s="18"/>
      <c r="X152" s="2"/>
      <c r="Y152" s="18"/>
      <c r="Z152" s="2"/>
      <c r="AA152" s="7">
        <f t="shared" si="15"/>
        <v>0</v>
      </c>
      <c r="AB152" s="8" t="s">
        <v>148</v>
      </c>
      <c r="AC152" s="12">
        <v>500</v>
      </c>
      <c r="AD152" s="8" t="s">
        <v>189</v>
      </c>
      <c r="AE152" s="8">
        <f t="shared" si="13"/>
        <v>0</v>
      </c>
    </row>
    <row r="153" spans="1:31" x14ac:dyDescent="0.25">
      <c r="A153" s="2">
        <v>143</v>
      </c>
      <c r="B153" s="2" t="s">
        <v>188</v>
      </c>
      <c r="C153" s="2" t="s">
        <v>129</v>
      </c>
      <c r="D153" s="2" t="s">
        <v>185</v>
      </c>
      <c r="E153" s="13">
        <v>0.3125</v>
      </c>
      <c r="F153" s="2"/>
      <c r="G153" s="3"/>
      <c r="H153" s="3">
        <v>0.19</v>
      </c>
      <c r="I153" s="2">
        <v>0</v>
      </c>
      <c r="J153" s="2">
        <f>VLOOKUP(D153,'SEMANA 36'!D148:O291,12,0)</f>
        <v>0</v>
      </c>
      <c r="K153" s="2"/>
      <c r="L153" s="2"/>
      <c r="M153" s="2"/>
      <c r="N153" s="2"/>
      <c r="O153" s="8">
        <f t="shared" si="14"/>
        <v>0</v>
      </c>
      <c r="P153" s="2"/>
      <c r="Q153" s="2"/>
      <c r="R153" s="18"/>
      <c r="S153" s="2"/>
      <c r="T153" s="18"/>
      <c r="U153" s="18"/>
      <c r="V153" s="18"/>
      <c r="W153" s="18"/>
      <c r="X153" s="2"/>
      <c r="Y153" s="18"/>
      <c r="Z153" s="2"/>
      <c r="AA153" s="7">
        <f t="shared" si="15"/>
        <v>0</v>
      </c>
      <c r="AB153" s="8" t="s">
        <v>148</v>
      </c>
      <c r="AC153" s="12">
        <v>500</v>
      </c>
      <c r="AD153" s="8" t="s">
        <v>189</v>
      </c>
      <c r="AE153" s="8">
        <f t="shared" si="13"/>
        <v>0</v>
      </c>
    </row>
    <row r="154" spans="1:31" x14ac:dyDescent="0.25">
      <c r="A154" s="2">
        <v>144</v>
      </c>
      <c r="B154" s="2" t="s">
        <v>188</v>
      </c>
      <c r="C154" s="2" t="s">
        <v>129</v>
      </c>
      <c r="D154" s="2" t="s">
        <v>186</v>
      </c>
      <c r="E154" s="13">
        <v>0.3125</v>
      </c>
      <c r="F154" s="2"/>
      <c r="G154" s="3"/>
      <c r="H154" s="3">
        <v>0.19</v>
      </c>
      <c r="I154" s="2">
        <v>0</v>
      </c>
      <c r="J154" s="2">
        <f>VLOOKUP(D154,'SEMANA 36'!D149:O292,12,0)</f>
        <v>0</v>
      </c>
      <c r="K154" s="2"/>
      <c r="L154" s="2"/>
      <c r="M154" s="2"/>
      <c r="N154" s="2"/>
      <c r="O154" s="8">
        <f t="shared" si="14"/>
        <v>0</v>
      </c>
      <c r="P154" s="2"/>
      <c r="Q154" s="2"/>
      <c r="R154" s="18"/>
      <c r="S154" s="2"/>
      <c r="T154" s="18"/>
      <c r="U154" s="18"/>
      <c r="V154" s="18"/>
      <c r="W154" s="18"/>
      <c r="X154" s="2"/>
      <c r="Y154" s="18"/>
      <c r="Z154" s="2"/>
      <c r="AA154" s="7">
        <f t="shared" si="15"/>
        <v>0</v>
      </c>
      <c r="AB154" s="8" t="s">
        <v>148</v>
      </c>
      <c r="AC154" s="12">
        <v>500</v>
      </c>
      <c r="AD154" s="8" t="s">
        <v>189</v>
      </c>
      <c r="AE154" s="8">
        <f t="shared" si="13"/>
        <v>0</v>
      </c>
    </row>
    <row r="155" spans="1:31" x14ac:dyDescent="0.25">
      <c r="H155" s="4" t="s">
        <v>19</v>
      </c>
      <c r="I155" s="9">
        <f t="shared" ref="I155:AA155" si="16">SUM(I11:I127)</f>
        <v>19125</v>
      </c>
      <c r="J155" s="2"/>
      <c r="K155" s="9">
        <f t="shared" si="16"/>
        <v>0</v>
      </c>
      <c r="L155" s="9">
        <f t="shared" si="16"/>
        <v>0</v>
      </c>
      <c r="M155" s="9">
        <f t="shared" si="16"/>
        <v>0</v>
      </c>
      <c r="N155" s="9">
        <f t="shared" si="16"/>
        <v>0</v>
      </c>
      <c r="O155" s="11">
        <f t="shared" si="16"/>
        <v>-11866</v>
      </c>
      <c r="P155" s="9">
        <f t="shared" si="16"/>
        <v>1811</v>
      </c>
      <c r="Q155" s="9">
        <f t="shared" si="16"/>
        <v>2101</v>
      </c>
      <c r="R155" s="9">
        <f t="shared" si="16"/>
        <v>3423</v>
      </c>
      <c r="S155" s="9">
        <f t="shared" si="16"/>
        <v>0</v>
      </c>
      <c r="T155" s="9">
        <f t="shared" si="16"/>
        <v>6125</v>
      </c>
      <c r="U155" s="9">
        <f t="shared" si="16"/>
        <v>2787</v>
      </c>
      <c r="V155" s="9">
        <f t="shared" si="16"/>
        <v>3409</v>
      </c>
      <c r="W155" s="19">
        <f t="shared" si="16"/>
        <v>1529</v>
      </c>
      <c r="X155" s="9">
        <f t="shared" si="16"/>
        <v>1230</v>
      </c>
      <c r="Y155" s="9">
        <f t="shared" si="16"/>
        <v>0</v>
      </c>
      <c r="Z155" s="9">
        <f t="shared" si="16"/>
        <v>908</v>
      </c>
      <c r="AA155" s="9">
        <f t="shared" si="16"/>
        <v>0</v>
      </c>
      <c r="AE155" s="12">
        <f>SUM(AE11:AE127)</f>
        <v>49.645000000000003</v>
      </c>
    </row>
    <row r="156" spans="1:31" x14ac:dyDescent="0.25">
      <c r="H156" s="4" t="s">
        <v>21</v>
      </c>
      <c r="I156" s="99">
        <f>+I155+J155+K155+L155+M155+N155</f>
        <v>19125</v>
      </c>
      <c r="J156" s="99"/>
      <c r="K156" s="99"/>
      <c r="L156" s="99"/>
      <c r="M156" s="99"/>
      <c r="N156" s="99"/>
      <c r="P156" s="123">
        <f>+P155+Q155</f>
        <v>3912</v>
      </c>
      <c r="Q156" s="124"/>
      <c r="R156" s="123">
        <f>+R155+S155</f>
        <v>3423</v>
      </c>
      <c r="S156" s="124"/>
      <c r="T156" s="123">
        <f>+T155+U155</f>
        <v>8912</v>
      </c>
      <c r="U156" s="124"/>
      <c r="V156" s="123">
        <f t="shared" ref="V156" si="17">+V155+W155</f>
        <v>4938</v>
      </c>
      <c r="W156" s="124"/>
      <c r="X156" s="123">
        <f t="shared" ref="X156" si="18">+X155+Y155</f>
        <v>1230</v>
      </c>
      <c r="Y156" s="124"/>
      <c r="Z156" s="10">
        <f>+Z155</f>
        <v>908</v>
      </c>
    </row>
    <row r="157" spans="1:31" x14ac:dyDescent="0.25">
      <c r="I157" s="33"/>
      <c r="J157" s="33"/>
      <c r="K157" s="33">
        <f t="shared" ref="K157:N157" si="19">+K155</f>
        <v>0</v>
      </c>
      <c r="L157" s="33">
        <f t="shared" si="19"/>
        <v>0</v>
      </c>
      <c r="M157" s="33">
        <f t="shared" si="19"/>
        <v>0</v>
      </c>
      <c r="N157" s="33">
        <f t="shared" si="19"/>
        <v>0</v>
      </c>
    </row>
    <row r="158" spans="1:31" x14ac:dyDescent="0.25">
      <c r="P158" s="18" t="s">
        <v>15</v>
      </c>
      <c r="Q158" s="18" t="s">
        <v>16</v>
      </c>
      <c r="R158" s="18" t="s">
        <v>15</v>
      </c>
      <c r="S158" s="18" t="s">
        <v>16</v>
      </c>
      <c r="T158" s="18" t="s">
        <v>15</v>
      </c>
      <c r="U158" s="18" t="s">
        <v>16</v>
      </c>
      <c r="V158" s="18" t="s">
        <v>15</v>
      </c>
      <c r="W158" s="18" t="s">
        <v>16</v>
      </c>
      <c r="X158" s="82" t="s">
        <v>15</v>
      </c>
      <c r="Y158" s="18" t="s">
        <v>16</v>
      </c>
      <c r="Z158" s="18"/>
      <c r="AA158" s="18"/>
    </row>
    <row r="159" spans="1:31" x14ac:dyDescent="0.25">
      <c r="C159" s="2" t="s">
        <v>217</v>
      </c>
      <c r="D159" s="2" t="s">
        <v>218</v>
      </c>
      <c r="E159" s="2" t="s">
        <v>219</v>
      </c>
      <c r="P159" s="39">
        <f>P155/$E$160</f>
        <v>0.68502477588228627</v>
      </c>
      <c r="Q159" s="39">
        <f>Q155/$E$160</f>
        <v>0.79471952188221062</v>
      </c>
      <c r="R159" s="39">
        <f>R155/$E$160</f>
        <v>1.2947762605439348</v>
      </c>
      <c r="S159" s="39">
        <f>S155/$E$161</f>
        <v>0</v>
      </c>
      <c r="T159" s="39">
        <f>T155/$E$160</f>
        <v>2.316828687067368</v>
      </c>
      <c r="U159" s="39">
        <f>U155/$E$160</f>
        <v>1.0542043348337558</v>
      </c>
      <c r="V159" s="39">
        <f t="shared" ref="V159:Y159" si="20">V155/$E$161</f>
        <v>43.930412371134025</v>
      </c>
      <c r="W159" s="39">
        <f t="shared" si="20"/>
        <v>19.703608247422682</v>
      </c>
      <c r="X159" s="84">
        <f>X155/$E$161</f>
        <v>15.850515463917526</v>
      </c>
      <c r="Y159" s="39">
        <f t="shared" si="20"/>
        <v>0</v>
      </c>
      <c r="Z159" s="39"/>
      <c r="AA159" s="39"/>
    </row>
    <row r="160" spans="1:31" x14ac:dyDescent="0.25">
      <c r="B160" s="31" t="s">
        <v>212</v>
      </c>
      <c r="C160" s="8">
        <v>26437</v>
      </c>
      <c r="D160" s="2">
        <f>+C160/5</f>
        <v>5287.4</v>
      </c>
      <c r="E160" s="2">
        <f>+D160/2</f>
        <v>2643.7</v>
      </c>
      <c r="H160" s="22"/>
      <c r="P160" s="100">
        <v>46265</v>
      </c>
      <c r="Q160" s="98"/>
      <c r="R160" s="100">
        <v>46266</v>
      </c>
      <c r="S160" s="98"/>
      <c r="T160" s="100">
        <v>46267</v>
      </c>
      <c r="U160" s="98"/>
      <c r="V160" s="100">
        <v>46268</v>
      </c>
      <c r="W160" s="98"/>
      <c r="X160" s="100">
        <v>46269</v>
      </c>
      <c r="Y160" s="98"/>
      <c r="Z160" s="100"/>
      <c r="AA160" s="98"/>
    </row>
    <row r="161" spans="2:9" x14ac:dyDescent="0.25">
      <c r="B161" s="31" t="s">
        <v>213</v>
      </c>
      <c r="C161" s="8">
        <v>776</v>
      </c>
      <c r="D161" s="2">
        <f>+C161/5</f>
        <v>155.19999999999999</v>
      </c>
      <c r="E161" s="2">
        <f>+D161/2</f>
        <v>77.599999999999994</v>
      </c>
    </row>
    <row r="162" spans="2:9" x14ac:dyDescent="0.25">
      <c r="B162" s="31" t="s">
        <v>214</v>
      </c>
      <c r="C162" s="2">
        <f>+C160-C161</f>
        <v>25661</v>
      </c>
      <c r="D162" s="2"/>
      <c r="E162" s="2"/>
    </row>
    <row r="163" spans="2:9" x14ac:dyDescent="0.25">
      <c r="B163" s="31" t="s">
        <v>215</v>
      </c>
      <c r="C163" s="32">
        <f>+C162/C160</f>
        <v>0.97064719900139951</v>
      </c>
      <c r="D163" s="2"/>
      <c r="E163" s="2"/>
    </row>
    <row r="164" spans="2:9" x14ac:dyDescent="0.25">
      <c r="B164" s="31" t="s">
        <v>216</v>
      </c>
      <c r="C164" s="32">
        <f>+C161/C160</f>
        <v>2.9352800998600447E-2</v>
      </c>
      <c r="D164" s="2"/>
      <c r="E164" s="2"/>
    </row>
    <row r="167" spans="2:9" x14ac:dyDescent="0.25">
      <c r="B167" s="91" t="s">
        <v>238</v>
      </c>
      <c r="C167" s="42">
        <v>46265</v>
      </c>
      <c r="D167" s="42">
        <v>46266</v>
      </c>
      <c r="E167" s="42">
        <v>46267</v>
      </c>
      <c r="F167" s="42">
        <v>46268</v>
      </c>
      <c r="G167" s="42">
        <v>46269</v>
      </c>
      <c r="H167" s="42">
        <v>46270</v>
      </c>
      <c r="I167" s="42">
        <v>46269</v>
      </c>
    </row>
    <row r="168" spans="2:9" x14ac:dyDescent="0.25">
      <c r="B168" s="91"/>
      <c r="C168" s="44" t="s">
        <v>240</v>
      </c>
      <c r="D168" s="44" t="s">
        <v>223</v>
      </c>
      <c r="E168" s="44" t="s">
        <v>224</v>
      </c>
      <c r="F168" s="44" t="s">
        <v>225</v>
      </c>
      <c r="G168" s="44" t="s">
        <v>226</v>
      </c>
      <c r="I168" s="44" t="s">
        <v>229</v>
      </c>
    </row>
    <row r="169" spans="2:9" x14ac:dyDescent="0.25">
      <c r="B169" s="40" t="s">
        <v>220</v>
      </c>
      <c r="C169" s="32">
        <v>0.43</v>
      </c>
      <c r="D169" s="39">
        <v>0.53</v>
      </c>
      <c r="E169" s="39">
        <v>0.75</v>
      </c>
      <c r="F169" s="45">
        <v>0.9</v>
      </c>
      <c r="G169" s="45">
        <v>0.74</v>
      </c>
      <c r="I169" s="39">
        <v>0.97</v>
      </c>
    </row>
    <row r="170" spans="2:9" x14ac:dyDescent="0.25">
      <c r="B170" s="41" t="s">
        <v>221</v>
      </c>
      <c r="C170" s="39">
        <v>0.56999999999999995</v>
      </c>
      <c r="D170" s="39">
        <v>0.47</v>
      </c>
      <c r="E170" s="39">
        <v>0.25</v>
      </c>
      <c r="F170" s="45">
        <v>0.1</v>
      </c>
      <c r="G170" s="45">
        <v>0.26</v>
      </c>
      <c r="I170" s="39">
        <v>0.03</v>
      </c>
    </row>
  </sheetData>
  <autoFilter ref="B10:AE156" xr:uid="{00000000-0009-0000-0000-00000C000000}"/>
  <mergeCells count="22">
    <mergeCell ref="B167:B168"/>
    <mergeCell ref="P160:Q160"/>
    <mergeCell ref="R160:S160"/>
    <mergeCell ref="T160:U160"/>
    <mergeCell ref="V160:W160"/>
    <mergeCell ref="X160:Y160"/>
    <mergeCell ref="Z160:AA160"/>
    <mergeCell ref="T9:U9"/>
    <mergeCell ref="V9:W9"/>
    <mergeCell ref="X9:Y9"/>
    <mergeCell ref="X156:Y156"/>
    <mergeCell ref="I156:N156"/>
    <mergeCell ref="P156:Q156"/>
    <mergeCell ref="R156:S156"/>
    <mergeCell ref="T156:U156"/>
    <mergeCell ref="V156:W156"/>
    <mergeCell ref="R9:S9"/>
    <mergeCell ref="C7:D7"/>
    <mergeCell ref="B8:B9"/>
    <mergeCell ref="E8:F9"/>
    <mergeCell ref="J9:N9"/>
    <mergeCell ref="P9:Q9"/>
  </mergeCells>
  <conditionalFormatting sqref="P159:AA159">
    <cfRule type="cellIs" dxfId="5" priority="1" operator="between">
      <formula>1</formula>
      <formula>5</formula>
    </cfRule>
    <cfRule type="cellIs" dxfId="4" priority="2" operator="between">
      <formula>0.85</formula>
      <formula>0.99</formula>
    </cfRule>
    <cfRule type="cellIs" dxfId="3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40" orientation="landscape" r:id="rId2"/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pageSetUpPr fitToPage="1"/>
  </sheetPr>
  <dimension ref="A1:AS175"/>
  <sheetViews>
    <sheetView tabSelected="1" zoomScale="115" zoomScaleNormal="115" zoomScaleSheetLayoutView="130" workbookViewId="0">
      <pane xSplit="15" topLeftCell="Z1" activePane="topRight" state="frozen"/>
      <selection activeCell="J1" sqref="J1:N1048576"/>
      <selection pane="topRight" activeCell="A114" sqref="A114:AJ128"/>
    </sheetView>
  </sheetViews>
  <sheetFormatPr baseColWidth="10" defaultColWidth="8.7109375" defaultRowHeight="15" x14ac:dyDescent="0.25"/>
  <cols>
    <col min="1" max="1" width="8.7109375" style="1"/>
    <col min="2" max="2" width="23.7109375" style="1" bestFit="1" customWidth="1"/>
    <col min="3" max="3" width="14.42578125" style="1" customWidth="1"/>
    <col min="4" max="4" width="17.140625" style="1" customWidth="1"/>
    <col min="5" max="5" width="14.5703125" style="1" customWidth="1"/>
    <col min="6" max="6" width="13" style="1" bestFit="1" customWidth="1"/>
    <col min="7" max="7" width="10.5703125" style="1" hidden="1" customWidth="1"/>
    <col min="8" max="8" width="15.42578125" style="1" hidden="1" customWidth="1"/>
    <col min="9" max="9" width="12" style="1" bestFit="1" customWidth="1"/>
    <col min="10" max="10" width="10.140625" style="1" hidden="1" customWidth="1"/>
    <col min="11" max="12" width="9.5703125" style="1" hidden="1" customWidth="1"/>
    <col min="13" max="13" width="8.42578125" style="1" hidden="1" customWidth="1"/>
    <col min="14" max="14" width="9.28515625" style="1" hidden="1" customWidth="1"/>
    <col min="15" max="15" width="10" style="1" customWidth="1"/>
    <col min="16" max="16" width="8.7109375" style="1" hidden="1" customWidth="1"/>
    <col min="17" max="17" width="11.42578125" style="1" hidden="1" customWidth="1"/>
    <col min="18" max="25" width="8.7109375" style="1" hidden="1" customWidth="1"/>
    <col min="26" max="36" width="8.7109375" style="1" customWidth="1"/>
    <col min="37" max="37" width="8.7109375" style="1"/>
    <col min="38" max="38" width="14.42578125" style="1" bestFit="1" customWidth="1"/>
    <col min="39" max="39" width="13" style="1" customWidth="1"/>
    <col min="40" max="40" width="11.5703125" style="1" bestFit="1" customWidth="1"/>
    <col min="41" max="41" width="12.140625" style="1" bestFit="1" customWidth="1"/>
    <col min="42" max="42" width="8.7109375" style="1"/>
    <col min="43" max="43" width="14.42578125" style="1" bestFit="1" customWidth="1"/>
    <col min="44" max="44" width="18.42578125" style="1" bestFit="1" customWidth="1"/>
    <col min="45" max="16384" width="8.7109375" style="1"/>
  </cols>
  <sheetData>
    <row r="1" spans="1:45" s="87" customFormat="1" x14ac:dyDescent="0.25">
      <c r="G1" s="1"/>
      <c r="H1" s="1"/>
      <c r="K1" s="1"/>
      <c r="L1" s="1"/>
      <c r="M1" s="1"/>
      <c r="N1" s="1"/>
    </row>
    <row r="2" spans="1:45" s="87" customFormat="1" x14ac:dyDescent="0.25">
      <c r="G2" s="1"/>
      <c r="H2" s="1"/>
      <c r="K2" s="1"/>
      <c r="L2" s="1"/>
      <c r="M2" s="1"/>
      <c r="N2" s="1"/>
    </row>
    <row r="3" spans="1:45" s="87" customFormat="1" x14ac:dyDescent="0.25">
      <c r="G3" s="1"/>
      <c r="H3" s="1"/>
      <c r="K3" s="1"/>
      <c r="L3" s="1"/>
      <c r="M3" s="1"/>
      <c r="N3" s="1"/>
    </row>
    <row r="4" spans="1:45" s="87" customFormat="1" x14ac:dyDescent="0.25">
      <c r="G4" s="1"/>
      <c r="H4" s="1"/>
      <c r="K4" s="1"/>
      <c r="L4" s="1"/>
      <c r="M4" s="1"/>
      <c r="N4" s="1"/>
    </row>
    <row r="5" spans="1:45" s="87" customFormat="1" x14ac:dyDescent="0.25">
      <c r="G5" s="1"/>
      <c r="H5" s="1"/>
      <c r="K5" s="1"/>
      <c r="L5" s="1"/>
      <c r="M5" s="1"/>
      <c r="N5" s="1"/>
    </row>
    <row r="7" spans="1:45" ht="15" customHeight="1" x14ac:dyDescent="0.25">
      <c r="B7" s="4" t="s">
        <v>17</v>
      </c>
      <c r="C7" s="92" t="s">
        <v>18</v>
      </c>
      <c r="D7" s="92"/>
      <c r="J7" s="86"/>
      <c r="K7" s="85"/>
      <c r="L7" s="85"/>
      <c r="M7" s="85"/>
      <c r="N7" s="85"/>
      <c r="O7" s="86"/>
    </row>
    <row r="8" spans="1:45" ht="15" customHeight="1" x14ac:dyDescent="0.25">
      <c r="B8" s="93">
        <f ca="1">TODAY()</f>
        <v>46308</v>
      </c>
      <c r="C8" s="4" t="s">
        <v>15</v>
      </c>
      <c r="D8" s="2" t="s">
        <v>209</v>
      </c>
      <c r="E8" s="94" t="s">
        <v>239</v>
      </c>
      <c r="F8" s="95"/>
      <c r="I8" s="4" t="s">
        <v>4</v>
      </c>
      <c r="J8" s="86"/>
      <c r="K8" s="85"/>
      <c r="L8" s="85"/>
      <c r="M8" s="85"/>
      <c r="N8" s="85"/>
      <c r="O8" s="86"/>
    </row>
    <row r="9" spans="1:45" x14ac:dyDescent="0.25">
      <c r="B9" s="93"/>
      <c r="C9" s="4" t="s">
        <v>16</v>
      </c>
      <c r="D9" s="2"/>
      <c r="E9" s="96"/>
      <c r="F9" s="97"/>
      <c r="I9" s="4" t="s">
        <v>5</v>
      </c>
      <c r="J9" s="98"/>
      <c r="K9" s="98"/>
      <c r="L9" s="98"/>
      <c r="M9" s="98"/>
      <c r="N9" s="98"/>
      <c r="P9" s="101">
        <v>46300</v>
      </c>
      <c r="Q9" s="102"/>
      <c r="R9" s="101">
        <v>46301</v>
      </c>
      <c r="S9" s="102"/>
      <c r="T9" s="101">
        <v>46302</v>
      </c>
      <c r="U9" s="102"/>
      <c r="V9" s="101">
        <v>46303</v>
      </c>
      <c r="W9" s="102"/>
      <c r="X9" s="101">
        <v>46304</v>
      </c>
      <c r="Y9" s="102"/>
      <c r="Z9" s="101">
        <v>46307</v>
      </c>
      <c r="AA9" s="102"/>
      <c r="AB9" s="101">
        <v>46308</v>
      </c>
      <c r="AC9" s="102"/>
      <c r="AD9" s="101">
        <v>46309</v>
      </c>
      <c r="AE9" s="102"/>
      <c r="AF9" s="101">
        <v>46310</v>
      </c>
      <c r="AG9" s="102"/>
      <c r="AH9" s="101">
        <v>46311</v>
      </c>
      <c r="AI9" s="102"/>
      <c r="AJ9" s="6" t="s">
        <v>10</v>
      </c>
    </row>
    <row r="10" spans="1:45" x14ac:dyDescent="0.25">
      <c r="B10" s="4" t="s">
        <v>0</v>
      </c>
      <c r="C10" s="4" t="s">
        <v>6</v>
      </c>
      <c r="D10" s="4" t="s">
        <v>7</v>
      </c>
      <c r="E10" s="4" t="s">
        <v>1</v>
      </c>
      <c r="F10" s="4" t="s">
        <v>2</v>
      </c>
      <c r="G10" s="4" t="s">
        <v>3</v>
      </c>
      <c r="H10" s="4" t="s">
        <v>187</v>
      </c>
      <c r="I10" s="5">
        <v>41</v>
      </c>
      <c r="J10" s="4" t="s">
        <v>241</v>
      </c>
      <c r="K10" s="4" t="s">
        <v>242</v>
      </c>
      <c r="L10" s="4" t="s">
        <v>243</v>
      </c>
      <c r="M10" s="4" t="s">
        <v>244</v>
      </c>
      <c r="N10" s="4" t="s">
        <v>245</v>
      </c>
      <c r="O10" s="4" t="s">
        <v>14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 t="s">
        <v>20</v>
      </c>
      <c r="AK10" s="4" t="s">
        <v>8</v>
      </c>
      <c r="AL10" s="4" t="s">
        <v>22</v>
      </c>
      <c r="AM10" s="4" t="s">
        <v>145</v>
      </c>
      <c r="AN10" s="4" t="s">
        <v>23</v>
      </c>
      <c r="AO10" s="4" t="s">
        <v>156</v>
      </c>
      <c r="AP10"/>
      <c r="AQ10" t="s">
        <v>157</v>
      </c>
      <c r="AR10" t="s">
        <v>159</v>
      </c>
      <c r="AS10"/>
    </row>
    <row r="11" spans="1:45" x14ac:dyDescent="0.25">
      <c r="A11" s="2">
        <v>1</v>
      </c>
      <c r="B11" s="2" t="s">
        <v>24</v>
      </c>
      <c r="C11" s="2" t="s">
        <v>129</v>
      </c>
      <c r="D11" s="2" t="s">
        <v>25</v>
      </c>
      <c r="E11" s="13">
        <v>0.25</v>
      </c>
      <c r="F11" s="2">
        <v>2.8000000000000001E-2</v>
      </c>
      <c r="G11" s="3"/>
      <c r="H11" s="3"/>
      <c r="I11" s="2">
        <v>4500</v>
      </c>
      <c r="J11" s="2"/>
      <c r="K11" s="2"/>
      <c r="L11" s="2"/>
      <c r="M11" s="2"/>
      <c r="N11" s="2"/>
      <c r="O11" s="8">
        <f t="shared" ref="O11:O42" si="0">+I11+J11+K11+L11+M11+N11-SUM(P11:AJ11)</f>
        <v>380</v>
      </c>
      <c r="P11" s="2"/>
      <c r="Q11" s="2"/>
      <c r="R11" s="2"/>
      <c r="S11" s="2"/>
      <c r="T11" s="2"/>
      <c r="U11" s="2"/>
      <c r="V11" s="2"/>
      <c r="W11" s="2"/>
      <c r="X11" s="2">
        <v>430</v>
      </c>
      <c r="Y11" s="2"/>
      <c r="Z11" s="2">
        <v>2000</v>
      </c>
      <c r="AA11" s="2">
        <v>1690</v>
      </c>
      <c r="AB11" s="2"/>
      <c r="AC11" s="2"/>
      <c r="AD11" s="2"/>
      <c r="AE11" s="2"/>
      <c r="AF11" s="2"/>
      <c r="AG11" s="2"/>
      <c r="AH11" s="2"/>
      <c r="AI11" s="2"/>
      <c r="AJ11" s="2"/>
      <c r="AK11" s="7">
        <f t="shared" ref="AK11:AK42" si="1">+G11*SUM(I11:N11)</f>
        <v>0</v>
      </c>
      <c r="AL11" s="8" t="s">
        <v>146</v>
      </c>
      <c r="AM11" s="8">
        <v>150</v>
      </c>
      <c r="AN11" s="8" t="s">
        <v>152</v>
      </c>
      <c r="AO11" s="8">
        <f t="shared" ref="AO11:AO26" si="2">+SUM(I11:N11)/AM11</f>
        <v>30</v>
      </c>
      <c r="AP11"/>
      <c r="AQ11" s="15">
        <v>0</v>
      </c>
      <c r="AR11">
        <v>0</v>
      </c>
      <c r="AS11"/>
    </row>
    <row r="12" spans="1:45" hidden="1" x14ac:dyDescent="0.25">
      <c r="A12" s="2">
        <v>2</v>
      </c>
      <c r="B12" s="2" t="s">
        <v>24</v>
      </c>
      <c r="C12" s="2" t="s">
        <v>129</v>
      </c>
      <c r="D12" s="2" t="s">
        <v>26</v>
      </c>
      <c r="E12" s="13">
        <v>0.25</v>
      </c>
      <c r="F12" s="2">
        <v>2.8000000000000001E-2</v>
      </c>
      <c r="G12" s="3"/>
      <c r="H12" s="3"/>
      <c r="I12" s="2">
        <v>0</v>
      </c>
      <c r="J12" s="2"/>
      <c r="K12" s="2"/>
      <c r="L12" s="2"/>
      <c r="M12" s="2"/>
      <c r="N12" s="2"/>
      <c r="O12" s="8">
        <f t="shared" si="0"/>
        <v>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7">
        <f t="shared" si="1"/>
        <v>0</v>
      </c>
      <c r="AL12" s="8" t="s">
        <v>146</v>
      </c>
      <c r="AM12" s="8">
        <v>200</v>
      </c>
      <c r="AN12" s="8" t="s">
        <v>152</v>
      </c>
      <c r="AO12" s="8">
        <f t="shared" si="2"/>
        <v>0</v>
      </c>
      <c r="AP12"/>
      <c r="AQ12" s="15" t="s">
        <v>146</v>
      </c>
      <c r="AR12">
        <v>52</v>
      </c>
      <c r="AS12"/>
    </row>
    <row r="13" spans="1:45" x14ac:dyDescent="0.25">
      <c r="A13" s="2">
        <v>3</v>
      </c>
      <c r="B13" s="2" t="s">
        <v>24</v>
      </c>
      <c r="C13" s="2" t="s">
        <v>129</v>
      </c>
      <c r="D13" s="2" t="s">
        <v>27</v>
      </c>
      <c r="E13" s="13">
        <v>0.25</v>
      </c>
      <c r="F13" s="2">
        <v>2.8000000000000001E-2</v>
      </c>
      <c r="G13" s="3"/>
      <c r="H13" s="3"/>
      <c r="I13" s="2">
        <v>3500</v>
      </c>
      <c r="J13" s="2"/>
      <c r="K13" s="2"/>
      <c r="L13" s="2"/>
      <c r="M13" s="2"/>
      <c r="N13" s="2"/>
      <c r="O13" s="8">
        <f t="shared" si="0"/>
        <v>3500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7">
        <f t="shared" si="1"/>
        <v>0</v>
      </c>
      <c r="AL13" s="8" t="s">
        <v>146</v>
      </c>
      <c r="AM13" s="8">
        <v>200</v>
      </c>
      <c r="AN13" s="8" t="s">
        <v>152</v>
      </c>
      <c r="AO13" s="8">
        <f t="shared" si="2"/>
        <v>17.5</v>
      </c>
      <c r="AP13"/>
      <c r="AQ13" s="15" t="s">
        <v>155</v>
      </c>
      <c r="AR13">
        <v>0</v>
      </c>
      <c r="AS13"/>
    </row>
    <row r="14" spans="1:45" hidden="1" x14ac:dyDescent="0.25">
      <c r="A14" s="2">
        <v>4</v>
      </c>
      <c r="B14" s="2" t="s">
        <v>24</v>
      </c>
      <c r="C14" s="2" t="s">
        <v>129</v>
      </c>
      <c r="D14" s="2" t="s">
        <v>28</v>
      </c>
      <c r="E14" s="13">
        <v>0.375</v>
      </c>
      <c r="F14" s="2">
        <v>2.8000000000000001E-2</v>
      </c>
      <c r="G14" s="3"/>
      <c r="H14" s="3"/>
      <c r="I14" s="2">
        <v>0</v>
      </c>
      <c r="J14" s="2"/>
      <c r="K14" s="2"/>
      <c r="L14" s="2"/>
      <c r="M14" s="2"/>
      <c r="N14" s="2"/>
      <c r="O14" s="8">
        <f t="shared" si="0"/>
        <v>-205</v>
      </c>
      <c r="P14" s="2">
        <v>205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7">
        <f t="shared" si="1"/>
        <v>0</v>
      </c>
      <c r="AL14" s="8" t="s">
        <v>146</v>
      </c>
      <c r="AM14" s="8">
        <v>100</v>
      </c>
      <c r="AN14" s="8" t="s">
        <v>152</v>
      </c>
      <c r="AO14" s="8">
        <f t="shared" si="2"/>
        <v>0</v>
      </c>
      <c r="AP14"/>
      <c r="AQ14" s="15" t="s">
        <v>147</v>
      </c>
      <c r="AR14">
        <v>116</v>
      </c>
      <c r="AS14"/>
    </row>
    <row r="15" spans="1:45" x14ac:dyDescent="0.25">
      <c r="A15" s="2">
        <v>5</v>
      </c>
      <c r="B15" s="2" t="s">
        <v>24</v>
      </c>
      <c r="C15" s="2" t="s">
        <v>129</v>
      </c>
      <c r="D15" s="2" t="s">
        <v>29</v>
      </c>
      <c r="E15" s="13">
        <v>0.375</v>
      </c>
      <c r="F15" s="2">
        <v>2.8000000000000001E-2</v>
      </c>
      <c r="G15" s="3"/>
      <c r="H15" s="3"/>
      <c r="I15" s="2">
        <v>3500</v>
      </c>
      <c r="J15" s="2"/>
      <c r="K15" s="2"/>
      <c r="L15" s="2"/>
      <c r="M15" s="2"/>
      <c r="N15" s="2"/>
      <c r="O15" s="8">
        <f t="shared" si="0"/>
        <v>488</v>
      </c>
      <c r="P15" s="2">
        <v>3012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7">
        <f t="shared" si="1"/>
        <v>0</v>
      </c>
      <c r="AL15" s="8" t="s">
        <v>146</v>
      </c>
      <c r="AM15" s="8">
        <v>150</v>
      </c>
      <c r="AN15" s="8" t="s">
        <v>152</v>
      </c>
      <c r="AO15" s="8">
        <f t="shared" si="2"/>
        <v>23.333333333333332</v>
      </c>
      <c r="AP15"/>
      <c r="AQ15" s="15" t="s">
        <v>150</v>
      </c>
      <c r="AR15">
        <v>2</v>
      </c>
      <c r="AS15"/>
    </row>
    <row r="16" spans="1:45" hidden="1" x14ac:dyDescent="0.25">
      <c r="A16" s="2">
        <v>6</v>
      </c>
      <c r="B16" s="2" t="s">
        <v>24</v>
      </c>
      <c r="C16" s="2" t="s">
        <v>129</v>
      </c>
      <c r="D16" s="2" t="s">
        <v>30</v>
      </c>
      <c r="E16" s="13">
        <v>0.375</v>
      </c>
      <c r="F16" s="2">
        <v>2.8000000000000001E-2</v>
      </c>
      <c r="G16" s="3"/>
      <c r="H16" s="3"/>
      <c r="I16" s="2">
        <v>0</v>
      </c>
      <c r="J16" s="2"/>
      <c r="K16" s="2"/>
      <c r="L16" s="2"/>
      <c r="M16" s="2"/>
      <c r="N16" s="2"/>
      <c r="O16" s="8">
        <f t="shared" si="0"/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7">
        <f t="shared" si="1"/>
        <v>0</v>
      </c>
      <c r="AL16" s="8" t="s">
        <v>146</v>
      </c>
      <c r="AM16" s="8">
        <v>150</v>
      </c>
      <c r="AN16" s="8" t="s">
        <v>152</v>
      </c>
      <c r="AO16" s="8">
        <f t="shared" si="2"/>
        <v>0</v>
      </c>
      <c r="AP16"/>
      <c r="AQ16" s="15" t="s">
        <v>149</v>
      </c>
      <c r="AR16">
        <v>10</v>
      </c>
      <c r="AS16"/>
    </row>
    <row r="17" spans="1:45" hidden="1" x14ac:dyDescent="0.25">
      <c r="A17" s="2">
        <v>7</v>
      </c>
      <c r="B17" s="2" t="s">
        <v>24</v>
      </c>
      <c r="C17" s="2" t="s">
        <v>129</v>
      </c>
      <c r="D17" s="2" t="s">
        <v>31</v>
      </c>
      <c r="E17" s="13">
        <v>0.375</v>
      </c>
      <c r="F17" s="2">
        <v>2.8000000000000001E-2</v>
      </c>
      <c r="G17" s="3"/>
      <c r="H17" s="3"/>
      <c r="I17" s="2">
        <v>0</v>
      </c>
      <c r="J17" s="2"/>
      <c r="K17" s="2"/>
      <c r="L17" s="2"/>
      <c r="M17" s="2"/>
      <c r="N17" s="2"/>
      <c r="O17" s="8">
        <f t="shared" si="0"/>
        <v>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7">
        <f t="shared" si="1"/>
        <v>0</v>
      </c>
      <c r="AL17" s="8" t="s">
        <v>146</v>
      </c>
      <c r="AM17" s="8">
        <v>50</v>
      </c>
      <c r="AN17" s="8" t="s">
        <v>152</v>
      </c>
      <c r="AO17" s="8">
        <f t="shared" si="2"/>
        <v>0</v>
      </c>
      <c r="AP17"/>
      <c r="AQ17" s="15" t="s">
        <v>158</v>
      </c>
      <c r="AR17">
        <v>180</v>
      </c>
      <c r="AS17"/>
    </row>
    <row r="18" spans="1:45" hidden="1" x14ac:dyDescent="0.25">
      <c r="A18" s="2">
        <v>8</v>
      </c>
      <c r="B18" s="2" t="s">
        <v>24</v>
      </c>
      <c r="C18" s="2" t="s">
        <v>129</v>
      </c>
      <c r="D18" s="2" t="s">
        <v>32</v>
      </c>
      <c r="E18" s="13">
        <v>0.375</v>
      </c>
      <c r="F18" s="2">
        <v>2.8000000000000001E-2</v>
      </c>
      <c r="G18" s="3"/>
      <c r="H18" s="3"/>
      <c r="I18" s="2">
        <v>0</v>
      </c>
      <c r="J18" s="2"/>
      <c r="K18" s="2"/>
      <c r="L18" s="2"/>
      <c r="M18" s="2"/>
      <c r="N18" s="2"/>
      <c r="O18" s="8">
        <f t="shared" si="0"/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7">
        <f t="shared" si="1"/>
        <v>0</v>
      </c>
      <c r="AL18" s="8" t="s">
        <v>146</v>
      </c>
      <c r="AM18" s="8">
        <v>100</v>
      </c>
      <c r="AN18" s="8" t="s">
        <v>152</v>
      </c>
      <c r="AO18" s="8">
        <f t="shared" si="2"/>
        <v>0</v>
      </c>
      <c r="AP18"/>
      <c r="AQ18"/>
      <c r="AR18"/>
      <c r="AS18"/>
    </row>
    <row r="19" spans="1:45" hidden="1" x14ac:dyDescent="0.25">
      <c r="A19" s="2">
        <v>9</v>
      </c>
      <c r="B19" s="2" t="s">
        <v>24</v>
      </c>
      <c r="C19" s="2" t="s">
        <v>129</v>
      </c>
      <c r="D19" s="2" t="s">
        <v>33</v>
      </c>
      <c r="E19" s="13">
        <v>0.375</v>
      </c>
      <c r="F19" s="2">
        <v>2.8000000000000001E-2</v>
      </c>
      <c r="G19" s="3"/>
      <c r="H19" s="3"/>
      <c r="I19" s="2">
        <v>1500</v>
      </c>
      <c r="J19" s="2"/>
      <c r="K19" s="2"/>
      <c r="L19" s="2"/>
      <c r="M19" s="2"/>
      <c r="N19" s="2"/>
      <c r="O19" s="8">
        <f t="shared" si="0"/>
        <v>-292</v>
      </c>
      <c r="P19" s="2">
        <v>942</v>
      </c>
      <c r="Q19" s="2"/>
      <c r="R19" s="2">
        <v>850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7">
        <f t="shared" si="1"/>
        <v>0</v>
      </c>
      <c r="AL19" s="8" t="s">
        <v>146</v>
      </c>
      <c r="AM19" s="8">
        <v>50</v>
      </c>
      <c r="AN19" s="8" t="s">
        <v>152</v>
      </c>
      <c r="AO19" s="8">
        <f t="shared" si="2"/>
        <v>30</v>
      </c>
      <c r="AP19"/>
      <c r="AQ19"/>
      <c r="AR19"/>
      <c r="AS19"/>
    </row>
    <row r="20" spans="1:45" x14ac:dyDescent="0.25">
      <c r="A20" s="2">
        <v>10</v>
      </c>
      <c r="B20" s="2" t="s">
        <v>24</v>
      </c>
      <c r="C20" s="2" t="s">
        <v>129</v>
      </c>
      <c r="D20" s="2" t="s">
        <v>34</v>
      </c>
      <c r="E20" s="13">
        <v>0.375</v>
      </c>
      <c r="F20" s="2">
        <v>2.8000000000000001E-2</v>
      </c>
      <c r="G20" s="3"/>
      <c r="H20" s="3"/>
      <c r="I20" s="2">
        <v>2000</v>
      </c>
      <c r="J20" s="2"/>
      <c r="K20" s="2"/>
      <c r="L20" s="2"/>
      <c r="M20" s="2"/>
      <c r="N20" s="2"/>
      <c r="O20" s="8">
        <f t="shared" si="0"/>
        <v>2000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4"/>
      <c r="AK20" s="7">
        <f t="shared" si="1"/>
        <v>0</v>
      </c>
      <c r="AL20" s="8" t="s">
        <v>147</v>
      </c>
      <c r="AM20" s="8">
        <v>60</v>
      </c>
      <c r="AN20" s="8" t="s">
        <v>152</v>
      </c>
      <c r="AO20" s="8">
        <f t="shared" si="2"/>
        <v>33.333333333333336</v>
      </c>
      <c r="AP20"/>
      <c r="AQ20"/>
      <c r="AR20"/>
      <c r="AS20"/>
    </row>
    <row r="21" spans="1:45" x14ac:dyDescent="0.25">
      <c r="A21" s="2">
        <v>11</v>
      </c>
      <c r="B21" s="2" t="s">
        <v>24</v>
      </c>
      <c r="C21" s="2" t="s">
        <v>129</v>
      </c>
      <c r="D21" s="2" t="s">
        <v>35</v>
      </c>
      <c r="E21" s="13">
        <v>0.5</v>
      </c>
      <c r="F21" s="2">
        <v>2.8000000000000001E-2</v>
      </c>
      <c r="G21" s="3"/>
      <c r="H21" s="3"/>
      <c r="I21" s="2">
        <v>8000</v>
      </c>
      <c r="J21" s="2"/>
      <c r="K21" s="2"/>
      <c r="L21" s="2"/>
      <c r="M21" s="2"/>
      <c r="N21" s="2"/>
      <c r="O21" s="8">
        <f t="shared" si="0"/>
        <v>162</v>
      </c>
      <c r="P21" s="2"/>
      <c r="Q21" s="2"/>
      <c r="R21" s="2"/>
      <c r="S21" s="2">
        <v>900</v>
      </c>
      <c r="T21" s="2">
        <v>2000</v>
      </c>
      <c r="U21" s="2">
        <v>600</v>
      </c>
      <c r="V21" s="2">
        <v>2331</v>
      </c>
      <c r="W21" s="2"/>
      <c r="X21" s="2">
        <v>600</v>
      </c>
      <c r="Y21" s="2">
        <v>600</v>
      </c>
      <c r="Z21" s="2">
        <v>500</v>
      </c>
      <c r="AA21" s="2">
        <v>307</v>
      </c>
      <c r="AB21" s="2"/>
      <c r="AC21" s="2"/>
      <c r="AD21" s="2"/>
      <c r="AE21" s="2"/>
      <c r="AF21" s="2"/>
      <c r="AG21" s="2"/>
      <c r="AH21" s="2"/>
      <c r="AI21" s="2"/>
      <c r="AJ21" s="2"/>
      <c r="AK21" s="7">
        <f t="shared" si="1"/>
        <v>0</v>
      </c>
      <c r="AL21" s="8" t="s">
        <v>148</v>
      </c>
      <c r="AM21" s="8">
        <v>100</v>
      </c>
      <c r="AN21" s="8" t="s">
        <v>152</v>
      </c>
      <c r="AO21" s="8">
        <f t="shared" si="2"/>
        <v>80</v>
      </c>
      <c r="AP21"/>
      <c r="AQ21"/>
      <c r="AR21"/>
      <c r="AS21"/>
    </row>
    <row r="22" spans="1:45" x14ac:dyDescent="0.25">
      <c r="A22" s="2">
        <v>12</v>
      </c>
      <c r="B22" s="2" t="s">
        <v>24</v>
      </c>
      <c r="C22" s="2" t="s">
        <v>129</v>
      </c>
      <c r="D22" s="2" t="s">
        <v>36</v>
      </c>
      <c r="E22" s="13">
        <v>0.5</v>
      </c>
      <c r="F22" s="2">
        <v>2.8000000000000001E-2</v>
      </c>
      <c r="G22" s="3"/>
      <c r="H22" s="3"/>
      <c r="I22" s="2">
        <v>1600</v>
      </c>
      <c r="J22" s="2"/>
      <c r="K22" s="2"/>
      <c r="L22" s="2"/>
      <c r="M22" s="2"/>
      <c r="N22" s="2"/>
      <c r="O22" s="8">
        <f t="shared" si="0"/>
        <v>115</v>
      </c>
      <c r="P22" s="2"/>
      <c r="Q22" s="2"/>
      <c r="R22" s="2"/>
      <c r="S22" s="2">
        <v>869</v>
      </c>
      <c r="T22" s="2">
        <v>616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7">
        <f t="shared" si="1"/>
        <v>0</v>
      </c>
      <c r="AL22" s="8" t="s">
        <v>149</v>
      </c>
      <c r="AM22" s="8">
        <v>100</v>
      </c>
      <c r="AN22" s="8" t="s">
        <v>152</v>
      </c>
      <c r="AO22" s="8">
        <f t="shared" si="2"/>
        <v>16</v>
      </c>
      <c r="AP22"/>
      <c r="AQ22"/>
      <c r="AR22"/>
      <c r="AS22"/>
    </row>
    <row r="23" spans="1:45" hidden="1" x14ac:dyDescent="0.25">
      <c r="A23" s="2">
        <v>13</v>
      </c>
      <c r="B23" s="2" t="s">
        <v>24</v>
      </c>
      <c r="C23" s="2" t="s">
        <v>129</v>
      </c>
      <c r="D23" s="2" t="s">
        <v>37</v>
      </c>
      <c r="E23" s="13">
        <v>0.5</v>
      </c>
      <c r="F23" s="2">
        <v>2.8000000000000001E-2</v>
      </c>
      <c r="G23" s="3"/>
      <c r="H23" s="3"/>
      <c r="I23" s="2">
        <v>0</v>
      </c>
      <c r="J23" s="2"/>
      <c r="K23" s="2"/>
      <c r="L23" s="2"/>
      <c r="M23" s="2"/>
      <c r="N23" s="2"/>
      <c r="O23" s="8">
        <f t="shared" si="0"/>
        <v>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7">
        <f t="shared" si="1"/>
        <v>0</v>
      </c>
      <c r="AL23" s="8" t="s">
        <v>149</v>
      </c>
      <c r="AM23" s="8">
        <v>100</v>
      </c>
      <c r="AN23" s="8" t="s">
        <v>152</v>
      </c>
      <c r="AO23" s="8">
        <f t="shared" si="2"/>
        <v>0</v>
      </c>
      <c r="AP23"/>
      <c r="AQ23"/>
      <c r="AR23"/>
      <c r="AS23"/>
    </row>
    <row r="24" spans="1:45" hidden="1" x14ac:dyDescent="0.25">
      <c r="A24" s="2">
        <v>14</v>
      </c>
      <c r="B24" s="2" t="s">
        <v>24</v>
      </c>
      <c r="C24" s="2" t="s">
        <v>129</v>
      </c>
      <c r="D24" s="2" t="s">
        <v>38</v>
      </c>
      <c r="E24" s="13">
        <v>0.5</v>
      </c>
      <c r="F24" s="2">
        <v>2.8000000000000001E-2</v>
      </c>
      <c r="G24" s="3"/>
      <c r="H24" s="3"/>
      <c r="I24" s="2">
        <v>0</v>
      </c>
      <c r="J24" s="2"/>
      <c r="K24" s="2"/>
      <c r="L24" s="2"/>
      <c r="M24" s="2"/>
      <c r="N24" s="2"/>
      <c r="O24" s="8">
        <f t="shared" si="0"/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7">
        <f t="shared" si="1"/>
        <v>0</v>
      </c>
      <c r="AL24" s="8" t="s">
        <v>149</v>
      </c>
      <c r="AM24" s="8">
        <v>100</v>
      </c>
      <c r="AN24" s="8" t="s">
        <v>152</v>
      </c>
      <c r="AO24" s="8">
        <f t="shared" si="2"/>
        <v>0</v>
      </c>
      <c r="AP24"/>
      <c r="AQ24"/>
      <c r="AR24"/>
      <c r="AS24"/>
    </row>
    <row r="25" spans="1:45" hidden="1" x14ac:dyDescent="0.25">
      <c r="A25" s="2">
        <v>15</v>
      </c>
      <c r="B25" s="2" t="s">
        <v>24</v>
      </c>
      <c r="C25" s="2" t="s">
        <v>129</v>
      </c>
      <c r="D25" s="2" t="s">
        <v>39</v>
      </c>
      <c r="E25" s="13">
        <v>0.5</v>
      </c>
      <c r="F25" s="2">
        <v>2.8000000000000001E-2</v>
      </c>
      <c r="G25" s="3"/>
      <c r="H25" s="3"/>
      <c r="I25" s="2">
        <v>0</v>
      </c>
      <c r="J25" s="2"/>
      <c r="K25" s="2"/>
      <c r="L25" s="2"/>
      <c r="M25" s="2"/>
      <c r="N25" s="2"/>
      <c r="O25" s="8">
        <f t="shared" si="0"/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7">
        <f t="shared" si="1"/>
        <v>0</v>
      </c>
      <c r="AL25" s="8" t="s">
        <v>149</v>
      </c>
      <c r="AM25" s="8">
        <v>80</v>
      </c>
      <c r="AN25" s="8" t="s">
        <v>152</v>
      </c>
      <c r="AO25" s="8">
        <f t="shared" si="2"/>
        <v>0</v>
      </c>
      <c r="AP25"/>
      <c r="AQ25"/>
      <c r="AR25"/>
      <c r="AS25"/>
    </row>
    <row r="26" spans="1:45" hidden="1" x14ac:dyDescent="0.25">
      <c r="A26" s="2">
        <v>16</v>
      </c>
      <c r="B26" s="2" t="s">
        <v>24</v>
      </c>
      <c r="C26" s="2" t="s">
        <v>129</v>
      </c>
      <c r="D26" s="2" t="s">
        <v>40</v>
      </c>
      <c r="E26" s="13">
        <v>0.5</v>
      </c>
      <c r="F26" s="2">
        <v>2.8000000000000001E-2</v>
      </c>
      <c r="G26" s="3"/>
      <c r="H26" s="3"/>
      <c r="I26" s="2">
        <v>0</v>
      </c>
      <c r="J26" s="2"/>
      <c r="K26" s="2"/>
      <c r="L26" s="2"/>
      <c r="M26" s="2"/>
      <c r="N26" s="2"/>
      <c r="O26" s="8">
        <f t="shared" si="0"/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7">
        <f t="shared" si="1"/>
        <v>0</v>
      </c>
      <c r="AL26" s="8" t="s">
        <v>149</v>
      </c>
      <c r="AM26" s="8">
        <v>100</v>
      </c>
      <c r="AN26" s="8" t="s">
        <v>152</v>
      </c>
      <c r="AO26" s="8">
        <f t="shared" si="2"/>
        <v>0</v>
      </c>
      <c r="AP26"/>
      <c r="AQ26"/>
      <c r="AR26"/>
      <c r="AS26"/>
    </row>
    <row r="27" spans="1:45" hidden="1" x14ac:dyDescent="0.25">
      <c r="A27" s="2">
        <v>17</v>
      </c>
      <c r="B27" s="2" t="s">
        <v>24</v>
      </c>
      <c r="C27" s="2" t="s">
        <v>129</v>
      </c>
      <c r="D27" s="2" t="s">
        <v>41</v>
      </c>
      <c r="E27" s="13">
        <v>0.5</v>
      </c>
      <c r="F27" s="2">
        <v>2.8000000000000001E-2</v>
      </c>
      <c r="G27" s="3"/>
      <c r="H27" s="3"/>
      <c r="I27" s="2">
        <v>0</v>
      </c>
      <c r="J27" s="2"/>
      <c r="K27" s="2"/>
      <c r="L27" s="2"/>
      <c r="M27" s="2"/>
      <c r="N27" s="2"/>
      <c r="O27" s="8">
        <f t="shared" si="0"/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7">
        <f t="shared" si="1"/>
        <v>0</v>
      </c>
      <c r="AL27" s="8">
        <v>0</v>
      </c>
      <c r="AM27" s="8">
        <v>0</v>
      </c>
      <c r="AN27" s="8" t="s">
        <v>152</v>
      </c>
      <c r="AO27" s="8">
        <v>0</v>
      </c>
      <c r="AP27"/>
      <c r="AQ27"/>
      <c r="AR27"/>
      <c r="AS27"/>
    </row>
    <row r="28" spans="1:45" hidden="1" x14ac:dyDescent="0.25">
      <c r="A28" s="2">
        <v>18</v>
      </c>
      <c r="B28" s="2" t="s">
        <v>24</v>
      </c>
      <c r="C28" s="2" t="s">
        <v>129</v>
      </c>
      <c r="D28" s="2" t="s">
        <v>42</v>
      </c>
      <c r="E28" s="13">
        <v>0.5</v>
      </c>
      <c r="F28" s="2">
        <v>2.8000000000000001E-2</v>
      </c>
      <c r="G28" s="3"/>
      <c r="H28" s="3"/>
      <c r="I28" s="2">
        <v>0</v>
      </c>
      <c r="J28" s="2"/>
      <c r="K28" s="2"/>
      <c r="L28" s="2"/>
      <c r="M28" s="2"/>
      <c r="N28" s="2"/>
      <c r="O28" s="8">
        <f t="shared" si="0"/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7">
        <f t="shared" si="1"/>
        <v>0</v>
      </c>
      <c r="AL28" s="8">
        <v>0</v>
      </c>
      <c r="AM28" s="8">
        <v>0</v>
      </c>
      <c r="AN28" s="8" t="s">
        <v>152</v>
      </c>
      <c r="AO28" s="8">
        <v>0</v>
      </c>
      <c r="AP28"/>
    </row>
    <row r="29" spans="1:45" hidden="1" x14ac:dyDescent="0.25">
      <c r="A29" s="2">
        <v>19</v>
      </c>
      <c r="B29" s="2" t="s">
        <v>24</v>
      </c>
      <c r="C29" s="2" t="s">
        <v>129</v>
      </c>
      <c r="D29" s="2" t="s">
        <v>43</v>
      </c>
      <c r="E29" s="13">
        <v>0.5</v>
      </c>
      <c r="F29" s="2">
        <v>2.8000000000000001E-2</v>
      </c>
      <c r="G29" s="3"/>
      <c r="H29" s="3"/>
      <c r="I29" s="2">
        <v>0</v>
      </c>
      <c r="J29" s="2"/>
      <c r="K29" s="2"/>
      <c r="L29" s="2"/>
      <c r="M29" s="2"/>
      <c r="N29" s="2"/>
      <c r="O29" s="8">
        <f t="shared" si="0"/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7">
        <f t="shared" si="1"/>
        <v>0</v>
      </c>
      <c r="AL29" s="8">
        <v>0</v>
      </c>
      <c r="AM29" s="8">
        <v>0</v>
      </c>
      <c r="AN29" s="8" t="s">
        <v>152</v>
      </c>
      <c r="AO29" s="8">
        <v>0</v>
      </c>
      <c r="AP29"/>
    </row>
    <row r="30" spans="1:45" hidden="1" x14ac:dyDescent="0.25">
      <c r="A30" s="2">
        <v>20</v>
      </c>
      <c r="B30" s="2" t="s">
        <v>24</v>
      </c>
      <c r="C30" s="2" t="s">
        <v>129</v>
      </c>
      <c r="D30" s="2" t="s">
        <v>44</v>
      </c>
      <c r="E30" s="13">
        <v>0.5</v>
      </c>
      <c r="F30" s="2">
        <v>2.8000000000000001E-2</v>
      </c>
      <c r="G30" s="3"/>
      <c r="H30" s="3"/>
      <c r="I30" s="2">
        <v>0</v>
      </c>
      <c r="J30" s="2"/>
      <c r="K30" s="2"/>
      <c r="L30" s="2"/>
      <c r="M30" s="2"/>
      <c r="N30" s="2"/>
      <c r="O30" s="8">
        <f t="shared" si="0"/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7">
        <f t="shared" si="1"/>
        <v>0</v>
      </c>
      <c r="AL30" s="8">
        <v>0</v>
      </c>
      <c r="AM30" s="8">
        <v>0</v>
      </c>
      <c r="AN30" s="8" t="s">
        <v>152</v>
      </c>
      <c r="AO30" s="8">
        <v>0</v>
      </c>
      <c r="AP30"/>
    </row>
    <row r="31" spans="1:45" hidden="1" x14ac:dyDescent="0.25">
      <c r="A31" s="2">
        <v>21</v>
      </c>
      <c r="B31" s="2" t="s">
        <v>24</v>
      </c>
      <c r="C31" s="2" t="s">
        <v>129</v>
      </c>
      <c r="D31" s="2" t="s">
        <v>45</v>
      </c>
      <c r="E31" s="13">
        <v>0.5</v>
      </c>
      <c r="F31" s="2">
        <v>2.8000000000000001E-2</v>
      </c>
      <c r="G31" s="3"/>
      <c r="H31" s="3"/>
      <c r="I31" s="2">
        <v>0</v>
      </c>
      <c r="J31" s="2"/>
      <c r="K31" s="2"/>
      <c r="L31" s="2"/>
      <c r="M31" s="2"/>
      <c r="N31" s="2"/>
      <c r="O31" s="8">
        <f t="shared" si="0"/>
        <v>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7">
        <f t="shared" si="1"/>
        <v>0</v>
      </c>
      <c r="AL31" s="8">
        <v>0</v>
      </c>
      <c r="AM31" s="8">
        <v>0</v>
      </c>
      <c r="AN31" s="8" t="s">
        <v>152</v>
      </c>
      <c r="AO31" s="8">
        <v>0</v>
      </c>
      <c r="AP31"/>
    </row>
    <row r="32" spans="1:45" hidden="1" x14ac:dyDescent="0.25">
      <c r="A32" s="2">
        <v>22</v>
      </c>
      <c r="B32" s="2" t="s">
        <v>24</v>
      </c>
      <c r="C32" s="2" t="s">
        <v>129</v>
      </c>
      <c r="D32" s="2" t="s">
        <v>46</v>
      </c>
      <c r="E32" s="13">
        <v>0.5</v>
      </c>
      <c r="F32" s="2">
        <v>2.8000000000000001E-2</v>
      </c>
      <c r="G32" s="3"/>
      <c r="H32" s="3"/>
      <c r="I32" s="2">
        <v>0</v>
      </c>
      <c r="J32" s="2"/>
      <c r="K32" s="2"/>
      <c r="L32" s="2"/>
      <c r="M32" s="2"/>
      <c r="N32" s="2"/>
      <c r="O32" s="8">
        <f t="shared" si="0"/>
        <v>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7">
        <f t="shared" si="1"/>
        <v>0</v>
      </c>
      <c r="AL32" s="8">
        <v>0</v>
      </c>
      <c r="AM32" s="8">
        <v>0</v>
      </c>
      <c r="AN32" s="8" t="s">
        <v>152</v>
      </c>
      <c r="AO32" s="8">
        <v>0</v>
      </c>
      <c r="AP32"/>
    </row>
    <row r="33" spans="1:42" hidden="1" x14ac:dyDescent="0.25">
      <c r="A33" s="2">
        <v>23</v>
      </c>
      <c r="B33" s="2" t="s">
        <v>24</v>
      </c>
      <c r="C33" s="2" t="s">
        <v>129</v>
      </c>
      <c r="D33" s="2" t="s">
        <v>47</v>
      </c>
      <c r="E33" s="13">
        <v>0.5</v>
      </c>
      <c r="F33" s="2">
        <v>2.8000000000000001E-2</v>
      </c>
      <c r="G33" s="3"/>
      <c r="H33" s="3"/>
      <c r="I33" s="2">
        <v>0</v>
      </c>
      <c r="J33" s="2"/>
      <c r="K33" s="2"/>
      <c r="L33" s="2"/>
      <c r="M33" s="2"/>
      <c r="N33" s="2"/>
      <c r="O33" s="8">
        <f t="shared" si="0"/>
        <v>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7">
        <f t="shared" si="1"/>
        <v>0</v>
      </c>
      <c r="AL33" s="8">
        <v>0</v>
      </c>
      <c r="AM33" s="8">
        <v>0</v>
      </c>
      <c r="AN33" s="8" t="s">
        <v>152</v>
      </c>
      <c r="AO33" s="8">
        <v>0</v>
      </c>
      <c r="AP33"/>
    </row>
    <row r="34" spans="1:42" hidden="1" x14ac:dyDescent="0.25">
      <c r="A34" s="2">
        <v>24</v>
      </c>
      <c r="B34" s="2" t="s">
        <v>24</v>
      </c>
      <c r="C34" s="2" t="s">
        <v>129</v>
      </c>
      <c r="D34" s="2" t="s">
        <v>48</v>
      </c>
      <c r="E34" s="13">
        <v>0.5</v>
      </c>
      <c r="F34" s="2">
        <v>2.8000000000000001E-2</v>
      </c>
      <c r="G34" s="3"/>
      <c r="H34" s="3"/>
      <c r="I34" s="2">
        <v>0</v>
      </c>
      <c r="J34" s="2"/>
      <c r="K34" s="2"/>
      <c r="L34" s="2"/>
      <c r="M34" s="2"/>
      <c r="N34" s="2"/>
      <c r="O34" s="8">
        <f t="shared" si="0"/>
        <v>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7">
        <f t="shared" si="1"/>
        <v>0</v>
      </c>
      <c r="AL34" s="8">
        <v>0</v>
      </c>
      <c r="AM34" s="8">
        <v>0</v>
      </c>
      <c r="AN34" s="8" t="s">
        <v>152</v>
      </c>
      <c r="AO34" s="8">
        <v>0</v>
      </c>
      <c r="AP34"/>
    </row>
    <row r="35" spans="1:42" hidden="1" x14ac:dyDescent="0.25">
      <c r="A35" s="2">
        <v>25</v>
      </c>
      <c r="B35" s="2" t="s">
        <v>24</v>
      </c>
      <c r="C35" s="2" t="s">
        <v>129</v>
      </c>
      <c r="D35" s="2" t="s">
        <v>49</v>
      </c>
      <c r="E35" s="13">
        <v>0.5</v>
      </c>
      <c r="F35" s="2">
        <v>2.8000000000000001E-2</v>
      </c>
      <c r="G35" s="3"/>
      <c r="H35" s="3"/>
      <c r="I35" s="2">
        <v>0</v>
      </c>
      <c r="J35" s="2"/>
      <c r="K35" s="2"/>
      <c r="L35" s="2"/>
      <c r="M35" s="2"/>
      <c r="N35" s="2"/>
      <c r="O35" s="8">
        <f t="shared" si="0"/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7">
        <f t="shared" si="1"/>
        <v>0</v>
      </c>
      <c r="AL35" s="8">
        <v>0</v>
      </c>
      <c r="AM35" s="8">
        <v>0</v>
      </c>
      <c r="AN35" s="8" t="s">
        <v>152</v>
      </c>
      <c r="AO35" s="8">
        <v>0</v>
      </c>
      <c r="AP35"/>
    </row>
    <row r="36" spans="1:42" hidden="1" x14ac:dyDescent="0.25">
      <c r="A36" s="2">
        <v>26</v>
      </c>
      <c r="B36" s="2" t="s">
        <v>24</v>
      </c>
      <c r="C36" s="2" t="s">
        <v>129</v>
      </c>
      <c r="D36" s="2" t="s">
        <v>50</v>
      </c>
      <c r="E36" s="13">
        <v>0.5</v>
      </c>
      <c r="F36" s="2">
        <v>2.8000000000000001E-2</v>
      </c>
      <c r="G36" s="3"/>
      <c r="H36" s="3"/>
      <c r="I36" s="2">
        <v>0</v>
      </c>
      <c r="J36" s="2"/>
      <c r="K36" s="2"/>
      <c r="L36" s="2"/>
      <c r="M36" s="2"/>
      <c r="N36" s="2"/>
      <c r="O36" s="8">
        <f t="shared" si="0"/>
        <v>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7">
        <f t="shared" si="1"/>
        <v>0</v>
      </c>
      <c r="AL36" s="8">
        <v>0</v>
      </c>
      <c r="AM36" s="8">
        <v>0</v>
      </c>
      <c r="AN36" s="8" t="s">
        <v>152</v>
      </c>
      <c r="AO36" s="8">
        <v>0</v>
      </c>
      <c r="AP36"/>
    </row>
    <row r="37" spans="1:42" hidden="1" x14ac:dyDescent="0.25">
      <c r="A37" s="2">
        <v>27</v>
      </c>
      <c r="B37" s="2" t="s">
        <v>24</v>
      </c>
      <c r="C37" s="2" t="s">
        <v>129</v>
      </c>
      <c r="D37" s="2" t="s">
        <v>51</v>
      </c>
      <c r="E37" s="13">
        <v>0.5</v>
      </c>
      <c r="F37" s="2">
        <v>2.8000000000000001E-2</v>
      </c>
      <c r="G37" s="3"/>
      <c r="H37" s="3"/>
      <c r="I37" s="2">
        <v>0</v>
      </c>
      <c r="J37" s="2"/>
      <c r="K37" s="2"/>
      <c r="L37" s="2"/>
      <c r="M37" s="2"/>
      <c r="N37" s="2"/>
      <c r="O37" s="8">
        <f t="shared" si="0"/>
        <v>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7">
        <f t="shared" si="1"/>
        <v>0</v>
      </c>
      <c r="AL37" s="8">
        <v>0</v>
      </c>
      <c r="AM37" s="8">
        <v>0</v>
      </c>
      <c r="AN37" s="8" t="s">
        <v>152</v>
      </c>
      <c r="AO37" s="8">
        <v>0</v>
      </c>
      <c r="AP37"/>
    </row>
    <row r="38" spans="1:42" hidden="1" x14ac:dyDescent="0.25">
      <c r="A38" s="2">
        <v>28</v>
      </c>
      <c r="B38" s="2" t="s">
        <v>24</v>
      </c>
      <c r="C38" s="2" t="s">
        <v>129</v>
      </c>
      <c r="D38" s="2" t="s">
        <v>52</v>
      </c>
      <c r="E38" s="13">
        <v>0.5</v>
      </c>
      <c r="F38" s="2">
        <v>2.8000000000000001E-2</v>
      </c>
      <c r="G38" s="3"/>
      <c r="H38" s="3"/>
      <c r="I38" s="2">
        <v>0</v>
      </c>
      <c r="J38" s="2"/>
      <c r="K38" s="2"/>
      <c r="L38" s="2"/>
      <c r="M38" s="2"/>
      <c r="N38" s="2"/>
      <c r="O38" s="8">
        <f t="shared" si="0"/>
        <v>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7">
        <f t="shared" si="1"/>
        <v>0</v>
      </c>
      <c r="AL38" s="8">
        <v>0</v>
      </c>
      <c r="AM38" s="8">
        <v>0</v>
      </c>
      <c r="AN38" s="8" t="s">
        <v>152</v>
      </c>
      <c r="AO38" s="8">
        <v>0</v>
      </c>
      <c r="AP38"/>
    </row>
    <row r="39" spans="1:42" hidden="1" x14ac:dyDescent="0.25">
      <c r="A39" s="2">
        <v>29</v>
      </c>
      <c r="B39" s="2" t="s">
        <v>24</v>
      </c>
      <c r="C39" s="2" t="s">
        <v>129</v>
      </c>
      <c r="D39" s="2" t="s">
        <v>53</v>
      </c>
      <c r="E39" s="13">
        <v>0.5</v>
      </c>
      <c r="F39" s="2">
        <v>2.8000000000000001E-2</v>
      </c>
      <c r="G39" s="3"/>
      <c r="H39" s="3"/>
      <c r="I39" s="2">
        <v>0</v>
      </c>
      <c r="J39" s="2"/>
      <c r="K39" s="2"/>
      <c r="L39" s="2"/>
      <c r="M39" s="2"/>
      <c r="N39" s="2"/>
      <c r="O39" s="8">
        <f t="shared" si="0"/>
        <v>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7">
        <f t="shared" si="1"/>
        <v>0</v>
      </c>
      <c r="AL39" s="8">
        <v>0</v>
      </c>
      <c r="AM39" s="8">
        <v>0</v>
      </c>
      <c r="AN39" s="8" t="s">
        <v>152</v>
      </c>
      <c r="AO39" s="8">
        <v>0</v>
      </c>
      <c r="AP39"/>
    </row>
    <row r="40" spans="1:42" hidden="1" x14ac:dyDescent="0.25">
      <c r="A40" s="2">
        <v>30</v>
      </c>
      <c r="B40" s="2" t="s">
        <v>24</v>
      </c>
      <c r="C40" s="2" t="s">
        <v>129</v>
      </c>
      <c r="D40" s="2" t="s">
        <v>54</v>
      </c>
      <c r="E40" s="13">
        <v>0.5</v>
      </c>
      <c r="F40" s="2">
        <v>2.8000000000000001E-2</v>
      </c>
      <c r="G40" s="3"/>
      <c r="H40" s="3"/>
      <c r="I40" s="2">
        <v>0</v>
      </c>
      <c r="J40" s="2"/>
      <c r="K40" s="2"/>
      <c r="L40" s="2"/>
      <c r="M40" s="2"/>
      <c r="N40" s="2"/>
      <c r="O40" s="8">
        <f t="shared" si="0"/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7">
        <f t="shared" si="1"/>
        <v>0</v>
      </c>
      <c r="AL40" s="8">
        <v>0</v>
      </c>
      <c r="AM40" s="8">
        <v>0</v>
      </c>
      <c r="AN40" s="8" t="s">
        <v>152</v>
      </c>
      <c r="AO40" s="8">
        <v>0</v>
      </c>
      <c r="AP40"/>
    </row>
    <row r="41" spans="1:42" hidden="1" x14ac:dyDescent="0.25">
      <c r="A41" s="2">
        <v>31</v>
      </c>
      <c r="B41" s="2" t="s">
        <v>24</v>
      </c>
      <c r="C41" s="2" t="s">
        <v>129</v>
      </c>
      <c r="D41" s="2" t="s">
        <v>55</v>
      </c>
      <c r="E41" s="13">
        <v>0.625</v>
      </c>
      <c r="F41" s="2">
        <v>3.5000000000000003E-2</v>
      </c>
      <c r="G41" s="3"/>
      <c r="H41" s="3"/>
      <c r="I41" s="2">
        <v>0</v>
      </c>
      <c r="J41" s="2"/>
      <c r="K41" s="2"/>
      <c r="L41" s="2"/>
      <c r="M41" s="2"/>
      <c r="N41" s="2"/>
      <c r="O41" s="8">
        <f t="shared" si="0"/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7">
        <f t="shared" si="1"/>
        <v>0</v>
      </c>
      <c r="AL41" s="8" t="s">
        <v>149</v>
      </c>
      <c r="AM41" s="8">
        <v>200</v>
      </c>
      <c r="AN41" s="8" t="s">
        <v>152</v>
      </c>
      <c r="AO41" s="8">
        <f t="shared" ref="AO41:AO50" si="3">+SUM(I41:N41)/AM41</f>
        <v>0</v>
      </c>
      <c r="AP41"/>
    </row>
    <row r="42" spans="1:42" hidden="1" x14ac:dyDescent="0.25">
      <c r="A42" s="2">
        <v>32</v>
      </c>
      <c r="B42" s="2" t="s">
        <v>24</v>
      </c>
      <c r="C42" s="2" t="s">
        <v>129</v>
      </c>
      <c r="D42" s="2" t="s">
        <v>56</v>
      </c>
      <c r="E42" s="13">
        <v>0.625</v>
      </c>
      <c r="F42" s="2">
        <v>3.5000000000000003E-2</v>
      </c>
      <c r="G42" s="3"/>
      <c r="H42" s="3"/>
      <c r="I42" s="2">
        <v>0</v>
      </c>
      <c r="J42" s="2"/>
      <c r="K42" s="2"/>
      <c r="L42" s="2"/>
      <c r="M42" s="2"/>
      <c r="N42" s="2"/>
      <c r="O42" s="8">
        <f t="shared" si="0"/>
        <v>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7">
        <f t="shared" si="1"/>
        <v>0</v>
      </c>
      <c r="AL42" s="8" t="s">
        <v>149</v>
      </c>
      <c r="AM42" s="8">
        <v>100</v>
      </c>
      <c r="AN42" s="8" t="s">
        <v>152</v>
      </c>
      <c r="AO42" s="8">
        <f t="shared" si="3"/>
        <v>0</v>
      </c>
      <c r="AP42"/>
    </row>
    <row r="43" spans="1:42" hidden="1" x14ac:dyDescent="0.25">
      <c r="A43" s="2">
        <v>33</v>
      </c>
      <c r="B43" s="2" t="s">
        <v>24</v>
      </c>
      <c r="C43" s="2" t="s">
        <v>129</v>
      </c>
      <c r="D43" s="2" t="s">
        <v>57</v>
      </c>
      <c r="E43" s="13">
        <v>0.625</v>
      </c>
      <c r="F43" s="2">
        <v>3.5000000000000003E-2</v>
      </c>
      <c r="G43" s="3"/>
      <c r="H43" s="3"/>
      <c r="I43" s="2">
        <v>0</v>
      </c>
      <c r="J43" s="2"/>
      <c r="K43" s="2"/>
      <c r="L43" s="2"/>
      <c r="M43" s="2"/>
      <c r="N43" s="2"/>
      <c r="O43" s="8">
        <f t="shared" ref="O43:O74" si="4">+I43+J43+K43+L43+M43+N43-SUM(P43:AJ43)</f>
        <v>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7">
        <f t="shared" ref="AK43:AK74" si="5">+G43*SUM(I43:N43)</f>
        <v>0</v>
      </c>
      <c r="AL43" s="8" t="s">
        <v>149</v>
      </c>
      <c r="AM43" s="8">
        <v>100</v>
      </c>
      <c r="AN43" s="8" t="s">
        <v>152</v>
      </c>
      <c r="AO43" s="8">
        <f t="shared" si="3"/>
        <v>0</v>
      </c>
      <c r="AP43"/>
    </row>
    <row r="44" spans="1:42" hidden="1" x14ac:dyDescent="0.25">
      <c r="A44" s="2">
        <v>34</v>
      </c>
      <c r="B44" s="2" t="s">
        <v>24</v>
      </c>
      <c r="C44" s="2" t="s">
        <v>129</v>
      </c>
      <c r="D44" s="2" t="s">
        <v>58</v>
      </c>
      <c r="E44" s="13">
        <v>0.75</v>
      </c>
      <c r="F44" s="2">
        <v>3.5000000000000003E-2</v>
      </c>
      <c r="G44" s="3"/>
      <c r="H44" s="3"/>
      <c r="I44" s="2">
        <v>0</v>
      </c>
      <c r="J44" s="2"/>
      <c r="K44" s="2"/>
      <c r="L44" s="2"/>
      <c r="M44" s="2"/>
      <c r="N44" s="2"/>
      <c r="O44" s="8">
        <f t="shared" si="4"/>
        <v>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7">
        <f t="shared" si="5"/>
        <v>0</v>
      </c>
      <c r="AL44" s="8" t="s">
        <v>150</v>
      </c>
      <c r="AM44" s="8">
        <v>2000</v>
      </c>
      <c r="AN44" s="8" t="s">
        <v>152</v>
      </c>
      <c r="AO44" s="8">
        <f t="shared" si="3"/>
        <v>0</v>
      </c>
      <c r="AP44"/>
    </row>
    <row r="45" spans="1:42" hidden="1" x14ac:dyDescent="0.25">
      <c r="A45" s="2">
        <v>35</v>
      </c>
      <c r="B45" s="2" t="s">
        <v>24</v>
      </c>
      <c r="C45" s="2" t="s">
        <v>129</v>
      </c>
      <c r="D45" s="2" t="s">
        <v>59</v>
      </c>
      <c r="E45" s="13">
        <v>0.75</v>
      </c>
      <c r="F45" s="2">
        <v>3.5000000000000003E-2</v>
      </c>
      <c r="G45" s="3"/>
      <c r="H45" s="3"/>
      <c r="I45" s="2">
        <v>0</v>
      </c>
      <c r="J45" s="2"/>
      <c r="K45" s="2"/>
      <c r="L45" s="2"/>
      <c r="M45" s="2"/>
      <c r="N45" s="2"/>
      <c r="O45" s="8">
        <f t="shared" si="4"/>
        <v>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7">
        <f t="shared" si="5"/>
        <v>0</v>
      </c>
      <c r="AL45" s="8" t="s">
        <v>150</v>
      </c>
      <c r="AM45" s="8">
        <v>500</v>
      </c>
      <c r="AN45" s="8" t="s">
        <v>152</v>
      </c>
      <c r="AO45" s="8">
        <f t="shared" si="3"/>
        <v>0</v>
      </c>
      <c r="AP45"/>
    </row>
    <row r="46" spans="1:42" hidden="1" x14ac:dyDescent="0.25">
      <c r="A46" s="2">
        <v>36</v>
      </c>
      <c r="B46" s="2" t="s">
        <v>24</v>
      </c>
      <c r="C46" s="2" t="s">
        <v>129</v>
      </c>
      <c r="D46" s="2" t="s">
        <v>60</v>
      </c>
      <c r="E46" s="13">
        <v>0.75</v>
      </c>
      <c r="F46" s="2">
        <v>3.5000000000000003E-2</v>
      </c>
      <c r="G46" s="3"/>
      <c r="H46" s="3"/>
      <c r="I46" s="2">
        <v>1600</v>
      </c>
      <c r="J46" s="2"/>
      <c r="K46" s="2"/>
      <c r="L46" s="2"/>
      <c r="M46" s="2"/>
      <c r="N46" s="2"/>
      <c r="O46" s="8">
        <f t="shared" si="4"/>
        <v>0</v>
      </c>
      <c r="P46" s="2"/>
      <c r="Q46" s="2"/>
      <c r="R46" s="2"/>
      <c r="S46" s="2"/>
      <c r="T46" s="2"/>
      <c r="U46" s="2">
        <v>720</v>
      </c>
      <c r="V46" s="2">
        <v>255</v>
      </c>
      <c r="W46" s="2">
        <v>591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>
        <v>34</v>
      </c>
      <c r="AK46" s="7">
        <f t="shared" si="5"/>
        <v>0</v>
      </c>
      <c r="AL46" s="8" t="s">
        <v>150</v>
      </c>
      <c r="AM46" s="8">
        <v>250</v>
      </c>
      <c r="AN46" s="8" t="s">
        <v>152</v>
      </c>
      <c r="AO46" s="8">
        <f t="shared" si="3"/>
        <v>6.4</v>
      </c>
      <c r="AP46"/>
    </row>
    <row r="47" spans="1:42" hidden="1" x14ac:dyDescent="0.25">
      <c r="A47" s="2">
        <v>37</v>
      </c>
      <c r="B47" s="2" t="s">
        <v>24</v>
      </c>
      <c r="C47" s="2" t="s">
        <v>129</v>
      </c>
      <c r="D47" s="2" t="s">
        <v>61</v>
      </c>
      <c r="E47" s="13">
        <v>0.75</v>
      </c>
      <c r="F47" s="2">
        <v>3.5000000000000003E-2</v>
      </c>
      <c r="G47" s="3"/>
      <c r="H47" s="3"/>
      <c r="I47" s="2">
        <v>0</v>
      </c>
      <c r="J47" s="2"/>
      <c r="K47" s="2"/>
      <c r="L47" s="2"/>
      <c r="M47" s="2"/>
      <c r="N47" s="2"/>
      <c r="O47" s="8">
        <f t="shared" si="4"/>
        <v>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7">
        <f t="shared" si="5"/>
        <v>0</v>
      </c>
      <c r="AL47" s="8" t="s">
        <v>150</v>
      </c>
      <c r="AM47" s="8">
        <v>300</v>
      </c>
      <c r="AN47" s="8" t="s">
        <v>152</v>
      </c>
      <c r="AO47" s="8">
        <f t="shared" si="3"/>
        <v>0</v>
      </c>
      <c r="AP47"/>
    </row>
    <row r="48" spans="1:42" hidden="1" x14ac:dyDescent="0.25">
      <c r="A48" s="2">
        <v>38</v>
      </c>
      <c r="B48" s="2" t="s">
        <v>24</v>
      </c>
      <c r="C48" s="2" t="s">
        <v>129</v>
      </c>
      <c r="D48" s="2" t="s">
        <v>62</v>
      </c>
      <c r="E48" s="13">
        <v>0.75</v>
      </c>
      <c r="F48" s="2">
        <v>3.5000000000000003E-2</v>
      </c>
      <c r="G48" s="3"/>
      <c r="H48" s="3"/>
      <c r="I48" s="2">
        <v>0</v>
      </c>
      <c r="J48" s="2"/>
      <c r="K48" s="2"/>
      <c r="L48" s="2"/>
      <c r="M48" s="2"/>
      <c r="N48" s="2"/>
      <c r="O48" s="8">
        <f t="shared" si="4"/>
        <v>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7">
        <f t="shared" si="5"/>
        <v>0</v>
      </c>
      <c r="AL48" s="8" t="s">
        <v>150</v>
      </c>
      <c r="AM48" s="8">
        <v>300</v>
      </c>
      <c r="AN48" s="8" t="s">
        <v>152</v>
      </c>
      <c r="AO48" s="8">
        <f t="shared" si="3"/>
        <v>0</v>
      </c>
      <c r="AP48"/>
    </row>
    <row r="49" spans="1:42" hidden="1" x14ac:dyDescent="0.25">
      <c r="A49" s="2">
        <v>39</v>
      </c>
      <c r="B49" s="2" t="s">
        <v>24</v>
      </c>
      <c r="C49" s="2" t="s">
        <v>129</v>
      </c>
      <c r="D49" s="2" t="s">
        <v>63</v>
      </c>
      <c r="E49" s="13">
        <v>0.75</v>
      </c>
      <c r="F49" s="2">
        <v>3.5000000000000003E-2</v>
      </c>
      <c r="G49" s="3"/>
      <c r="H49" s="3"/>
      <c r="I49" s="2">
        <v>1200</v>
      </c>
      <c r="J49" s="2"/>
      <c r="K49" s="2"/>
      <c r="L49" s="2"/>
      <c r="M49" s="2"/>
      <c r="N49" s="2"/>
      <c r="O49" s="8">
        <f t="shared" si="4"/>
        <v>-69</v>
      </c>
      <c r="P49" s="2"/>
      <c r="Q49" s="2"/>
      <c r="R49" s="2"/>
      <c r="S49" s="2"/>
      <c r="T49" s="2">
        <v>500</v>
      </c>
      <c r="U49" s="2">
        <v>769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7">
        <f t="shared" si="5"/>
        <v>0</v>
      </c>
      <c r="AL49" s="8" t="s">
        <v>150</v>
      </c>
      <c r="AM49" s="8">
        <v>2000</v>
      </c>
      <c r="AN49" s="8" t="s">
        <v>152</v>
      </c>
      <c r="AO49" s="8">
        <f t="shared" si="3"/>
        <v>0.6</v>
      </c>
      <c r="AP49"/>
    </row>
    <row r="50" spans="1:42" hidden="1" x14ac:dyDescent="0.25">
      <c r="A50" s="2">
        <v>40</v>
      </c>
      <c r="B50" s="2" t="s">
        <v>24</v>
      </c>
      <c r="C50" s="2" t="s">
        <v>129</v>
      </c>
      <c r="D50" s="2" t="s">
        <v>64</v>
      </c>
      <c r="E50" s="13">
        <v>0.75</v>
      </c>
      <c r="F50" s="2">
        <v>3.5000000000000003E-2</v>
      </c>
      <c r="G50" s="3"/>
      <c r="H50" s="3"/>
      <c r="I50" s="2">
        <v>1200</v>
      </c>
      <c r="J50" s="2"/>
      <c r="K50" s="2"/>
      <c r="L50" s="2"/>
      <c r="M50" s="2"/>
      <c r="N50" s="2"/>
      <c r="O50" s="8">
        <f t="shared" si="4"/>
        <v>-6</v>
      </c>
      <c r="P50" s="2"/>
      <c r="Q50" s="2"/>
      <c r="R50" s="2"/>
      <c r="S50" s="2"/>
      <c r="T50" s="2"/>
      <c r="U50" s="2">
        <v>728</v>
      </c>
      <c r="V50" s="2">
        <v>478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7">
        <f t="shared" si="5"/>
        <v>0</v>
      </c>
      <c r="AL50" s="8" t="s">
        <v>150</v>
      </c>
      <c r="AM50" s="8">
        <v>1000</v>
      </c>
      <c r="AN50" s="8" t="s">
        <v>152</v>
      </c>
      <c r="AO50" s="8">
        <f t="shared" si="3"/>
        <v>1.2</v>
      </c>
      <c r="AP50"/>
    </row>
    <row r="51" spans="1:42" hidden="1" x14ac:dyDescent="0.25">
      <c r="A51" s="2">
        <v>41</v>
      </c>
      <c r="B51" s="2" t="s">
        <v>24</v>
      </c>
      <c r="C51" s="2" t="s">
        <v>129</v>
      </c>
      <c r="D51" s="2" t="s">
        <v>65</v>
      </c>
      <c r="E51" s="13">
        <v>0.75</v>
      </c>
      <c r="F51" s="2">
        <v>3.5000000000000003E-2</v>
      </c>
      <c r="G51" s="3"/>
      <c r="H51" s="3"/>
      <c r="I51" s="2">
        <v>0</v>
      </c>
      <c r="J51" s="2"/>
      <c r="K51" s="2"/>
      <c r="L51" s="2"/>
      <c r="M51" s="2"/>
      <c r="N51" s="2"/>
      <c r="O51" s="8">
        <f t="shared" si="4"/>
        <v>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7">
        <f t="shared" si="5"/>
        <v>0</v>
      </c>
      <c r="AL51" s="8">
        <v>0</v>
      </c>
      <c r="AM51" s="8">
        <v>0</v>
      </c>
      <c r="AN51" s="8" t="s">
        <v>152</v>
      </c>
      <c r="AO51" s="8">
        <v>0</v>
      </c>
      <c r="AP51"/>
    </row>
    <row r="52" spans="1:42" hidden="1" x14ac:dyDescent="0.25">
      <c r="A52" s="2">
        <v>42</v>
      </c>
      <c r="B52" s="2" t="s">
        <v>24</v>
      </c>
      <c r="C52" s="2" t="s">
        <v>129</v>
      </c>
      <c r="D52" s="2" t="s">
        <v>66</v>
      </c>
      <c r="E52" s="13">
        <v>0.75</v>
      </c>
      <c r="F52" s="2">
        <v>3.5000000000000003E-2</v>
      </c>
      <c r="G52" s="3"/>
      <c r="H52" s="3"/>
      <c r="I52" s="2">
        <v>0</v>
      </c>
      <c r="J52" s="2"/>
      <c r="K52" s="2"/>
      <c r="L52" s="2"/>
      <c r="M52" s="2"/>
      <c r="N52" s="2"/>
      <c r="O52" s="8">
        <f t="shared" si="4"/>
        <v>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7">
        <f t="shared" si="5"/>
        <v>0</v>
      </c>
      <c r="AL52" s="8">
        <v>0</v>
      </c>
      <c r="AM52" s="8">
        <v>0</v>
      </c>
      <c r="AN52" s="8" t="s">
        <v>152</v>
      </c>
      <c r="AO52" s="8">
        <v>0</v>
      </c>
      <c r="AP52"/>
    </row>
    <row r="53" spans="1:42" hidden="1" x14ac:dyDescent="0.25">
      <c r="A53" s="2">
        <v>43</v>
      </c>
      <c r="B53" s="2" t="s">
        <v>24</v>
      </c>
      <c r="C53" s="2" t="s">
        <v>129</v>
      </c>
      <c r="D53" s="2" t="s">
        <v>67</v>
      </c>
      <c r="E53" s="13">
        <v>0.75</v>
      </c>
      <c r="F53" s="2">
        <v>3.5000000000000003E-2</v>
      </c>
      <c r="G53" s="3"/>
      <c r="H53" s="3"/>
      <c r="I53" s="2">
        <v>0</v>
      </c>
      <c r="J53" s="2"/>
      <c r="K53" s="2"/>
      <c r="L53" s="2"/>
      <c r="M53" s="2"/>
      <c r="N53" s="2"/>
      <c r="O53" s="8">
        <f t="shared" si="4"/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7">
        <f t="shared" si="5"/>
        <v>0</v>
      </c>
      <c r="AL53" s="8">
        <v>0</v>
      </c>
      <c r="AM53" s="8">
        <v>0</v>
      </c>
      <c r="AN53" s="8" t="s">
        <v>152</v>
      </c>
      <c r="AO53" s="8">
        <v>0</v>
      </c>
      <c r="AP53"/>
    </row>
    <row r="54" spans="1:42" hidden="1" x14ac:dyDescent="0.25">
      <c r="A54" s="2">
        <v>44</v>
      </c>
      <c r="B54" s="2" t="s">
        <v>24</v>
      </c>
      <c r="C54" s="2" t="s">
        <v>129</v>
      </c>
      <c r="D54" s="2" t="s">
        <v>68</v>
      </c>
      <c r="E54" s="13">
        <v>0.75</v>
      </c>
      <c r="F54" s="2">
        <v>3.5000000000000003E-2</v>
      </c>
      <c r="G54" s="3"/>
      <c r="H54" s="3"/>
      <c r="I54" s="2">
        <v>0</v>
      </c>
      <c r="J54" s="2"/>
      <c r="K54" s="2"/>
      <c r="L54" s="2"/>
      <c r="M54" s="2"/>
      <c r="N54" s="2"/>
      <c r="O54" s="8">
        <f t="shared" si="4"/>
        <v>-376</v>
      </c>
      <c r="P54" s="2"/>
      <c r="Q54" s="2"/>
      <c r="R54" s="2">
        <v>376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7">
        <f t="shared" si="5"/>
        <v>0</v>
      </c>
      <c r="AL54" s="8">
        <v>0</v>
      </c>
      <c r="AM54" s="8">
        <v>0</v>
      </c>
      <c r="AN54" s="8" t="s">
        <v>152</v>
      </c>
      <c r="AO54" s="8">
        <v>0</v>
      </c>
      <c r="AP54"/>
    </row>
    <row r="55" spans="1:42" hidden="1" x14ac:dyDescent="0.25">
      <c r="A55" s="2">
        <v>45</v>
      </c>
      <c r="B55" s="2" t="s">
        <v>24</v>
      </c>
      <c r="C55" s="2" t="s">
        <v>129</v>
      </c>
      <c r="D55" s="2" t="s">
        <v>69</v>
      </c>
      <c r="E55" s="13">
        <v>0.75</v>
      </c>
      <c r="F55" s="2">
        <v>3.5000000000000003E-2</v>
      </c>
      <c r="G55" s="3"/>
      <c r="H55" s="3"/>
      <c r="I55" s="2">
        <v>0</v>
      </c>
      <c r="J55" s="2"/>
      <c r="K55" s="2"/>
      <c r="L55" s="2"/>
      <c r="M55" s="2"/>
      <c r="N55" s="2"/>
      <c r="O55" s="8">
        <f t="shared" si="4"/>
        <v>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7">
        <f t="shared" si="5"/>
        <v>0</v>
      </c>
      <c r="AL55" s="8">
        <v>0</v>
      </c>
      <c r="AM55" s="8">
        <v>0</v>
      </c>
      <c r="AN55" s="8" t="s">
        <v>152</v>
      </c>
      <c r="AO55" s="8">
        <v>0</v>
      </c>
      <c r="AP55"/>
    </row>
    <row r="56" spans="1:42" hidden="1" x14ac:dyDescent="0.25">
      <c r="A56" s="2">
        <v>46</v>
      </c>
      <c r="B56" s="2" t="s">
        <v>24</v>
      </c>
      <c r="C56" s="2" t="s">
        <v>129</v>
      </c>
      <c r="D56" s="2" t="s">
        <v>70</v>
      </c>
      <c r="E56" s="13">
        <v>0.75</v>
      </c>
      <c r="F56" s="2">
        <v>3.5000000000000003E-2</v>
      </c>
      <c r="G56" s="3"/>
      <c r="H56" s="3"/>
      <c r="I56" s="2">
        <v>0</v>
      </c>
      <c r="J56" s="2"/>
      <c r="K56" s="2"/>
      <c r="L56" s="2"/>
      <c r="M56" s="2"/>
      <c r="N56" s="2"/>
      <c r="O56" s="8">
        <f t="shared" si="4"/>
        <v>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7">
        <f t="shared" si="5"/>
        <v>0</v>
      </c>
      <c r="AL56" s="8">
        <v>0</v>
      </c>
      <c r="AM56" s="8">
        <v>0</v>
      </c>
      <c r="AN56" s="8" t="s">
        <v>152</v>
      </c>
      <c r="AO56" s="8">
        <v>0</v>
      </c>
      <c r="AP56"/>
    </row>
    <row r="57" spans="1:42" hidden="1" x14ac:dyDescent="0.25">
      <c r="A57" s="2">
        <v>47</v>
      </c>
      <c r="B57" s="2" t="s">
        <v>24</v>
      </c>
      <c r="C57" s="2" t="s">
        <v>129</v>
      </c>
      <c r="D57" s="2" t="s">
        <v>71</v>
      </c>
      <c r="E57" s="13">
        <v>0.75</v>
      </c>
      <c r="F57" s="2">
        <v>3.5000000000000003E-2</v>
      </c>
      <c r="G57" s="3"/>
      <c r="H57" s="3"/>
      <c r="I57" s="2">
        <v>0</v>
      </c>
      <c r="J57" s="2"/>
      <c r="K57" s="2"/>
      <c r="L57" s="2"/>
      <c r="M57" s="2"/>
      <c r="N57" s="2"/>
      <c r="O57" s="8">
        <f t="shared" si="4"/>
        <v>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7">
        <f t="shared" si="5"/>
        <v>0</v>
      </c>
      <c r="AL57" s="8">
        <v>0</v>
      </c>
      <c r="AM57" s="8">
        <v>0</v>
      </c>
      <c r="AN57" s="8" t="s">
        <v>152</v>
      </c>
      <c r="AO57" s="8">
        <v>0</v>
      </c>
      <c r="AP57"/>
    </row>
    <row r="58" spans="1:42" hidden="1" x14ac:dyDescent="0.25">
      <c r="A58" s="2">
        <v>48</v>
      </c>
      <c r="B58" s="2" t="s">
        <v>24</v>
      </c>
      <c r="C58" s="2" t="s">
        <v>129</v>
      </c>
      <c r="D58" s="2" t="s">
        <v>72</v>
      </c>
      <c r="E58" s="13">
        <v>0.75</v>
      </c>
      <c r="F58" s="2">
        <v>3.5000000000000003E-2</v>
      </c>
      <c r="G58" s="3"/>
      <c r="H58" s="3"/>
      <c r="I58" s="2">
        <v>0</v>
      </c>
      <c r="J58" s="2"/>
      <c r="K58" s="2"/>
      <c r="L58" s="2"/>
      <c r="M58" s="2"/>
      <c r="N58" s="2"/>
      <c r="O58" s="8">
        <f t="shared" si="4"/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7">
        <f t="shared" si="5"/>
        <v>0</v>
      </c>
      <c r="AL58" s="8">
        <v>0</v>
      </c>
      <c r="AM58" s="8">
        <v>0</v>
      </c>
      <c r="AN58" s="8" t="s">
        <v>152</v>
      </c>
      <c r="AO58" s="8">
        <v>0</v>
      </c>
      <c r="AP58"/>
    </row>
    <row r="59" spans="1:42" hidden="1" x14ac:dyDescent="0.25">
      <c r="A59" s="2">
        <v>49</v>
      </c>
      <c r="B59" s="2" t="s">
        <v>24</v>
      </c>
      <c r="C59" s="2" t="s">
        <v>129</v>
      </c>
      <c r="D59" s="2" t="s">
        <v>73</v>
      </c>
      <c r="E59" s="13">
        <v>0.75</v>
      </c>
      <c r="F59" s="2">
        <v>3.5000000000000003E-2</v>
      </c>
      <c r="G59" s="3"/>
      <c r="H59" s="3"/>
      <c r="I59" s="2">
        <v>0</v>
      </c>
      <c r="J59" s="2"/>
      <c r="K59" s="2"/>
      <c r="L59" s="2"/>
      <c r="M59" s="2"/>
      <c r="N59" s="2"/>
      <c r="O59" s="8">
        <f t="shared" si="4"/>
        <v>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7">
        <f t="shared" si="5"/>
        <v>0</v>
      </c>
      <c r="AL59" s="8">
        <v>0</v>
      </c>
      <c r="AM59" s="8">
        <v>0</v>
      </c>
      <c r="AN59" s="8" t="s">
        <v>152</v>
      </c>
      <c r="AO59" s="8">
        <v>0</v>
      </c>
      <c r="AP59"/>
    </row>
    <row r="60" spans="1:42" hidden="1" x14ac:dyDescent="0.25">
      <c r="A60" s="2">
        <v>50</v>
      </c>
      <c r="B60" s="2" t="s">
        <v>24</v>
      </c>
      <c r="C60" s="2" t="s">
        <v>129</v>
      </c>
      <c r="D60" s="2" t="s">
        <v>74</v>
      </c>
      <c r="E60" s="13">
        <v>0.75</v>
      </c>
      <c r="F60" s="2">
        <v>3.5000000000000003E-2</v>
      </c>
      <c r="G60" s="3"/>
      <c r="H60" s="3"/>
      <c r="I60" s="2">
        <v>0</v>
      </c>
      <c r="J60" s="2"/>
      <c r="K60" s="2"/>
      <c r="L60" s="2"/>
      <c r="M60" s="2"/>
      <c r="N60" s="2"/>
      <c r="O60" s="8">
        <f t="shared" si="4"/>
        <v>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7">
        <f t="shared" si="5"/>
        <v>0</v>
      </c>
      <c r="AL60" s="8">
        <v>0</v>
      </c>
      <c r="AM60" s="8">
        <v>0</v>
      </c>
      <c r="AN60" s="8" t="s">
        <v>152</v>
      </c>
      <c r="AO60" s="8">
        <v>0</v>
      </c>
      <c r="AP60"/>
    </row>
    <row r="61" spans="1:42" hidden="1" x14ac:dyDescent="0.25">
      <c r="A61" s="2">
        <v>51</v>
      </c>
      <c r="B61" s="2" t="s">
        <v>24</v>
      </c>
      <c r="C61" s="2" t="s">
        <v>129</v>
      </c>
      <c r="D61" s="2" t="s">
        <v>75</v>
      </c>
      <c r="E61" s="13">
        <v>0.75</v>
      </c>
      <c r="F61" s="2">
        <v>3.5000000000000003E-2</v>
      </c>
      <c r="G61" s="3"/>
      <c r="H61" s="3"/>
      <c r="I61" s="2">
        <v>0</v>
      </c>
      <c r="J61" s="2"/>
      <c r="K61" s="2"/>
      <c r="L61" s="2"/>
      <c r="M61" s="2"/>
      <c r="N61" s="2"/>
      <c r="O61" s="8">
        <f t="shared" si="4"/>
        <v>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7">
        <f t="shared" si="5"/>
        <v>0</v>
      </c>
      <c r="AL61" s="8">
        <v>0</v>
      </c>
      <c r="AM61" s="8">
        <v>0</v>
      </c>
      <c r="AN61" s="8" t="s">
        <v>152</v>
      </c>
      <c r="AO61" s="8">
        <v>0</v>
      </c>
      <c r="AP61"/>
    </row>
    <row r="62" spans="1:42" hidden="1" x14ac:dyDescent="0.25">
      <c r="A62" s="2">
        <v>52</v>
      </c>
      <c r="B62" s="2" t="s">
        <v>24</v>
      </c>
      <c r="C62" s="2" t="s">
        <v>129</v>
      </c>
      <c r="D62" s="2" t="s">
        <v>76</v>
      </c>
      <c r="E62" s="13">
        <v>0.875</v>
      </c>
      <c r="F62" s="2">
        <v>4.4999999999999998E-2</v>
      </c>
      <c r="G62" s="3"/>
      <c r="H62" s="3"/>
      <c r="I62" s="2">
        <v>0</v>
      </c>
      <c r="J62" s="2"/>
      <c r="K62" s="2"/>
      <c r="L62" s="2"/>
      <c r="M62" s="2"/>
      <c r="N62" s="2"/>
      <c r="O62" s="8">
        <f t="shared" si="4"/>
        <v>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7">
        <f t="shared" si="5"/>
        <v>0</v>
      </c>
      <c r="AL62" s="8" t="s">
        <v>150</v>
      </c>
      <c r="AM62" s="8">
        <v>1000</v>
      </c>
      <c r="AN62" s="8" t="s">
        <v>152</v>
      </c>
      <c r="AO62" s="8">
        <f t="shared" ref="AO62:AO68" si="6">+SUM(I62:N62)/AM62</f>
        <v>0</v>
      </c>
      <c r="AP62"/>
    </row>
    <row r="63" spans="1:42" x14ac:dyDescent="0.25">
      <c r="A63" s="2">
        <v>53</v>
      </c>
      <c r="B63" s="2" t="s">
        <v>24</v>
      </c>
      <c r="C63" s="2" t="s">
        <v>129</v>
      </c>
      <c r="D63" s="2" t="s">
        <v>77</v>
      </c>
      <c r="E63" s="13">
        <v>0.875</v>
      </c>
      <c r="F63" s="2">
        <v>4.4999999999999998E-2</v>
      </c>
      <c r="G63" s="3"/>
      <c r="H63" s="3"/>
      <c r="I63" s="2">
        <v>2500</v>
      </c>
      <c r="J63" s="2"/>
      <c r="K63" s="2"/>
      <c r="L63" s="2"/>
      <c r="M63" s="2"/>
      <c r="N63" s="2"/>
      <c r="O63" s="8">
        <f t="shared" si="4"/>
        <v>2205</v>
      </c>
      <c r="P63" s="2"/>
      <c r="Q63" s="2"/>
      <c r="R63" s="2">
        <v>295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7">
        <f t="shared" si="5"/>
        <v>0</v>
      </c>
      <c r="AL63" s="8" t="s">
        <v>151</v>
      </c>
      <c r="AM63" s="8">
        <v>200</v>
      </c>
      <c r="AN63" s="8" t="s">
        <v>152</v>
      </c>
      <c r="AO63" s="8">
        <f t="shared" si="6"/>
        <v>12.5</v>
      </c>
      <c r="AP63"/>
    </row>
    <row r="64" spans="1:42" x14ac:dyDescent="0.25">
      <c r="A64" s="2">
        <v>54</v>
      </c>
      <c r="B64" s="2" t="s">
        <v>24</v>
      </c>
      <c r="C64" s="2" t="s">
        <v>129</v>
      </c>
      <c r="D64" s="2" t="s">
        <v>78</v>
      </c>
      <c r="E64" s="13">
        <v>0.875</v>
      </c>
      <c r="F64" s="2">
        <v>4.4999999999999998E-2</v>
      </c>
      <c r="G64" s="3"/>
      <c r="H64" s="3"/>
      <c r="I64" s="2">
        <v>2000</v>
      </c>
      <c r="J64" s="2"/>
      <c r="K64" s="2"/>
      <c r="L64" s="2"/>
      <c r="M64" s="2"/>
      <c r="N64" s="2"/>
      <c r="O64" s="8">
        <f t="shared" si="4"/>
        <v>715</v>
      </c>
      <c r="P64" s="2"/>
      <c r="Q64" s="2"/>
      <c r="R64" s="2"/>
      <c r="S64" s="2"/>
      <c r="T64" s="2"/>
      <c r="U64" s="2"/>
      <c r="V64" s="2">
        <v>617</v>
      </c>
      <c r="W64" s="2">
        <v>668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7">
        <f t="shared" si="5"/>
        <v>0</v>
      </c>
      <c r="AL64" s="8" t="s">
        <v>150</v>
      </c>
      <c r="AM64" s="8">
        <v>1000</v>
      </c>
      <c r="AN64" s="8" t="s">
        <v>152</v>
      </c>
      <c r="AO64" s="8">
        <f t="shared" si="6"/>
        <v>2</v>
      </c>
      <c r="AP64"/>
    </row>
    <row r="65" spans="1:42" hidden="1" x14ac:dyDescent="0.25">
      <c r="A65" s="2">
        <v>55</v>
      </c>
      <c r="B65" s="2" t="s">
        <v>24</v>
      </c>
      <c r="C65" s="2" t="s">
        <v>129</v>
      </c>
      <c r="D65" s="2" t="s">
        <v>79</v>
      </c>
      <c r="E65" s="13">
        <v>0.875</v>
      </c>
      <c r="F65" s="2">
        <v>4.4999999999999998E-2</v>
      </c>
      <c r="G65" s="3"/>
      <c r="H65" s="3"/>
      <c r="I65" s="2">
        <v>0</v>
      </c>
      <c r="J65" s="2"/>
      <c r="K65" s="2"/>
      <c r="L65" s="2"/>
      <c r="M65" s="2"/>
      <c r="N65" s="2"/>
      <c r="O65" s="8">
        <f t="shared" si="4"/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7">
        <f t="shared" si="5"/>
        <v>0</v>
      </c>
      <c r="AL65" s="8" t="s">
        <v>151</v>
      </c>
      <c r="AM65" s="8">
        <v>500</v>
      </c>
      <c r="AN65" s="8" t="s">
        <v>152</v>
      </c>
      <c r="AO65" s="8">
        <f t="shared" si="6"/>
        <v>0</v>
      </c>
      <c r="AP65"/>
    </row>
    <row r="66" spans="1:42" x14ac:dyDescent="0.25">
      <c r="A66" s="2">
        <v>56</v>
      </c>
      <c r="B66" s="2" t="s">
        <v>24</v>
      </c>
      <c r="C66" s="2" t="s">
        <v>129</v>
      </c>
      <c r="D66" s="2" t="s">
        <v>80</v>
      </c>
      <c r="E66" s="13">
        <v>0.875</v>
      </c>
      <c r="F66" s="2">
        <v>4.4999999999999998E-2</v>
      </c>
      <c r="G66" s="3"/>
      <c r="H66" s="3"/>
      <c r="I66" s="2">
        <v>1800</v>
      </c>
      <c r="J66" s="2"/>
      <c r="K66" s="2"/>
      <c r="L66" s="2"/>
      <c r="M66" s="2"/>
      <c r="N66" s="2"/>
      <c r="O66" s="8">
        <f t="shared" si="4"/>
        <v>1264</v>
      </c>
      <c r="P66" s="2"/>
      <c r="Q66" s="2"/>
      <c r="R66" s="2"/>
      <c r="S66" s="2"/>
      <c r="T66" s="2"/>
      <c r="U66" s="2"/>
      <c r="V66" s="2"/>
      <c r="W66" s="2">
        <v>536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7">
        <f t="shared" si="5"/>
        <v>0</v>
      </c>
      <c r="AL66" s="8" t="s">
        <v>150</v>
      </c>
      <c r="AM66" s="8">
        <v>1000</v>
      </c>
      <c r="AN66" s="8" t="s">
        <v>152</v>
      </c>
      <c r="AO66" s="8">
        <f t="shared" si="6"/>
        <v>1.8</v>
      </c>
      <c r="AP66"/>
    </row>
    <row r="67" spans="1:42" x14ac:dyDescent="0.25">
      <c r="A67" s="2">
        <v>57</v>
      </c>
      <c r="B67" s="2" t="s">
        <v>24</v>
      </c>
      <c r="C67" s="2" t="s">
        <v>129</v>
      </c>
      <c r="D67" s="2" t="s">
        <v>81</v>
      </c>
      <c r="E67" s="13">
        <v>0.875</v>
      </c>
      <c r="F67" s="2">
        <v>4.4999999999999998E-2</v>
      </c>
      <c r="G67" s="3"/>
      <c r="H67" s="3"/>
      <c r="I67" s="2">
        <v>1600</v>
      </c>
      <c r="J67" s="2"/>
      <c r="K67" s="2"/>
      <c r="L67" s="2"/>
      <c r="M67" s="2"/>
      <c r="N67" s="2"/>
      <c r="O67" s="8">
        <f t="shared" si="4"/>
        <v>1600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7">
        <f t="shared" si="5"/>
        <v>0</v>
      </c>
      <c r="AL67" s="8" t="s">
        <v>151</v>
      </c>
      <c r="AM67" s="8">
        <v>200</v>
      </c>
      <c r="AN67" s="8" t="s">
        <v>152</v>
      </c>
      <c r="AO67" s="8">
        <f t="shared" si="6"/>
        <v>8</v>
      </c>
      <c r="AP67"/>
    </row>
    <row r="68" spans="1:42" x14ac:dyDescent="0.25">
      <c r="A68" s="2">
        <v>58</v>
      </c>
      <c r="B68" s="2" t="s">
        <v>24</v>
      </c>
      <c r="C68" s="2" t="s">
        <v>129</v>
      </c>
      <c r="D68" s="2" t="s">
        <v>82</v>
      </c>
      <c r="E68" s="13">
        <v>0.875</v>
      </c>
      <c r="F68" s="2">
        <v>4.4999999999999998E-2</v>
      </c>
      <c r="G68" s="3"/>
      <c r="H68" s="3"/>
      <c r="I68" s="2">
        <v>1600</v>
      </c>
      <c r="J68" s="2"/>
      <c r="K68" s="2"/>
      <c r="L68" s="2"/>
      <c r="M68" s="2"/>
      <c r="N68" s="2"/>
      <c r="O68" s="8">
        <f t="shared" si="4"/>
        <v>1600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7">
        <f t="shared" si="5"/>
        <v>0</v>
      </c>
      <c r="AL68" s="8" t="s">
        <v>151</v>
      </c>
      <c r="AM68" s="8">
        <v>500</v>
      </c>
      <c r="AN68" s="8" t="s">
        <v>152</v>
      </c>
      <c r="AO68" s="8">
        <f t="shared" si="6"/>
        <v>3.2</v>
      </c>
      <c r="AP68"/>
    </row>
    <row r="69" spans="1:42" hidden="1" x14ac:dyDescent="0.25">
      <c r="A69" s="2">
        <v>59</v>
      </c>
      <c r="B69" s="2" t="s">
        <v>24</v>
      </c>
      <c r="C69" s="2" t="s">
        <v>129</v>
      </c>
      <c r="D69" s="2" t="s">
        <v>83</v>
      </c>
      <c r="E69" s="13">
        <v>0.875</v>
      </c>
      <c r="F69" s="2">
        <v>4.4999999999999998E-2</v>
      </c>
      <c r="G69" s="3"/>
      <c r="H69" s="3"/>
      <c r="I69" s="2">
        <v>0</v>
      </c>
      <c r="J69" s="2"/>
      <c r="K69" s="2"/>
      <c r="L69" s="2"/>
      <c r="M69" s="2"/>
      <c r="N69" s="2"/>
      <c r="O69" s="8">
        <f t="shared" si="4"/>
        <v>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7">
        <f t="shared" si="5"/>
        <v>0</v>
      </c>
      <c r="AL69" s="8">
        <v>0</v>
      </c>
      <c r="AM69" s="8">
        <v>0</v>
      </c>
      <c r="AN69" s="8" t="s">
        <v>152</v>
      </c>
      <c r="AO69" s="8">
        <v>0</v>
      </c>
      <c r="AP69"/>
    </row>
    <row r="70" spans="1:42" hidden="1" x14ac:dyDescent="0.25">
      <c r="A70" s="2">
        <v>60</v>
      </c>
      <c r="B70" s="2" t="s">
        <v>24</v>
      </c>
      <c r="C70" s="2" t="s">
        <v>129</v>
      </c>
      <c r="D70" s="2" t="s">
        <v>84</v>
      </c>
      <c r="E70" s="13">
        <v>0.875</v>
      </c>
      <c r="F70" s="2">
        <v>4.4999999999999998E-2</v>
      </c>
      <c r="G70" s="3"/>
      <c r="H70" s="3"/>
      <c r="I70" s="2">
        <v>0</v>
      </c>
      <c r="J70" s="2"/>
      <c r="K70" s="2"/>
      <c r="L70" s="2"/>
      <c r="M70" s="2"/>
      <c r="N70" s="2"/>
      <c r="O70" s="8">
        <f t="shared" si="4"/>
        <v>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7">
        <f t="shared" si="5"/>
        <v>0</v>
      </c>
      <c r="AL70" s="8">
        <v>0</v>
      </c>
      <c r="AM70" s="8">
        <v>0</v>
      </c>
      <c r="AN70" s="8" t="s">
        <v>152</v>
      </c>
      <c r="AO70" s="8">
        <v>0</v>
      </c>
      <c r="AP70"/>
    </row>
    <row r="71" spans="1:42" hidden="1" x14ac:dyDescent="0.25">
      <c r="A71" s="2">
        <v>61</v>
      </c>
      <c r="B71" s="2" t="s">
        <v>24</v>
      </c>
      <c r="C71" s="2" t="s">
        <v>129</v>
      </c>
      <c r="D71" s="2" t="s">
        <v>85</v>
      </c>
      <c r="E71" s="13">
        <v>0.875</v>
      </c>
      <c r="F71" s="2">
        <v>4.4999999999999998E-2</v>
      </c>
      <c r="G71" s="3"/>
      <c r="H71" s="3"/>
      <c r="I71" s="2">
        <v>0</v>
      </c>
      <c r="J71" s="2"/>
      <c r="K71" s="2"/>
      <c r="L71" s="2"/>
      <c r="M71" s="2"/>
      <c r="N71" s="2"/>
      <c r="O71" s="8">
        <f t="shared" si="4"/>
        <v>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7">
        <f t="shared" si="5"/>
        <v>0</v>
      </c>
      <c r="AL71" s="8">
        <v>0</v>
      </c>
      <c r="AM71" s="8">
        <v>0</v>
      </c>
      <c r="AN71" s="8" t="s">
        <v>152</v>
      </c>
      <c r="AO71" s="8">
        <v>0</v>
      </c>
      <c r="AP71"/>
    </row>
    <row r="72" spans="1:42" hidden="1" x14ac:dyDescent="0.25">
      <c r="A72" s="2">
        <v>62</v>
      </c>
      <c r="B72" s="2" t="s">
        <v>24</v>
      </c>
      <c r="C72" s="2" t="s">
        <v>129</v>
      </c>
      <c r="D72" s="2" t="s">
        <v>86</v>
      </c>
      <c r="E72" s="13">
        <v>0.875</v>
      </c>
      <c r="F72" s="2">
        <v>4.4999999999999998E-2</v>
      </c>
      <c r="G72" s="3"/>
      <c r="H72" s="3"/>
      <c r="I72" s="2">
        <v>0</v>
      </c>
      <c r="J72" s="2"/>
      <c r="K72" s="2"/>
      <c r="L72" s="2"/>
      <c r="M72" s="2"/>
      <c r="N72" s="2"/>
      <c r="O72" s="8">
        <f t="shared" si="4"/>
        <v>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7">
        <f t="shared" si="5"/>
        <v>0</v>
      </c>
      <c r="AL72" s="8" t="s">
        <v>151</v>
      </c>
      <c r="AM72" s="8">
        <v>200</v>
      </c>
      <c r="AN72" s="8" t="s">
        <v>152</v>
      </c>
      <c r="AO72" s="8">
        <f>+SUM(I72:N72)/AM72</f>
        <v>0</v>
      </c>
      <c r="AP72"/>
    </row>
    <row r="73" spans="1:42" hidden="1" x14ac:dyDescent="0.25">
      <c r="A73" s="2">
        <v>63</v>
      </c>
      <c r="B73" s="2" t="s">
        <v>24</v>
      </c>
      <c r="C73" s="2" t="s">
        <v>129</v>
      </c>
      <c r="D73" s="2" t="s">
        <v>87</v>
      </c>
      <c r="E73" s="13">
        <v>0.875</v>
      </c>
      <c r="F73" s="2">
        <v>4.4999999999999998E-2</v>
      </c>
      <c r="G73" s="3"/>
      <c r="H73" s="3"/>
      <c r="I73" s="2">
        <v>0</v>
      </c>
      <c r="J73" s="2"/>
      <c r="K73" s="2"/>
      <c r="L73" s="2"/>
      <c r="M73" s="2"/>
      <c r="N73" s="2"/>
      <c r="O73" s="8">
        <f t="shared" si="4"/>
        <v>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7">
        <f t="shared" si="5"/>
        <v>0</v>
      </c>
      <c r="AL73" s="8">
        <v>0</v>
      </c>
      <c r="AM73" s="8">
        <v>0</v>
      </c>
      <c r="AN73" s="8" t="s">
        <v>152</v>
      </c>
      <c r="AO73" s="8">
        <v>0</v>
      </c>
      <c r="AP73"/>
    </row>
    <row r="74" spans="1:42" hidden="1" x14ac:dyDescent="0.25">
      <c r="A74" s="2">
        <v>64</v>
      </c>
      <c r="B74" s="2" t="s">
        <v>24</v>
      </c>
      <c r="C74" s="2" t="s">
        <v>129</v>
      </c>
      <c r="D74" s="2" t="s">
        <v>88</v>
      </c>
      <c r="E74" s="13">
        <v>0.875</v>
      </c>
      <c r="F74" s="2">
        <v>4.4999999999999998E-2</v>
      </c>
      <c r="G74" s="3"/>
      <c r="H74" s="3"/>
      <c r="I74" s="2">
        <v>0</v>
      </c>
      <c r="J74" s="2"/>
      <c r="K74" s="2"/>
      <c r="L74" s="2"/>
      <c r="M74" s="2"/>
      <c r="N74" s="2"/>
      <c r="O74" s="8">
        <f t="shared" si="4"/>
        <v>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7">
        <f t="shared" si="5"/>
        <v>0</v>
      </c>
      <c r="AL74" s="8">
        <v>0</v>
      </c>
      <c r="AM74" s="8">
        <v>0</v>
      </c>
      <c r="AN74" s="8" t="s">
        <v>152</v>
      </c>
      <c r="AO74" s="8">
        <v>0</v>
      </c>
      <c r="AP74"/>
    </row>
    <row r="75" spans="1:42" hidden="1" x14ac:dyDescent="0.25">
      <c r="A75" s="2">
        <v>65</v>
      </c>
      <c r="B75" s="2" t="s">
        <v>24</v>
      </c>
      <c r="C75" s="2" t="s">
        <v>129</v>
      </c>
      <c r="D75" s="2" t="s">
        <v>89</v>
      </c>
      <c r="E75" s="13">
        <v>0.875</v>
      </c>
      <c r="F75" s="2">
        <v>4.4999999999999998E-2</v>
      </c>
      <c r="G75" s="3"/>
      <c r="H75" s="3"/>
      <c r="I75" s="2">
        <v>0</v>
      </c>
      <c r="J75" s="2"/>
      <c r="K75" s="2"/>
      <c r="L75" s="2"/>
      <c r="M75" s="2"/>
      <c r="N75" s="2"/>
      <c r="O75" s="8">
        <f t="shared" ref="O75:O106" si="7">+I75+J75+K75+L75+M75+N75-SUM(P75:AJ75)</f>
        <v>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7">
        <f t="shared" ref="AK75:AK106" si="8">+G75*SUM(I75:N75)</f>
        <v>0</v>
      </c>
      <c r="AL75" s="8" t="s">
        <v>151</v>
      </c>
      <c r="AM75" s="8">
        <v>200</v>
      </c>
      <c r="AN75" s="8" t="s">
        <v>152</v>
      </c>
      <c r="AO75" s="8">
        <f>+SUM(I75:N75)/AM75</f>
        <v>0</v>
      </c>
      <c r="AP75"/>
    </row>
    <row r="76" spans="1:42" hidden="1" x14ac:dyDescent="0.25">
      <c r="A76" s="2">
        <v>66</v>
      </c>
      <c r="B76" s="2" t="s">
        <v>24</v>
      </c>
      <c r="C76" s="2" t="s">
        <v>129</v>
      </c>
      <c r="D76" s="2" t="s">
        <v>90</v>
      </c>
      <c r="E76" s="13">
        <v>0.875</v>
      </c>
      <c r="F76" s="2">
        <v>4.4999999999999998E-2</v>
      </c>
      <c r="G76" s="3"/>
      <c r="H76" s="3"/>
      <c r="I76" s="2">
        <v>0</v>
      </c>
      <c r="J76" s="2"/>
      <c r="K76" s="2"/>
      <c r="L76" s="2"/>
      <c r="M76" s="2"/>
      <c r="N76" s="2"/>
      <c r="O76" s="8">
        <f t="shared" si="7"/>
        <v>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7">
        <f t="shared" si="8"/>
        <v>0</v>
      </c>
      <c r="AL76" s="8" t="s">
        <v>151</v>
      </c>
      <c r="AM76" s="8">
        <v>500</v>
      </c>
      <c r="AN76" s="8" t="s">
        <v>152</v>
      </c>
      <c r="AO76" s="8">
        <f>+SUM(I76:N76)/AM76</f>
        <v>0</v>
      </c>
      <c r="AP76"/>
    </row>
    <row r="77" spans="1:42" hidden="1" x14ac:dyDescent="0.25">
      <c r="A77" s="2">
        <v>67</v>
      </c>
      <c r="B77" s="2" t="s">
        <v>24</v>
      </c>
      <c r="C77" s="2" t="s">
        <v>129</v>
      </c>
      <c r="D77" s="2" t="s">
        <v>91</v>
      </c>
      <c r="E77" s="13">
        <v>0.875</v>
      </c>
      <c r="F77" s="2">
        <v>4.4999999999999998E-2</v>
      </c>
      <c r="G77" s="3"/>
      <c r="H77" s="3"/>
      <c r="I77" s="2">
        <v>0</v>
      </c>
      <c r="J77" s="2"/>
      <c r="K77" s="2"/>
      <c r="L77" s="2"/>
      <c r="M77" s="2"/>
      <c r="N77" s="2"/>
      <c r="O77" s="8">
        <f t="shared" si="7"/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7">
        <f t="shared" si="8"/>
        <v>0</v>
      </c>
      <c r="AL77" s="8" t="s">
        <v>151</v>
      </c>
      <c r="AM77" s="8">
        <v>200</v>
      </c>
      <c r="AN77" s="8" t="s">
        <v>152</v>
      </c>
      <c r="AO77" s="8">
        <f>+SUM(I77:N77)/AM77</f>
        <v>0</v>
      </c>
      <c r="AP77"/>
    </row>
    <row r="78" spans="1:42" hidden="1" x14ac:dyDescent="0.25">
      <c r="A78" s="2">
        <v>68</v>
      </c>
      <c r="B78" s="2" t="s">
        <v>24</v>
      </c>
      <c r="C78" s="2" t="s">
        <v>129</v>
      </c>
      <c r="D78" s="2" t="s">
        <v>92</v>
      </c>
      <c r="E78" s="13">
        <v>0.875</v>
      </c>
      <c r="F78" s="2">
        <v>4.4999999999999998E-2</v>
      </c>
      <c r="G78" s="3"/>
      <c r="H78" s="3"/>
      <c r="I78" s="2">
        <v>0</v>
      </c>
      <c r="J78" s="2"/>
      <c r="K78" s="2"/>
      <c r="L78" s="2"/>
      <c r="M78" s="2"/>
      <c r="N78" s="2"/>
      <c r="O78" s="8">
        <f t="shared" si="7"/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7">
        <f t="shared" si="8"/>
        <v>0</v>
      </c>
      <c r="AL78" s="8">
        <v>0</v>
      </c>
      <c r="AM78" s="8">
        <v>0</v>
      </c>
      <c r="AN78" s="8" t="s">
        <v>152</v>
      </c>
      <c r="AO78" s="8">
        <v>0</v>
      </c>
      <c r="AP78"/>
    </row>
    <row r="79" spans="1:42" hidden="1" x14ac:dyDescent="0.25">
      <c r="A79" s="2">
        <v>69</v>
      </c>
      <c r="B79" s="2" t="s">
        <v>24</v>
      </c>
      <c r="C79" s="2" t="s">
        <v>129</v>
      </c>
      <c r="D79" s="2" t="s">
        <v>93</v>
      </c>
      <c r="E79" s="13">
        <v>0.875</v>
      </c>
      <c r="F79" s="2">
        <v>4.4999999999999998E-2</v>
      </c>
      <c r="G79" s="3"/>
      <c r="H79" s="3"/>
      <c r="I79" s="2">
        <v>0</v>
      </c>
      <c r="J79" s="2"/>
      <c r="K79" s="2"/>
      <c r="L79" s="2"/>
      <c r="M79" s="2"/>
      <c r="N79" s="2"/>
      <c r="O79" s="8">
        <f t="shared" si="7"/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7">
        <f t="shared" si="8"/>
        <v>0</v>
      </c>
      <c r="AL79" s="8">
        <v>0</v>
      </c>
      <c r="AM79" s="8">
        <v>0</v>
      </c>
      <c r="AN79" s="8" t="s">
        <v>152</v>
      </c>
      <c r="AO79" s="8">
        <v>0</v>
      </c>
      <c r="AP79"/>
    </row>
    <row r="80" spans="1:42" hidden="1" x14ac:dyDescent="0.25">
      <c r="A80" s="2">
        <v>70</v>
      </c>
      <c r="B80" s="2" t="s">
        <v>24</v>
      </c>
      <c r="C80" s="2" t="s">
        <v>129</v>
      </c>
      <c r="D80" s="2" t="s">
        <v>94</v>
      </c>
      <c r="E80" s="13">
        <v>0.875</v>
      </c>
      <c r="F80" s="2">
        <v>4.4999999999999998E-2</v>
      </c>
      <c r="G80" s="3"/>
      <c r="H80" s="3"/>
      <c r="I80" s="2">
        <v>0</v>
      </c>
      <c r="J80" s="2"/>
      <c r="K80" s="2"/>
      <c r="L80" s="2"/>
      <c r="M80" s="2"/>
      <c r="N80" s="2"/>
      <c r="O80" s="8">
        <f t="shared" si="7"/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7">
        <f t="shared" si="8"/>
        <v>0</v>
      </c>
      <c r="AL80" s="8">
        <v>0</v>
      </c>
      <c r="AM80" s="8">
        <v>0</v>
      </c>
      <c r="AN80" s="8" t="s">
        <v>152</v>
      </c>
      <c r="AO80" s="8">
        <v>0</v>
      </c>
      <c r="AP80"/>
    </row>
    <row r="81" spans="1:42" hidden="1" x14ac:dyDescent="0.25">
      <c r="A81" s="2">
        <v>71</v>
      </c>
      <c r="B81" s="2" t="s">
        <v>24</v>
      </c>
      <c r="C81" s="2" t="s">
        <v>129</v>
      </c>
      <c r="D81" s="2" t="s">
        <v>95</v>
      </c>
      <c r="E81" s="13">
        <v>0.875</v>
      </c>
      <c r="F81" s="2">
        <v>4.4999999999999998E-2</v>
      </c>
      <c r="G81" s="3"/>
      <c r="H81" s="3"/>
      <c r="I81" s="2">
        <v>0</v>
      </c>
      <c r="J81" s="2"/>
      <c r="K81" s="2"/>
      <c r="L81" s="2"/>
      <c r="M81" s="2"/>
      <c r="N81" s="2"/>
      <c r="O81" s="8">
        <f t="shared" si="7"/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7">
        <f t="shared" si="8"/>
        <v>0</v>
      </c>
      <c r="AL81" s="8">
        <v>0</v>
      </c>
      <c r="AM81" s="8">
        <v>0</v>
      </c>
      <c r="AN81" s="8" t="s">
        <v>152</v>
      </c>
      <c r="AO81" s="8">
        <v>0</v>
      </c>
      <c r="AP81"/>
    </row>
    <row r="82" spans="1:42" hidden="1" x14ac:dyDescent="0.25">
      <c r="A82" s="2">
        <v>72</v>
      </c>
      <c r="B82" s="2" t="s">
        <v>24</v>
      </c>
      <c r="C82" s="2" t="s">
        <v>129</v>
      </c>
      <c r="D82" s="2" t="s">
        <v>96</v>
      </c>
      <c r="E82" s="13">
        <v>0.875</v>
      </c>
      <c r="F82" s="2">
        <v>4.4999999999999998E-2</v>
      </c>
      <c r="G82" s="3"/>
      <c r="H82" s="3"/>
      <c r="I82" s="2">
        <v>0</v>
      </c>
      <c r="J82" s="2"/>
      <c r="K82" s="2"/>
      <c r="L82" s="2"/>
      <c r="M82" s="2"/>
      <c r="N82" s="2"/>
      <c r="O82" s="8">
        <f t="shared" si="7"/>
        <v>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7">
        <f t="shared" si="8"/>
        <v>0</v>
      </c>
      <c r="AL82" s="8">
        <v>0</v>
      </c>
      <c r="AM82" s="8">
        <v>0</v>
      </c>
      <c r="AN82" s="8" t="s">
        <v>152</v>
      </c>
      <c r="AO82" s="8">
        <v>0</v>
      </c>
      <c r="AP82"/>
    </row>
    <row r="83" spans="1:42" hidden="1" x14ac:dyDescent="0.25">
      <c r="A83" s="2">
        <v>73</v>
      </c>
      <c r="B83" s="2" t="s">
        <v>24</v>
      </c>
      <c r="C83" s="2" t="s">
        <v>129</v>
      </c>
      <c r="D83" s="2" t="s">
        <v>97</v>
      </c>
      <c r="E83" s="13">
        <v>0.875</v>
      </c>
      <c r="F83" s="2">
        <v>4.4999999999999998E-2</v>
      </c>
      <c r="G83" s="3"/>
      <c r="H83" s="3"/>
      <c r="I83" s="2">
        <v>0</v>
      </c>
      <c r="J83" s="2"/>
      <c r="K83" s="2"/>
      <c r="L83" s="2"/>
      <c r="M83" s="2"/>
      <c r="N83" s="2"/>
      <c r="O83" s="8">
        <f t="shared" si="7"/>
        <v>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7">
        <f t="shared" si="8"/>
        <v>0</v>
      </c>
      <c r="AL83" s="8">
        <v>0</v>
      </c>
      <c r="AM83" s="8">
        <v>0</v>
      </c>
      <c r="AN83" s="8" t="s">
        <v>152</v>
      </c>
      <c r="AO83" s="8">
        <v>0</v>
      </c>
      <c r="AP83"/>
    </row>
    <row r="84" spans="1:42" hidden="1" x14ac:dyDescent="0.25">
      <c r="A84" s="2">
        <v>74</v>
      </c>
      <c r="B84" s="2" t="s">
        <v>24</v>
      </c>
      <c r="C84" s="2" t="s">
        <v>129</v>
      </c>
      <c r="D84" s="2" t="s">
        <v>98</v>
      </c>
      <c r="E84" s="13">
        <v>0.875</v>
      </c>
      <c r="F84" s="2">
        <v>4.4999999999999998E-2</v>
      </c>
      <c r="G84" s="3"/>
      <c r="H84" s="3"/>
      <c r="I84" s="2">
        <v>0</v>
      </c>
      <c r="J84" s="2"/>
      <c r="K84" s="2"/>
      <c r="L84" s="2"/>
      <c r="M84" s="2"/>
      <c r="N84" s="2"/>
      <c r="O84" s="8">
        <f t="shared" si="7"/>
        <v>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7">
        <f t="shared" si="8"/>
        <v>0</v>
      </c>
      <c r="AL84" s="8">
        <v>0</v>
      </c>
      <c r="AM84" s="8">
        <v>0</v>
      </c>
      <c r="AN84" s="8" t="s">
        <v>152</v>
      </c>
      <c r="AO84" s="8">
        <v>0</v>
      </c>
      <c r="AP84"/>
    </row>
    <row r="85" spans="1:42" hidden="1" x14ac:dyDescent="0.25">
      <c r="A85" s="2">
        <v>75</v>
      </c>
      <c r="B85" s="2" t="s">
        <v>24</v>
      </c>
      <c r="C85" s="2" t="s">
        <v>129</v>
      </c>
      <c r="D85" s="2" t="s">
        <v>99</v>
      </c>
      <c r="E85" s="13">
        <v>0.875</v>
      </c>
      <c r="F85" s="2">
        <v>4.4999999999999998E-2</v>
      </c>
      <c r="G85" s="3"/>
      <c r="H85" s="3"/>
      <c r="I85" s="2">
        <v>0</v>
      </c>
      <c r="J85" s="2"/>
      <c r="K85" s="2"/>
      <c r="L85" s="2"/>
      <c r="M85" s="2"/>
      <c r="N85" s="2"/>
      <c r="O85" s="8">
        <f t="shared" si="7"/>
        <v>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7">
        <f t="shared" si="8"/>
        <v>0</v>
      </c>
      <c r="AL85" s="8">
        <v>0</v>
      </c>
      <c r="AM85" s="8">
        <v>0</v>
      </c>
      <c r="AN85" s="8" t="s">
        <v>152</v>
      </c>
      <c r="AO85" s="8">
        <v>0</v>
      </c>
      <c r="AP85"/>
    </row>
    <row r="86" spans="1:42" hidden="1" x14ac:dyDescent="0.25">
      <c r="A86" s="2">
        <v>76</v>
      </c>
      <c r="B86" s="2" t="s">
        <v>24</v>
      </c>
      <c r="C86" s="2" t="s">
        <v>129</v>
      </c>
      <c r="D86" s="2" t="s">
        <v>100</v>
      </c>
      <c r="E86" s="13">
        <v>0.875</v>
      </c>
      <c r="F86" s="2">
        <v>4.4999999999999998E-2</v>
      </c>
      <c r="G86" s="3"/>
      <c r="H86" s="3"/>
      <c r="I86" s="2">
        <v>0</v>
      </c>
      <c r="J86" s="2"/>
      <c r="K86" s="2"/>
      <c r="L86" s="2"/>
      <c r="M86" s="2"/>
      <c r="N86" s="2"/>
      <c r="O86" s="8">
        <f t="shared" si="7"/>
        <v>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7">
        <f t="shared" si="8"/>
        <v>0</v>
      </c>
      <c r="AL86" s="8">
        <v>0</v>
      </c>
      <c r="AM86" s="8">
        <v>0</v>
      </c>
      <c r="AN86" s="8" t="s">
        <v>152</v>
      </c>
      <c r="AO86" s="8">
        <v>0</v>
      </c>
      <c r="AP86"/>
    </row>
    <row r="87" spans="1:42" hidden="1" x14ac:dyDescent="0.25">
      <c r="A87" s="2">
        <v>77</v>
      </c>
      <c r="B87" s="2" t="s">
        <v>24</v>
      </c>
      <c r="C87" s="2" t="s">
        <v>129</v>
      </c>
      <c r="D87" s="2" t="s">
        <v>101</v>
      </c>
      <c r="E87" s="13">
        <v>0.875</v>
      </c>
      <c r="F87" s="2">
        <v>4.4999999999999998E-2</v>
      </c>
      <c r="G87" s="3"/>
      <c r="H87" s="3"/>
      <c r="I87" s="2">
        <v>0</v>
      </c>
      <c r="J87" s="2"/>
      <c r="K87" s="2"/>
      <c r="L87" s="2"/>
      <c r="M87" s="2"/>
      <c r="N87" s="2"/>
      <c r="O87" s="8">
        <f t="shared" si="7"/>
        <v>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7">
        <f t="shared" si="8"/>
        <v>0</v>
      </c>
      <c r="AL87" s="8">
        <v>0</v>
      </c>
      <c r="AM87" s="8">
        <v>0</v>
      </c>
      <c r="AN87" s="8" t="s">
        <v>152</v>
      </c>
      <c r="AO87" s="8">
        <v>0</v>
      </c>
      <c r="AP87"/>
    </row>
    <row r="88" spans="1:42" hidden="1" x14ac:dyDescent="0.25">
      <c r="A88" s="2">
        <v>78</v>
      </c>
      <c r="B88" s="2" t="s">
        <v>24</v>
      </c>
      <c r="C88" s="2" t="s">
        <v>129</v>
      </c>
      <c r="D88" s="2" t="s">
        <v>102</v>
      </c>
      <c r="E88" s="13">
        <v>0.875</v>
      </c>
      <c r="F88" s="2">
        <v>4.4999999999999998E-2</v>
      </c>
      <c r="G88" s="3"/>
      <c r="H88" s="3"/>
      <c r="I88" s="2">
        <v>0</v>
      </c>
      <c r="J88" s="2"/>
      <c r="K88" s="2"/>
      <c r="L88" s="2"/>
      <c r="M88" s="2"/>
      <c r="N88" s="2"/>
      <c r="O88" s="8">
        <f t="shared" si="7"/>
        <v>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7">
        <f t="shared" si="8"/>
        <v>0</v>
      </c>
      <c r="AL88" s="8">
        <v>0</v>
      </c>
      <c r="AM88" s="8">
        <v>0</v>
      </c>
      <c r="AN88" s="8" t="s">
        <v>152</v>
      </c>
      <c r="AO88" s="8">
        <v>0</v>
      </c>
      <c r="AP88"/>
    </row>
    <row r="89" spans="1:42" hidden="1" x14ac:dyDescent="0.25">
      <c r="A89" s="2">
        <v>79</v>
      </c>
      <c r="B89" s="2" t="s">
        <v>128</v>
      </c>
      <c r="C89" s="2" t="s">
        <v>129</v>
      </c>
      <c r="D89" s="2" t="s">
        <v>103</v>
      </c>
      <c r="E89" s="13">
        <v>0.25</v>
      </c>
      <c r="F89" s="2"/>
      <c r="G89" s="3"/>
      <c r="H89" s="3"/>
      <c r="I89" s="2">
        <v>0</v>
      </c>
      <c r="J89" s="2"/>
      <c r="K89" s="2"/>
      <c r="L89" s="2"/>
      <c r="M89" s="2"/>
      <c r="N89" s="2"/>
      <c r="O89" s="8">
        <f t="shared" si="7"/>
        <v>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7">
        <f t="shared" si="8"/>
        <v>0</v>
      </c>
      <c r="AL89" s="8" t="s">
        <v>146</v>
      </c>
      <c r="AM89" s="8">
        <v>200</v>
      </c>
      <c r="AN89" s="8" t="s">
        <v>153</v>
      </c>
      <c r="AO89" s="8">
        <f>+SUM(I89:N89)/AM89</f>
        <v>0</v>
      </c>
      <c r="AP89"/>
    </row>
    <row r="90" spans="1:42" hidden="1" x14ac:dyDescent="0.25">
      <c r="A90" s="2">
        <v>80</v>
      </c>
      <c r="B90" s="2" t="s">
        <v>128</v>
      </c>
      <c r="C90" s="2" t="s">
        <v>129</v>
      </c>
      <c r="D90" s="2" t="s">
        <v>104</v>
      </c>
      <c r="E90" s="13">
        <v>0.25</v>
      </c>
      <c r="F90" s="2"/>
      <c r="G90" s="3"/>
      <c r="H90" s="3"/>
      <c r="I90" s="2">
        <v>0</v>
      </c>
      <c r="J90" s="2"/>
      <c r="K90" s="2"/>
      <c r="L90" s="2"/>
      <c r="M90" s="2"/>
      <c r="N90" s="2"/>
      <c r="O90" s="8">
        <f t="shared" si="7"/>
        <v>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7">
        <f t="shared" si="8"/>
        <v>0</v>
      </c>
      <c r="AL90" s="8" t="s">
        <v>146</v>
      </c>
      <c r="AM90" s="8">
        <v>200</v>
      </c>
      <c r="AN90" s="8" t="s">
        <v>153</v>
      </c>
      <c r="AO90" s="8">
        <f>+SUM(I90:N90)/AM90</f>
        <v>0</v>
      </c>
      <c r="AP90"/>
    </row>
    <row r="91" spans="1:42" hidden="1" x14ac:dyDescent="0.25">
      <c r="A91" s="2">
        <v>81</v>
      </c>
      <c r="B91" s="2" t="s">
        <v>128</v>
      </c>
      <c r="C91" s="2" t="s">
        <v>129</v>
      </c>
      <c r="D91" s="2" t="s">
        <v>105</v>
      </c>
      <c r="E91" s="13">
        <v>0.25</v>
      </c>
      <c r="F91" s="2"/>
      <c r="G91" s="3"/>
      <c r="H91" s="3"/>
      <c r="I91" s="2">
        <v>0</v>
      </c>
      <c r="J91" s="2"/>
      <c r="K91" s="2"/>
      <c r="L91" s="2"/>
      <c r="M91" s="2"/>
      <c r="N91" s="2"/>
      <c r="O91" s="8">
        <f t="shared" si="7"/>
        <v>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7">
        <f t="shared" si="8"/>
        <v>0</v>
      </c>
      <c r="AL91" s="8" t="s">
        <v>146</v>
      </c>
      <c r="AM91" s="8">
        <v>200</v>
      </c>
      <c r="AN91" s="8" t="s">
        <v>153</v>
      </c>
      <c r="AO91" s="8">
        <f>+SUM(I91:N91)/AM91</f>
        <v>0</v>
      </c>
      <c r="AP91"/>
    </row>
    <row r="92" spans="1:42" hidden="1" x14ac:dyDescent="0.25">
      <c r="A92" s="2">
        <v>82</v>
      </c>
      <c r="B92" s="2" t="s">
        <v>128</v>
      </c>
      <c r="C92" s="2" t="s">
        <v>129</v>
      </c>
      <c r="D92" s="2" t="s">
        <v>106</v>
      </c>
      <c r="E92" s="13">
        <v>0.375</v>
      </c>
      <c r="F92" s="2"/>
      <c r="G92" s="3"/>
      <c r="H92" s="3"/>
      <c r="I92" s="2">
        <v>0</v>
      </c>
      <c r="J92" s="2"/>
      <c r="K92" s="2"/>
      <c r="L92" s="2"/>
      <c r="M92" s="2"/>
      <c r="N92" s="2"/>
      <c r="O92" s="8">
        <f t="shared" si="7"/>
        <v>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7">
        <f t="shared" si="8"/>
        <v>0</v>
      </c>
      <c r="AL92" s="8">
        <v>0</v>
      </c>
      <c r="AM92" s="8">
        <v>0</v>
      </c>
      <c r="AN92" s="8" t="s">
        <v>153</v>
      </c>
      <c r="AO92" s="8">
        <v>0</v>
      </c>
      <c r="AP92"/>
    </row>
    <row r="93" spans="1:42" hidden="1" x14ac:dyDescent="0.25">
      <c r="A93" s="2">
        <v>83</v>
      </c>
      <c r="B93" s="2" t="s">
        <v>128</v>
      </c>
      <c r="C93" s="2" t="s">
        <v>129</v>
      </c>
      <c r="D93" s="2" t="s">
        <v>107</v>
      </c>
      <c r="E93" s="13">
        <v>0.375</v>
      </c>
      <c r="F93" s="2"/>
      <c r="G93" s="3"/>
      <c r="H93" s="3"/>
      <c r="I93" s="2">
        <v>0</v>
      </c>
      <c r="J93" s="2"/>
      <c r="K93" s="2"/>
      <c r="L93" s="2"/>
      <c r="M93" s="2"/>
      <c r="N93" s="2"/>
      <c r="O93" s="8">
        <f t="shared" si="7"/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7">
        <f t="shared" si="8"/>
        <v>0</v>
      </c>
      <c r="AL93" s="8">
        <v>0</v>
      </c>
      <c r="AM93" s="8">
        <v>0</v>
      </c>
      <c r="AN93" s="8" t="s">
        <v>153</v>
      </c>
      <c r="AO93" s="8">
        <v>0</v>
      </c>
      <c r="AP93"/>
    </row>
    <row r="94" spans="1:42" hidden="1" x14ac:dyDescent="0.25">
      <c r="A94" s="2">
        <v>84</v>
      </c>
      <c r="B94" s="2" t="s">
        <v>128</v>
      </c>
      <c r="C94" s="2" t="s">
        <v>129</v>
      </c>
      <c r="D94" s="2" t="s">
        <v>108</v>
      </c>
      <c r="E94" s="13">
        <v>0.375</v>
      </c>
      <c r="F94" s="2"/>
      <c r="G94" s="3"/>
      <c r="H94" s="3"/>
      <c r="I94" s="2">
        <v>0</v>
      </c>
      <c r="J94" s="2"/>
      <c r="K94" s="2"/>
      <c r="L94" s="2"/>
      <c r="M94" s="2"/>
      <c r="N94" s="2"/>
      <c r="O94" s="8">
        <f t="shared" si="7"/>
        <v>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7">
        <f t="shared" si="8"/>
        <v>0</v>
      </c>
      <c r="AL94" s="8">
        <v>0</v>
      </c>
      <c r="AM94" s="8">
        <v>0</v>
      </c>
      <c r="AN94" s="8" t="s">
        <v>153</v>
      </c>
      <c r="AO94" s="8">
        <v>0</v>
      </c>
      <c r="AP94"/>
    </row>
    <row r="95" spans="1:42" hidden="1" x14ac:dyDescent="0.25">
      <c r="A95" s="2">
        <v>85</v>
      </c>
      <c r="B95" s="2" t="s">
        <v>128</v>
      </c>
      <c r="C95" s="2" t="s">
        <v>129</v>
      </c>
      <c r="D95" s="2" t="s">
        <v>109</v>
      </c>
      <c r="E95" s="13">
        <v>0.375</v>
      </c>
      <c r="F95" s="2"/>
      <c r="G95" s="3"/>
      <c r="H95" s="3"/>
      <c r="I95" s="2">
        <v>0</v>
      </c>
      <c r="J95" s="2"/>
      <c r="K95" s="2"/>
      <c r="L95" s="2"/>
      <c r="M95" s="2"/>
      <c r="N95" s="2"/>
      <c r="O95" s="8">
        <f t="shared" si="7"/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7">
        <f t="shared" si="8"/>
        <v>0</v>
      </c>
      <c r="AL95" s="8">
        <v>0</v>
      </c>
      <c r="AM95" s="8">
        <v>0</v>
      </c>
      <c r="AN95" s="8" t="s">
        <v>153</v>
      </c>
      <c r="AO95" s="8">
        <v>0</v>
      </c>
      <c r="AP95"/>
    </row>
    <row r="96" spans="1:42" hidden="1" x14ac:dyDescent="0.25">
      <c r="A96" s="2">
        <v>86</v>
      </c>
      <c r="B96" s="2" t="s">
        <v>128</v>
      </c>
      <c r="C96" s="2" t="s">
        <v>129</v>
      </c>
      <c r="D96" s="2" t="s">
        <v>110</v>
      </c>
      <c r="E96" s="13">
        <v>0.5</v>
      </c>
      <c r="F96" s="2"/>
      <c r="G96" s="3"/>
      <c r="H96" s="3"/>
      <c r="I96" s="2">
        <v>0</v>
      </c>
      <c r="J96" s="2"/>
      <c r="K96" s="2"/>
      <c r="L96" s="2"/>
      <c r="M96" s="2"/>
      <c r="N96" s="2"/>
      <c r="O96" s="8">
        <f t="shared" si="7"/>
        <v>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7">
        <f t="shared" si="8"/>
        <v>0</v>
      </c>
      <c r="AL96" s="8" t="s">
        <v>147</v>
      </c>
      <c r="AM96" s="8">
        <v>100</v>
      </c>
      <c r="AN96" s="8" t="s">
        <v>153</v>
      </c>
      <c r="AO96" s="8">
        <f t="shared" ref="AO96:AO127" si="9">+SUM(I96:N96)/AM96</f>
        <v>0</v>
      </c>
      <c r="AP96"/>
    </row>
    <row r="97" spans="1:42" hidden="1" x14ac:dyDescent="0.25">
      <c r="A97" s="2">
        <v>87</v>
      </c>
      <c r="B97" s="2" t="s">
        <v>128</v>
      </c>
      <c r="C97" s="2" t="s">
        <v>129</v>
      </c>
      <c r="D97" s="2" t="s">
        <v>111</v>
      </c>
      <c r="E97" s="13">
        <v>0.5</v>
      </c>
      <c r="F97" s="2"/>
      <c r="G97" s="3"/>
      <c r="H97" s="3"/>
      <c r="I97" s="2">
        <v>0</v>
      </c>
      <c r="J97" s="2"/>
      <c r="K97" s="2"/>
      <c r="L97" s="2"/>
      <c r="M97" s="2"/>
      <c r="N97" s="2"/>
      <c r="O97" s="8">
        <f t="shared" si="7"/>
        <v>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7">
        <f t="shared" si="8"/>
        <v>0</v>
      </c>
      <c r="AL97" s="8" t="s">
        <v>147</v>
      </c>
      <c r="AM97" s="8">
        <v>200</v>
      </c>
      <c r="AN97" s="8" t="s">
        <v>153</v>
      </c>
      <c r="AO97" s="8">
        <f t="shared" si="9"/>
        <v>0</v>
      </c>
      <c r="AP97"/>
    </row>
    <row r="98" spans="1:42" hidden="1" x14ac:dyDescent="0.25">
      <c r="A98" s="2">
        <v>88</v>
      </c>
      <c r="B98" s="2" t="s">
        <v>128</v>
      </c>
      <c r="C98" s="2" t="s">
        <v>129</v>
      </c>
      <c r="D98" s="2" t="s">
        <v>112</v>
      </c>
      <c r="E98" s="13">
        <v>0.5</v>
      </c>
      <c r="F98" s="2"/>
      <c r="G98" s="3"/>
      <c r="H98" s="3"/>
      <c r="I98" s="2">
        <v>0</v>
      </c>
      <c r="J98" s="2"/>
      <c r="K98" s="2"/>
      <c r="L98" s="2"/>
      <c r="M98" s="2"/>
      <c r="N98" s="2"/>
      <c r="O98" s="8">
        <f t="shared" si="7"/>
        <v>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7">
        <f t="shared" si="8"/>
        <v>0</v>
      </c>
      <c r="AL98" s="8" t="s">
        <v>147</v>
      </c>
      <c r="AM98" s="8">
        <v>200</v>
      </c>
      <c r="AN98" s="8" t="s">
        <v>153</v>
      </c>
      <c r="AO98" s="8">
        <f t="shared" si="9"/>
        <v>0</v>
      </c>
      <c r="AP98"/>
    </row>
    <row r="99" spans="1:42" hidden="1" x14ac:dyDescent="0.25">
      <c r="A99" s="2">
        <v>89</v>
      </c>
      <c r="B99" s="2" t="s">
        <v>128</v>
      </c>
      <c r="C99" s="2" t="s">
        <v>129</v>
      </c>
      <c r="D99" s="2" t="s">
        <v>113</v>
      </c>
      <c r="E99" s="13">
        <v>0.5</v>
      </c>
      <c r="F99" s="2"/>
      <c r="G99" s="3"/>
      <c r="H99" s="3"/>
      <c r="I99" s="2">
        <v>0</v>
      </c>
      <c r="J99" s="2"/>
      <c r="K99" s="2"/>
      <c r="L99" s="2"/>
      <c r="M99" s="2"/>
      <c r="N99" s="2"/>
      <c r="O99" s="8">
        <f t="shared" si="7"/>
        <v>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7">
        <f t="shared" si="8"/>
        <v>0</v>
      </c>
      <c r="AL99" s="8" t="s">
        <v>147</v>
      </c>
      <c r="AM99" s="8">
        <v>200</v>
      </c>
      <c r="AN99" s="8" t="s">
        <v>153</v>
      </c>
      <c r="AO99" s="8">
        <f t="shared" si="9"/>
        <v>0</v>
      </c>
      <c r="AP99"/>
    </row>
    <row r="100" spans="1:42" hidden="1" x14ac:dyDescent="0.25">
      <c r="A100" s="2">
        <v>90</v>
      </c>
      <c r="B100" s="2" t="s">
        <v>128</v>
      </c>
      <c r="C100" s="2" t="s">
        <v>129</v>
      </c>
      <c r="D100" s="2" t="s">
        <v>114</v>
      </c>
      <c r="E100" s="13">
        <v>0.5</v>
      </c>
      <c r="F100" s="2"/>
      <c r="G100" s="3"/>
      <c r="H100" s="3"/>
      <c r="I100" s="2">
        <v>0</v>
      </c>
      <c r="J100" s="2"/>
      <c r="K100" s="2"/>
      <c r="L100" s="2"/>
      <c r="M100" s="2"/>
      <c r="N100" s="2"/>
      <c r="O100" s="8">
        <f t="shared" si="7"/>
        <v>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7">
        <f t="shared" si="8"/>
        <v>0</v>
      </c>
      <c r="AL100" s="8" t="s">
        <v>147</v>
      </c>
      <c r="AM100" s="8">
        <v>200</v>
      </c>
      <c r="AN100" s="8" t="s">
        <v>153</v>
      </c>
      <c r="AO100" s="8">
        <f t="shared" si="9"/>
        <v>0</v>
      </c>
      <c r="AP100"/>
    </row>
    <row r="101" spans="1:42" hidden="1" x14ac:dyDescent="0.25">
      <c r="A101" s="2">
        <v>91</v>
      </c>
      <c r="B101" s="2" t="s">
        <v>128</v>
      </c>
      <c r="C101" s="2" t="s">
        <v>129</v>
      </c>
      <c r="D101" s="2" t="s">
        <v>115</v>
      </c>
      <c r="E101" s="13">
        <v>0.5</v>
      </c>
      <c r="F101" s="2"/>
      <c r="G101" s="3"/>
      <c r="H101" s="3"/>
      <c r="I101" s="2">
        <v>0</v>
      </c>
      <c r="J101" s="2"/>
      <c r="K101" s="2"/>
      <c r="L101" s="2"/>
      <c r="M101" s="2"/>
      <c r="N101" s="2"/>
      <c r="O101" s="8">
        <f t="shared" si="7"/>
        <v>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7">
        <f t="shared" si="8"/>
        <v>0</v>
      </c>
      <c r="AL101" s="8" t="s">
        <v>147</v>
      </c>
      <c r="AM101" s="8">
        <v>200</v>
      </c>
      <c r="AN101" s="8" t="s">
        <v>153</v>
      </c>
      <c r="AO101" s="8">
        <f t="shared" si="9"/>
        <v>0</v>
      </c>
      <c r="AP101"/>
    </row>
    <row r="102" spans="1:42" hidden="1" x14ac:dyDescent="0.25">
      <c r="A102" s="2">
        <v>92</v>
      </c>
      <c r="B102" s="2" t="s">
        <v>128</v>
      </c>
      <c r="C102" s="2" t="s">
        <v>129</v>
      </c>
      <c r="D102" s="2" t="s">
        <v>116</v>
      </c>
      <c r="E102" s="13">
        <v>0.5</v>
      </c>
      <c r="F102" s="2"/>
      <c r="G102" s="3"/>
      <c r="H102" s="3"/>
      <c r="I102" s="2">
        <v>0</v>
      </c>
      <c r="J102" s="2"/>
      <c r="K102" s="2"/>
      <c r="L102" s="2"/>
      <c r="M102" s="2"/>
      <c r="N102" s="2"/>
      <c r="O102" s="8">
        <f t="shared" si="7"/>
        <v>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7">
        <f t="shared" si="8"/>
        <v>0</v>
      </c>
      <c r="AL102" s="8" t="s">
        <v>147</v>
      </c>
      <c r="AM102" s="8">
        <v>200</v>
      </c>
      <c r="AN102" s="8" t="s">
        <v>153</v>
      </c>
      <c r="AO102" s="8">
        <f t="shared" si="9"/>
        <v>0</v>
      </c>
      <c r="AP102"/>
    </row>
    <row r="103" spans="1:42" hidden="1" x14ac:dyDescent="0.25">
      <c r="A103" s="2">
        <v>93</v>
      </c>
      <c r="B103" s="2" t="s">
        <v>128</v>
      </c>
      <c r="C103" s="2" t="s">
        <v>129</v>
      </c>
      <c r="D103" s="2" t="s">
        <v>117</v>
      </c>
      <c r="E103" s="13">
        <v>0.625</v>
      </c>
      <c r="F103" s="2"/>
      <c r="G103" s="3"/>
      <c r="H103" s="3"/>
      <c r="I103" s="2">
        <v>0</v>
      </c>
      <c r="J103" s="2"/>
      <c r="K103" s="2"/>
      <c r="L103" s="2"/>
      <c r="M103" s="2"/>
      <c r="N103" s="2"/>
      <c r="O103" s="8">
        <f t="shared" si="7"/>
        <v>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7">
        <f t="shared" si="8"/>
        <v>0</v>
      </c>
      <c r="AL103" s="8" t="s">
        <v>147</v>
      </c>
      <c r="AM103" s="8">
        <v>150</v>
      </c>
      <c r="AN103" s="8" t="s">
        <v>153</v>
      </c>
      <c r="AO103" s="8">
        <f t="shared" si="9"/>
        <v>0</v>
      </c>
    </row>
    <row r="104" spans="1:42" hidden="1" x14ac:dyDescent="0.25">
      <c r="A104" s="2">
        <v>94</v>
      </c>
      <c r="B104" s="2" t="s">
        <v>128</v>
      </c>
      <c r="C104" s="2" t="s">
        <v>129</v>
      </c>
      <c r="D104" s="2" t="s">
        <v>118</v>
      </c>
      <c r="E104" s="13">
        <v>0.625</v>
      </c>
      <c r="F104" s="2"/>
      <c r="G104" s="3"/>
      <c r="H104" s="3"/>
      <c r="I104" s="2">
        <v>0</v>
      </c>
      <c r="J104" s="2"/>
      <c r="K104" s="2"/>
      <c r="L104" s="2"/>
      <c r="M104" s="2"/>
      <c r="N104" s="2"/>
      <c r="O104" s="8">
        <f t="shared" si="7"/>
        <v>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7">
        <f t="shared" si="8"/>
        <v>0</v>
      </c>
      <c r="AL104" s="8" t="s">
        <v>147</v>
      </c>
      <c r="AM104" s="8">
        <v>150</v>
      </c>
      <c r="AN104" s="8" t="s">
        <v>153</v>
      </c>
      <c r="AO104" s="8">
        <f t="shared" si="9"/>
        <v>0</v>
      </c>
    </row>
    <row r="105" spans="1:42" hidden="1" x14ac:dyDescent="0.25">
      <c r="A105" s="2">
        <v>95</v>
      </c>
      <c r="B105" s="2" t="s">
        <v>128</v>
      </c>
      <c r="C105" s="2" t="s">
        <v>129</v>
      </c>
      <c r="D105" s="2" t="s">
        <v>119</v>
      </c>
      <c r="E105" s="13">
        <v>0.625</v>
      </c>
      <c r="F105" s="2"/>
      <c r="G105" s="3"/>
      <c r="H105" s="3"/>
      <c r="I105" s="2">
        <v>0</v>
      </c>
      <c r="J105" s="2"/>
      <c r="K105" s="2"/>
      <c r="L105" s="2"/>
      <c r="M105" s="2"/>
      <c r="N105" s="2"/>
      <c r="O105" s="8">
        <f t="shared" si="7"/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7">
        <f t="shared" si="8"/>
        <v>0</v>
      </c>
      <c r="AL105" s="8" t="s">
        <v>147</v>
      </c>
      <c r="AM105" s="8">
        <v>150</v>
      </c>
      <c r="AN105" s="8" t="s">
        <v>153</v>
      </c>
      <c r="AO105" s="8">
        <f t="shared" si="9"/>
        <v>0</v>
      </c>
    </row>
    <row r="106" spans="1:42" hidden="1" x14ac:dyDescent="0.25">
      <c r="A106" s="2">
        <v>96</v>
      </c>
      <c r="B106" s="2" t="s">
        <v>128</v>
      </c>
      <c r="C106" s="2" t="s">
        <v>129</v>
      </c>
      <c r="D106" s="2" t="s">
        <v>120</v>
      </c>
      <c r="E106" s="13">
        <v>0.625</v>
      </c>
      <c r="F106" s="2"/>
      <c r="G106" s="3"/>
      <c r="H106" s="3"/>
      <c r="I106" s="2">
        <v>0</v>
      </c>
      <c r="J106" s="2"/>
      <c r="K106" s="2"/>
      <c r="L106" s="2"/>
      <c r="M106" s="2"/>
      <c r="N106" s="2"/>
      <c r="O106" s="8">
        <f t="shared" si="7"/>
        <v>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7">
        <f t="shared" si="8"/>
        <v>0</v>
      </c>
      <c r="AL106" s="8" t="s">
        <v>147</v>
      </c>
      <c r="AM106" s="8">
        <v>150</v>
      </c>
      <c r="AN106" s="8" t="s">
        <v>153</v>
      </c>
      <c r="AO106" s="8">
        <f t="shared" si="9"/>
        <v>0</v>
      </c>
    </row>
    <row r="107" spans="1:42" hidden="1" x14ac:dyDescent="0.25">
      <c r="A107" s="2">
        <v>97</v>
      </c>
      <c r="B107" s="2" t="s">
        <v>128</v>
      </c>
      <c r="C107" s="2" t="s">
        <v>129</v>
      </c>
      <c r="D107" s="2" t="s">
        <v>121</v>
      </c>
      <c r="E107" s="13">
        <v>0.75</v>
      </c>
      <c r="F107" s="2"/>
      <c r="G107" s="3"/>
      <c r="H107" s="3"/>
      <c r="I107" s="2">
        <v>0</v>
      </c>
      <c r="J107" s="2"/>
      <c r="K107" s="2"/>
      <c r="L107" s="2"/>
      <c r="M107" s="2"/>
      <c r="N107" s="2"/>
      <c r="O107" s="8">
        <f t="shared" ref="O107:O138" si="10">+I107+J107+K107+L107+M107+N107-SUM(P107:AJ107)</f>
        <v>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7">
        <f t="shared" ref="AK107:AK138" si="11">+G107*SUM(I107:N107)</f>
        <v>0</v>
      </c>
      <c r="AL107" s="8" t="s">
        <v>147</v>
      </c>
      <c r="AM107" s="8">
        <v>80</v>
      </c>
      <c r="AN107" s="8" t="s">
        <v>153</v>
      </c>
      <c r="AO107" s="8">
        <f t="shared" si="9"/>
        <v>0</v>
      </c>
    </row>
    <row r="108" spans="1:42" hidden="1" x14ac:dyDescent="0.25">
      <c r="A108" s="2">
        <v>98</v>
      </c>
      <c r="B108" s="2" t="s">
        <v>128</v>
      </c>
      <c r="C108" s="2" t="s">
        <v>129</v>
      </c>
      <c r="D108" s="2" t="s">
        <v>122</v>
      </c>
      <c r="E108" s="13">
        <v>0.75</v>
      </c>
      <c r="F108" s="2"/>
      <c r="G108" s="3"/>
      <c r="H108" s="3"/>
      <c r="I108" s="2">
        <v>0</v>
      </c>
      <c r="J108" s="2"/>
      <c r="K108" s="2"/>
      <c r="L108" s="2"/>
      <c r="M108" s="2"/>
      <c r="N108" s="2"/>
      <c r="O108" s="8">
        <f t="shared" si="10"/>
        <v>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7">
        <f t="shared" si="11"/>
        <v>0</v>
      </c>
      <c r="AL108" s="8" t="s">
        <v>147</v>
      </c>
      <c r="AM108" s="8">
        <v>80</v>
      </c>
      <c r="AN108" s="8" t="s">
        <v>153</v>
      </c>
      <c r="AO108" s="8">
        <f t="shared" si="9"/>
        <v>0</v>
      </c>
    </row>
    <row r="109" spans="1:42" hidden="1" x14ac:dyDescent="0.25">
      <c r="A109" s="2">
        <v>99</v>
      </c>
      <c r="B109" s="2" t="s">
        <v>128</v>
      </c>
      <c r="C109" s="2" t="s">
        <v>129</v>
      </c>
      <c r="D109" s="2" t="s">
        <v>123</v>
      </c>
      <c r="E109" s="13">
        <v>0.75</v>
      </c>
      <c r="F109" s="2"/>
      <c r="G109" s="3"/>
      <c r="H109" s="3"/>
      <c r="I109" s="2">
        <v>0</v>
      </c>
      <c r="J109" s="2"/>
      <c r="K109" s="2"/>
      <c r="L109" s="2"/>
      <c r="M109" s="2"/>
      <c r="N109" s="2"/>
      <c r="O109" s="8">
        <f t="shared" si="10"/>
        <v>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7">
        <f t="shared" si="11"/>
        <v>0</v>
      </c>
      <c r="AL109" s="8" t="s">
        <v>147</v>
      </c>
      <c r="AM109" s="8">
        <v>80</v>
      </c>
      <c r="AN109" s="8" t="s">
        <v>153</v>
      </c>
      <c r="AO109" s="8">
        <f t="shared" si="9"/>
        <v>0</v>
      </c>
    </row>
    <row r="110" spans="1:42" hidden="1" x14ac:dyDescent="0.25">
      <c r="A110" s="2">
        <v>100</v>
      </c>
      <c r="B110" s="2" t="s">
        <v>128</v>
      </c>
      <c r="C110" s="2" t="s">
        <v>129</v>
      </c>
      <c r="D110" s="2" t="s">
        <v>124</v>
      </c>
      <c r="E110" s="13">
        <v>0.75</v>
      </c>
      <c r="F110" s="2"/>
      <c r="G110" s="3"/>
      <c r="H110" s="3"/>
      <c r="I110" s="2">
        <v>0</v>
      </c>
      <c r="J110" s="2"/>
      <c r="K110" s="2"/>
      <c r="L110" s="2"/>
      <c r="M110" s="2"/>
      <c r="N110" s="2"/>
      <c r="O110" s="8">
        <f t="shared" si="10"/>
        <v>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7">
        <f t="shared" si="11"/>
        <v>0</v>
      </c>
      <c r="AL110" s="8" t="s">
        <v>147</v>
      </c>
      <c r="AM110" s="8">
        <v>80</v>
      </c>
      <c r="AN110" s="8" t="s">
        <v>153</v>
      </c>
      <c r="AO110" s="8">
        <f t="shared" si="9"/>
        <v>0</v>
      </c>
    </row>
    <row r="111" spans="1:42" hidden="1" x14ac:dyDescent="0.25">
      <c r="A111" s="2">
        <v>101</v>
      </c>
      <c r="B111" s="2" t="s">
        <v>128</v>
      </c>
      <c r="C111" s="2" t="s">
        <v>129</v>
      </c>
      <c r="D111" s="2" t="s">
        <v>125</v>
      </c>
      <c r="E111" s="13">
        <v>0.875</v>
      </c>
      <c r="F111" s="2"/>
      <c r="G111" s="3"/>
      <c r="H111" s="3"/>
      <c r="I111" s="2">
        <v>0</v>
      </c>
      <c r="J111" s="2"/>
      <c r="K111" s="2"/>
      <c r="L111" s="2"/>
      <c r="M111" s="2"/>
      <c r="N111" s="2"/>
      <c r="O111" s="8">
        <f t="shared" si="10"/>
        <v>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7">
        <f t="shared" si="11"/>
        <v>0</v>
      </c>
      <c r="AL111" s="8" t="s">
        <v>147</v>
      </c>
      <c r="AM111" s="8">
        <v>50</v>
      </c>
      <c r="AN111" s="8" t="s">
        <v>153</v>
      </c>
      <c r="AO111" s="8">
        <f t="shared" si="9"/>
        <v>0</v>
      </c>
    </row>
    <row r="112" spans="1:42" hidden="1" x14ac:dyDescent="0.25">
      <c r="A112" s="2">
        <v>102</v>
      </c>
      <c r="B112" s="2" t="s">
        <v>128</v>
      </c>
      <c r="C112" s="2" t="s">
        <v>129</v>
      </c>
      <c r="D112" s="2" t="s">
        <v>126</v>
      </c>
      <c r="E112" s="13">
        <v>0.875</v>
      </c>
      <c r="F112" s="2"/>
      <c r="G112" s="3"/>
      <c r="H112" s="3"/>
      <c r="I112" s="2">
        <v>0</v>
      </c>
      <c r="J112" s="2"/>
      <c r="K112" s="2"/>
      <c r="L112" s="2"/>
      <c r="M112" s="2"/>
      <c r="N112" s="2"/>
      <c r="O112" s="8">
        <f t="shared" si="10"/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7">
        <f t="shared" si="11"/>
        <v>0</v>
      </c>
      <c r="AL112" s="8" t="s">
        <v>155</v>
      </c>
      <c r="AM112" s="8">
        <v>50</v>
      </c>
      <c r="AN112" s="8" t="s">
        <v>153</v>
      </c>
      <c r="AO112" s="8">
        <f t="shared" si="9"/>
        <v>0</v>
      </c>
    </row>
    <row r="113" spans="1:41" hidden="1" x14ac:dyDescent="0.25">
      <c r="A113" s="2">
        <v>103</v>
      </c>
      <c r="B113" s="2" t="s">
        <v>128</v>
      </c>
      <c r="C113" s="2" t="s">
        <v>129</v>
      </c>
      <c r="D113" s="2" t="s">
        <v>127</v>
      </c>
      <c r="E113" s="13">
        <v>0.875</v>
      </c>
      <c r="F113" s="2"/>
      <c r="G113" s="3"/>
      <c r="H113" s="3"/>
      <c r="I113" s="2">
        <v>0</v>
      </c>
      <c r="J113" s="2"/>
      <c r="K113" s="2"/>
      <c r="L113" s="2"/>
      <c r="M113" s="2"/>
      <c r="N113" s="2"/>
      <c r="O113" s="8">
        <f t="shared" si="10"/>
        <v>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7">
        <f t="shared" si="11"/>
        <v>0</v>
      </c>
      <c r="AL113" s="8" t="s">
        <v>155</v>
      </c>
      <c r="AM113" s="8">
        <v>50</v>
      </c>
      <c r="AN113" s="8" t="s">
        <v>153</v>
      </c>
      <c r="AO113" s="8">
        <f t="shared" si="9"/>
        <v>0</v>
      </c>
    </row>
    <row r="114" spans="1:41" hidden="1" x14ac:dyDescent="0.25">
      <c r="A114" s="2">
        <v>104</v>
      </c>
      <c r="B114" s="2" t="s">
        <v>130</v>
      </c>
      <c r="C114" s="2" t="s">
        <v>0</v>
      </c>
      <c r="D114" s="2" t="s">
        <v>131</v>
      </c>
      <c r="E114" s="13">
        <v>0.375</v>
      </c>
      <c r="F114" s="2"/>
      <c r="G114" s="3"/>
      <c r="H114" s="3"/>
      <c r="I114" s="2">
        <v>0</v>
      </c>
      <c r="J114" s="2"/>
      <c r="K114" s="2"/>
      <c r="L114" s="2"/>
      <c r="M114" s="2"/>
      <c r="N114" s="2"/>
      <c r="O114" s="8">
        <f t="shared" si="10"/>
        <v>0</v>
      </c>
      <c r="P114" s="2"/>
      <c r="Q114" s="2">
        <v>0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7">
        <f t="shared" si="11"/>
        <v>0</v>
      </c>
      <c r="AL114" s="8" t="s">
        <v>148</v>
      </c>
      <c r="AM114" s="8">
        <v>250</v>
      </c>
      <c r="AN114" s="8" t="s">
        <v>154</v>
      </c>
      <c r="AO114" s="8">
        <f t="shared" si="9"/>
        <v>0</v>
      </c>
    </row>
    <row r="115" spans="1:41" hidden="1" x14ac:dyDescent="0.25">
      <c r="A115" s="2">
        <v>105</v>
      </c>
      <c r="B115" s="2" t="s">
        <v>130</v>
      </c>
      <c r="C115" s="2" t="s">
        <v>0</v>
      </c>
      <c r="D115" s="2" t="s">
        <v>132</v>
      </c>
      <c r="E115" s="13">
        <v>0.375</v>
      </c>
      <c r="F115" s="2"/>
      <c r="G115" s="3"/>
      <c r="H115" s="3"/>
      <c r="I115" s="2">
        <v>0</v>
      </c>
      <c r="J115" s="2"/>
      <c r="K115" s="2"/>
      <c r="L115" s="2"/>
      <c r="M115" s="2"/>
      <c r="N115" s="2"/>
      <c r="O115" s="8">
        <f t="shared" si="10"/>
        <v>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7">
        <f t="shared" si="11"/>
        <v>0</v>
      </c>
      <c r="AL115" s="8" t="s">
        <v>148</v>
      </c>
      <c r="AM115" s="8">
        <v>250</v>
      </c>
      <c r="AN115" s="8" t="s">
        <v>154</v>
      </c>
      <c r="AO115" s="8">
        <f t="shared" si="9"/>
        <v>0</v>
      </c>
    </row>
    <row r="116" spans="1:41" hidden="1" x14ac:dyDescent="0.25">
      <c r="A116" s="2">
        <v>106</v>
      </c>
      <c r="B116" s="2" t="s">
        <v>130</v>
      </c>
      <c r="C116" s="2" t="s">
        <v>0</v>
      </c>
      <c r="D116" s="2" t="s">
        <v>133</v>
      </c>
      <c r="E116" s="13">
        <v>0.375</v>
      </c>
      <c r="F116" s="2"/>
      <c r="G116" s="3"/>
      <c r="H116" s="3"/>
      <c r="I116" s="2">
        <v>0</v>
      </c>
      <c r="J116" s="2"/>
      <c r="K116" s="2"/>
      <c r="L116" s="2"/>
      <c r="M116" s="2"/>
      <c r="N116" s="2"/>
      <c r="O116" s="8">
        <f t="shared" si="10"/>
        <v>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7">
        <f t="shared" si="11"/>
        <v>0</v>
      </c>
      <c r="AL116" s="8" t="s">
        <v>148</v>
      </c>
      <c r="AM116" s="8">
        <v>250</v>
      </c>
      <c r="AN116" s="8" t="s">
        <v>154</v>
      </c>
      <c r="AO116" s="8">
        <f t="shared" si="9"/>
        <v>0</v>
      </c>
    </row>
    <row r="117" spans="1:41" hidden="1" x14ac:dyDescent="0.25">
      <c r="A117" s="2">
        <v>107</v>
      </c>
      <c r="B117" s="2" t="s">
        <v>130</v>
      </c>
      <c r="C117" s="2" t="s">
        <v>0</v>
      </c>
      <c r="D117" s="2" t="s">
        <v>134</v>
      </c>
      <c r="E117" s="13">
        <v>0.75</v>
      </c>
      <c r="F117" s="2"/>
      <c r="G117" s="3"/>
      <c r="H117" s="3"/>
      <c r="I117" s="2">
        <v>0</v>
      </c>
      <c r="J117" s="2"/>
      <c r="K117" s="2"/>
      <c r="L117" s="2"/>
      <c r="M117" s="2"/>
      <c r="N117" s="2"/>
      <c r="O117" s="8">
        <f t="shared" si="10"/>
        <v>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7">
        <f t="shared" si="11"/>
        <v>0</v>
      </c>
      <c r="AL117" s="8" t="s">
        <v>150</v>
      </c>
      <c r="AM117" s="8">
        <v>200</v>
      </c>
      <c r="AN117" s="8" t="s">
        <v>154</v>
      </c>
      <c r="AO117" s="8">
        <f t="shared" si="9"/>
        <v>0</v>
      </c>
    </row>
    <row r="118" spans="1:41" hidden="1" x14ac:dyDescent="0.25">
      <c r="A118" s="2">
        <v>108</v>
      </c>
      <c r="B118" s="2" t="s">
        <v>130</v>
      </c>
      <c r="C118" s="2" t="s">
        <v>0</v>
      </c>
      <c r="D118" s="2" t="s">
        <v>135</v>
      </c>
      <c r="E118" s="13">
        <v>0.75</v>
      </c>
      <c r="F118" s="2"/>
      <c r="G118" s="3"/>
      <c r="H118" s="3"/>
      <c r="I118" s="2">
        <v>612</v>
      </c>
      <c r="J118" s="2"/>
      <c r="K118" s="2"/>
      <c r="L118" s="2"/>
      <c r="M118" s="2"/>
      <c r="N118" s="2"/>
      <c r="O118" s="8">
        <f t="shared" si="10"/>
        <v>0</v>
      </c>
      <c r="P118" s="2"/>
      <c r="Q118" s="2"/>
      <c r="R118" s="2"/>
      <c r="S118" s="2"/>
      <c r="T118" s="2"/>
      <c r="U118" s="2"/>
      <c r="V118" s="2"/>
      <c r="W118" s="2">
        <v>72</v>
      </c>
      <c r="X118" s="2"/>
      <c r="Y118" s="2">
        <v>409</v>
      </c>
      <c r="Z118" s="2">
        <v>108</v>
      </c>
      <c r="AA118" s="2"/>
      <c r="AB118" s="2"/>
      <c r="AC118" s="2"/>
      <c r="AD118" s="2"/>
      <c r="AE118" s="2"/>
      <c r="AF118" s="2"/>
      <c r="AG118" s="2"/>
      <c r="AH118" s="2"/>
      <c r="AI118" s="2"/>
      <c r="AJ118" s="2">
        <v>23</v>
      </c>
      <c r="AK118" s="7">
        <f t="shared" si="11"/>
        <v>0</v>
      </c>
      <c r="AL118" s="8" t="s">
        <v>150</v>
      </c>
      <c r="AM118" s="8">
        <v>200</v>
      </c>
      <c r="AN118" s="8" t="s">
        <v>154</v>
      </c>
      <c r="AO118" s="8">
        <f t="shared" si="9"/>
        <v>3.06</v>
      </c>
    </row>
    <row r="119" spans="1:41" hidden="1" x14ac:dyDescent="0.25">
      <c r="A119" s="2">
        <v>109</v>
      </c>
      <c r="B119" s="2" t="s">
        <v>130</v>
      </c>
      <c r="C119" s="2" t="s">
        <v>0</v>
      </c>
      <c r="D119" s="2" t="s">
        <v>136</v>
      </c>
      <c r="E119" s="13">
        <v>0.75</v>
      </c>
      <c r="F119" s="2"/>
      <c r="G119" s="3"/>
      <c r="H119" s="3"/>
      <c r="I119" s="2">
        <v>0</v>
      </c>
      <c r="J119" s="2"/>
      <c r="K119" s="2"/>
      <c r="L119" s="2"/>
      <c r="M119" s="2"/>
      <c r="N119" s="2"/>
      <c r="O119" s="8">
        <f t="shared" si="10"/>
        <v>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7">
        <f t="shared" si="11"/>
        <v>0</v>
      </c>
      <c r="AL119" s="8" t="s">
        <v>150</v>
      </c>
      <c r="AM119" s="8">
        <v>200</v>
      </c>
      <c r="AN119" s="8" t="s">
        <v>154</v>
      </c>
      <c r="AO119" s="8">
        <f t="shared" si="9"/>
        <v>0</v>
      </c>
    </row>
    <row r="120" spans="1:41" hidden="1" x14ac:dyDescent="0.25">
      <c r="A120" s="2">
        <v>110</v>
      </c>
      <c r="B120" s="2" t="s">
        <v>130</v>
      </c>
      <c r="C120" s="2" t="s">
        <v>0</v>
      </c>
      <c r="D120" s="2" t="s">
        <v>137</v>
      </c>
      <c r="E120" s="13">
        <v>0.75</v>
      </c>
      <c r="F120" s="2"/>
      <c r="G120" s="3"/>
      <c r="H120" s="3"/>
      <c r="I120" s="2">
        <v>1116</v>
      </c>
      <c r="J120" s="2"/>
      <c r="K120" s="2"/>
      <c r="L120" s="2"/>
      <c r="M120" s="2"/>
      <c r="N120" s="2"/>
      <c r="O120" s="8">
        <f t="shared" si="10"/>
        <v>0</v>
      </c>
      <c r="P120" s="2"/>
      <c r="Q120" s="2"/>
      <c r="R120" s="2"/>
      <c r="S120" s="2"/>
      <c r="T120" s="2"/>
      <c r="U120" s="2"/>
      <c r="V120" s="2"/>
      <c r="W120" s="2">
        <v>396</v>
      </c>
      <c r="X120" s="2">
        <v>576</v>
      </c>
      <c r="Y120" s="2"/>
      <c r="Z120" s="2">
        <v>108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>
        <v>36</v>
      </c>
      <c r="AK120" s="7">
        <f t="shared" si="11"/>
        <v>0</v>
      </c>
      <c r="AL120" s="8" t="s">
        <v>150</v>
      </c>
      <c r="AM120" s="8">
        <v>200</v>
      </c>
      <c r="AN120" s="8" t="s">
        <v>154</v>
      </c>
      <c r="AO120" s="8">
        <f t="shared" si="9"/>
        <v>5.58</v>
      </c>
    </row>
    <row r="121" spans="1:41" hidden="1" x14ac:dyDescent="0.25">
      <c r="A121" s="2">
        <v>111</v>
      </c>
      <c r="B121" s="2" t="s">
        <v>130</v>
      </c>
      <c r="C121" s="2" t="s">
        <v>0</v>
      </c>
      <c r="D121" s="2" t="s">
        <v>138</v>
      </c>
      <c r="E121" s="13">
        <v>0.75</v>
      </c>
      <c r="F121" s="2"/>
      <c r="G121" s="3"/>
      <c r="H121" s="3"/>
      <c r="I121" s="2">
        <v>0</v>
      </c>
      <c r="J121" s="2"/>
      <c r="K121" s="2"/>
      <c r="L121" s="2"/>
      <c r="M121" s="2"/>
      <c r="N121" s="2"/>
      <c r="O121" s="8">
        <f t="shared" si="10"/>
        <v>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7">
        <f t="shared" si="11"/>
        <v>0</v>
      </c>
      <c r="AL121" s="8" t="s">
        <v>150</v>
      </c>
      <c r="AM121" s="8">
        <v>200</v>
      </c>
      <c r="AN121" s="8" t="s">
        <v>154</v>
      </c>
      <c r="AO121" s="8">
        <f t="shared" si="9"/>
        <v>0</v>
      </c>
    </row>
    <row r="122" spans="1:41" hidden="1" x14ac:dyDescent="0.25">
      <c r="A122" s="2">
        <v>112</v>
      </c>
      <c r="B122" s="2" t="s">
        <v>130</v>
      </c>
      <c r="C122" s="2" t="s">
        <v>0</v>
      </c>
      <c r="D122" s="2" t="s">
        <v>139</v>
      </c>
      <c r="E122" s="13">
        <v>0.75</v>
      </c>
      <c r="F122" s="2"/>
      <c r="G122" s="3"/>
      <c r="H122" s="3"/>
      <c r="I122" s="2">
        <v>0</v>
      </c>
      <c r="J122" s="2"/>
      <c r="K122" s="2"/>
      <c r="L122" s="2"/>
      <c r="M122" s="2"/>
      <c r="N122" s="2"/>
      <c r="O122" s="8">
        <f t="shared" si="10"/>
        <v>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7">
        <f t="shared" si="11"/>
        <v>0</v>
      </c>
      <c r="AL122" s="8" t="s">
        <v>150</v>
      </c>
      <c r="AM122" s="8">
        <v>200</v>
      </c>
      <c r="AN122" s="8" t="s">
        <v>154</v>
      </c>
      <c r="AO122" s="8">
        <f t="shared" si="9"/>
        <v>0</v>
      </c>
    </row>
    <row r="123" spans="1:41" hidden="1" x14ac:dyDescent="0.25">
      <c r="A123" s="2">
        <v>113</v>
      </c>
      <c r="B123" s="2" t="s">
        <v>130</v>
      </c>
      <c r="C123" s="2" t="s">
        <v>0</v>
      </c>
      <c r="D123" s="2" t="s">
        <v>140</v>
      </c>
      <c r="E123" s="13">
        <v>0.75</v>
      </c>
      <c r="F123" s="2"/>
      <c r="G123" s="3"/>
      <c r="H123" s="3"/>
      <c r="I123" s="2">
        <v>1176</v>
      </c>
      <c r="J123" s="2"/>
      <c r="K123" s="2"/>
      <c r="L123" s="2"/>
      <c r="M123" s="2"/>
      <c r="N123" s="2"/>
      <c r="O123" s="8">
        <f t="shared" si="10"/>
        <v>0</v>
      </c>
      <c r="P123" s="2"/>
      <c r="Q123" s="2"/>
      <c r="R123" s="2"/>
      <c r="S123" s="2"/>
      <c r="T123" s="2"/>
      <c r="U123" s="2"/>
      <c r="V123" s="2"/>
      <c r="W123" s="2"/>
      <c r="X123" s="2"/>
      <c r="Y123" s="2">
        <v>720</v>
      </c>
      <c r="Z123" s="2">
        <v>456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7">
        <f t="shared" si="11"/>
        <v>0</v>
      </c>
      <c r="AL123" s="8" t="s">
        <v>150</v>
      </c>
      <c r="AM123" s="8">
        <v>200</v>
      </c>
      <c r="AN123" s="8" t="s">
        <v>154</v>
      </c>
      <c r="AO123" s="8">
        <f t="shared" si="9"/>
        <v>5.88</v>
      </c>
    </row>
    <row r="124" spans="1:41" hidden="1" x14ac:dyDescent="0.25">
      <c r="A124" s="2">
        <v>114</v>
      </c>
      <c r="B124" s="2" t="s">
        <v>130</v>
      </c>
      <c r="C124" s="2" t="s">
        <v>0</v>
      </c>
      <c r="D124" s="2" t="s">
        <v>141</v>
      </c>
      <c r="E124" s="13">
        <v>0.875</v>
      </c>
      <c r="F124" s="2"/>
      <c r="G124" s="3"/>
      <c r="H124" s="3"/>
      <c r="I124" s="2">
        <v>0</v>
      </c>
      <c r="J124" s="2"/>
      <c r="K124" s="2"/>
      <c r="L124" s="2"/>
      <c r="M124" s="2"/>
      <c r="N124" s="2"/>
      <c r="O124" s="8">
        <f t="shared" si="10"/>
        <v>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7">
        <f t="shared" si="11"/>
        <v>0</v>
      </c>
      <c r="AL124" s="8" t="s">
        <v>150</v>
      </c>
      <c r="AM124" s="8">
        <v>200</v>
      </c>
      <c r="AN124" s="8" t="s">
        <v>154</v>
      </c>
      <c r="AO124" s="8">
        <f t="shared" si="9"/>
        <v>0</v>
      </c>
    </row>
    <row r="125" spans="1:41" hidden="1" x14ac:dyDescent="0.25">
      <c r="A125" s="2">
        <v>115</v>
      </c>
      <c r="B125" s="2" t="s">
        <v>130</v>
      </c>
      <c r="C125" s="2" t="s">
        <v>0</v>
      </c>
      <c r="D125" s="2" t="s">
        <v>142</v>
      </c>
      <c r="E125" s="13">
        <v>0.875</v>
      </c>
      <c r="F125" s="2"/>
      <c r="G125" s="3"/>
      <c r="H125" s="3"/>
      <c r="I125" s="2">
        <v>0</v>
      </c>
      <c r="J125" s="2"/>
      <c r="K125" s="2"/>
      <c r="L125" s="2"/>
      <c r="M125" s="2"/>
      <c r="N125" s="2"/>
      <c r="O125" s="8">
        <f t="shared" si="10"/>
        <v>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7">
        <f t="shared" si="11"/>
        <v>0</v>
      </c>
      <c r="AL125" s="8" t="s">
        <v>150</v>
      </c>
      <c r="AM125" s="8">
        <v>200</v>
      </c>
      <c r="AN125" s="8" t="s">
        <v>154</v>
      </c>
      <c r="AO125" s="8">
        <f t="shared" si="9"/>
        <v>0</v>
      </c>
    </row>
    <row r="126" spans="1:41" hidden="1" x14ac:dyDescent="0.25">
      <c r="A126" s="2">
        <v>116</v>
      </c>
      <c r="B126" s="2" t="s">
        <v>130</v>
      </c>
      <c r="C126" s="2" t="s">
        <v>0</v>
      </c>
      <c r="D126" s="2" t="s">
        <v>143</v>
      </c>
      <c r="E126" s="13">
        <v>0.875</v>
      </c>
      <c r="F126" s="2"/>
      <c r="G126" s="3"/>
      <c r="H126" s="3"/>
      <c r="I126" s="2">
        <v>0</v>
      </c>
      <c r="J126" s="2"/>
      <c r="K126" s="2"/>
      <c r="L126" s="2"/>
      <c r="M126" s="2"/>
      <c r="N126" s="2"/>
      <c r="O126" s="8">
        <f t="shared" si="10"/>
        <v>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7">
        <f t="shared" si="11"/>
        <v>0</v>
      </c>
      <c r="AL126" s="8" t="s">
        <v>150</v>
      </c>
      <c r="AM126" s="8">
        <v>200</v>
      </c>
      <c r="AN126" s="8" t="s">
        <v>154</v>
      </c>
      <c r="AO126" s="8">
        <f t="shared" si="9"/>
        <v>0</v>
      </c>
    </row>
    <row r="127" spans="1:41" hidden="1" x14ac:dyDescent="0.25">
      <c r="A127" s="2">
        <v>117</v>
      </c>
      <c r="B127" s="2" t="s">
        <v>130</v>
      </c>
      <c r="C127" s="2" t="s">
        <v>0</v>
      </c>
      <c r="D127" s="2" t="s">
        <v>144</v>
      </c>
      <c r="E127" s="13">
        <v>0.875</v>
      </c>
      <c r="F127" s="2"/>
      <c r="G127" s="3"/>
      <c r="H127" s="3"/>
      <c r="I127" s="2">
        <v>0</v>
      </c>
      <c r="J127" s="2"/>
      <c r="K127" s="2"/>
      <c r="L127" s="2"/>
      <c r="M127" s="2"/>
      <c r="N127" s="2"/>
      <c r="O127" s="8">
        <f t="shared" si="10"/>
        <v>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7">
        <f t="shared" si="11"/>
        <v>0</v>
      </c>
      <c r="AL127" s="8" t="s">
        <v>150</v>
      </c>
      <c r="AM127" s="8">
        <v>200</v>
      </c>
      <c r="AN127" s="8" t="s">
        <v>154</v>
      </c>
      <c r="AO127" s="8">
        <f t="shared" si="9"/>
        <v>0</v>
      </c>
    </row>
    <row r="128" spans="1:41" hidden="1" x14ac:dyDescent="0.25">
      <c r="A128" s="2">
        <v>118</v>
      </c>
      <c r="B128" s="2" t="s">
        <v>188</v>
      </c>
      <c r="C128" s="2" t="s">
        <v>129</v>
      </c>
      <c r="D128" s="2" t="s">
        <v>160</v>
      </c>
      <c r="E128" s="13">
        <v>0.3125</v>
      </c>
      <c r="F128" s="2"/>
      <c r="G128" s="3"/>
      <c r="H128" s="3">
        <v>0.2</v>
      </c>
      <c r="I128" s="2">
        <v>0</v>
      </c>
      <c r="J128" s="2"/>
      <c r="K128" s="2"/>
      <c r="L128" s="2"/>
      <c r="M128" s="2"/>
      <c r="N128" s="2"/>
      <c r="O128" s="8">
        <f t="shared" si="10"/>
        <v>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7">
        <f t="shared" si="11"/>
        <v>0</v>
      </c>
      <c r="AL128" s="8" t="s">
        <v>148</v>
      </c>
      <c r="AM128" s="12">
        <v>500</v>
      </c>
      <c r="AN128" s="8" t="s">
        <v>189</v>
      </c>
      <c r="AO128" s="8">
        <f t="shared" ref="AO128:AO154" si="12">+SUM(I128:N128)/AM128</f>
        <v>0</v>
      </c>
    </row>
    <row r="129" spans="1:41" hidden="1" x14ac:dyDescent="0.25">
      <c r="A129" s="2">
        <v>119</v>
      </c>
      <c r="B129" s="2" t="s">
        <v>188</v>
      </c>
      <c r="C129" s="2" t="s">
        <v>129</v>
      </c>
      <c r="D129" s="2" t="s">
        <v>161</v>
      </c>
      <c r="E129" s="13">
        <v>0.3125</v>
      </c>
      <c r="F129" s="2"/>
      <c r="G129" s="3"/>
      <c r="H129" s="3">
        <v>0.2</v>
      </c>
      <c r="I129" s="2">
        <v>0</v>
      </c>
      <c r="J129" s="2"/>
      <c r="K129" s="2"/>
      <c r="L129" s="2"/>
      <c r="M129" s="2"/>
      <c r="N129" s="2"/>
      <c r="O129" s="8">
        <f t="shared" si="10"/>
        <v>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7">
        <f t="shared" si="11"/>
        <v>0</v>
      </c>
      <c r="AL129" s="8" t="s">
        <v>148</v>
      </c>
      <c r="AM129" s="12">
        <v>500</v>
      </c>
      <c r="AN129" s="8" t="s">
        <v>189</v>
      </c>
      <c r="AO129" s="8">
        <f t="shared" si="12"/>
        <v>0</v>
      </c>
    </row>
    <row r="130" spans="1:41" hidden="1" x14ac:dyDescent="0.25">
      <c r="A130" s="2">
        <v>120</v>
      </c>
      <c r="B130" s="2" t="s">
        <v>188</v>
      </c>
      <c r="C130" s="2" t="s">
        <v>129</v>
      </c>
      <c r="D130" s="2" t="s">
        <v>162</v>
      </c>
      <c r="E130" s="13">
        <v>0.3125</v>
      </c>
      <c r="F130" s="2"/>
      <c r="G130" s="3"/>
      <c r="H130" s="3">
        <v>0.2</v>
      </c>
      <c r="I130" s="2">
        <v>0</v>
      </c>
      <c r="J130" s="2"/>
      <c r="K130" s="2"/>
      <c r="L130" s="2"/>
      <c r="M130" s="2"/>
      <c r="N130" s="2"/>
      <c r="O130" s="8">
        <f t="shared" si="10"/>
        <v>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7">
        <f t="shared" si="11"/>
        <v>0</v>
      </c>
      <c r="AL130" s="8" t="s">
        <v>148</v>
      </c>
      <c r="AM130" s="12">
        <v>500</v>
      </c>
      <c r="AN130" s="8" t="s">
        <v>189</v>
      </c>
      <c r="AO130" s="8">
        <f t="shared" si="12"/>
        <v>0</v>
      </c>
    </row>
    <row r="131" spans="1:41" hidden="1" x14ac:dyDescent="0.25">
      <c r="A131" s="2">
        <v>121</v>
      </c>
      <c r="B131" s="2" t="s">
        <v>188</v>
      </c>
      <c r="C131" s="2" t="s">
        <v>129</v>
      </c>
      <c r="D131" s="2" t="s">
        <v>163</v>
      </c>
      <c r="E131" s="13">
        <v>0.3125</v>
      </c>
      <c r="F131" s="2"/>
      <c r="G131" s="3"/>
      <c r="H131" s="3">
        <v>0.2</v>
      </c>
      <c r="I131" s="2">
        <v>0</v>
      </c>
      <c r="J131" s="2"/>
      <c r="K131" s="2"/>
      <c r="L131" s="2"/>
      <c r="M131" s="2"/>
      <c r="N131" s="2"/>
      <c r="O131" s="8">
        <f t="shared" si="10"/>
        <v>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7">
        <f t="shared" si="11"/>
        <v>0</v>
      </c>
      <c r="AL131" s="8" t="s">
        <v>148</v>
      </c>
      <c r="AM131" s="12">
        <v>500</v>
      </c>
      <c r="AN131" s="8" t="s">
        <v>189</v>
      </c>
      <c r="AO131" s="8">
        <f t="shared" si="12"/>
        <v>0</v>
      </c>
    </row>
    <row r="132" spans="1:41" hidden="1" x14ac:dyDescent="0.25">
      <c r="A132" s="2">
        <v>122</v>
      </c>
      <c r="B132" s="2" t="s">
        <v>188</v>
      </c>
      <c r="C132" s="2" t="s">
        <v>129</v>
      </c>
      <c r="D132" s="2" t="s">
        <v>164</v>
      </c>
      <c r="E132" s="13">
        <v>0.3125</v>
      </c>
      <c r="F132" s="2"/>
      <c r="G132" s="3"/>
      <c r="H132" s="3">
        <v>0.2</v>
      </c>
      <c r="I132" s="2">
        <v>0</v>
      </c>
      <c r="J132" s="2"/>
      <c r="K132" s="2"/>
      <c r="L132" s="2"/>
      <c r="M132" s="2"/>
      <c r="N132" s="2"/>
      <c r="O132" s="8">
        <f t="shared" si="10"/>
        <v>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7">
        <f t="shared" si="11"/>
        <v>0</v>
      </c>
      <c r="AL132" s="8" t="s">
        <v>148</v>
      </c>
      <c r="AM132" s="12">
        <v>500</v>
      </c>
      <c r="AN132" s="8" t="s">
        <v>189</v>
      </c>
      <c r="AO132" s="8">
        <f t="shared" si="12"/>
        <v>0</v>
      </c>
    </row>
    <row r="133" spans="1:41" hidden="1" x14ac:dyDescent="0.25">
      <c r="A133" s="2">
        <v>123</v>
      </c>
      <c r="B133" s="2" t="s">
        <v>188</v>
      </c>
      <c r="C133" s="2" t="s">
        <v>129</v>
      </c>
      <c r="D133" s="2" t="s">
        <v>165</v>
      </c>
      <c r="E133" s="13">
        <v>0.3125</v>
      </c>
      <c r="F133" s="2"/>
      <c r="G133" s="3"/>
      <c r="H133" s="3">
        <v>0.2</v>
      </c>
      <c r="I133" s="2">
        <v>0</v>
      </c>
      <c r="J133" s="2"/>
      <c r="K133" s="2"/>
      <c r="L133" s="2"/>
      <c r="M133" s="2"/>
      <c r="N133" s="2"/>
      <c r="O133" s="8">
        <f t="shared" si="10"/>
        <v>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7">
        <f t="shared" si="11"/>
        <v>0</v>
      </c>
      <c r="AL133" s="8" t="s">
        <v>148</v>
      </c>
      <c r="AM133" s="12">
        <v>500</v>
      </c>
      <c r="AN133" s="8" t="s">
        <v>189</v>
      </c>
      <c r="AO133" s="8">
        <f t="shared" si="12"/>
        <v>0</v>
      </c>
    </row>
    <row r="134" spans="1:41" hidden="1" x14ac:dyDescent="0.25">
      <c r="A134" s="2">
        <v>124</v>
      </c>
      <c r="B134" s="2" t="s">
        <v>188</v>
      </c>
      <c r="C134" s="2" t="s">
        <v>129</v>
      </c>
      <c r="D134" s="2" t="s">
        <v>166</v>
      </c>
      <c r="E134" s="13">
        <v>0.3125</v>
      </c>
      <c r="F134" s="2"/>
      <c r="G134" s="3"/>
      <c r="H134" s="3">
        <v>0.16</v>
      </c>
      <c r="I134" s="2">
        <v>0</v>
      </c>
      <c r="J134" s="2"/>
      <c r="K134" s="2"/>
      <c r="L134" s="2"/>
      <c r="M134" s="2"/>
      <c r="N134" s="2"/>
      <c r="O134" s="8">
        <f t="shared" si="10"/>
        <v>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7">
        <f t="shared" si="11"/>
        <v>0</v>
      </c>
      <c r="AL134" s="8" t="s">
        <v>148</v>
      </c>
      <c r="AM134" s="12">
        <v>500</v>
      </c>
      <c r="AN134" s="8" t="s">
        <v>189</v>
      </c>
      <c r="AO134" s="8">
        <f t="shared" si="12"/>
        <v>0</v>
      </c>
    </row>
    <row r="135" spans="1:41" hidden="1" x14ac:dyDescent="0.25">
      <c r="A135" s="2">
        <v>125</v>
      </c>
      <c r="B135" s="2" t="s">
        <v>188</v>
      </c>
      <c r="C135" s="2" t="s">
        <v>129</v>
      </c>
      <c r="D135" s="2" t="s">
        <v>167</v>
      </c>
      <c r="E135" s="13">
        <v>0.3125</v>
      </c>
      <c r="F135" s="2"/>
      <c r="G135" s="3"/>
      <c r="H135" s="3">
        <v>0.16</v>
      </c>
      <c r="I135" s="2">
        <v>0</v>
      </c>
      <c r="J135" s="2"/>
      <c r="K135" s="2"/>
      <c r="L135" s="2"/>
      <c r="M135" s="2"/>
      <c r="N135" s="2"/>
      <c r="O135" s="8">
        <f t="shared" si="10"/>
        <v>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7">
        <f t="shared" si="11"/>
        <v>0</v>
      </c>
      <c r="AL135" s="8" t="s">
        <v>148</v>
      </c>
      <c r="AM135" s="12">
        <v>500</v>
      </c>
      <c r="AN135" s="8" t="s">
        <v>189</v>
      </c>
      <c r="AO135" s="8">
        <f t="shared" si="12"/>
        <v>0</v>
      </c>
    </row>
    <row r="136" spans="1:41" hidden="1" x14ac:dyDescent="0.25">
      <c r="A136" s="2">
        <v>126</v>
      </c>
      <c r="B136" s="2" t="s">
        <v>188</v>
      </c>
      <c r="C136" s="2" t="s">
        <v>129</v>
      </c>
      <c r="D136" s="2" t="s">
        <v>168</v>
      </c>
      <c r="E136" s="13">
        <v>0.3125</v>
      </c>
      <c r="F136" s="2"/>
      <c r="G136" s="3"/>
      <c r="H136" s="3">
        <v>0.21</v>
      </c>
      <c r="I136" s="2">
        <v>0</v>
      </c>
      <c r="J136" s="2"/>
      <c r="K136" s="2"/>
      <c r="L136" s="2"/>
      <c r="M136" s="2"/>
      <c r="N136" s="2"/>
      <c r="O136" s="8">
        <f t="shared" si="10"/>
        <v>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7">
        <f t="shared" si="11"/>
        <v>0</v>
      </c>
      <c r="AL136" s="8" t="s">
        <v>148</v>
      </c>
      <c r="AM136" s="12">
        <v>500</v>
      </c>
      <c r="AN136" s="8" t="s">
        <v>189</v>
      </c>
      <c r="AO136" s="8">
        <f t="shared" si="12"/>
        <v>0</v>
      </c>
    </row>
    <row r="137" spans="1:41" hidden="1" x14ac:dyDescent="0.25">
      <c r="A137" s="2">
        <v>127</v>
      </c>
      <c r="B137" s="2" t="s">
        <v>188</v>
      </c>
      <c r="C137" s="2" t="s">
        <v>129</v>
      </c>
      <c r="D137" s="2" t="s">
        <v>169</v>
      </c>
      <c r="E137" s="13">
        <v>0.3125</v>
      </c>
      <c r="F137" s="2"/>
      <c r="G137" s="3"/>
      <c r="H137" s="3">
        <v>0.21</v>
      </c>
      <c r="I137" s="2">
        <v>0</v>
      </c>
      <c r="J137" s="2"/>
      <c r="K137" s="2"/>
      <c r="L137" s="2"/>
      <c r="M137" s="2"/>
      <c r="N137" s="2"/>
      <c r="O137" s="8">
        <f t="shared" si="10"/>
        <v>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7">
        <f t="shared" si="11"/>
        <v>0</v>
      </c>
      <c r="AL137" s="8" t="s">
        <v>148</v>
      </c>
      <c r="AM137" s="12">
        <v>500</v>
      </c>
      <c r="AN137" s="8" t="s">
        <v>189</v>
      </c>
      <c r="AO137" s="8">
        <f t="shared" si="12"/>
        <v>0</v>
      </c>
    </row>
    <row r="138" spans="1:41" hidden="1" x14ac:dyDescent="0.25">
      <c r="A138" s="2">
        <v>128</v>
      </c>
      <c r="B138" s="2" t="s">
        <v>188</v>
      </c>
      <c r="C138" s="2" t="s">
        <v>129</v>
      </c>
      <c r="D138" s="2" t="s">
        <v>170</v>
      </c>
      <c r="E138" s="13">
        <v>0.3125</v>
      </c>
      <c r="F138" s="2"/>
      <c r="G138" s="3"/>
      <c r="H138" s="3">
        <v>0.25</v>
      </c>
      <c r="I138" s="2">
        <v>0</v>
      </c>
      <c r="J138" s="2"/>
      <c r="K138" s="2"/>
      <c r="L138" s="2"/>
      <c r="M138" s="2"/>
      <c r="N138" s="2"/>
      <c r="O138" s="8">
        <f t="shared" si="10"/>
        <v>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7">
        <f t="shared" si="11"/>
        <v>0</v>
      </c>
      <c r="AL138" s="8" t="s">
        <v>148</v>
      </c>
      <c r="AM138" s="12">
        <v>500</v>
      </c>
      <c r="AN138" s="8" t="s">
        <v>189</v>
      </c>
      <c r="AO138" s="8">
        <f t="shared" si="12"/>
        <v>0</v>
      </c>
    </row>
    <row r="139" spans="1:41" hidden="1" x14ac:dyDescent="0.25">
      <c r="A139" s="2">
        <v>129</v>
      </c>
      <c r="B139" s="2" t="s">
        <v>188</v>
      </c>
      <c r="C139" s="2" t="s">
        <v>129</v>
      </c>
      <c r="D139" s="2" t="s">
        <v>171</v>
      </c>
      <c r="E139" s="13">
        <v>0.3125</v>
      </c>
      <c r="F139" s="2"/>
      <c r="G139" s="3"/>
      <c r="H139" s="3">
        <v>0.25</v>
      </c>
      <c r="I139" s="2">
        <v>0</v>
      </c>
      <c r="J139" s="2"/>
      <c r="K139" s="2"/>
      <c r="L139" s="2"/>
      <c r="M139" s="2"/>
      <c r="N139" s="2"/>
      <c r="O139" s="8">
        <f t="shared" ref="O139:O154" si="13">+I139+J139+K139+L139+M139+N139-SUM(P139:AJ139)</f>
        <v>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7">
        <f t="shared" ref="AK139:AK154" si="14">+G139*SUM(I139:N139)</f>
        <v>0</v>
      </c>
      <c r="AL139" s="8" t="s">
        <v>148</v>
      </c>
      <c r="AM139" s="12">
        <v>500</v>
      </c>
      <c r="AN139" s="8" t="s">
        <v>189</v>
      </c>
      <c r="AO139" s="8">
        <f t="shared" si="12"/>
        <v>0</v>
      </c>
    </row>
    <row r="140" spans="1:41" hidden="1" x14ac:dyDescent="0.25">
      <c r="A140" s="2">
        <v>130</v>
      </c>
      <c r="B140" s="2" t="s">
        <v>188</v>
      </c>
      <c r="C140" s="2" t="s">
        <v>129</v>
      </c>
      <c r="D140" s="2" t="s">
        <v>172</v>
      </c>
      <c r="E140" s="13">
        <v>0.3125</v>
      </c>
      <c r="F140" s="2"/>
      <c r="G140" s="3"/>
      <c r="H140" s="3">
        <v>0.21</v>
      </c>
      <c r="I140" s="2">
        <v>0</v>
      </c>
      <c r="J140" s="2"/>
      <c r="K140" s="2"/>
      <c r="L140" s="2"/>
      <c r="M140" s="2"/>
      <c r="N140" s="2"/>
      <c r="O140" s="8">
        <f t="shared" si="13"/>
        <v>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7">
        <f t="shared" si="14"/>
        <v>0</v>
      </c>
      <c r="AL140" s="8" t="s">
        <v>148</v>
      </c>
      <c r="AM140" s="12">
        <v>500</v>
      </c>
      <c r="AN140" s="8" t="s">
        <v>189</v>
      </c>
      <c r="AO140" s="8">
        <f t="shared" si="12"/>
        <v>0</v>
      </c>
    </row>
    <row r="141" spans="1:41" hidden="1" x14ac:dyDescent="0.25">
      <c r="A141" s="2">
        <v>131</v>
      </c>
      <c r="B141" s="2" t="s">
        <v>188</v>
      </c>
      <c r="C141" s="2" t="s">
        <v>129</v>
      </c>
      <c r="D141" s="2" t="s">
        <v>173</v>
      </c>
      <c r="E141" s="13">
        <v>0.3125</v>
      </c>
      <c r="F141" s="2"/>
      <c r="G141" s="3"/>
      <c r="H141" s="3">
        <v>0.21</v>
      </c>
      <c r="I141" s="2">
        <v>0</v>
      </c>
      <c r="J141" s="2"/>
      <c r="K141" s="2"/>
      <c r="L141" s="2"/>
      <c r="M141" s="2"/>
      <c r="N141" s="2"/>
      <c r="O141" s="8">
        <f t="shared" si="13"/>
        <v>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7">
        <f t="shared" si="14"/>
        <v>0</v>
      </c>
      <c r="AL141" s="8" t="s">
        <v>148</v>
      </c>
      <c r="AM141" s="12">
        <v>500</v>
      </c>
      <c r="AN141" s="8" t="s">
        <v>189</v>
      </c>
      <c r="AO141" s="8">
        <f t="shared" si="12"/>
        <v>0</v>
      </c>
    </row>
    <row r="142" spans="1:41" hidden="1" x14ac:dyDescent="0.25">
      <c r="A142" s="2">
        <v>132</v>
      </c>
      <c r="B142" s="2" t="s">
        <v>188</v>
      </c>
      <c r="C142" s="2" t="s">
        <v>129</v>
      </c>
      <c r="D142" s="2" t="s">
        <v>174</v>
      </c>
      <c r="E142" s="13">
        <v>0.3125</v>
      </c>
      <c r="F142" s="2"/>
      <c r="G142" s="3"/>
      <c r="H142" s="3">
        <v>0.21</v>
      </c>
      <c r="I142" s="2">
        <v>0</v>
      </c>
      <c r="J142" s="2"/>
      <c r="K142" s="2"/>
      <c r="L142" s="2"/>
      <c r="M142" s="2"/>
      <c r="N142" s="2"/>
      <c r="O142" s="8">
        <f t="shared" si="13"/>
        <v>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7">
        <f t="shared" si="14"/>
        <v>0</v>
      </c>
      <c r="AL142" s="8" t="s">
        <v>148</v>
      </c>
      <c r="AM142" s="12">
        <v>500</v>
      </c>
      <c r="AN142" s="8" t="s">
        <v>189</v>
      </c>
      <c r="AO142" s="8">
        <f t="shared" si="12"/>
        <v>0</v>
      </c>
    </row>
    <row r="143" spans="1:41" hidden="1" x14ac:dyDescent="0.25">
      <c r="A143" s="2">
        <v>133</v>
      </c>
      <c r="B143" s="2" t="s">
        <v>188</v>
      </c>
      <c r="C143" s="2" t="s">
        <v>129</v>
      </c>
      <c r="D143" s="2" t="s">
        <v>175</v>
      </c>
      <c r="E143" s="13">
        <v>0.3125</v>
      </c>
      <c r="F143" s="2"/>
      <c r="G143" s="3"/>
      <c r="H143" s="3">
        <v>0.21</v>
      </c>
      <c r="I143" s="2">
        <v>0</v>
      </c>
      <c r="J143" s="2"/>
      <c r="K143" s="2"/>
      <c r="L143" s="2"/>
      <c r="M143" s="2"/>
      <c r="N143" s="2"/>
      <c r="O143" s="8">
        <f t="shared" si="13"/>
        <v>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7">
        <f t="shared" si="14"/>
        <v>0</v>
      </c>
      <c r="AL143" s="8" t="s">
        <v>148</v>
      </c>
      <c r="AM143" s="12">
        <v>500</v>
      </c>
      <c r="AN143" s="8" t="s">
        <v>189</v>
      </c>
      <c r="AO143" s="8">
        <f t="shared" si="12"/>
        <v>0</v>
      </c>
    </row>
    <row r="144" spans="1:41" hidden="1" x14ac:dyDescent="0.25">
      <c r="A144" s="2">
        <v>134</v>
      </c>
      <c r="B144" s="2" t="s">
        <v>188</v>
      </c>
      <c r="C144" s="2" t="s">
        <v>129</v>
      </c>
      <c r="D144" s="2" t="s">
        <v>176</v>
      </c>
      <c r="E144" s="13">
        <v>0.3125</v>
      </c>
      <c r="F144" s="2"/>
      <c r="G144" s="3"/>
      <c r="H144" s="3">
        <v>0.16</v>
      </c>
      <c r="I144" s="2">
        <v>0</v>
      </c>
      <c r="J144" s="2"/>
      <c r="K144" s="2"/>
      <c r="L144" s="2"/>
      <c r="M144" s="2"/>
      <c r="N144" s="2"/>
      <c r="O144" s="8">
        <f t="shared" si="13"/>
        <v>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7">
        <f t="shared" si="14"/>
        <v>0</v>
      </c>
      <c r="AL144" s="8" t="s">
        <v>148</v>
      </c>
      <c r="AM144" s="12">
        <v>500</v>
      </c>
      <c r="AN144" s="8" t="s">
        <v>189</v>
      </c>
      <c r="AO144" s="8">
        <f t="shared" si="12"/>
        <v>0</v>
      </c>
    </row>
    <row r="145" spans="1:41" hidden="1" x14ac:dyDescent="0.25">
      <c r="A145" s="2">
        <v>135</v>
      </c>
      <c r="B145" s="2" t="s">
        <v>188</v>
      </c>
      <c r="C145" s="2" t="s">
        <v>129</v>
      </c>
      <c r="D145" s="2" t="s">
        <v>177</v>
      </c>
      <c r="E145" s="13">
        <v>0.3125</v>
      </c>
      <c r="F145" s="2"/>
      <c r="G145" s="3"/>
      <c r="H145" s="3">
        <v>0.16</v>
      </c>
      <c r="I145" s="2">
        <v>0</v>
      </c>
      <c r="J145" s="2"/>
      <c r="K145" s="2"/>
      <c r="L145" s="2"/>
      <c r="M145" s="2"/>
      <c r="N145" s="2"/>
      <c r="O145" s="8">
        <f t="shared" si="13"/>
        <v>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7">
        <f t="shared" si="14"/>
        <v>0</v>
      </c>
      <c r="AL145" s="8" t="s">
        <v>148</v>
      </c>
      <c r="AM145" s="12">
        <v>500</v>
      </c>
      <c r="AN145" s="8" t="s">
        <v>189</v>
      </c>
      <c r="AO145" s="8">
        <f t="shared" si="12"/>
        <v>0</v>
      </c>
    </row>
    <row r="146" spans="1:41" hidden="1" x14ac:dyDescent="0.25">
      <c r="A146" s="2">
        <v>136</v>
      </c>
      <c r="B146" s="2" t="s">
        <v>188</v>
      </c>
      <c r="C146" s="2" t="s">
        <v>129</v>
      </c>
      <c r="D146" s="2" t="s">
        <v>178</v>
      </c>
      <c r="E146" s="13">
        <v>0.3125</v>
      </c>
      <c r="F146" s="2"/>
      <c r="G146" s="3"/>
      <c r="H146" s="3">
        <v>0.21</v>
      </c>
      <c r="I146" s="2">
        <v>0</v>
      </c>
      <c r="J146" s="2"/>
      <c r="K146" s="2"/>
      <c r="L146" s="2"/>
      <c r="M146" s="2"/>
      <c r="N146" s="2"/>
      <c r="O146" s="8">
        <f t="shared" si="13"/>
        <v>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7">
        <f t="shared" si="14"/>
        <v>0</v>
      </c>
      <c r="AL146" s="8" t="s">
        <v>148</v>
      </c>
      <c r="AM146" s="12">
        <v>500</v>
      </c>
      <c r="AN146" s="8" t="s">
        <v>189</v>
      </c>
      <c r="AO146" s="8">
        <f t="shared" si="12"/>
        <v>0</v>
      </c>
    </row>
    <row r="147" spans="1:41" hidden="1" x14ac:dyDescent="0.25">
      <c r="A147" s="2">
        <v>137</v>
      </c>
      <c r="B147" s="2" t="s">
        <v>188</v>
      </c>
      <c r="C147" s="2" t="s">
        <v>129</v>
      </c>
      <c r="D147" s="2" t="s">
        <v>179</v>
      </c>
      <c r="E147" s="13">
        <v>0.3125</v>
      </c>
      <c r="F147" s="2"/>
      <c r="G147" s="3"/>
      <c r="H147" s="3">
        <v>0.16</v>
      </c>
      <c r="I147" s="2">
        <v>0</v>
      </c>
      <c r="J147" s="2"/>
      <c r="K147" s="2"/>
      <c r="L147" s="2"/>
      <c r="M147" s="2"/>
      <c r="N147" s="2"/>
      <c r="O147" s="8">
        <f t="shared" si="13"/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7">
        <f t="shared" si="14"/>
        <v>0</v>
      </c>
      <c r="AL147" s="8" t="s">
        <v>148</v>
      </c>
      <c r="AM147" s="12">
        <v>500</v>
      </c>
      <c r="AN147" s="8" t="s">
        <v>189</v>
      </c>
      <c r="AO147" s="8">
        <f t="shared" si="12"/>
        <v>0</v>
      </c>
    </row>
    <row r="148" spans="1:41" hidden="1" x14ac:dyDescent="0.25">
      <c r="A148" s="2">
        <v>138</v>
      </c>
      <c r="B148" s="2" t="s">
        <v>188</v>
      </c>
      <c r="C148" s="2" t="s">
        <v>129</v>
      </c>
      <c r="D148" s="2" t="s">
        <v>180</v>
      </c>
      <c r="E148" s="13">
        <v>0.3125</v>
      </c>
      <c r="F148" s="2"/>
      <c r="G148" s="3"/>
      <c r="H148" s="3">
        <v>0.16</v>
      </c>
      <c r="I148" s="2">
        <v>0</v>
      </c>
      <c r="J148" s="2"/>
      <c r="K148" s="2"/>
      <c r="L148" s="2"/>
      <c r="M148" s="2"/>
      <c r="N148" s="2"/>
      <c r="O148" s="8">
        <f t="shared" si="13"/>
        <v>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7">
        <f t="shared" si="14"/>
        <v>0</v>
      </c>
      <c r="AL148" s="8" t="s">
        <v>148</v>
      </c>
      <c r="AM148" s="12">
        <v>500</v>
      </c>
      <c r="AN148" s="8" t="s">
        <v>189</v>
      </c>
      <c r="AO148" s="8">
        <f t="shared" si="12"/>
        <v>0</v>
      </c>
    </row>
    <row r="149" spans="1:41" hidden="1" x14ac:dyDescent="0.25">
      <c r="A149" s="2">
        <v>139</v>
      </c>
      <c r="B149" s="2" t="s">
        <v>188</v>
      </c>
      <c r="C149" s="2" t="s">
        <v>129</v>
      </c>
      <c r="D149" s="2" t="s">
        <v>181</v>
      </c>
      <c r="E149" s="13">
        <v>0.3125</v>
      </c>
      <c r="F149" s="2"/>
      <c r="G149" s="3"/>
      <c r="H149" s="3">
        <v>0.21</v>
      </c>
      <c r="I149" s="2">
        <v>0</v>
      </c>
      <c r="J149" s="2"/>
      <c r="K149" s="2"/>
      <c r="L149" s="2"/>
      <c r="M149" s="2"/>
      <c r="N149" s="2"/>
      <c r="O149" s="8">
        <f t="shared" si="13"/>
        <v>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7">
        <f t="shared" si="14"/>
        <v>0</v>
      </c>
      <c r="AL149" s="8" t="s">
        <v>148</v>
      </c>
      <c r="AM149" s="12">
        <v>500</v>
      </c>
      <c r="AN149" s="8" t="s">
        <v>189</v>
      </c>
      <c r="AO149" s="8">
        <f t="shared" si="12"/>
        <v>0</v>
      </c>
    </row>
    <row r="150" spans="1:41" hidden="1" x14ac:dyDescent="0.25">
      <c r="A150" s="2">
        <v>140</v>
      </c>
      <c r="B150" s="2" t="s">
        <v>188</v>
      </c>
      <c r="C150" s="2" t="s">
        <v>129</v>
      </c>
      <c r="D150" s="2" t="s">
        <v>182</v>
      </c>
      <c r="E150" s="13">
        <v>0.3125</v>
      </c>
      <c r="F150" s="2"/>
      <c r="G150" s="3"/>
      <c r="H150" s="3">
        <v>0.21</v>
      </c>
      <c r="I150" s="2">
        <v>0</v>
      </c>
      <c r="J150" s="2"/>
      <c r="K150" s="2"/>
      <c r="L150" s="2"/>
      <c r="M150" s="2"/>
      <c r="N150" s="2"/>
      <c r="O150" s="8">
        <f t="shared" si="13"/>
        <v>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7">
        <f t="shared" si="14"/>
        <v>0</v>
      </c>
      <c r="AL150" s="8" t="s">
        <v>148</v>
      </c>
      <c r="AM150" s="12">
        <v>500</v>
      </c>
      <c r="AN150" s="8" t="s">
        <v>189</v>
      </c>
      <c r="AO150" s="8">
        <f t="shared" si="12"/>
        <v>0</v>
      </c>
    </row>
    <row r="151" spans="1:41" hidden="1" x14ac:dyDescent="0.25">
      <c r="A151" s="2">
        <v>141</v>
      </c>
      <c r="B151" s="2" t="s">
        <v>188</v>
      </c>
      <c r="C151" s="2" t="s">
        <v>129</v>
      </c>
      <c r="D151" s="2" t="s">
        <v>183</v>
      </c>
      <c r="E151" s="13">
        <v>0.3125</v>
      </c>
      <c r="F151" s="2"/>
      <c r="G151" s="3"/>
      <c r="H151" s="3">
        <v>0.21</v>
      </c>
      <c r="I151" s="2">
        <v>0</v>
      </c>
      <c r="J151" s="2"/>
      <c r="K151" s="2"/>
      <c r="L151" s="2"/>
      <c r="M151" s="2"/>
      <c r="N151" s="2"/>
      <c r="O151" s="8">
        <f t="shared" si="13"/>
        <v>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7">
        <f t="shared" si="14"/>
        <v>0</v>
      </c>
      <c r="AL151" s="8" t="s">
        <v>148</v>
      </c>
      <c r="AM151" s="12">
        <v>500</v>
      </c>
      <c r="AN151" s="8" t="s">
        <v>189</v>
      </c>
      <c r="AO151" s="8">
        <f t="shared" si="12"/>
        <v>0</v>
      </c>
    </row>
    <row r="152" spans="1:41" hidden="1" x14ac:dyDescent="0.25">
      <c r="A152" s="2">
        <v>142</v>
      </c>
      <c r="B152" s="2" t="s">
        <v>188</v>
      </c>
      <c r="C152" s="2" t="s">
        <v>129</v>
      </c>
      <c r="D152" s="2" t="s">
        <v>184</v>
      </c>
      <c r="E152" s="13">
        <v>0.3125</v>
      </c>
      <c r="F152" s="2"/>
      <c r="G152" s="3"/>
      <c r="H152" s="3">
        <v>0.21</v>
      </c>
      <c r="I152" s="2">
        <v>0</v>
      </c>
      <c r="J152" s="2"/>
      <c r="K152" s="2"/>
      <c r="L152" s="2"/>
      <c r="M152" s="2"/>
      <c r="N152" s="2"/>
      <c r="O152" s="8">
        <f t="shared" si="13"/>
        <v>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7">
        <f t="shared" si="14"/>
        <v>0</v>
      </c>
      <c r="AL152" s="8" t="s">
        <v>148</v>
      </c>
      <c r="AM152" s="12">
        <v>500</v>
      </c>
      <c r="AN152" s="8" t="s">
        <v>189</v>
      </c>
      <c r="AO152" s="8">
        <f t="shared" si="12"/>
        <v>0</v>
      </c>
    </row>
    <row r="153" spans="1:41" hidden="1" x14ac:dyDescent="0.25">
      <c r="A153" s="2">
        <v>143</v>
      </c>
      <c r="B153" s="2" t="s">
        <v>188</v>
      </c>
      <c r="C153" s="2" t="s">
        <v>129</v>
      </c>
      <c r="D153" s="2" t="s">
        <v>185</v>
      </c>
      <c r="E153" s="13">
        <v>0.3125</v>
      </c>
      <c r="F153" s="2"/>
      <c r="G153" s="3"/>
      <c r="H153" s="3">
        <v>0.19</v>
      </c>
      <c r="I153" s="2">
        <v>0</v>
      </c>
      <c r="J153" s="2"/>
      <c r="K153" s="2"/>
      <c r="L153" s="2"/>
      <c r="M153" s="2"/>
      <c r="N153" s="2"/>
      <c r="O153" s="8">
        <f t="shared" si="13"/>
        <v>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7">
        <f t="shared" si="14"/>
        <v>0</v>
      </c>
      <c r="AL153" s="8" t="s">
        <v>148</v>
      </c>
      <c r="AM153" s="12">
        <v>500</v>
      </c>
      <c r="AN153" s="8" t="s">
        <v>189</v>
      </c>
      <c r="AO153" s="8">
        <f t="shared" si="12"/>
        <v>0</v>
      </c>
    </row>
    <row r="154" spans="1:41" hidden="1" x14ac:dyDescent="0.25">
      <c r="A154" s="2">
        <v>144</v>
      </c>
      <c r="B154" s="2" t="s">
        <v>188</v>
      </c>
      <c r="C154" s="2" t="s">
        <v>129</v>
      </c>
      <c r="D154" s="2" t="s">
        <v>186</v>
      </c>
      <c r="E154" s="13">
        <v>0.3125</v>
      </c>
      <c r="F154" s="2"/>
      <c r="G154" s="3"/>
      <c r="H154" s="3">
        <v>0.19</v>
      </c>
      <c r="I154" s="2">
        <v>0</v>
      </c>
      <c r="J154" s="2"/>
      <c r="K154" s="2"/>
      <c r="L154" s="2"/>
      <c r="M154" s="2"/>
      <c r="N154" s="2"/>
      <c r="O154" s="8">
        <f t="shared" si="13"/>
        <v>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7">
        <f t="shared" si="14"/>
        <v>0</v>
      </c>
      <c r="AL154" s="8" t="s">
        <v>148</v>
      </c>
      <c r="AM154" s="12">
        <v>500</v>
      </c>
      <c r="AN154" s="8" t="s">
        <v>189</v>
      </c>
      <c r="AO154" s="8">
        <f t="shared" si="12"/>
        <v>0</v>
      </c>
    </row>
    <row r="155" spans="1:41" x14ac:dyDescent="0.25">
      <c r="H155" s="4" t="s">
        <v>19</v>
      </c>
      <c r="I155" s="9">
        <f t="shared" ref="I155:AK155" si="15">SUM(I11:I127)</f>
        <v>41004</v>
      </c>
      <c r="J155" s="2"/>
      <c r="K155" s="9">
        <f t="shared" si="15"/>
        <v>0</v>
      </c>
      <c r="L155" s="9">
        <f t="shared" si="15"/>
        <v>0</v>
      </c>
      <c r="M155" s="9">
        <f t="shared" si="15"/>
        <v>0</v>
      </c>
      <c r="N155" s="9">
        <f t="shared" si="15"/>
        <v>0</v>
      </c>
      <c r="O155" s="11">
        <f t="shared" si="15"/>
        <v>13081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>
        <f t="shared" si="15"/>
        <v>93</v>
      </c>
      <c r="AK155" s="9">
        <f t="shared" si="15"/>
        <v>0</v>
      </c>
      <c r="AO155" s="12">
        <f>SUM(AO11:AO127)</f>
        <v>280.3866666666666</v>
      </c>
    </row>
    <row r="156" spans="1:41" hidden="1" x14ac:dyDescent="0.25">
      <c r="H156" s="4" t="s">
        <v>21</v>
      </c>
      <c r="I156" s="99">
        <f>+I155+J155+K155+L155+M155+N155</f>
        <v>41004</v>
      </c>
      <c r="J156" s="99"/>
      <c r="K156" s="99"/>
      <c r="L156" s="99"/>
      <c r="M156" s="99"/>
      <c r="N156" s="99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88">
        <f>+AJ155</f>
        <v>93</v>
      </c>
    </row>
    <row r="157" spans="1:41" x14ac:dyDescent="0.25">
      <c r="I157" s="33"/>
      <c r="J157" s="33"/>
      <c r="K157" s="33">
        <f t="shared" ref="K157:N157" si="16">+K155</f>
        <v>0</v>
      </c>
      <c r="L157" s="33">
        <f t="shared" si="16"/>
        <v>0</v>
      </c>
      <c r="M157" s="33">
        <f t="shared" si="16"/>
        <v>0</v>
      </c>
      <c r="N157" s="33">
        <f t="shared" si="16"/>
        <v>0</v>
      </c>
    </row>
    <row r="158" spans="1:41" x14ac:dyDescent="0.25"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18"/>
      <c r="AK158" s="18"/>
    </row>
    <row r="159" spans="1:41" x14ac:dyDescent="0.25">
      <c r="C159" s="2" t="s">
        <v>217</v>
      </c>
      <c r="D159" s="2" t="s">
        <v>218</v>
      </c>
      <c r="E159" s="2" t="s">
        <v>219</v>
      </c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39"/>
      <c r="AK159" s="39"/>
    </row>
    <row r="160" spans="1:41" x14ac:dyDescent="0.25">
      <c r="B160" s="31" t="s">
        <v>212</v>
      </c>
      <c r="C160" s="8">
        <v>19198</v>
      </c>
      <c r="D160" s="2">
        <f>+C160/5</f>
        <v>3839.6</v>
      </c>
      <c r="E160" s="2">
        <f>+D160/2</f>
        <v>1919.8</v>
      </c>
      <c r="H160" s="2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100"/>
      <c r="AK160" s="98"/>
    </row>
    <row r="161" spans="2:15" x14ac:dyDescent="0.25">
      <c r="B161" s="31" t="s">
        <v>213</v>
      </c>
      <c r="C161" s="8">
        <v>14029</v>
      </c>
      <c r="D161" s="2">
        <f>+C161/5</f>
        <v>2805.8</v>
      </c>
      <c r="E161" s="2">
        <f>+D161/2</f>
        <v>1402.9</v>
      </c>
    </row>
    <row r="162" spans="2:15" x14ac:dyDescent="0.25">
      <c r="B162" s="31" t="s">
        <v>214</v>
      </c>
      <c r="C162" s="2">
        <f>+C160-C161</f>
        <v>5169</v>
      </c>
      <c r="D162" s="2"/>
      <c r="E162" s="2"/>
    </row>
    <row r="163" spans="2:15" x14ac:dyDescent="0.25">
      <c r="B163" s="31" t="s">
        <v>215</v>
      </c>
      <c r="C163" s="32">
        <f>+C162/C160</f>
        <v>0.2692467965413064</v>
      </c>
      <c r="D163" s="2"/>
      <c r="E163" s="2"/>
    </row>
    <row r="164" spans="2:15" x14ac:dyDescent="0.25">
      <c r="B164" s="31" t="s">
        <v>216</v>
      </c>
      <c r="C164" s="32">
        <f>+C161/C160</f>
        <v>0.73075320345869366</v>
      </c>
      <c r="D164" s="2"/>
      <c r="E164" s="2"/>
    </row>
    <row r="165" spans="2:15" x14ac:dyDescent="0.25">
      <c r="O165" s="90"/>
    </row>
    <row r="166" spans="2:15" x14ac:dyDescent="0.25">
      <c r="O166" s="90" t="s">
        <v>247</v>
      </c>
    </row>
    <row r="167" spans="2:15" x14ac:dyDescent="0.25">
      <c r="B167" s="91" t="s">
        <v>246</v>
      </c>
      <c r="C167" s="42">
        <v>46265</v>
      </c>
      <c r="D167" s="42">
        <v>46266</v>
      </c>
      <c r="E167" s="42">
        <v>46267</v>
      </c>
      <c r="F167" s="42">
        <v>46268</v>
      </c>
      <c r="G167" s="42">
        <v>46269</v>
      </c>
      <c r="H167" s="42">
        <v>46270</v>
      </c>
      <c r="I167" s="42">
        <v>46269</v>
      </c>
    </row>
    <row r="168" spans="2:15" x14ac:dyDescent="0.25">
      <c r="B168" s="91"/>
      <c r="C168" s="44" t="s">
        <v>240</v>
      </c>
      <c r="D168" s="44" t="s">
        <v>223</v>
      </c>
      <c r="E168" s="44" t="s">
        <v>224</v>
      </c>
      <c r="F168" s="44" t="s">
        <v>225</v>
      </c>
      <c r="G168" s="44" t="s">
        <v>226</v>
      </c>
      <c r="I168" s="44" t="s">
        <v>229</v>
      </c>
    </row>
    <row r="169" spans="2:15" x14ac:dyDescent="0.25">
      <c r="B169" s="40" t="s">
        <v>220</v>
      </c>
      <c r="C169" s="32"/>
      <c r="D169" s="39">
        <v>0.17</v>
      </c>
      <c r="E169" s="39"/>
      <c r="F169" s="45"/>
      <c r="G169" s="45">
        <v>0.74</v>
      </c>
      <c r="I169" s="39"/>
    </row>
    <row r="170" spans="2:15" x14ac:dyDescent="0.25">
      <c r="B170" s="41" t="s">
        <v>221</v>
      </c>
      <c r="C170" s="39"/>
      <c r="D170" s="39">
        <v>0.83</v>
      </c>
      <c r="E170" s="39"/>
      <c r="F170" s="45"/>
      <c r="G170" s="45">
        <v>0.26</v>
      </c>
      <c r="I170" s="39"/>
    </row>
    <row r="172" spans="2:15" x14ac:dyDescent="0.25">
      <c r="B172" s="91" t="s">
        <v>248</v>
      </c>
      <c r="C172" s="42">
        <v>46265</v>
      </c>
      <c r="D172" s="42">
        <v>46266</v>
      </c>
      <c r="E172" s="42">
        <v>46267</v>
      </c>
      <c r="F172" s="42">
        <v>46268</v>
      </c>
      <c r="G172" s="42">
        <v>46269</v>
      </c>
    </row>
    <row r="173" spans="2:15" x14ac:dyDescent="0.25">
      <c r="B173" s="91"/>
      <c r="C173" s="44" t="s">
        <v>240</v>
      </c>
      <c r="D173" s="44" t="s">
        <v>223</v>
      </c>
      <c r="E173" s="44" t="s">
        <v>224</v>
      </c>
      <c r="F173" s="44" t="s">
        <v>225</v>
      </c>
      <c r="G173" s="44" t="s">
        <v>229</v>
      </c>
    </row>
    <row r="174" spans="2:15" x14ac:dyDescent="0.25">
      <c r="B174" s="40" t="s">
        <v>220</v>
      </c>
      <c r="C174" s="32">
        <v>0.27</v>
      </c>
      <c r="D174" s="39"/>
      <c r="E174" s="39"/>
      <c r="F174" s="45"/>
      <c r="G174" s="39"/>
    </row>
    <row r="175" spans="2:15" x14ac:dyDescent="0.25">
      <c r="B175" s="41" t="s">
        <v>221</v>
      </c>
      <c r="C175" s="39">
        <v>0.73</v>
      </c>
      <c r="D175" s="39"/>
      <c r="E175" s="39"/>
      <c r="F175" s="45"/>
      <c r="G175" s="39"/>
    </row>
  </sheetData>
  <autoFilter ref="B10:AO156" xr:uid="{00000000-0009-0000-0000-00000D000000}">
    <filterColumn colId="13">
      <customFilters>
        <customFilter operator="greaterThan" val="1"/>
      </customFilters>
    </filterColumn>
  </autoFilter>
  <mergeCells count="18">
    <mergeCell ref="AJ160:AK160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B172:B173"/>
    <mergeCell ref="C7:D7"/>
    <mergeCell ref="B8:B9"/>
    <mergeCell ref="E8:F9"/>
    <mergeCell ref="J9:N9"/>
    <mergeCell ref="B167:B168"/>
    <mergeCell ref="I156:N156"/>
  </mergeCells>
  <conditionalFormatting sqref="P159:AK159">
    <cfRule type="cellIs" dxfId="2" priority="1" operator="between">
      <formula>1</formula>
      <formula>5</formula>
    </cfRule>
    <cfRule type="cellIs" dxfId="1" priority="2" operator="between">
      <formula>0.85</formula>
      <formula>0.99</formula>
    </cfRule>
    <cfRule type="cellIs" dxfId="0" priority="3" operator="between">
      <formula>0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9</vt:i4>
      </vt:variant>
    </vt:vector>
  </HeadingPairs>
  <TitlesOfParts>
    <vt:vector size="23" baseType="lpstr">
      <vt:lpstr>.</vt:lpstr>
      <vt:lpstr>EMPAQUE</vt:lpstr>
      <vt:lpstr>HELIAN </vt:lpstr>
      <vt:lpstr>SEMANA 28</vt:lpstr>
      <vt:lpstr>SEMANA 30</vt:lpstr>
      <vt:lpstr>SEMANA 31</vt:lpstr>
      <vt:lpstr>SEMANA 32</vt:lpstr>
      <vt:lpstr>SEMANA 33</vt:lpstr>
      <vt:lpstr>SEMANA 34</vt:lpstr>
      <vt:lpstr>SEMANA 34 OK</vt:lpstr>
      <vt:lpstr>SEMANA 35</vt:lpstr>
      <vt:lpstr>SEMANA 36</vt:lpstr>
      <vt:lpstr>SEMANA 37</vt:lpstr>
      <vt:lpstr>SEMANA 41</vt:lpstr>
      <vt:lpstr>EMPAQUE!Área_de_impresión</vt:lpstr>
      <vt:lpstr>'HELIAN '!Área_de_impresión</vt:lpstr>
      <vt:lpstr>'SEMANA 31'!Área_de_impresión</vt:lpstr>
      <vt:lpstr>'SEMANA 32'!Área_de_impresión</vt:lpstr>
      <vt:lpstr>'SEMANA 33'!Área_de_impresión</vt:lpstr>
      <vt:lpstr>'SEMANA 34'!Área_de_impresión</vt:lpstr>
      <vt:lpstr>'SEMANA 34 OK'!Área_de_impresión</vt:lpstr>
      <vt:lpstr>'SEMANA 35'!Área_de_impresión</vt:lpstr>
      <vt:lpstr>'SEMANA 41'!Área_de_impresión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Martinez</dc:creator>
  <cp:lastModifiedBy>Practicante Industrial</cp:lastModifiedBy>
  <cp:lastPrinted>2026-10-12T18:14:10Z</cp:lastPrinted>
  <dcterms:created xsi:type="dcterms:W3CDTF">2026-07-15T02:40:42Z</dcterms:created>
  <dcterms:modified xsi:type="dcterms:W3CDTF">2026-10-13T17:57:12Z</dcterms:modified>
</cp:coreProperties>
</file>